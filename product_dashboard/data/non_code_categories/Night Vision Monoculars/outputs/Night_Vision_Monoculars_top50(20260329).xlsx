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sumiaoc/competitor_research_product/NewProductCategory/Night Vision Monoculars/outputs/"/>
    </mc:Choice>
  </mc:AlternateContent>
  <xr:revisionPtr revIDLastSave="0" documentId="13_ncr:1_{86C89CB2-9CA4-4247-8309-77A5BB0AD92D}" xr6:coauthVersionLast="47" xr6:coauthVersionMax="47" xr10:uidLastSave="{00000000-0000-0000-0000-000000000000}"/>
  <bookViews>
    <workbookView xWindow="-1220" yWindow="-21000" windowWidth="34560" windowHeight="21000" xr2:uid="{00000000-000D-0000-FFFF-FFFF00000000}"/>
  </bookViews>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 name="Topdon" sheetId="8" r:id="rId8"/>
    <sheet name="Guide Sensmar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9" l="1"/>
  <c r="J3" i="9"/>
  <c r="J4" i="9"/>
  <c r="J2" i="8"/>
  <c r="J3" i="8"/>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alcChain>
</file>

<file path=xl/sharedStrings.xml><?xml version="1.0" encoding="utf-8"?>
<sst xmlns="http://schemas.openxmlformats.org/spreadsheetml/2006/main" count="7930" uniqueCount="2719">
  <si>
    <t>Brand</t>
  </si>
  <si>
    <t># of Listings</t>
  </si>
  <si>
    <t>Monthly Rev</t>
  </si>
  <si>
    <t>Monthly Units</t>
  </si>
  <si>
    <t>Monthly Rev Market Share %</t>
  </si>
  <si>
    <t>Price Per Unit</t>
  </si>
  <si>
    <t>Avg Rating</t>
  </si>
  <si>
    <t>TOPDON</t>
  </si>
  <si>
    <t>HEXEUM</t>
  </si>
  <si>
    <t>WASOCA</t>
  </si>
  <si>
    <t>GOYOJO</t>
  </si>
  <si>
    <t>VISIOGEAR</t>
  </si>
  <si>
    <t>RIX</t>
  </si>
  <si>
    <t>WOSPORTS</t>
  </si>
  <si>
    <t>XOOIOOY</t>
  </si>
  <si>
    <t>WONGKUO</t>
  </si>
  <si>
    <t>Sig Sauer</t>
  </si>
  <si>
    <t>ATN</t>
  </si>
  <si>
    <t>AKASO</t>
  </si>
  <si>
    <t>MiLESEEY</t>
  </si>
  <si>
    <t>BMDSAE</t>
  </si>
  <si>
    <t>sxjyicam</t>
  </si>
  <si>
    <t>TERUNSOUl</t>
  </si>
  <si>
    <t>Gexmil</t>
  </si>
  <si>
    <t>NIGHTFOX</t>
  </si>
  <si>
    <t>ArzzuNiu</t>
  </si>
  <si>
    <t>JAMIZY</t>
  </si>
  <si>
    <t>YUANZIMOO</t>
  </si>
  <si>
    <t>Vtiisamao</t>
  </si>
  <si>
    <t>Bushnell</t>
  </si>
  <si>
    <t>Teslong</t>
  </si>
  <si>
    <t>WARMTUYO</t>
  </si>
  <si>
    <t>Pard</t>
  </si>
  <si>
    <t>CIGMAN</t>
  </si>
  <si>
    <t>HOTPEAK</t>
  </si>
  <si>
    <t>Thermal Master</t>
  </si>
  <si>
    <t>OWLNV</t>
  </si>
  <si>
    <t>Tezousi</t>
  </si>
  <si>
    <t>GOWWPUN</t>
  </si>
  <si>
    <t>E.T Dragon</t>
  </si>
  <si>
    <t>VOOPEAK</t>
  </si>
  <si>
    <t>WISHBETY</t>
  </si>
  <si>
    <t>SiOnyx</t>
  </si>
  <si>
    <t>i4SEE</t>
  </si>
  <si>
    <t>ROQIOO</t>
  </si>
  <si>
    <t>Night Operators</t>
  </si>
  <si>
    <t>Triton</t>
  </si>
  <si>
    <t>oneleaf.ai</t>
  </si>
  <si>
    <t>wogree</t>
  </si>
  <si>
    <t>GTMEDIA</t>
  </si>
  <si>
    <t>KOLINLOV</t>
  </si>
  <si>
    <t>Burris</t>
  </si>
  <si>
    <t>HTPREC</t>
  </si>
  <si>
    <t>AGM Global Vision</t>
  </si>
  <si>
    <t>Nightiger</t>
  </si>
  <si>
    <t>FLIR</t>
  </si>
  <si>
    <t>DNT Optics</t>
  </si>
  <si>
    <t>Wolfeevo</t>
  </si>
  <si>
    <t>HUVIOVED</t>
  </si>
  <si>
    <t>Weochi</t>
  </si>
  <si>
    <t>Gipsot</t>
  </si>
  <si>
    <t>Qpingan</t>
  </si>
  <si>
    <t>FIEGEl</t>
  </si>
  <si>
    <t>BESTSIGHT</t>
  </si>
  <si>
    <t>GTHUNDER</t>
  </si>
  <si>
    <t>PEIKETAO</t>
  </si>
  <si>
    <t>AILNJUC</t>
  </si>
  <si>
    <t>Diyimin</t>
  </si>
  <si>
    <t>Yehtreh</t>
  </si>
  <si>
    <t>VABSCE</t>
  </si>
  <si>
    <t>VOTJPYS</t>
  </si>
  <si>
    <t>Steiner</t>
  </si>
  <si>
    <t>PGDLOF</t>
  </si>
  <si>
    <t>Dumjug</t>
  </si>
  <si>
    <t>BETTITOPE</t>
  </si>
  <si>
    <t>Dsoon</t>
  </si>
  <si>
    <t>COOVIE</t>
  </si>
  <si>
    <t>Hittymoon</t>
  </si>
  <si>
    <t>Wurapl</t>
  </si>
  <si>
    <t>Superior Tactical</t>
  </si>
  <si>
    <t>JUOIFIP</t>
  </si>
  <si>
    <t>BLUPOND</t>
  </si>
  <si>
    <t>ZIMOCE</t>
  </si>
  <si>
    <t>Frelisty</t>
  </si>
  <si>
    <t>CANIS SPORT INC</t>
  </si>
  <si>
    <t>Tizycod</t>
  </si>
  <si>
    <t>BUSHBINOC</t>
  </si>
  <si>
    <t>SZTOPUV</t>
  </si>
  <si>
    <t>YSS</t>
  </si>
  <si>
    <t>JDZ</t>
  </si>
  <si>
    <t>PYKRONZ</t>
  </si>
  <si>
    <t>Gayontech</t>
  </si>
  <si>
    <t>BINOCK</t>
  </si>
  <si>
    <t>VXF</t>
  </si>
  <si>
    <t>Rumyums</t>
  </si>
  <si>
    <t>GTGUARD</t>
  </si>
  <si>
    <t>RZJSKJZM</t>
  </si>
  <si>
    <t>MIRAGETARGET</t>
  </si>
  <si>
    <t>Shanyingquan</t>
  </si>
  <si>
    <t>Summit Horizon</t>
  </si>
  <si>
    <t>Sfeoot</t>
  </si>
  <si>
    <t>TRUGLO</t>
  </si>
  <si>
    <t>SKIOVEMI</t>
  </si>
  <si>
    <t>megaorei</t>
  </si>
  <si>
    <t>TRV</t>
  </si>
  <si>
    <t>WoSporT</t>
  </si>
  <si>
    <t>DDayuanwei</t>
  </si>
  <si>
    <t>Guune</t>
  </si>
  <si>
    <t>NoctiView</t>
  </si>
  <si>
    <t>Jeekootoop</t>
  </si>
  <si>
    <t>Jadfezy</t>
  </si>
  <si>
    <t>NovaLens</t>
  </si>
  <si>
    <t>Pulsar</t>
  </si>
  <si>
    <t>Guide Sensmart</t>
  </si>
  <si>
    <t>ZIYOUHU</t>
  </si>
  <si>
    <t>TKKOK</t>
  </si>
  <si>
    <t>Mildhug</t>
  </si>
  <si>
    <t>AYAYI</t>
  </si>
  <si>
    <t>Nvgfelis</t>
  </si>
  <si>
    <t>NightCrystal</t>
  </si>
  <si>
    <t>ANGDAOBIA</t>
  </si>
  <si>
    <t>NOROTOS</t>
  </si>
  <si>
    <t>VERYMODEL</t>
  </si>
  <si>
    <t>FNIRSI</t>
  </si>
  <si>
    <t>Poalid</t>
  </si>
  <si>
    <t>ISHARE</t>
  </si>
  <si>
    <t>ZBFACAI</t>
  </si>
  <si>
    <t>YAGAKXGT</t>
  </si>
  <si>
    <t>LKJUYGE</t>
  </si>
  <si>
    <t>Goiteia</t>
  </si>
  <si>
    <t>Firefield</t>
  </si>
  <si>
    <t>WGFXYBFY</t>
  </si>
  <si>
    <t>Generic</t>
  </si>
  <si>
    <t>Aimpoint</t>
  </si>
  <si>
    <t>The Men's Authority</t>
  </si>
  <si>
    <t>Anyork</t>
  </si>
  <si>
    <t>LIVIQILY</t>
  </si>
  <si>
    <t>MAYD</t>
  </si>
  <si>
    <t>BIBIRE</t>
  </si>
  <si>
    <t>Virtual Haven</t>
  </si>
  <si>
    <t>Miasazyr</t>
  </si>
  <si>
    <t>XILETU</t>
  </si>
  <si>
    <t>LUNAREX</t>
  </si>
  <si>
    <t>OIKSPY</t>
  </si>
  <si>
    <t>Superior Tactical LLC S</t>
  </si>
  <si>
    <t>DLP Tactical</t>
  </si>
  <si>
    <t>Eschenbach</t>
  </si>
  <si>
    <t>AlloTemlass</t>
  </si>
  <si>
    <t>Swarovski Optik</t>
  </si>
  <si>
    <t>Yatashi</t>
  </si>
  <si>
    <t>HME</t>
  </si>
  <si>
    <t>LEESEN</t>
  </si>
  <si>
    <t>YWYLL</t>
  </si>
  <si>
    <t>Nightstar Optics</t>
  </si>
  <si>
    <t>Barska</t>
  </si>
  <si>
    <t>collectiblesBuy</t>
  </si>
  <si>
    <t>GUANIEE</t>
  </si>
  <si>
    <t>Sheawasy</t>
  </si>
  <si>
    <t>Rlayoes</t>
  </si>
  <si>
    <t>EliteZ</t>
  </si>
  <si>
    <t>CREATIVE XP</t>
  </si>
  <si>
    <t>TAKLITE</t>
  </si>
  <si>
    <t>Hdlsina</t>
  </si>
  <si>
    <t>Ortsoon</t>
  </si>
  <si>
    <t>KJK</t>
  </si>
  <si>
    <t>Carson</t>
  </si>
  <si>
    <t>WARMOUNTS</t>
  </si>
  <si>
    <t>Sightmark</t>
  </si>
  <si>
    <t>YJY</t>
  </si>
  <si>
    <t>Hawke</t>
  </si>
  <si>
    <t>okyass</t>
  </si>
  <si>
    <t>AZB</t>
  </si>
  <si>
    <t>KDSG</t>
  </si>
  <si>
    <t>MILBOPAX</t>
  </si>
  <si>
    <t>Keetopteep</t>
  </si>
  <si>
    <t>NightStar</t>
  </si>
  <si>
    <t>Dpofirs</t>
  </si>
  <si>
    <t>TOP NVG</t>
  </si>
  <si>
    <t>Pozmrtsr</t>
  </si>
  <si>
    <t>limaity</t>
  </si>
  <si>
    <t>WILDGAMEPLUS</t>
  </si>
  <si>
    <t>Sniper</t>
  </si>
  <si>
    <t>Bozily</t>
  </si>
  <si>
    <t>Stealth Cam</t>
  </si>
  <si>
    <t>Armasight</t>
  </si>
  <si>
    <t>VACOOR</t>
  </si>
  <si>
    <t>Grey Bear</t>
  </si>
  <si>
    <t>Zhongren</t>
  </si>
  <si>
    <t>CoxiVision</t>
  </si>
  <si>
    <t>CFEIXIN</t>
  </si>
  <si>
    <t>Oaktiv</t>
  </si>
  <si>
    <t>GJOYNY</t>
  </si>
  <si>
    <t>Wokyo</t>
  </si>
  <si>
    <t>eoqo</t>
  </si>
  <si>
    <t>LONGNECK</t>
  </si>
  <si>
    <t>BEESOM</t>
  </si>
  <si>
    <t>Aileway</t>
  </si>
  <si>
    <t>ESSLNB</t>
  </si>
  <si>
    <t>USCAMEL</t>
  </si>
  <si>
    <t>FAVXD</t>
  </si>
  <si>
    <t>YingCheng</t>
  </si>
  <si>
    <t>DIGIGOOD</t>
  </si>
  <si>
    <t>FMA</t>
  </si>
  <si>
    <t>BESTECCT</t>
  </si>
  <si>
    <t>HangTon</t>
  </si>
  <si>
    <t>D Lolylad</t>
  </si>
  <si>
    <t>YOTOMIGUO</t>
  </si>
  <si>
    <t>Gaderth</t>
  </si>
  <si>
    <t>Pozifu</t>
  </si>
  <si>
    <t>SUZLAZYR</t>
  </si>
  <si>
    <t>Amailtom</t>
  </si>
  <si>
    <t>ORPUNA</t>
  </si>
  <si>
    <t>DOOCK</t>
  </si>
  <si>
    <t>Chestnut-YX</t>
  </si>
  <si>
    <t>Bush Home</t>
  </si>
  <si>
    <t>Gear Rack</t>
  </si>
  <si>
    <t>Derowern</t>
  </si>
  <si>
    <t>GOSALISU</t>
  </si>
  <si>
    <t>booiu</t>
  </si>
  <si>
    <t>SHINU</t>
  </si>
  <si>
    <t>N/A</t>
  </si>
  <si>
    <t>EQUEEN</t>
  </si>
  <si>
    <t>YINMONE</t>
  </si>
  <si>
    <t>BLESSOURCE</t>
  </si>
  <si>
    <t>Crangcam</t>
  </si>
  <si>
    <t>CASEMATIX</t>
  </si>
  <si>
    <t>Jazoon</t>
  </si>
  <si>
    <t>ZOOTEALY</t>
  </si>
  <si>
    <t>Aupabu</t>
  </si>
  <si>
    <t>YERGOFE</t>
  </si>
  <si>
    <t>ITT</t>
  </si>
  <si>
    <t>Bewinner</t>
  </si>
  <si>
    <t>Pinty</t>
  </si>
  <si>
    <t>Mozeyerh</t>
  </si>
  <si>
    <t>SOXICK</t>
  </si>
  <si>
    <t>AMNOUR</t>
  </si>
  <si>
    <t>GinoCaco</t>
  </si>
  <si>
    <t>YUYTE</t>
  </si>
  <si>
    <t>AC Allen</t>
  </si>
  <si>
    <t>JOYNAS</t>
  </si>
  <si>
    <t>B BLOOMOAK</t>
  </si>
  <si>
    <t>Zhuluck</t>
  </si>
  <si>
    <t>COLALY</t>
  </si>
  <si>
    <t>ATTCL</t>
  </si>
  <si>
    <t>doorslay</t>
  </si>
  <si>
    <t>TACinnovator</t>
  </si>
  <si>
    <t>Aetheria</t>
  </si>
  <si>
    <t>Profey</t>
  </si>
  <si>
    <t>KILOGOGRAPH</t>
  </si>
  <si>
    <t>cdpdmai</t>
  </si>
  <si>
    <t>Maoershan</t>
  </si>
  <si>
    <t>VISWISS</t>
  </si>
  <si>
    <t>AWETHE</t>
  </si>
  <si>
    <t>VANTARA</t>
  </si>
  <si>
    <t>PAERKU</t>
  </si>
  <si>
    <t>seanme</t>
  </si>
  <si>
    <t>ACPOTEL</t>
  </si>
  <si>
    <t>UpaClaire</t>
  </si>
  <si>
    <t>Housoutil</t>
  </si>
  <si>
    <t>XINNIKESI</t>
  </si>
  <si>
    <t>WLngtv</t>
  </si>
  <si>
    <t>San Yare</t>
  </si>
  <si>
    <t>Camonity</t>
  </si>
  <si>
    <t>ONEJOY</t>
  </si>
  <si>
    <t>Predator Tactics</t>
  </si>
  <si>
    <t>CSIHOP</t>
  </si>
  <si>
    <t>Night Owl Optics</t>
  </si>
  <si>
    <t>DUCO</t>
  </si>
  <si>
    <t>NcSTAR</t>
  </si>
  <si>
    <t>AISHFP</t>
  </si>
  <si>
    <t>TEQIN</t>
  </si>
  <si>
    <t>Magik</t>
  </si>
  <si>
    <t>Alpen</t>
  </si>
  <si>
    <t>HALCONTORNO</t>
  </si>
  <si>
    <t>YKSLEMON</t>
  </si>
  <si>
    <t>JFFCESTORE</t>
  </si>
  <si>
    <t>Night Optics USA</t>
  </si>
  <si>
    <t>Yogo Vision</t>
  </si>
  <si>
    <t>BEICHI</t>
  </si>
  <si>
    <t>AEOptics</t>
  </si>
  <si>
    <t>Unknown</t>
  </si>
  <si>
    <t>JOAXOR</t>
  </si>
  <si>
    <t>KINGSEVEN</t>
  </si>
  <si>
    <t>JINJULI</t>
  </si>
  <si>
    <t>Sehnsucht</t>
  </si>
  <si>
    <t>Andoer</t>
  </si>
  <si>
    <t>Holibanna</t>
  </si>
  <si>
    <t>Vepiant</t>
  </si>
  <si>
    <t>USGI</t>
  </si>
  <si>
    <t>WIRUN</t>
  </si>
  <si>
    <t>SHITOOMFE</t>
  </si>
  <si>
    <t>Mlifasty</t>
  </si>
  <si>
    <t>The Mercenary Company</t>
  </si>
  <si>
    <t>Brunton</t>
  </si>
  <si>
    <t>Fucellveca</t>
  </si>
  <si>
    <t>NUOBESTY</t>
  </si>
  <si>
    <t>LVIOE</t>
  </si>
  <si>
    <t>Astromania</t>
  </si>
  <si>
    <t>NSSIW</t>
  </si>
  <si>
    <t>T TAKMLY</t>
  </si>
  <si>
    <t>NOXOWL</t>
  </si>
  <si>
    <t>Sky-Watcher</t>
  </si>
  <si>
    <t>RETYLY</t>
  </si>
  <si>
    <t>Dragon Alliance</t>
  </si>
  <si>
    <t>Bansainong</t>
  </si>
  <si>
    <t>LIZHOUMIL</t>
  </si>
  <si>
    <t>GibHerz</t>
  </si>
  <si>
    <t>HATSEN</t>
  </si>
  <si>
    <t>LEJUNJIE</t>
  </si>
  <si>
    <t>BONMIXC</t>
  </si>
  <si>
    <t>HURYSIN</t>
  </si>
  <si>
    <t>Hanlong</t>
  </si>
  <si>
    <t>REXING</t>
  </si>
  <si>
    <t>VITENZI</t>
  </si>
  <si>
    <t>BFOCO</t>
  </si>
  <si>
    <t>CEKOCK</t>
  </si>
  <si>
    <t>Partekavo</t>
  </si>
  <si>
    <t>EastVita</t>
  </si>
  <si>
    <t>Theless Gear</t>
  </si>
  <si>
    <t>NOEMOCY</t>
  </si>
  <si>
    <t>SIGWEIS</t>
  </si>
  <si>
    <t>NICEGREEN LIFE</t>
  </si>
  <si>
    <t>Zonkasion</t>
  </si>
  <si>
    <t>DIYUSI</t>
  </si>
  <si>
    <t>X-Vision Night Vision</t>
  </si>
  <si>
    <t>Posterazzi</t>
  </si>
  <si>
    <t>EMUQUD</t>
  </si>
  <si>
    <t>Ruaiok</t>
  </si>
  <si>
    <t>proSPORT</t>
  </si>
  <si>
    <t>Force Technologies</t>
  </si>
  <si>
    <t>MOD Armory</t>
  </si>
  <si>
    <t>Night Owl</t>
  </si>
  <si>
    <t>GT AUDIO</t>
  </si>
  <si>
    <t>Pink Ribbon Shades</t>
  </si>
  <si>
    <t>Yzpacc</t>
  </si>
  <si>
    <t>HOMEE</t>
  </si>
  <si>
    <t>Hanglong</t>
  </si>
  <si>
    <t>Bestguarder</t>
  </si>
  <si>
    <t>AOTUMUT</t>
  </si>
  <si>
    <t>FOCUS REVISION</t>
  </si>
  <si>
    <t>Highbrain</t>
  </si>
  <si>
    <t>Vortix</t>
  </si>
  <si>
    <t>EnuoChbuild</t>
  </si>
  <si>
    <t>Lancer Tactical</t>
  </si>
  <si>
    <t>Night View</t>
  </si>
  <si>
    <t>AoHeng</t>
  </si>
  <si>
    <t>Mochalight</t>
  </si>
  <si>
    <t>FineLife</t>
  </si>
  <si>
    <t>Yoidesu</t>
  </si>
  <si>
    <t>Hti-Xintai</t>
  </si>
  <si>
    <t>GEERTOP</t>
  </si>
  <si>
    <t>BUK OPS</t>
  </si>
  <si>
    <t>RSBFER</t>
  </si>
  <si>
    <t>TacRight</t>
  </si>
  <si>
    <t>Aloudcky</t>
  </si>
  <si>
    <t>EOTACTACTICAL</t>
  </si>
  <si>
    <t>WarmHeartting</t>
  </si>
  <si>
    <t>DTACGERA</t>
  </si>
  <si>
    <t>RUSUO</t>
  </si>
  <si>
    <t>Luna Optics</t>
  </si>
  <si>
    <t>OBIOCKIDAY</t>
  </si>
  <si>
    <t>Beuiouer</t>
  </si>
  <si>
    <t>RinRinGo</t>
  </si>
  <si>
    <t>HMWOKPOT</t>
  </si>
  <si>
    <t>ROBBIN</t>
  </si>
  <si>
    <t>Zippy Goose</t>
  </si>
  <si>
    <t>HIIGH</t>
  </si>
  <si>
    <t>VONOV</t>
  </si>
  <si>
    <t>Aimsniper</t>
  </si>
  <si>
    <t>ZTFSETD</t>
  </si>
  <si>
    <t>KONTONTY</t>
  </si>
  <si>
    <t>SIANKO</t>
  </si>
  <si>
    <t>Express Distributing</t>
  </si>
  <si>
    <t>susurrus</t>
  </si>
  <si>
    <t>BNISE</t>
  </si>
  <si>
    <t>Coyote Light</t>
  </si>
  <si>
    <t>Naiveferry</t>
  </si>
  <si>
    <t>GuliTech</t>
  </si>
  <si>
    <t>RYPPLE</t>
  </si>
  <si>
    <t>VOCUE</t>
  </si>
  <si>
    <t>Kneysan</t>
  </si>
  <si>
    <t>QUMIIRITY</t>
  </si>
  <si>
    <t>WEBNMK</t>
  </si>
  <si>
    <t>Gslxheal</t>
  </si>
  <si>
    <t>SHUAIGUO</t>
  </si>
  <si>
    <t>NiteSite</t>
  </si>
  <si>
    <t>Ziehla</t>
  </si>
  <si>
    <t>Eagle Industries</t>
  </si>
  <si>
    <t>GoldPaddy</t>
  </si>
  <si>
    <t>Agitato</t>
  </si>
  <si>
    <t>EESHHA</t>
  </si>
  <si>
    <t>Let Me Be</t>
  </si>
  <si>
    <t>Wbestexercises</t>
  </si>
  <si>
    <t>Darkonix</t>
  </si>
  <si>
    <t>Kethvoz</t>
  </si>
  <si>
    <t>ExploreHorizon</t>
  </si>
  <si>
    <t>Armorwerx</t>
  </si>
  <si>
    <t>jojofuny</t>
  </si>
  <si>
    <t>Teslord</t>
  </si>
  <si>
    <t>Integrated Components ANVIS</t>
  </si>
  <si>
    <t>Gexgune</t>
  </si>
  <si>
    <t>Wisoqu</t>
  </si>
  <si>
    <t>mincl</t>
  </si>
  <si>
    <t>ZXLPHA</t>
  </si>
  <si>
    <t>caseeda</t>
  </si>
  <si>
    <t>alektryon</t>
  </si>
  <si>
    <t>CNHRFGVD</t>
  </si>
  <si>
    <t>BUTXET</t>
  </si>
  <si>
    <t>Fuhomtre</t>
  </si>
  <si>
    <t>LOCHE</t>
  </si>
  <si>
    <t>YangDiana</t>
  </si>
  <si>
    <t>YZQMGCXG</t>
  </si>
  <si>
    <t>Tarnnetz</t>
  </si>
  <si>
    <t>BEISON</t>
  </si>
  <si>
    <t>Vaguelly</t>
  </si>
  <si>
    <t>RIDID</t>
  </si>
  <si>
    <t>RexingUSA</t>
  </si>
  <si>
    <t>Plaxo</t>
  </si>
  <si>
    <t>WIKINK</t>
  </si>
  <si>
    <t>WJQZJDAMAI</t>
  </si>
  <si>
    <t>Tenoburian</t>
  </si>
  <si>
    <t>LRI</t>
  </si>
  <si>
    <t>Jadedragon</t>
  </si>
  <si>
    <t>DOITOOL</t>
  </si>
  <si>
    <t>LMHSDTK</t>
  </si>
  <si>
    <t>VELOZEN</t>
  </si>
  <si>
    <t>Abaiggeal</t>
  </si>
  <si>
    <t>BONEW</t>
  </si>
  <si>
    <t>FELTECHELECTR</t>
  </si>
  <si>
    <t>GOWENIC</t>
  </si>
  <si>
    <t>L3</t>
  </si>
  <si>
    <t>UNI-T</t>
  </si>
  <si>
    <t>allsNice</t>
  </si>
  <si>
    <t>BGHJIKGFS</t>
  </si>
  <si>
    <t>NIGHTSTAR</t>
  </si>
  <si>
    <t>GoAssemb</t>
  </si>
  <si>
    <t>willochra</t>
  </si>
  <si>
    <t>Hwishare</t>
  </si>
  <si>
    <t>BRESSER</t>
  </si>
  <si>
    <t>FUIBEJAE</t>
  </si>
  <si>
    <t>IUPPA</t>
  </si>
  <si>
    <t>HSAPAZD</t>
  </si>
  <si>
    <t>Goekhyrani</t>
  </si>
  <si>
    <t>XURUYI</t>
  </si>
  <si>
    <t>BUPEI</t>
  </si>
  <si>
    <t>Newcon Optik</t>
  </si>
  <si>
    <t>SINAIRSOFT</t>
  </si>
  <si>
    <t>LEESION</t>
  </si>
  <si>
    <t>Total</t>
  </si>
  <si>
    <t>ASIN</t>
  </si>
  <si>
    <t>Title</t>
  </si>
  <si>
    <t>Type</t>
  </si>
  <si>
    <t>Price</t>
  </si>
  <si>
    <t># of Reviews</t>
  </si>
  <si>
    <t>Link</t>
  </si>
  <si>
    <t>Subcategory</t>
  </si>
  <si>
    <t>Size Tier</t>
  </si>
  <si>
    <t>B0D56CNCW1</t>
  </si>
  <si>
    <t>TOPDON TS004 Thermal Imaging Monocular, 320 x 240 TISR 256 x 192 IR Resolution, Supported Wireless Connection, 13mm 50Hz Thermal Night Vision with 11h Battery Life, IP67 Monocular for Hunting</t>
  </si>
  <si>
    <t>Night Vision Monoculars</t>
  </si>
  <si>
    <t>Large Standard-Size</t>
  </si>
  <si>
    <t>B0CYYVBXTV</t>
  </si>
  <si>
    <t>HEXEUM Night Vision Goggles - 4K Night Vision Binoculars for Adults, 3'' HD Screen Binoculars can Save Photo and Video with 32GB TF Card, Black, NV4000</t>
  </si>
  <si>
    <t>Night Vision Binoculars &amp; Goggles</t>
  </si>
  <si>
    <t>B0D1813KZ3</t>
  </si>
  <si>
    <t>4K Night Vision Goggles, 58MP Full-Color Night Vision Binoculars with 10000mAh Rechargeable Battery, 64GB Card, 3.99" Screen and 1968FT Viewing Range for Camping Hunting &amp; Security</t>
  </si>
  <si>
    <t>B0D5QXY5JN</t>
  </si>
  <si>
    <t>RIX Pocket K3 Portable Thermal Monocular for Hunting, 384x288 (50Hz), Wi-Fi, Handheld Night Vision Monocular</t>
  </si>
  <si>
    <t>B0F7H3VFVS</t>
  </si>
  <si>
    <t>Night Vision Goggles - 4K Night Vision Binoculars for Adults, 3'' HD Screen Binoculars can Save Photo and Video with 32GB TF Card (Dark Gray)</t>
  </si>
  <si>
    <t>B0FLF13P1J</t>
  </si>
  <si>
    <t>4K Night Vision Goggles for Adults: 4.5" HD Large Screen Digital Night Vision Device with 5000mAh Battery - Outdoor Exploration &amp; Camping Gear Gifts for Men Husband</t>
  </si>
  <si>
    <t>B0CZ3KQZB1</t>
  </si>
  <si>
    <t>HEXEUM Night Vision Goggles - 4K Night Vision Binoculars for Adults, 3'' HD Screen Binoculars can Save Photo and Video with 32GB TF Card, Camouflage, NV4000C</t>
  </si>
  <si>
    <t>B0G4L9NBJJ</t>
  </si>
  <si>
    <t>Birthday Gifts &amp; Night Vision Goggles - 5W Upgraded 4K HD IR Binoculars - 8X Digital Zoom/Rechargeable Battery/32GB Card/Flashlight, Camping Exploration Gifts for Men Dad Husband Boy Friend</t>
  </si>
  <si>
    <t>B0FW4H9MXB</t>
  </si>
  <si>
    <t>TOPDON TS004 Pro Thermal Imaging Monocular, 512 x 384 TISR 384 x 288 IR Resolution, Supported Wireless Connection, 19mm 50Hz Thermal Night Vision with 11h Battery Life, IP67 Monocular for Hunting</t>
  </si>
  <si>
    <t>B0F8QFCH51</t>
  </si>
  <si>
    <t>VisioGear Night Vision Binoculars - Night Thunder X3 4K Night Vision Goggles for Adults, AI Color Mode, 2000ft Range, 5000mAh Battery, 32GB Card for Camping &amp; Security</t>
  </si>
  <si>
    <t>B0C5MKWHGQ</t>
  </si>
  <si>
    <t>SIG SAUER Zulu6 FDE HDX OIS 10X30mm Waterproof Fog-Proof Portable Roof Prism Binocular with Image Stabilization (SOZ6WP10)</t>
  </si>
  <si>
    <t>B0F8ND9RJ5</t>
  </si>
  <si>
    <t>WOSPORTS 4K Night Vision Goggles, up to 80X Total Magnification 1315FT Infrared Night Vision, 64GB TF Card - Ideal for Camping &amp; Outdoor Use</t>
  </si>
  <si>
    <t>B0CXHQCTHJ</t>
  </si>
  <si>
    <t>AKASO Seemor-200 Night Vision Goggles - 4K Full Color Night Vision Binoculars for Adults, App-Enabled Photo and Video Saving,AI-ISP 3280FT Viewing Range,16x Digital Zoom for Camping Hiking &amp; Security</t>
  </si>
  <si>
    <t>Binoculars</t>
  </si>
  <si>
    <t>B0FVCTR45Y</t>
  </si>
  <si>
    <t>4K Night Vision Goggles for Adults: 4.5" IPS Screen Binoculars with 10X Zoom - Gifts for Men Dad Husband Boy Friend - 2624FT Digital Infrared Binocular for Camping Wildlife - Tech Gadgets Telescope</t>
  </si>
  <si>
    <t>B0CNXP8JBV</t>
  </si>
  <si>
    <t>GOYOJO G210 Thermal Monocular, 256x192 (25 Hz) Thermal Imaging Monoscope Camera for Adults, 10mm Focal Lens Vision Goggles Thermal Scopes for Night Hunting Camping</t>
  </si>
  <si>
    <t>B0D8YJW635</t>
  </si>
  <si>
    <t>Night Vision Goggles - Night Vision Binoculars for Adults, Gifts for Men Him Husband Dad with 8X Zoom, 4000mAh Rechargeable Gear for Hunting &amp; Camping (Black)</t>
  </si>
  <si>
    <t>B0FMDQK4S8</t>
  </si>
  <si>
    <t>Night Vision Goggles - Smart APP 4K Night Vision Binoculars, 10000mAh Battery, 128GB Card for Photo and Video, 3'' UHD Screen &amp; 8X Zoom Binoculars for Camping, Hunting, Security (Black)</t>
  </si>
  <si>
    <t>B0DW3ZPC1N</t>
  </si>
  <si>
    <t>MiLESEEY TNV10 PRO 320x240 IR Resolution Thermal Monocular, 13mm 50Hz Aircraft Mg-Al Alloy Handheld Thermal Camera, Night Vision Imager, Hot Spot Tracking</t>
  </si>
  <si>
    <t>B0F8QJ3VPV</t>
  </si>
  <si>
    <t>VisioGear True 4K Night Vision Binoculars – Night Thunder X1 Night Vision Goggles for Adults with 3940ft Range, Full Color Photo and Video with App Control, 64GB Card for Camping &amp; Security</t>
  </si>
  <si>
    <t>B0BKZW16RH</t>
  </si>
  <si>
    <t>ArzzuNiu Head-Mounted Night Vision Goggles - Rechargeable Hands Free Night Vision Binoculars Goggles,1312FT Digital Infrared Viewing for Adults,Include 32GB SD Card,8X Digital Zoom</t>
  </si>
  <si>
    <t>B079JYL16W</t>
  </si>
  <si>
    <t>ATN X-Sight-4K, 3-14x Pro Edition Smart Day/Night Hunting Scope</t>
  </si>
  <si>
    <t>Night Vision</t>
  </si>
  <si>
    <t>B0DCNJ1G2Y</t>
  </si>
  <si>
    <t>Night Vision Goggles, Night Vision Binoculars for Adults, 5000mAh Rechargeable Infrared Binoculars with 3'' Large Screen, 10X Digital Zoom External Flashlight for Camping</t>
  </si>
  <si>
    <t>B0FJXJMKCL</t>
  </si>
  <si>
    <t>Night Vision Goggles,4K Full-Color Night Vision Binoculars for Adults with 3" HD Screen, 10000mAh Battery &amp; 1968FT Night Vision Range,64GB Card,850nm Infrared,8X Zoom, Ideal for Camping &amp; Hiking</t>
  </si>
  <si>
    <t>B0FG2L5PDY</t>
  </si>
  <si>
    <t>CIGMAN True 4K Night Vision Binoculars,Infrared Goggles with Full-Color Low-Light Imaging, 7-Layer Coated Lens,18H Battery for Wildlife, Security, Outdoor Adventure</t>
  </si>
  <si>
    <t>B0DW8SV9B4</t>
  </si>
  <si>
    <t>T2 Max Android Thermal Night Vision Monocular, 15mm Thermal Scope for Phone, See 1500 Yards, Thermal Scope for Wildlife Observation (Not for iOS)</t>
  </si>
  <si>
    <t>Monoculars</t>
  </si>
  <si>
    <t>B0FLXCK6D8</t>
  </si>
  <si>
    <t>Night Vision Goggles for Adults, 4K Night Vision Binoculars with 5000mAh Battery, 32GB TF Card &amp; 4'' HD Screen and Flashlight for Camping &amp; Security, Hunting Gear Camping Gifts for Men Husband</t>
  </si>
  <si>
    <t>B0CJK26N81</t>
  </si>
  <si>
    <t>Night Vision Goggles - Nightfox Swift 2 Pro NVG Goggles, Head or Helmet Mounted, Wide FOV, 1x Magnification NVGs, 1080p Video Recording, Stealth Infrared 940nm IR, Tactical Digital NODs for Airsoft</t>
  </si>
  <si>
    <t>B079K1797S</t>
  </si>
  <si>
    <t>ATN X-Sight 4K Pro Smart Day/Night Hunting Scope w/ Ballistics Calc, 3864x2218 Resolution, Video Record, Wi-Fi, 18hrs+ Battery, 5-20x, Black</t>
  </si>
  <si>
    <t>B0FNWKSKYK</t>
  </si>
  <si>
    <t>GOYOJO GNG2K Night Vision Monocular - 2K / 60Hz Refresh Digital Night Vision Goggles, Helmet Mountable, Stealth Infrared 940nm NVG with 0.0001 Lux Sensor, 4 Color Modes for Tactical/Hunting/Camping</t>
  </si>
  <si>
    <t>B0DRYFYHW1</t>
  </si>
  <si>
    <t>GOWWPUN 3D VR Night Vision Goggles - Rechargeable Head Mounted Binoculars, Built-in Giant Screen, 4K Video, 24MP Photos, 6X Digital Zoom, Includes 32GB TF Cards</t>
  </si>
  <si>
    <t>B08CHMQ5CC</t>
  </si>
  <si>
    <t>SiOnyx Aurora PRO I Full Color Digital Night Vision Camera with Hard Case I Ultra Low-Light IR Night Vision Monocular I GPS, Compass, Water Resistant</t>
  </si>
  <si>
    <t>B0F2FLV2BW</t>
  </si>
  <si>
    <t>Night Vision Goggles for Adults 4k: Tactical Binoculars with Camera - Infrared Goggles for Hunter - Digital Electronics Gift - Hunting Gifts for Men/Dad/Husband - Cool Tech Gadgets for Camping/Boating</t>
  </si>
  <si>
    <t>B0FCSD9V6P</t>
  </si>
  <si>
    <t>4K Night Vision Binoculars for Adult, Night Vision Goggles, 2025 Upgraded Rechargeable Infrared Binoculars with Camera, 3'' Ultra HD Screen, 32GB TF Card, 8X Digital Zoom, Camping, Hunting &amp; Security</t>
  </si>
  <si>
    <t>B0FKVY51JC</t>
  </si>
  <si>
    <t>Triton StarStrikeX 1-6x Night Vision LPVO</t>
  </si>
  <si>
    <t>B0DSVFBXZT</t>
  </si>
  <si>
    <t>i4SEE EM10-256 Thermal Monocular, 10mm Focal Lens, 256×192(50Hz) 12μm Night Vision Infrared Scope, 1.43”AMOLED Touchscreen, Handheld Thermal Imaging Monocular for Hunting, Outdoor Camping, Travel</t>
  </si>
  <si>
    <t>B0D1R935KD</t>
  </si>
  <si>
    <t>GOYOJO G315 Thermal Monocular, 384x288 (50 Hz) Thermal Imaging Monoscope Camera for Adults, 15mm Focal Lens Vision Goggles Thermal Scopes for Night Hunting Camping</t>
  </si>
  <si>
    <t>B07PPD42Y1</t>
  </si>
  <si>
    <t>Gexmil CNC PVS15/18 Night Vision Goggles Mount for L4G24 NVG Metal G24 Mount (Black)</t>
  </si>
  <si>
    <t>B0CJK2MJPV</t>
  </si>
  <si>
    <t>Night Vision Goggles - Nightfox Swift 2 NVG Goggles, Head or Helmet Mounted, Wide FOV, 1x Magnification, Infrared Night Vision Binoculars Stealth 940nm IR, Tactical Digital NODs for Airsoft</t>
  </si>
  <si>
    <t>B0FP8LF1ZL</t>
  </si>
  <si>
    <t>WOGREE Night Vision Goggles, 4K Night Vision Binoculars for Adults, 36MP, 1300FT Range,8X Digital Zoom, 5000mAh Battery, Flashlight &amp; Compass, Infrared Vision, 32GB Card, for Camping &amp; Security</t>
  </si>
  <si>
    <t>B0G1BYT3JM</t>
  </si>
  <si>
    <t>VisioGear Night Vision Binoculars - Night Thunder X3 4K Night Vision Goggles for Adults, AI Color Mode, 2000ft Range, 5000mAh Battery, 32GB Card for Camping &amp; Hunting, Camouflage</t>
  </si>
  <si>
    <t>B07PPDYVGW</t>
  </si>
  <si>
    <t>Gexmil CNC PVS15/18 Night Vision Goggles Mount for L4G24 NVG Metal Helmet Mount (Sand Color)</t>
  </si>
  <si>
    <t>B001IPCUK4</t>
  </si>
  <si>
    <t>BURRIS 2x20 Handgun Scope, Plex Reticle, Matte Black (200218)</t>
  </si>
  <si>
    <t>Hunting</t>
  </si>
  <si>
    <t>B01APT3LF6</t>
  </si>
  <si>
    <t>FLIR Scout TK - Compact Thermal Imaging Monocular for Wildlife Viewing, Hunting &amp; Outdoor</t>
  </si>
  <si>
    <t>B0G1MGKX53</t>
  </si>
  <si>
    <t>DNT Optics H315R - Hound Thermal Imaging Monocular with Laser Rangefinder and Ballistic Calculator</t>
  </si>
  <si>
    <t>B0D1RB6PBJ</t>
  </si>
  <si>
    <t>GOYOJO G325 Thermal Imaging Monocular for Hunting, 384x288 (50 Hz) Infrared Night Vision Telescope, 25mm Focal Lens Thermal Scopes for Outdoor Night Vision Camera Telescope</t>
  </si>
  <si>
    <t>B07C4WS8PZ</t>
  </si>
  <si>
    <t>Bushnell Equinox Z2 6x50 Night Vision, Multi, One Size , Black</t>
  </si>
  <si>
    <t>B0DMZSBPNT</t>
  </si>
  <si>
    <t>YUANZIMOO Head-Mounted Night Vision Monocular Digital Infrared Monocular</t>
  </si>
  <si>
    <t>B0FNMYC9L5</t>
  </si>
  <si>
    <t>Night Vision Goggles, 4K HD Night Vision Binoculars with 7X Digital Zoom, 3'' HD Screen &amp; Rechargeable Battery for Camping &amp; Security, with 32GB TF Card for Photos and Videos, Gifts for Men Him Dad</t>
  </si>
  <si>
    <t>B0BRY2694B</t>
  </si>
  <si>
    <t>Night Vision Monocular Digital Infrared Monocular Telescope for 100% Darkness with 8X Zoom 2000mAh Rechargeable Battery Upgrade Tripod 32 GB SD Card &amp; Card Reader, for Adult Hunting Camping Green</t>
  </si>
  <si>
    <t>B0D2WSNMVK</t>
  </si>
  <si>
    <t>WARMTUYO Night Vision Goggles, 4K Infrared Binoculars with Camera, 9 Gear Night Vision with 5000mAh Battery, 16X Digital Zoom Nightvision with 32GB TF Card, 3.5" HD Binoculars Gift for Mens</t>
  </si>
  <si>
    <t>B0DHXBM45Y</t>
  </si>
  <si>
    <t>FIEGEl Night Vision Goggles, 4K UHD Video &amp; 36MP Image Infrared Night Vision Binoculars with 4.5″ Screen, 4500mAh Rechargeable Battery, 32GB TF Card, 8X Digital Zoom for Camping (Black)</t>
  </si>
  <si>
    <t>B0FJXLQJ9L</t>
  </si>
  <si>
    <t>B0DR1XY896</t>
  </si>
  <si>
    <t>WARMTUYO 4K Night Vision Goggles, 3.0" HD Display Night Vision Binoculars, Portable 9-Level Infrared NightVision, 16X Digital Zoom, 5000mAh Long-Life Binoculars, Compact Binoculars with 32GB Card</t>
  </si>
  <si>
    <t>B0CSM2KBCR</t>
  </si>
  <si>
    <t>Head-Mounted Night Vision Monocular Goggles with Elastic Head Strap, Default 7X Magnification, Digital Infrared NVG Equipment 1148FT Range with 1.54in HD Screen, Rechargeable for Ghost Hunting Camping</t>
  </si>
  <si>
    <t>B0G2T1SF65</t>
  </si>
  <si>
    <t>Night Vision Goggles for Adults, 8X Zoom, 3" HD Screen, 4000 mAh Rechargeable Binoculars with Camera, 32GB Card, Night Vision Binoculars Gift for Men, Dad, Husband for Hunting &amp; Camping(Black)</t>
  </si>
  <si>
    <t>B0CJ29ZH7V</t>
  </si>
  <si>
    <t>Night Vision Goggles,4K Night Vision Binoculars for Adult with 5000mAh Rechargeable Battery,16X Digital Zoom,3.5" HD Screen and 1000FT Viewing Range,32GB TF Card for Photo and Video,Ideal Gift for Men</t>
  </si>
  <si>
    <t>B0FKRS84YF</t>
  </si>
  <si>
    <t>Night Vision Goggles, 4K Night Vision Binoculars, Infrared Digital Night Vision with 3'' HD Screen &amp; 10X Digital Zoom, 5000mAh Battery and 32GB TF Card, Tech Gadgets Telescope for Camping</t>
  </si>
  <si>
    <t>B088Z1Y71G</t>
  </si>
  <si>
    <t>BLUPOND Night Driving Glasses - Chopper - Semi Polarized Night Driver Clear Vision Motorcycle Riding - TAC Anti Glare</t>
  </si>
  <si>
    <t>B0BRY25L5X</t>
  </si>
  <si>
    <t>Night Vision Monocular Digital Infrared Monocular Telescope for 100% Darkness with 8X Zoom 2000mAh Rechargeable Battery Upgrade Tripod 32 GB SD Card &amp; Card Reader, for Adult Hunting Camping Black</t>
  </si>
  <si>
    <t>B0CSV6W4RY</t>
  </si>
  <si>
    <t>Yehtreh Night Vision Goggles for Kids with 32GB Card, 5X Zoom Kids Night Vision Binoculars - 1080P HD Digital Camera, Great Birthday Gifts for 3-8 Year Olds.（Black）</t>
  </si>
  <si>
    <t>B0FWJB8C1H</t>
  </si>
  <si>
    <t>Night Vision Goggles - 4K Night Vision Binoculars for Adults mit 32GB TFT Card 2700FT IR/2000mAh, 2.8'' HD Screen, 7 Gear Infrared and 10X Digital Zoom for Outdoor Enthusiasts and Animal Watchers</t>
  </si>
  <si>
    <t>B0FNM6ZFGG</t>
  </si>
  <si>
    <t>4K Night Vision Goggles, 4.0" HD Screen Night Vision Binoculars with 5000mAh Rechargeable Battery, 64GB TF Card for Photo &amp; Video, Infrared Binocular for Adults, Camping, Wildlife Observation</t>
  </si>
  <si>
    <t>B0GH69J9RY</t>
  </si>
  <si>
    <t>4K Night Vision Goggles, Night Vision Binoculars with 3″ Screen, 10X Digital Zoom, Infrared Binoculars, 5000mAh Rechargeable Battery, 32GB Card Included Tech Gadgets Telescope, Gifts for Men</t>
  </si>
  <si>
    <t>B0F82W7TYP</t>
  </si>
  <si>
    <t>HTPREC NVG Mount for PVS14/15/18 G24 Night Vision Goggles PVS 31 NVG Metal Mount CNC for CS Games Black</t>
  </si>
  <si>
    <t>B0GCGY3LBC</t>
  </si>
  <si>
    <t>Night Vision Monocular, 2026 Upgraded Portable Handheld Scope for Hunting, Camping, Digital Infrared Night Vision Goggles with 16X Zoom and 2500mAh Battery, Support 1080P Camera &amp; Video Recording</t>
  </si>
  <si>
    <t>Avg Price</t>
  </si>
  <si>
    <t>Quantity/Mo</t>
  </si>
  <si>
    <t>Qty By %</t>
  </si>
  <si>
    <t>Revenue/Mo</t>
  </si>
  <si>
    <t>Revenue By %</t>
  </si>
  <si>
    <t>Price Tier</t>
  </si>
  <si>
    <t>Total Revenue</t>
  </si>
  <si>
    <t>Total Sales</t>
  </si>
  <si>
    <t>Rev Share %</t>
  </si>
  <si>
    <t>Unit Share %</t>
  </si>
  <si>
    <t>$0-40</t>
  </si>
  <si>
    <t>$40-60</t>
  </si>
  <si>
    <t>$60-90</t>
  </si>
  <si>
    <t>$90+</t>
  </si>
  <si>
    <t>B0D6N56YCV</t>
  </si>
  <si>
    <t>Nightiger Super Night Vision Binoculars with Ranging Function | Big Screen Long Viewing Range, Built-in 7000mAh Rechargeable Battery,10X Digital Zoom, Powerful Infrared Night Vision Goggles for Adults</t>
  </si>
  <si>
    <t>B096HD7WYC</t>
  </si>
  <si>
    <t>Bushnell EX650 Digital Equinox X650 Night Vision 5x 32mm Monocular</t>
  </si>
  <si>
    <t>B0C4XSMPKY</t>
  </si>
  <si>
    <t>Gexmil PVS 14 J Arm Night Vision Goggles NVG Mount Metal Helmet Mount Rhino Mount Compatible with All Models of PVS14</t>
  </si>
  <si>
    <t>B09897SNLP</t>
  </si>
  <si>
    <t>AGM Global Vision Taipan TM15-256 Thermal Imaging Monocular - 256x192 Resolution, 12μm Pixel Pitch, Video Recording 1-8x Digital Zoom Heat Vision Thermal Optic for Hunting</t>
  </si>
  <si>
    <t>B0CQ2ZGLQT</t>
  </si>
  <si>
    <t>HUVIOVED NV8300 Head-Mounted Night Vision Goggles for Adults, 4K 3D Visual Digital Night Vision Binocular with Head Strap and 32GB Memory Card, 7 Gear Infrared, 8X Digital Zoom</t>
  </si>
  <si>
    <t>B0FQ5BRRFW</t>
  </si>
  <si>
    <t>Head-Mounted Night Vision Goggles, 4K Binoculars 8X Zoom 850nm Stealth IR for All Black Observation– Hands-Free Hunting Gift with Compass &amp; Button Backlight, 32GB TF Card, IP54 Waterproof</t>
  </si>
  <si>
    <t>B09XD65952</t>
  </si>
  <si>
    <t>TESLONG TTS260 Thermal Imaging Monocular 256x192, IR Night Vision 25Hz,4X Digital Zoom, 8 Color Palettes, Hotspot Tracking, 32GB, USB-C FileTransfer for Hunting, Patrol, Search &amp; Rescue</t>
  </si>
  <si>
    <t>B08LH447TS</t>
  </si>
  <si>
    <t>Night Vision Goggles, 984ft Digital Infrared Night Vision Binoculars with Camera, Head or Helmet Mounted, Tech Gifts for Men, NVG Goggles for Camping Hunting &amp; Security</t>
  </si>
  <si>
    <t>B0CFH7SGZK</t>
  </si>
  <si>
    <t>GOYOJO Night Vision Goggles Helmet-Mounted Monocular | 1080P HD NVG with 3X Zoom &amp; Adjustable Infrared | IP66 Waterproof for Hunting, Surveillance, Camping | Built-in Compass (100% Darkness)</t>
  </si>
  <si>
    <t>B0F4NP4Z3S</t>
  </si>
  <si>
    <t>Night Vision Goggles，Qpingan 4K HD Infrared Tactical Night Vision Binoculars for Adults with Head Mounted Dual 1.4" Screen 8X Digital Zoom 3000mAh Battery 32G Card for Hunting Essentials Gifts for Men</t>
  </si>
  <si>
    <t>B0CTH5MH9G</t>
  </si>
  <si>
    <t>GOYOJO 2K Digital Night Vision Goggles, NVG Helmet Mounted for Tactical, Hunting, PVS-14 Night Vision Monocular with 4 Color Modes HD Recording &amp; Playback</t>
  </si>
  <si>
    <t>B0DSQ2QM7Q</t>
  </si>
  <si>
    <t>Oneleaf.ai Commander NV100 Digital Night Vision Goggle, Clip on Night Vision Monocular for Hunting/Observations, 1080P FHD, 328 Yards Clear Nighttime Viewing Range-16mm</t>
  </si>
  <si>
    <t>B0BYZ9LKJF</t>
  </si>
  <si>
    <t>Night Vision Goggles（2nd Generation Upgrade）-Night Vision Binoculars,1312FT Digital Infrared Head Mounted Night Vision,Compatible with Military Tactical FastMICH Helmet</t>
  </si>
  <si>
    <t>B0F8N9Q8K5</t>
  </si>
  <si>
    <t>WOSPORTS 4K Night Vision Goggles – 1315FT Detection, Dual Zoom (10X Optical + 8X Digital), 3" Screen, Rechargeable, 32GB TF Card – Perfect for Wildlife, Photo &amp; Video, Black/White</t>
  </si>
  <si>
    <t>B06XJ1M846</t>
  </si>
  <si>
    <t>BESTSIGHT DIY Night Vision Scope,Quick Installation Barrle,5" Display Screen with 5w 850nm IR(Infrared Illuminator),View 218YARD/200m in Night,for 38-44mm Eyepiece Scope (Rifle Scope)</t>
  </si>
  <si>
    <t>B0GDD4LQB3</t>
  </si>
  <si>
    <t>Night Vision Goggles with Rangefinder – 4K Video, 18X Zoom Night Vision Binoculars, 5000mAh Rechargeable, 64GB Card, 1200yd Rangefinder &amp; 1968ft Night Vision – for Security, Wildlife Observation</t>
  </si>
  <si>
    <t>B0D78TNSWZ</t>
  </si>
  <si>
    <t>Teslong Thermal Monocular, 384x256 Thermal Imaging Monocular Handheld Infrared Thermal Scope, Weather-Resistant Thermal Binoculars Short Range Thermal Monocular for Outdoor Camping, Travel</t>
  </si>
  <si>
    <t>B0G64CYC8B</t>
  </si>
  <si>
    <t>OWLNV T3 Thermal Imaging Scope with 384×288 Sensor, 3.5X Optical Zoom, Ballistic Calculator, WiFi Video Recording, PIP Mode, 1440×1080 Display, IP67 Weatherproof Scope for Hunting</t>
  </si>
  <si>
    <t>B0CZMP6Q71</t>
  </si>
  <si>
    <t>MAX 2.0 Digital Night Vision Goggle - Head &amp; Helmet Mounted, Wide Viewing, Low Latency, 1x Lens, USB Rechargeable Infrared 850nm Headworn NVG for CQB Airsoft, Hunting, Tactical Training Tool/Toy</t>
  </si>
  <si>
    <t>B0CNXPDG7R</t>
  </si>
  <si>
    <t>GOYOJO G215 Thermal Imaging Monocular for Hunting, 256x192 (50Hz) Infrared Night Vision Telescope, 15mm Focal Lens Thermal Scopes for Outdoor Night Vision Camera Telescope</t>
  </si>
  <si>
    <t>B0GF253WXY</t>
  </si>
  <si>
    <t>Binoculars with Camera and Night Vision - 12x42 Digital Binoculars with 2.4" IPS Screen, 7 IR Modes for 200-300m in Darkness, for Adults Bird Watching, Hunting, Camping - Includes 32GB Card (Black)</t>
  </si>
  <si>
    <t>B0DLKCCBBT</t>
  </si>
  <si>
    <t>Digital Night Vision Monocular, IR Illuminator 850nm Night Vision Rifle Scope for Night Watching &amp; Observations, 4X Digital Zoom, Save Photos &amp; Videos with 32GB TF Card</t>
  </si>
  <si>
    <t>B0G8FC49K1</t>
  </si>
  <si>
    <t>Night Operators Heat Thermal Vision Monocular</t>
  </si>
  <si>
    <t>B0FM8HD86N</t>
  </si>
  <si>
    <t>BETTITOPE BS02-13 Thermal Imaging Monocular, 256 x 192 IR Resolution, 13mm Lens 50Hz Thermal Night Vision, Supports Wireless Connections, IP66 Thermal Imaging Camera</t>
  </si>
  <si>
    <t>B0CLXH4P58</t>
  </si>
  <si>
    <t>Teslong 2 in 1 Thermal Monocular 256x192, 11mm Focal Lens Thermal Imaging Camera with 3.5 Inch Screen for Hunting, Outdoor Camping, Travel, Inspection for Circuit Break, Leak</t>
  </si>
  <si>
    <t>B0F5WCSL4H</t>
  </si>
  <si>
    <t>Night Vision Goggles, 112 MP 4K Night Vision Binoculars for Adults, 12X Zoom &amp; 5000mAh Battery, 64GB Card Included, Infrared Binoculars Night Vision, Tech Gadgets Telescope for Bird Watching</t>
  </si>
  <si>
    <t>B0GJJZQN67</t>
  </si>
  <si>
    <t>WOSPORTS 4K Night Vision Goggles with 1300FT Range, 8X Digital Zoom, 32GB Card, 15H Rechargeable Battery – Camo Design for Camping, Ideal Gift for Men</t>
  </si>
  <si>
    <t>B0F8NGC8XG</t>
  </si>
  <si>
    <t>B0G346YNMS</t>
  </si>
  <si>
    <t>4K Night Vision Monocular for Adults – Infrared Digital Night Vision Device with Starlight Sensor, 7-Level IR Brightness, 8× Digital Zoom – for Hunting, Security, Wildlife &amp; Outdoor Night Use</t>
  </si>
  <si>
    <t>B0DHXL2ZVS</t>
  </si>
  <si>
    <t>Night Vision Binoculars for Adults and Teen Boys, 4K HD Night Vision Goggles with Photo and Video Recording, Easter Gift for Men, Father, Birthday Gifts for Outdoor Night Adventure, Wildlife Watching</t>
  </si>
  <si>
    <t>B0DK327KNZ</t>
  </si>
  <si>
    <t>Night Vision Binoculars for Adults &amp; Kids - 4.5'' Screen Infrared Night Vision Goggles Camera with Case, 4K Video &amp; 36MP Photos, 8X Digital Zoom, 7-Level Infrared, 4500mAh Battery for Camping,Security</t>
  </si>
  <si>
    <t>B0BXWBQM5T</t>
  </si>
  <si>
    <t>PARD USA Digital Night Vision Riflescope 50mm Lens, 2560x1440 0.001lux CMOS, World-First 800x800 Circular Display, 1200m LRF Ballistic Calculator, 350m Range IP67 Wi-Fi, DS35-LRF</t>
  </si>
  <si>
    <t>Rifle Scopes</t>
  </si>
  <si>
    <t>B0FDPZSJ4F</t>
  </si>
  <si>
    <t>WOSPORTS 48MP 4K Night Vision Goggles, Up to 80X Magnification, True 10XOptical &amp; 8X Digital Zoom, 64GB Card, 1315FT Vision, 5000mAh Rechargeable Battery for Camping Hiking &amp; Security, Gift for Men</t>
  </si>
  <si>
    <t>B0FMK3PKNQ</t>
  </si>
  <si>
    <t>4K Digital Night Vision Monocular, 1314FT Full Dark Distance, Photo &amp; 4K Video Recording, Manual Focus &amp; Diopter, Night Vision Goggles with Infrared Illuminator, SD Card</t>
  </si>
  <si>
    <t>B0FM3GT89T</t>
  </si>
  <si>
    <t>4K Night Vision Goggles with 4" Large Screen, 48MP Infrared Binoculars for Total Darkness, 10x Zoom &amp; 2600ft Range, 5000mAh Rechargeable Battery, 32GB Card, Ideal for Hunting, Camping &amp; Home Security</t>
  </si>
  <si>
    <t>B0B9R54KCZ</t>
  </si>
  <si>
    <t>E.T Dragon PVS 14 J Arm Night Vision Goggles NVG Mount Metal Helmet Mount Rhino Mount Compatible with All Models of PVS14</t>
  </si>
  <si>
    <t>B0BS17LGLG</t>
  </si>
  <si>
    <t>PARD Night Vision Monocular, Night Vision Goggles with Rangefinder, Clip-on Scope for Night Watching or Obervation, Night Viewing Range up to 350m, HD Photos &amp; Videos, NV007SPLRF-850nm</t>
  </si>
  <si>
    <t>B0DKXWFSC4</t>
  </si>
  <si>
    <t>Diyimin 4K Night Vision Goggles for Adults, 2000FT Infrared Night Vision Binoculars with Tactical Light, 8X Digital Zoom for Outdoor, Camping and Travel</t>
  </si>
  <si>
    <t>B07C4YY2LV</t>
  </si>
  <si>
    <t>Bushnell Equinox Z2 Night Vision 4.5x40 Monocular, HD Imaging, Infrared Illuminator, Streaming &amp; Recording Capabilities for Day and Night Observation</t>
  </si>
  <si>
    <t>B0FJM2TBJZ</t>
  </si>
  <si>
    <t>4K Night Vision Goggles, Night Vision Binoculars for Adults, 10X Zoom &amp; 5000mAh Battery, 32GB Card Included, Infrared Vision, Tech Gadgets Telescope for Outdoor, Camping &amp; Security</t>
  </si>
  <si>
    <t>B07V3X99D4</t>
  </si>
  <si>
    <t>PARD Night Vision Monocular,Clip on Night Vision for Night Watching or Observation,Night Viewing Range up to 350M,NV007V2-940nm</t>
  </si>
  <si>
    <t>B0G2M4H4MR</t>
  </si>
  <si>
    <t>Owlnv 4K Night Vision Scope w/ 850 nm IR, True 4K CMOS, 1200 yd Rangefinder &amp; B.C Function, 4–22.4× Zoom, Wi‑Fi, IP67 Waterproof, Silent Lens Cap L3-Plus</t>
  </si>
  <si>
    <t>B0GDZYX8KT</t>
  </si>
  <si>
    <t>VXF Night Vision Monocular, 4K Night Vision Scope for 100% Darkness with 3000mAh Rechargeable Battery, 3+32GB SD Card &amp; Card Reader, Dual Infrared Monocular Telescope for Camping, Wildlife Observation</t>
  </si>
  <si>
    <t>B08DFQSHPG</t>
  </si>
  <si>
    <t>PARD Night Vision Monocular, Clip on Night Vision with 850nm, Hunting Night Vision with 45mm Mount Adapter, 14.5mm Lens, NV007V2-850nm</t>
  </si>
  <si>
    <t>B0FMK4P37W</t>
  </si>
  <si>
    <t>4K Night Vision Goggles for Kids, 36MP Full-Color Night Vision Binoculars 8X Zoom 850nm Stealth IR for All Black Observation-Gift with Compass, Photo &amp; 4K Video Recording, 3.2" Screen and 32GB Card</t>
  </si>
  <si>
    <t>B0DQW66NC9</t>
  </si>
  <si>
    <t>GTGUARD AI15 Thermal Monocular 384x288 (50Hz) HD Night Vision Thermal Imaging with 15mm Focal Lens, 8X Zoom, Wi-Fi Hotspot Multiple Scene Modes for Hunting Travel Outdoor Camping</t>
  </si>
  <si>
    <t>B0DSBXKFJD</t>
  </si>
  <si>
    <t>Digital Night Vision Monocular HD 1080P Infrared Night Vision Scope with 5X AI Zoom Video Recording, Hunting Night Vision Camera for Surveillance &amp; Wildlife Observation</t>
  </si>
  <si>
    <t>B01BWU1BP4</t>
  </si>
  <si>
    <t>Superior Tactical Pvs-14 Parts Kit</t>
  </si>
  <si>
    <t>B09VGLNPS9</t>
  </si>
  <si>
    <t>E.T Dragon Night Vision Goggles NVG Mount Metal Helmet Mount Fully Modular Interface System for PVS14/PVS18/PVS15/PVS7</t>
  </si>
  <si>
    <t>B0C5DD963Y</t>
  </si>
  <si>
    <t>oneleaf.ai Find NV200 LRF 50mm 4K Digital Day/Night Vision Binoculars with Laser Rangefinder</t>
  </si>
  <si>
    <t>B0DGX4BG33</t>
  </si>
  <si>
    <t>AILNJUC Night Vision Goggles Head Mounted, 1312FT Night Vision Binoculars Compatible with Military Tactical Helmet, Infrared Long Focus 8X Digital Zoom/32GB SD Card</t>
  </si>
  <si>
    <t>B0D8SB24WM</t>
  </si>
  <si>
    <t>BINOCK Night Vision Goggles, 4K Night Vision Binoculars for Adult, 3D Naked-Eye Display Infrared NVG for Helmet with 7 Level Brightness Adjustment, Waterproof</t>
  </si>
  <si>
    <t>B0FWR7VYMX</t>
  </si>
  <si>
    <t>WOSPORTS 4K Infrared Night Vision Goggles – 1300FT Range, 8X Digital Zoom, 32GB Card, 15H Battery, Suitable for Camping, Gift for Men - Camo</t>
  </si>
  <si>
    <t>B0F331K8HJ</t>
  </si>
  <si>
    <t>4K Night Vision Goggles for Adults, Infrared Binoculars with 36MP Camera &amp; 4.5" Screen 8X Digital Zoom 4500mAh Rechargeable Battery 32GB TF Card Tripod Compass 1300ft Range Ideal for Hunting &amp; Camping</t>
  </si>
  <si>
    <t>B0FHW43QZL</t>
  </si>
  <si>
    <t>Teslong Night Vision Goggles for Adults, Night Vision Binoculars Starlight Full Color, Infrared Goggles w/ 3'' Screen, 10X Digital Zoom, 492FT Range, 5000mAh Battery NVG</t>
  </si>
  <si>
    <t>B0BX2G16DK</t>
  </si>
  <si>
    <t>AILNJUC Head-Mounted Night Vision Goggles - Hands Free Rechargeable 1312FT Digital Infrared Night Vision Binoculars for Adults,8xDigital Zoom,Compatible with Fast MICH Helmet,Military Tactical Hunting</t>
  </si>
  <si>
    <t>B0GH5RWH12</t>
  </si>
  <si>
    <t>Night Vision Goggles, 4K Night Vision Binoculars, 112MP Infrared Binoculars, 12X Digital Zoom 5000mAh Rechargeable Battery with 64GB Card, External Flashlight 1500ft View Range Tech Gadgets Telescope</t>
  </si>
  <si>
    <t>B004RDP2I6</t>
  </si>
  <si>
    <t>TRUGLO Dual-Color 34mm x 24mm Hunting Shooting Durable Lightweight Compact Parallax Free Waterproof Shock Resistant Adjustable Red/Green Open Dot Sight | Battery Included | 5-MOA Dot Reticle</t>
  </si>
  <si>
    <t/>
  </si>
  <si>
    <t>B0D6YPL8XH</t>
  </si>
  <si>
    <t>E.T Dragon Night Vision Goggles NVG Mount for L4G24 Metal Helmet Mount PVS15/18 (TAN)</t>
  </si>
  <si>
    <t>B0FH9Y3TJT</t>
  </si>
  <si>
    <t>WOSPORTS 4K Night Vision Goggles – 10X Optical &amp; 8X Digital Zoom, 1315FT Infrared Range, Rechargeable 5000mAh Battery, IPX Waterproof, Ideal for Camping, Army Green</t>
  </si>
  <si>
    <t>B0DRNW682M</t>
  </si>
  <si>
    <t>Night Vision Monocular 19mm 384x288 (50 Hz) Thermal Imaging Monoculars, 4X Digital Zoom, Detection 3620yd, 5 Mode, 7H+, No-Shutter Tech WiFi Heat Vision Infrared Imager for Hunting Camping</t>
  </si>
  <si>
    <t>B09HGZV9VS</t>
  </si>
  <si>
    <t>ATN OTS-XLT Compact Lightweight Thermal Viewer, 2-8x</t>
  </si>
  <si>
    <t>B0BZSBGQTW</t>
  </si>
  <si>
    <t>GOYOJO Night Vision Goggles- NVG10 Night Vision Scope with Photo and Video Shooting, NVG Digital Vision Distance 200M for Hunting, Camping</t>
  </si>
  <si>
    <t>B0DG5SRPBD</t>
  </si>
  <si>
    <t>Night Vision Goggles, 4K Night Vision Binoculars for Adults High Powered, 3.0” HD Night Vision Camera Infrared Goggles Scope and Day for Camping &amp; Outdoor with 32GB TF Card, 10X Digital Zoom &amp; 9 IR</t>
  </si>
  <si>
    <t>B0F7RGYKC3</t>
  </si>
  <si>
    <t>GTHUNDER Night Vision Goggles – 4K Video, 36MP Photos, 10X Zoom, 3" HD Screen, 984ft, 7-Level IR, IP56, 32GB Card – Ideal for Security</t>
  </si>
  <si>
    <t>B0CW366L4F</t>
  </si>
  <si>
    <t>Night Vision Rifle Scope for Hunting Infrared Digital 60mm Lens IP66 Zoom 4.6-18x (WiFi) App Ballistic Calculator Range Finder,Easy Zeroing 940nm Invisible IR wavelight,Outdoor Rifle Hunting Scopes</t>
  </si>
  <si>
    <t>B0C69HZ8RM</t>
  </si>
  <si>
    <t>Digital Day/Night Vision Rifle Scope with Rangefinder – 1920×1080 HD, 6.5&amp;13X Zoom Options, IP67 Waterproof, 8-Hour Battery, WiFi Streaming – Ideal for Hunting &amp; Tactical Use</t>
  </si>
  <si>
    <t>B0BS1C374Y</t>
  </si>
  <si>
    <t>PARD Night Vision Monocular, Night Vision Goggles with Rangefinder, Clip-on Scope for Night Watching or Obervation, Night Viewing Range up to 350m, HD Photos &amp; Videos, NV007SPLRF-940nm</t>
  </si>
  <si>
    <t>B0CKT5QG85</t>
  </si>
  <si>
    <t>Megaorei M5 Digital 1080P Day &amp; Night Vision Rifle Scope Hunting Monocular Camera with 850 or 940nm IR (M5-50-IR940-GP)</t>
  </si>
  <si>
    <t>B0C9PG7R71</t>
  </si>
  <si>
    <t>VABSCE Night Vision Goggles, True 4K Night Vision Binoculars, Built-in Powerful Focusable IR, 6000mAh Rechargeable Battery, Super Large Display, Long Viewing Range, Free 64GB Card (Silver Gray)</t>
  </si>
  <si>
    <t>B0DM9691DW</t>
  </si>
  <si>
    <t>Night Vision Goggles - 4K Night Vision Binoculars for Adults, 3.0” HD Screen 9 Gear Infrared Monocular Camping Night Vision Scope for Men with 32GB TF Card</t>
  </si>
  <si>
    <t>B0F835LQ72</t>
  </si>
  <si>
    <t>NVG Mount PVS 14 Night Vision Dovetail NVG G24 Mount CNC Adjustable NVG Mount Combat NVG Helmet Mount for PVS 31 PVS15/18/PGPNVG18 Night Vision Goggles Metal G24 Mount FDE</t>
  </si>
  <si>
    <t>B0F82Q6C82</t>
  </si>
  <si>
    <t>NVG Mount for PVS14/15/18 G24 Adjustable Sports Aluminum CNC Helmet Mount for Night Vision Goggles Sand NVG Metal Helmet Mount for CS Games</t>
  </si>
  <si>
    <t>B091T3YVNV</t>
  </si>
  <si>
    <t>E.T Dragon Night Vision Mount Rhino NVG Mount for L4G24 Metal Helmet g24 Mount PVS15/18 TAN</t>
  </si>
  <si>
    <t>B0F93LBQC5</t>
  </si>
  <si>
    <t>Night Vision Goggles- 4K Night Vision Binoculars for Adults with WIFI, 64GB TF Card in Night Vision,7X IR &amp; 16X Zoom,Military Tactical Equipped with Altitude, Air pressure and Compass Functions</t>
  </si>
  <si>
    <t>B002Q6UG3W</t>
  </si>
  <si>
    <t>Pulsar Battery Pack LPS 7i</t>
  </si>
  <si>
    <t>B0FDH7FLVK</t>
  </si>
  <si>
    <t>Guide TE211 Thermal Monocular, 10mm Focal Lens, 256×192(50Hz) 12μm Handheld Night Vision Infrared Scope with 6-Hour Battery Life, 20W Quick Charging, Thermal Imaging Monocular for Hunting, Outdoor</t>
  </si>
  <si>
    <t>B09XMWF89J</t>
  </si>
  <si>
    <t>PARD Night Vision Scope, Hunting Night Vision with IR 940nm, Night Vision Monocular for Hunting, Surveillance, Animal Observation,NV008SP2LRF-940nm</t>
  </si>
  <si>
    <t>B0D8V9ZFF9</t>
  </si>
  <si>
    <t>Fusion Thermal Vision &amp; Digital Night Vision Goggle - Head &amp; Helmet Mounted, Wide Viewing, 1x Lens, USB Rechargeable Infrared Thermal Heat Monocular NVG for CQB Airsoft, Tactical Training Tool/Toy</t>
  </si>
  <si>
    <t>B0G29G61NQ</t>
  </si>
  <si>
    <t>Dsoon Night Vision Goggles, Upgraded Head-Mounted Night Vision Binoculars with Infrared, Tactical Flashlight, Built-in Compass, Key Backlight, 32GB Card, 8X Digital Zoom</t>
  </si>
  <si>
    <t>B081PLDXSG</t>
  </si>
  <si>
    <t>GTHUNDER Digital Night Vision Goggles Binoculars for Total Darkness—FHD 1080P Infrared Digital Night Vision, 32GB Memory Card for Photo and Video Storage—Perfect for Surveillance</t>
  </si>
  <si>
    <t>B0CLXWY681</t>
  </si>
  <si>
    <t>MIRAGETARGET Rhino Mount NVG Mount PVS 14 Night Vision Goggles Metal Helmet Mount for PVS 14</t>
  </si>
  <si>
    <t>B0FFGVHSMK</t>
  </si>
  <si>
    <t>ZIYOUHU Thermal Monocular-256x192 (50 Hz) Thermal Imaging Monocular for Hunting, 25mm Focal Lens Thermal Scopes for Night Hunting Camping,Handheld Infrared Thermal Monocular Night Vision</t>
  </si>
  <si>
    <t>B0G52GMGN1</t>
  </si>
  <si>
    <t>WOSPORTS 4K Night Vision Goggles – up to 80X Total Magnification, 10X Optical + 8X Digital Zoom, 1315FT Vision Range, 5000mAh Rechargeable Battery, IPX Waterproof NVG, Gifts for Men</t>
  </si>
  <si>
    <t>B0DZTCYBFQ</t>
  </si>
  <si>
    <t>Digital Night Vision monocular Telescope，Day &amp; Night Vision Rifle Scope Monocular with 850nm IR Fixed 3X Magnification, Hunting Surveillance Wildlife Observation， Can be Used independently</t>
  </si>
  <si>
    <t>B093DVYDGY</t>
  </si>
  <si>
    <t>TKKOK M60 Night Vision Goggles Monocular Helmet for Adults,Mount Suitable Fast Helmet IP66 1080P</t>
  </si>
  <si>
    <t>B0DRJL7PLM</t>
  </si>
  <si>
    <t>Night Vision Goggles -4K Night Vision Binoculars with, 10X Zoom, External Tactical Light &amp; Compass，5000mAh Fast Charging, 32G Card, Record Video &amp; Photos, Camping Hunting, Gift for Dad/Men（Black）</t>
  </si>
  <si>
    <t>B0F3HRPRJM</t>
  </si>
  <si>
    <t>Night Vision Goggles, Night Vision Binoculars for Adults 10X Digital Zoom 7X Infrared Binoculars with 64GB TF Card for Photos and Videos, Ideal for Outdoor Camping and Wildlife Observation</t>
  </si>
  <si>
    <t>B0FMY4H9FL</t>
  </si>
  <si>
    <t>4K Day/Night Vision Goggles | Smart App Night Vision Binoculars - Up to 2642 FT Viewing Range, 3" HD LCD Screen, 4000mAh Rechargeable Battery, Includes 32GB Card, Video &amp; Audio Recording for Camping</t>
  </si>
  <si>
    <t>B0G6ZSG872</t>
  </si>
  <si>
    <t>B0FR4FL6T1</t>
  </si>
  <si>
    <t>Night Vision Goggles, 4K Night Vision Binoculars for Adults with 5000mAh Battery, Upgraded 16X Zoom 9X Infrared Binoculars with 64GB Card for Photo &amp; Video,Ideal for Camping Wildlife Observation</t>
  </si>
  <si>
    <t>B0F9414W64</t>
  </si>
  <si>
    <t>WISHBETY 4K Night Vision Goggles for Adults,16X Zoom Night Vision Binoculars with 1000FT Infrared Range,5000mAh Rechargeable Battery,3.5" Screen,Include 32GB Card,Gift for Mens and Outdoor Enthusiasts</t>
  </si>
  <si>
    <t>B0D8W2R6NM</t>
  </si>
  <si>
    <t>Night Vision Goggles Head Mounted - 4K Night Vision Binoculars for Adults with 2.7'' Screen, 32GB TF Card for Photos and Videos- 8X Digital Zoom for Hunting &amp; Camping</t>
  </si>
  <si>
    <t>B098RC63Y1</t>
  </si>
  <si>
    <t>Steiner Predator Series Hunting Binoculars, 8x42 New Model</t>
  </si>
  <si>
    <t>B098RBB5PD</t>
  </si>
  <si>
    <t>Steiner Predator Series Hunting Binoculars, 10x42 New Model</t>
  </si>
  <si>
    <t>B098RBTMH3</t>
  </si>
  <si>
    <t>Steiner Predator Series Hunting Binoculars, 10x42 Laser Rangefinding</t>
  </si>
  <si>
    <t>B0FQ9MMTBJ</t>
  </si>
  <si>
    <t>Yehtreh Night Vision Goggles for Kids with 32GB Card, 5X Zoom Kids Night Vision Binoculars - 1080P HD Digital Camera, Great Birthday Gifts for 3-8 Year Olds.（Camouflage）</t>
  </si>
  <si>
    <t>B0FWJVLGLX</t>
  </si>
  <si>
    <t>Night Vision Goggles 4K Night Vision Binoculars Adults, Gifts for Men Him Husband Dad 2000mAh Fast Charging Battery,2.8'' HD Screen,2700FT Viewing Range for Camping Hunting &amp; Security</t>
  </si>
  <si>
    <t>B0D8Q1V6X2</t>
  </si>
  <si>
    <t>4K Night Vision Goggles, Infrared Night Vision Binoculars for Adults, HD Large Screen Binoculars can Save Photo and Video with 32GB TF Card, Camping &amp; Hunting</t>
  </si>
  <si>
    <t>B0CLPCMW88</t>
  </si>
  <si>
    <t>AGM Global Vision Neith DC32-4MP 2560 x 1440 Digital Day and Night Vision Clip-On System; Quick Conversion of Daytime Optics Into Night Vision Device; Waterproof and Shockproof</t>
  </si>
  <si>
    <t>B0FNN335BT</t>
  </si>
  <si>
    <t>B0C9PHNMX4</t>
  </si>
  <si>
    <t>VABSCE Night Vision Goggles, True 4K Night Vision Binoculars, Built-in Powerful Focusable IR, 6000mAh Rechargeable Battery, Super Large Display, Long Viewing Range, Free 64GB Card (Carbon Black)</t>
  </si>
  <si>
    <t>B0F3CHJ27X</t>
  </si>
  <si>
    <t>Night Vision Goggles, 4K Night Vision Binoculars for Adults, 3'' HD Screen &amp; 8X Digital Zoom External Flashlight, 2000FT Viewing Range for Outdoor Camping</t>
  </si>
  <si>
    <t>B0DWK4T9MX</t>
  </si>
  <si>
    <t>GTMEDIA Night Vision Goggles for Adults, 984FT Tactical Night Vision Binoculars, Hands Free Nightvision Goggles for Helmet, 5× Zoom &amp; 850nm Stealth IR, Great Gifts for Men Dad Husband Boyfriend</t>
  </si>
  <si>
    <t>B0D45KH5LN</t>
  </si>
  <si>
    <t>GTHUNDER Night Vision Goggles, 4K High-Definition Rechargeable Infrared Digital Night Vision Goggles</t>
  </si>
  <si>
    <t>B0FNQ38XSC</t>
  </si>
  <si>
    <t>WOSPORTS 4K Night Vision Goggles - 16MP Photo, up to 80x Magnification, 10X Optical &amp; 8X Digital Zoom, 1015FT Vision, 3" Screen, 5000mAh Rechargeable Battery, Outdoor Camping, Gift for Men</t>
  </si>
  <si>
    <t>B0DDXKVLGG</t>
  </si>
  <si>
    <t>i4SEE M25-384 Thermal Imaging Monocular for Hunting, 10mm Focal Lens 384x288(50Hz) Infrared Night Vision Telescope with Long Battery Life Up to 10 Hours, Thermal Scopes for Outdoor Night Vision</t>
  </si>
  <si>
    <t>B0G2M4NRP7</t>
  </si>
  <si>
    <t>Owlnv 4K Night Vision Scope w/ 940 nm IR (Stealth), True 4K CMOS, 1200 yd Rangefinder + B.C Function, 4–22.4× Zoom, Wi‑Fi, IP67, Silent Lens Cap L3-Plus</t>
  </si>
  <si>
    <t>B0DD3Z4TQ8</t>
  </si>
  <si>
    <t>Night Vision Goggles - NOVA 4K Night Vision Binoculars for Adults, 3“ HD Screen Binoculars with 7 Levels Infrared 32GB Card Included Perfect for Camping &amp; Security, Black</t>
  </si>
  <si>
    <t>B0C93HF5NM</t>
  </si>
  <si>
    <t>VERYMODEL Night Vision Goggles Head Mounted, [2025 Upgrade] 1312FT Night Vision Binoculars, FHD Hands Free Nightvision Goggles for Helmet, Long Rang Infrared Goggles Night</t>
  </si>
  <si>
    <t>B0DJ14BTCV</t>
  </si>
  <si>
    <t>FNIRSI NVS40 4K Night Vision Goggles, Gifts for Dad Man Adult, Night Vision Binoculars with 4K Video 36M Photos, 32GB SD Card, 3" HD Screen Digital Infrared Binoculars for Day and Night</t>
  </si>
  <si>
    <t>B0FDW2RLBC</t>
  </si>
  <si>
    <t>Head-Mounted Night Vision Goggles for Adults, Dual Screen Viewing 4K Video 48MP Photo Taking, 8X Digital Zoom, Military Night Vision Binoculars 1968FT Viewing Range, with 64GB Card</t>
  </si>
  <si>
    <t>B0DH2KRBS8</t>
  </si>
  <si>
    <t>BUSHBINOC Night Vision Goggles, Night Vision Binoculars 4K, 4.0" HD Screen Binoculars, 10X Digital NightVision for Adults, 9 Gear Infrared, 4000mAh Battery Gray with 32GB TF Card</t>
  </si>
  <si>
    <t>B0FP8LXL2T</t>
  </si>
  <si>
    <t>WOGREE Night Vision Goggles, 4K Night Vision Binoculars for Adults, 36MP Photo, 5000mAh Rechargeable Battery, 1300FT Range, 8X Digital Zoom, Infrared Vision, 32GB SD, Flashlight &amp; Compass for Camping</t>
  </si>
  <si>
    <t>B0D5HX8BKQ</t>
  </si>
  <si>
    <t>4K Night Vision Goggles, Upgrade Night Vision Binoculars with 5000mAh Battery Rechargeable Battery - 16X Digital NightVision 9 Gear Infrared with 32GB TF Card, 3.5" HD Binoculars Gift for Men, Dad</t>
  </si>
  <si>
    <t>B0F3XP638J</t>
  </si>
  <si>
    <t>Night Vision Goggles Head or Helmet Mounted Monocular - 1080P HD Photo and Video Recording with 5X Digital Zoom &amp; Adjustable Infrared 940nm IR, Night Vision 300M for Hunting, Camping, Surveillance</t>
  </si>
  <si>
    <t>B0FQBMNPMM</t>
  </si>
  <si>
    <t>ISHARE Head Mounted Night Vision Goggles, 1312FT Infrared Binoculars for Adults, 8X Zoom 7-Level IR, 32GB Card, IP54 Waterproof for Hunting, Camping, Wildlife Watching &amp; Outdoor Exploration</t>
  </si>
  <si>
    <t>B0D5HX54MZ</t>
  </si>
  <si>
    <t>B08Z374R2R</t>
  </si>
  <si>
    <t>E.T Dragon Night Vision Mount NVG Mount for L4G24 Metal Helmet g24 Mount PVS15/18 Black</t>
  </si>
  <si>
    <t>B09RZS74XM</t>
  </si>
  <si>
    <t>Clip On Night Vision Scope – 1080P Digital Infrared Attachment for Rifle Scopes, 850nm &amp; 940nm IR, 3X-10.5X Zoom, Clip-on Day/Night Optics for Wildlife Observation &amp; Hunting, 350m Range</t>
  </si>
  <si>
    <t>B0FJS75JSX</t>
  </si>
  <si>
    <t>Diyimin 4K Night Vision Binoculars–8X Zoom/2000FT IR/5000mAh, 3'' HD Screen Night Vision Goggles for Adults mit 64GB TF Card, IP65 Waterproof &amp; Tactical Light for Hunting,Camping &amp; Security</t>
  </si>
  <si>
    <t>B01K8TUHO6</t>
  </si>
  <si>
    <t>Norotos Shroud Titanium ACH MICH</t>
  </si>
  <si>
    <t>B0CQZQ28PM</t>
  </si>
  <si>
    <t>B0GK5SQCBM</t>
  </si>
  <si>
    <t>ArzzuNiu 3D-VR Night Vision Goggles - 4K Head Mounted 2296FT Digital Infrared 850nm Night Vision Binoculars for Adults Military Tactical,Camping in Complete Darkness 6X Digital Zoom Include 32GB Card</t>
  </si>
  <si>
    <t>B0D5Y4YCDP</t>
  </si>
  <si>
    <t>WARMTUYO Night Vision Goggles, 4K Binoculars with Camera, 3.5" HD Display and 32GB TF Card, 9 Gear Night Vision, 16X Digital Zoom, 5000mAh Battery Nightvision</t>
  </si>
  <si>
    <t>B0FW3CS5TL</t>
  </si>
  <si>
    <t>TRV Digital 4X Zoom Night Vision Monocular - Waterproof 2K Night Vision Goggles Head Mounted, for Hunting Wildlife Outdoor Adventures and Camping</t>
  </si>
  <si>
    <t>B0FVLMCGWQ</t>
  </si>
  <si>
    <t>WOSPORTS 4K Night Vision Goggles – up to 80X Total Magnification, 10X Optical + 8X Digital Zoom, 1315FT Vision Range, 64GB TF Card, 5000mAh Rechargeable Battery, IPX Waterproof NVG, Gifts for Men</t>
  </si>
  <si>
    <t>B0CMFMGSHW</t>
  </si>
  <si>
    <t>Burris Thermal Imaging Handheld Monocular BTH35 v2 for Hunting 400x300 (50hz) Monocular for Adults High Powered Tactical Thermal Imager Heat Vision Night and Day Infrared</t>
  </si>
  <si>
    <t>B0DD6H5M32</t>
  </si>
  <si>
    <t>PVS 18A 3X Digital Night Vision Monocular, Infrared/Color/Green/Red Modes, 7.95° FOV, Anodized Aluminum</t>
  </si>
  <si>
    <t>B0F1NT1NLK</t>
  </si>
  <si>
    <t>Night Vision Scope, 940nm Day/Night Vision Monocular with Camera &amp; Video, 50mm Focal Lens Vision Goggles Riflescope for Night Hunting Camping &amp; Pest Control (Without Battery)</t>
  </si>
  <si>
    <t>B0DF4TZBFG</t>
  </si>
  <si>
    <t>Night Vision Goggles Night Vision Binoculars for Total Darkness,Best Gifts for Men Him Dad Husband Boyfriend, Gear for Hunting and Camping(Black)</t>
  </si>
  <si>
    <t>B0FR79XKZV</t>
  </si>
  <si>
    <t>Thermal Imaging Night Vision Scope – 466 * 466 Resolution Infrared Thermal Scope,850nm IR Fixed 3X Magnification, Day &amp; Night Vision &amp; Thermal Imaging 2 in 1,Hunting Surveillance Wildlife Observation</t>
  </si>
  <si>
    <t>B0CS6VY946</t>
  </si>
  <si>
    <t>oneleaf.ai Find NV200 4K 50mm &amp; 70mm Day/Night Vision Binoculars with Rangefinder</t>
  </si>
  <si>
    <t>B0FQNXBQM2</t>
  </si>
  <si>
    <t>TRV NVG10 Digital Night Vision Monocular Head Mounted - 1080P HD Night Vision Goggles Video Recording, 6X Zoom, Helmet Mountable for Hunting, Camping</t>
  </si>
  <si>
    <t>B0FSVWQ9XQ</t>
  </si>
  <si>
    <t>Aimpoint® US Store - 3X-P° Magnifier - 39 mm FlipMount</t>
  </si>
  <si>
    <t>B0CJRWKY9F</t>
  </si>
  <si>
    <t>Nvgfelis Kids Camera &amp; Night Vision Goggles for Kids Boys and Girls, Christmas Birthday Gifts, Night Vision Binoculars with 32GB Memory Card(Pink)</t>
  </si>
  <si>
    <t>B0GJ3DDJWS</t>
  </si>
  <si>
    <t>Night Vision Binoculars - 112MP 4K Night Vision Goggles, 5000mAh Battery &amp; 64GB Card, 1500FT Range, Tactical Flashlight for Wildlife Hunting, Camping, Outdoor Adventure, Security Surveillance</t>
  </si>
  <si>
    <t>B0DYDXRH8S</t>
  </si>
  <si>
    <t>Tactical Night Vision Goggles Model GPNVG18 with Adjustable Helmet NVG Bracket Mount for Cosplay and Display, No Function (Black)</t>
  </si>
  <si>
    <t>B0CB7KRG4L</t>
  </si>
  <si>
    <t>PVS-14 Monocular Night Vision Device, Head-Mounted Micro Light Infrared Monocular for Observation and Patrol</t>
  </si>
  <si>
    <t>B0DRNWD23X</t>
  </si>
  <si>
    <t>Night Vision Monocular 25mm 384x288 (50 Hz) Thermal Imaging Monoculars, 4X Digital Zoom, Detection 3620yd, 5 Mode, 7H+, No-Shutter Tech WiFi Heat Vision Infrared Imager for Hunting Camping</t>
  </si>
  <si>
    <t>B0FMY5SGV1</t>
  </si>
  <si>
    <t>5K 96MP Night Vision Goggles | 4'' LCD Screen Night Vision Binoculars &amp; 10X Zoom with Infrared, 4000mAh Rechargeable Battery, 64GB TF Card, Video and Sound Recording for Camping, Black</t>
  </si>
  <si>
    <t>B0DS699L9S</t>
  </si>
  <si>
    <t>Night Vision Goggles – Nightfox Swift Max Head Mounted Night Vision Binoculars, Wide Angle 1x Lens NVG, USB-Rechargeable, Head or Helmet Mount, Military-Style Infrared Binoculars for Adults</t>
  </si>
  <si>
    <t>B0FX3J9R23</t>
  </si>
  <si>
    <t>Night Vision Goggles with 32GB for Total Darkness,Digital Infrared Night Vision Binoculars with 3'' HD Screen for Observing and Recording Birthday Gifts for Men.</t>
  </si>
  <si>
    <t>B0FQBV5QXN</t>
  </si>
  <si>
    <t>BIBIRE Night Vision Goggles, Head Mounted Night Vision Monocular 8X Digital Infrared NVG with 32GB SD Card for Surveillance Camping Observation</t>
  </si>
  <si>
    <t>B0DCZ2TCZ7</t>
  </si>
  <si>
    <t>VIRTUAL HAVEN Upgraded Pro Night Vision Binoculars - Ultra 4K Night Vision Goggle with 8X Digital Zoom, 3.2" Screen Display, 32GB SD Card – See Clearly in Total Darkness</t>
  </si>
  <si>
    <t>B0D2ZQWD58</t>
  </si>
  <si>
    <t>Tactical GPNVG 18 Dummy Model,Night Vision Goggles Model,for Tactical Helmet NVG Mount | for Cosplay Display</t>
  </si>
  <si>
    <t>B01BWUGT9W</t>
  </si>
  <si>
    <t>Superior Tactical Pvs-14 Parts Kit with Accessories</t>
  </si>
  <si>
    <t>B0FNM6GZTV</t>
  </si>
  <si>
    <t>Nightiger Night Vision Binoculars Long Viewing Range, with Ranging Function, Big Screen 10X Digital Zoom,Built-in 7000mAh Rechargeable Battery, 4K Night Vision Goggles for Adults</t>
  </si>
  <si>
    <t>B0CYH3KR73</t>
  </si>
  <si>
    <t>CANIS SPORT INC New Aluminum Night Vision Goggle j-arm Mount for Helmet Night Vision NVG Mount fit for PVS 14(UK Standard Interface)</t>
  </si>
  <si>
    <t>B0D9G947NF</t>
  </si>
  <si>
    <t>3D VR Head Mounted Night Vision Goggles &amp; Binoculars for Adult, Rechargeable Infrared Digital Night Vision with Head Strap and Mount, 6X Digital Zoom and FOV 40°, Includes 2 * 32GB Cards</t>
  </si>
  <si>
    <t>B0FM3LCP89</t>
  </si>
  <si>
    <t>XILETU Thermal Imaging Monocular Night Vision Infrared Scope 320x320 Resolution, 100% Darkness Compatible, Thermal Imaging Goggles, Rechargeable Battery, Tripod, Handheld, for Night Hunting &amp; Camping</t>
  </si>
  <si>
    <t>B0FJ8F9G31</t>
  </si>
  <si>
    <t>Dsoon Night Vision Goggles, Upgraded Rechargeable Head-Mounted Night Vision Binoculars with Infrared, Hands Free, Tactical Flashlight, 1312FT, 8X Digital Zoom</t>
  </si>
  <si>
    <t>B0DSJ3FXDR</t>
  </si>
  <si>
    <t>4K Night Vision Goggles 8X Optical Zoom Binoculars for Adults 5000mAh Rechargeable Night Vision, Infrared, 3'' HD Screen Ideal for Camping &amp; Wildlife Observation, Day and Night Binoculars</t>
  </si>
  <si>
    <t>B0GG9HT9C6</t>
  </si>
  <si>
    <t>CIGMAN 4K Night Vision Binoculars, 3.99" Large HD Display, 58MP Night Photos, 5000mAh Battery, IP65 Waterproof, 5X Zoom, 32GB Card Included</t>
  </si>
  <si>
    <t>B0F48H68JS</t>
  </si>
  <si>
    <t>DDayuanwei Night Vision Goggles NVG Mount for L4G24 PVS14 PVS15 PVS18, Rhino Adjustable Full Metal Aluminum NVG G24 Metal Mount for Helmet</t>
  </si>
  <si>
    <t>B0DWZNN8X2</t>
  </si>
  <si>
    <t>LUNAREX 4K Night Vision Goggles for Adults – Digital Night Vision Binoculars with 8X Zoom, 48MP Camera, 4000mAh Rechargeable Battery, 32GB TF Card, Infrared Night Vision Goggles for Hunting &amp; Outdoor</t>
  </si>
  <si>
    <t>B0D2ZRPXBJ</t>
  </si>
  <si>
    <t>B0FB33S31B</t>
  </si>
  <si>
    <t>Night Vision Goggles - 4K Night Vision Binoculars 8X Magnification, with 4 Color Modes 8X Magnification,32G HD Recording &amp; Playback for Camping Surveillance</t>
  </si>
  <si>
    <t>B0CQCSRFS5</t>
  </si>
  <si>
    <t>Rechargeable Night Vision Monocular for 100% Darkness, Full HD1080P Video Long Distance Infrared Night Vision Goggles Binoculars for Hunting, Camping, Travel, Surveillance 32GB Inside</t>
  </si>
  <si>
    <t>B0D1XS3PKJ</t>
  </si>
  <si>
    <t>CANIS SPORT INC New Version PVS-18 Pro Infrared 2.7X 32 Digital Night Vision PVS-18 Pro high-Performance Infrared Lightweight Design for Hunting, black</t>
  </si>
  <si>
    <t>B06XY6PQNV</t>
  </si>
  <si>
    <t>Superior Tactical Mil-Spec Pvs-14 and Pvs-7 Night Vision Eyecup</t>
  </si>
  <si>
    <t>B0D8VR6TXD</t>
  </si>
  <si>
    <t>Night Vision Goggles Head Mounted for Adults,984FT Rechargeable Infrared Digital Binoculars,5X Digital Zoom, Hands Free Night-Vision Goggles with 32GB TF Card, Photo &amp; Video Capture,Head Strap</t>
  </si>
  <si>
    <t>B0FL1NCFBS</t>
  </si>
  <si>
    <t>Night Vision Goggles - 112MP Night Vision Binoculars for Adults, 4K Infrared Digital Night Vision with with 64GB Card, Tactical Military Grade for Camping Wildlife Security</t>
  </si>
  <si>
    <t>B0FX4CQLKD</t>
  </si>
  <si>
    <t>GOYOJO Night Vision Goggles Mount – NVG Helmet Mounting Bracket, Adjustable Night Vision Binocular Connector for Helmet Mount System | Lightweight, Stable, and Quick-Detach Design</t>
  </si>
  <si>
    <t>B0CP27M2S6</t>
  </si>
  <si>
    <t>WARMTUYO Night Vision Goggles, 4K Binoculars with Camera, 3.5" HD Display and 32GB TF Card, 9 Gear Night Vision, 10X Digital Zoom, 4000mAh Battery Nightvision</t>
  </si>
  <si>
    <t>B0C61J5G7H</t>
  </si>
  <si>
    <t>Night Vision Monocular for Hunting,1080P,Clip on Scope with IR 850nm&amp;940nm,Infrared Hunting Scopes for Rifles,IR Illuminator with WiFi for Day Night Viewing</t>
  </si>
  <si>
    <t>B0DH2N8LYJ</t>
  </si>
  <si>
    <t>BUSHBINOC Night Vision Goggles, 4K Night Vision Binoculars, 4" HD Screen Binoculars, 10X Digital NightVision for Adults, 4000mAh Battery Gray, 9 Gear Infrared with 32GB TF Card</t>
  </si>
  <si>
    <t>B003DQWWZ4</t>
  </si>
  <si>
    <t>Eschenbach Look.</t>
  </si>
  <si>
    <t>B0DK4ZWK1H</t>
  </si>
  <si>
    <t>Goiteia Night Driving Glasses for Men Women, Yellow Glasses for Rainy Days, Anti Glare from Front and Rear Headlight</t>
  </si>
  <si>
    <t>B0FY5T87SY</t>
  </si>
  <si>
    <t>NVG Mount for L4G24, G24 Mount Compatible with PVS14 PVS15 PVS18 Night Vision Goggles</t>
  </si>
  <si>
    <t>B0DDCL3QRF</t>
  </si>
  <si>
    <t>VISIOGEAR Night Vision Goggles - Eagle 4K Night Vision Binoculars for Adults, Dual Modes Binoculars with 5000mAh Battery, 32GB SD Card Included for Adventure and Surveillance, Black</t>
  </si>
  <si>
    <t>B0CP2YPFLJ</t>
  </si>
  <si>
    <t>Firefield Hexcore HD Night Vision Binocular 1-3x</t>
  </si>
  <si>
    <t>B0DQ4QPCMC</t>
  </si>
  <si>
    <t>NoctiView 4K Night Vision Binoculars: 800M Range, 13° FOV, 7 IR Levels, 3.2” Screen, 40MP Photos, 8X Zoom, 128GB Support, 5000mAh Battery – Gift Set w/Compass &amp; Pouch for Camping and Wildlife.</t>
  </si>
  <si>
    <t>B0CQNZDNT8</t>
  </si>
  <si>
    <t>VABSCE Night Vision Goggles, True 4K Full-Color Night Vision Binoculars, Built-in Powerful Focusable IR, 6000mAh Rechargeable Battery, Super Large Display, Long Viewing Range, Free 64GB Card (Silver)</t>
  </si>
  <si>
    <t>B07L8JW9MP</t>
  </si>
  <si>
    <t>Swarovski Optik TAs-SLC Tripod Adapter for SLC Binoculars</t>
  </si>
  <si>
    <t>B0FN3BWHDS</t>
  </si>
  <si>
    <t>Night Vision Goggles with Light, Helmet Mounted – Digital Binoculars with Camera, 4K Video, 8X Digital Zoom, 400m Range, 4 Color Modes, IR Illumination</t>
  </si>
  <si>
    <t>B0D2CY72Z4</t>
  </si>
  <si>
    <t>NVG Mount Night Vision Goggles Mount Metal Helmet Mounted Modular Interface Dovetail Horn for PVS14/PVS18/PVS15/PVS7</t>
  </si>
  <si>
    <t>B0CX47QBDJ</t>
  </si>
  <si>
    <t>Night Vision Monocular 35mm 384x288 (50 Hz) Thermal Imaging Monoculars, 4X Digital Zoom, Detection 3620yd, 5 Mode, 7H+, No-Shutter Tech WiFi Heat Vision Infrared Imager for Hunting Camping</t>
  </si>
  <si>
    <t>B0FLNBV67L</t>
  </si>
  <si>
    <t>Night Vision Goggles 8X Digital Zoom, 300M Night Vision Binoculars with 7-Level IR, 32GB Card &amp; LED Flashlight, Gifts for Men, Dad, Husband, Boyfriend for Camping Hunting Birdwatching</t>
  </si>
  <si>
    <t>B088Z8GLPM</t>
  </si>
  <si>
    <t>B0C7CF4BTV</t>
  </si>
  <si>
    <t>PVS15/18 Night Vision Goggles Metal Helmet Mount for L4G24 NVG, Rhino Adjustable Full Metal Aluminum Helmet Mount (Black)</t>
  </si>
  <si>
    <t>B0CQC8F414</t>
  </si>
  <si>
    <t>B0FMHTLCM1</t>
  </si>
  <si>
    <t>4K Digital Night Vision Monocular, 1314FT Nightvision Distance &amp; Manual Focus &amp; Diopter, Night Vision Goggles with Infrared Illuminator, 36MP Photo &amp; 4K Video Recording with 32GB Card</t>
  </si>
  <si>
    <t>B0FS13QW2Q</t>
  </si>
  <si>
    <t>Night Vision Goggles, Full-Color 4K HD Infrared Goggles Night Vision Binoculars for Hunting with 64GB TF Card - Digital Electronics Gift - Perfect for Wildlife Observation, Security Surveillance</t>
  </si>
  <si>
    <t>B0CQP1D5MY</t>
  </si>
  <si>
    <t>VABSCE Night Vision Goggles, True 4K Full-Color Night Vision Binoculars, Built-in Powerful Focusable IR, 6000mAh Rechargeable Battery, Super Large Display, Long Viewing Range, Free 64GB Card (Black)</t>
  </si>
  <si>
    <t>B0DFW88HMH</t>
  </si>
  <si>
    <t>3D VR Night Vision Goggles,8K UHD Night Vision Binoculars for Adults, Auto Wake and Seamless 3D Integration Tech,Infrared Goggles, Rechargeable with 8K Photo &amp; 4K Video,(64 TF Card)</t>
  </si>
  <si>
    <t>B0FR4L1Y8X</t>
  </si>
  <si>
    <t>4K Night Vision Goggles, 4.0" HD Screen Night Vision Binoculars for Adults with 5000mAh Battery, 10X Zoom 7X Infrared Binoculars with 64GB Card for Photo &amp; Video,Ideal for Camping Wildlife Observation</t>
  </si>
  <si>
    <t>B0CHRBKM2C</t>
  </si>
  <si>
    <t>CANIS SPORT INC New Reinforced Upgraded Version Night Vision Bridge with Adjustable Field of View for pvs14 Support 2 Optical Night Visions or 1 Digital Night Vision (British Standard)</t>
  </si>
  <si>
    <t>B0FKH2VNG1</t>
  </si>
  <si>
    <t>MIRAGETARGET PVS-14 Night Vision Goggles Dovetail J Arm Mount, Universal Compatibility, Black</t>
  </si>
  <si>
    <t>B0D9S4T8C5</t>
  </si>
  <si>
    <t>M. A. C.® Night Vision Goggles – 4K HD Infrared Night Vision Binoculars with 5X Digital Zoom, 3" Screen, Rechargeable Battery (Carbon Fiber)</t>
  </si>
  <si>
    <t>B0DY8236PZ</t>
  </si>
  <si>
    <t>SKIOVEMI Night Vision Goggles for Adults, Helmet-Mounted Night Vision Binoculars, 4K Digital Infrared Thermal Goggles Military Tactical Night Vision Monocular</t>
  </si>
  <si>
    <t>B0C7CDCVFL</t>
  </si>
  <si>
    <t>DDayuanwei PVS15/18 Night Vision Goggles Helmet Mount for L4G24 NVG Metal Helmet Mount, Rhino Adjustable Full Metal Aluminum Helmet Mount (Gold)</t>
  </si>
  <si>
    <t>B01M3Y4G3D</t>
  </si>
  <si>
    <t>NightStar 2x42 Gen-1 Wide-View Compact Night Vision Monocular, Black, NS41242C</t>
  </si>
  <si>
    <t>B0DMPRPNM5</t>
  </si>
  <si>
    <t>Barska NV-2 Night Vision Binoculars, 10X Magnification, 8X Digital Zoom, 43mm Lens, 3 Inch IPS Display, 40MP Photos, 2.5K Video, 820yd Range, 3-Level IR, USB-C Fast Charging, Day &amp; Night Use</t>
  </si>
  <si>
    <t>B019XYQGPQ</t>
  </si>
  <si>
    <t>Nautical Design Antique Victorian Marine Brass Leather Binocular Sailor Instrument London 1915 Orange for Home &amp; Office Outdoor Camping</t>
  </si>
  <si>
    <t>B0DPHT54L9</t>
  </si>
  <si>
    <t>GUANIEE Night Vision Monocular 4K Digital Infrared Night Vision with 2" Larger Screen, 8X Digital Zoom, 2200mAh Rechargeable Battery, Tripod, 32G SD Card</t>
  </si>
  <si>
    <t>B0D14ZVSBR</t>
  </si>
  <si>
    <t>Jeekootoop Tactical Airsoft Hunting Dummy Night Vision Goggles with Helmet Mount for PVS15/PVS18/GPNVG18, No Function Binoculars Night Vision Cosplay Prop (Black)</t>
  </si>
  <si>
    <t>B0FJQYHZ1S</t>
  </si>
  <si>
    <t>[2025 Upgrade] 4K Digital Night Vision Monocular with Infrared Illuminator &amp; Video Recording, Manual Focus and Diopter, Night Vision Goggles Binoculars for Hunting, Camping, with 32GB Card</t>
  </si>
  <si>
    <t>B0FQB77JNW</t>
  </si>
  <si>
    <t>Night Vision Goggles &amp; Binoculars with 1080P Video Camera, 4000mAh Rechargeable Battery, 32GB Card &amp; 3" Screen, Backlit Buttons, 984ft Viewing Range, Gifts for Men/Dad/Husband, Camping Gear (Black)</t>
  </si>
  <si>
    <t>B0GGB98CFR</t>
  </si>
  <si>
    <t>Night Vision Goggles 1080P, Digital Night Vision Binoculars with 2.8” IPS Screen, 10X Zoom, Infrared Night Vision up to 2624ft, Rechargeable Night Vision Device for Camping, Wildlife Observation</t>
  </si>
  <si>
    <t>B08Z3JZWV9</t>
  </si>
  <si>
    <t>CREATIVE XP Pro Night Vision Binoculars - Digital Infrared, 4" Screen, 2X Zoom - Essential Deer Hunting Accessories, Tactical Gear, Security Goggles, Military Grade - 32GB Card, Neck Strap, Case</t>
  </si>
  <si>
    <t>B0FPKQ1H3T</t>
  </si>
  <si>
    <t>4K Night Vision Goggles with Rangefinder | 16X Zoom Night Vision Binoculars, 4'' LCD Screen with Infrared, 10000mAh Rechargeable Battery, 64GB TF Card, Video and Sound Recording for Camping, Black</t>
  </si>
  <si>
    <t>B0D4RFW484</t>
  </si>
  <si>
    <t>TakLite IRIS Digital Night Vision Monocular | 1X PVS-14 Style | 940nm IR Illuminator | 60° FOV | OLED Display | Head-Mounted or Handheld | Hunters &amp; Outdoor Use</t>
  </si>
  <si>
    <t>B0FMQZD7CS</t>
  </si>
  <si>
    <t>Night Vision Goggles Mount,CNC NVG Helmet Mount - Aluminum Alloy, Compatible with PVS14/15/18/GPNVG18 &amp; L4G24, One-Handed Adjustment &amp; Anti-Shake Design(Sand)</t>
  </si>
  <si>
    <t>B0FX493GQG</t>
  </si>
  <si>
    <t>3D VR Night Vision Goggles - 4K Night Vision Binoculars,Wide FOV 58° 3600mAh Battery 8X Digital Zoom, 32GB Card to Save Photos and Videos for Camping,Security</t>
  </si>
  <si>
    <t>B0G6CFBTH4</t>
  </si>
  <si>
    <t>WOSPORTS 4K Night Vision – 1300FT Long-Range View with 8X Zoom, 15H Battery &amp; 32GB Card – Tactical Camo Gear for Camping</t>
  </si>
  <si>
    <t>B0BS951CPK</t>
  </si>
  <si>
    <t>4K Digital Night Vision Goggles Binoculars for Total Darkness, Infrared Digital Night Vision, 32GB Memory Card for Photo and Video Storage, 3'' Large Screen Perfect for Hunting and Farm Monitoring</t>
  </si>
  <si>
    <t>B0G6JQF8B9</t>
  </si>
  <si>
    <t>Night Vision Binoculars - Night Vision Goggles with Rangefinder, 4K Video, 48MP Photo, 1968ft Night Vision, 1200Yd Laser Range Finder, 5000mAh Rechargeable Digital Infrared Binoculars for Hunting</t>
  </si>
  <si>
    <t>B0DH2FLZ5G</t>
  </si>
  <si>
    <t>Night Vision Goggles Night Vision Binoculars for Total Darkness,Best Gifts for Men Him Dad Husband Boyfriend, Gear for Hunting and Camping(Camouflage)</t>
  </si>
  <si>
    <t>B0D7MWSZTZ</t>
  </si>
  <si>
    <t>Tactical Night Vision Goggles Model with Adjustable Helmet Mount for PVS15/PVS18/GPNVG18, No Function (Black)</t>
  </si>
  <si>
    <t>B0DXR8NFXX</t>
  </si>
  <si>
    <t>Carson NiteMax Digital Night Vision Monocular with Built-in Infrared Illuminator (NV-300)</t>
  </si>
  <si>
    <t>B09SBV6HDW</t>
  </si>
  <si>
    <t>Sightmark Wraith 4K 1x Monocular</t>
  </si>
  <si>
    <t>B0DFM333G4</t>
  </si>
  <si>
    <t>Upgraded Night Vision Goggles, 4k Night Vision Binoculars, 4.55" Large Display, 1312 FT Full Dark, 32GB, 8X Digital Zoom, 36MP 7-L IR Night Vision for Camping, Bird Watching, Hunting, Gifts for Dad</t>
  </si>
  <si>
    <t>B0DJQV85NK</t>
  </si>
  <si>
    <t>WGFXYBFY 4K Head Mounted Night Vision Binoculars,4 Color Effects Night Vision Goggles,7 Levels of Infrared Adjustment with Dual-Screen Binocular Naked Eye 3D Display Screen,for Camping</t>
  </si>
  <si>
    <t>B0FPD3P365</t>
  </si>
  <si>
    <t>4K Night Vision Goggles 32MP Full-Color Night Vision Binoculars for Adults with 4000mAh High Capacity, 16XZOOM 32GB Card, 3" Screen and 300M Viewing Range for Camping Hunting &amp; Security(Gunmetal Gray)</t>
  </si>
  <si>
    <t>B0CQZZ38M1</t>
  </si>
  <si>
    <t>4K Night Vision Goggles Binoculars - Infrared Night Vision in 100% Darkness, 3.2'' Large Screen, 8X Digital Zoom, 32GB Card to Save Photos and Videos for Camping Hunting &amp; Security</t>
  </si>
  <si>
    <t>B00WR5TYV2</t>
  </si>
  <si>
    <t>Vantage IR Riflescope 4-12x40 AO, 1", Rimfire .22 WMR (Etched)</t>
  </si>
  <si>
    <t>B09Q5BQFJN</t>
  </si>
  <si>
    <t>Tactical Hunting L4G24 CNC Mount Aluminum Frame Helmet Accessories Mount Arm for PVS 15/18 (Golden)</t>
  </si>
  <si>
    <t>B0FPLQ7YHT</t>
  </si>
  <si>
    <t>Dsoon Head-Mounted Night Vision Goggles Upgraded, Rechargeable Hands Free Night Vision Binoculars Goggles with Infrared, 1312FT, 32GB TF Card, Flashlight, 8X Digital Zoom</t>
  </si>
  <si>
    <t>B0FP8L15XR</t>
  </si>
  <si>
    <t>WOGREE Night Vision Goggles, 4K Night Vision Binoculars for Adults, 36MP, 1300FT Range,8X Digital Zoom, Flashlight &amp; Compass, 5000mAh Battery, Infrared Vision, 32GB Card, for Camping &amp; Security</t>
  </si>
  <si>
    <t>B0CW65NQMN</t>
  </si>
  <si>
    <t>Diopter Adjustment 300 Yards Rifle Scopes with Infrared Illuminator, 50MM Lens Hunting Range Finder Monocular, Ballistic Calculation,Night Vision Scope for Hunting, Adjustable Turrets</t>
  </si>
  <si>
    <t>B0D25HCJ35</t>
  </si>
  <si>
    <t>NVG Mount Dual J ARM Dovetail Mount for PVS 14 Night Vision Binoculars/Monoculars Adjustable Adapter POM- High Strength Plastic</t>
  </si>
  <si>
    <t>B0DYVD2CGS</t>
  </si>
  <si>
    <t>Kids Camera &amp; Night Vision Goggles for Kids Boys and Girls, Christmas Birthday Gifts, Night Vision Binoculars with 32GB Memory Card(Camouflage)</t>
  </si>
  <si>
    <t>B0DCWB66MP</t>
  </si>
  <si>
    <t>Tactical Night Vision Goggles Model AN/PVS31 with Adjustable Helmet Mount for Cosplay and Display, No Function (Black)</t>
  </si>
  <si>
    <t>B0CY1PWFZZ</t>
  </si>
  <si>
    <t>Metal L4 G24 breakway Mount fit for Night Vision PVS-18 and Double Dovetail Helmet Mount for Hunting/Outdoors</t>
  </si>
  <si>
    <t>B0FQNZ9KGQ</t>
  </si>
  <si>
    <t>Night Vision Goggles, Night Vision Binoculars for Adults, 5000mAh Rechargeable Infrared Binoculars Night Vision with 3.2'' Large Screen, 8X Digital Zoom for Camping, Wildlife Observation, Security.</t>
  </si>
  <si>
    <t>B0B11VW29V</t>
  </si>
  <si>
    <t>Night Vision Goggles for Adults, 4K Infrared Night Vision Binoculars with Rechargeable Battery and Anti-Shake Motion Detection for Camping, Camo</t>
  </si>
  <si>
    <t>B0F7W779B2</t>
  </si>
  <si>
    <t>Night Vision Goggles, 4K Color Night Vision Binoculars for Adults with 4.5" HD Display, 8X Digital Zoom &amp; 7-Level Infrared, 4500mAh Rechargeable Battery, 1300ft Range, 32GB TF Card for Camping Hunting</t>
  </si>
  <si>
    <t>B07VFDS845</t>
  </si>
  <si>
    <t>New Plastic J-Arm Night Vision NVG Mount Helmet Adapter for pvs14 Supports Left Eye</t>
  </si>
  <si>
    <t>B0D1C47M9M</t>
  </si>
  <si>
    <t>GPNVG 18 NVG Dummy Model ，Tactical Helmet Binocular Night Vision Tactical No Function Model Kit for Cosplay Display</t>
  </si>
  <si>
    <t>B002T8KQKU</t>
  </si>
  <si>
    <t>Firefield Rapidstrike 5-20x50 riflescope</t>
  </si>
  <si>
    <t>B0DZ64YPDN</t>
  </si>
  <si>
    <t>MILBOPAX Night Vision Goggles, 1968FT Infrared Night Vision Binoculars with 5000mAh Rechargeable Battery, 64G Card for 58MP Images &amp; 4K Video, 4" HD Screen, 5X Dightal Zoom for Camping Hunting</t>
  </si>
  <si>
    <t>B0DK515M3K</t>
  </si>
  <si>
    <t>B0DXTJBQX5</t>
  </si>
  <si>
    <t>Miasazyr 4K Thermal Imaging Night Vision Scope - HD+LR+Night Vision+Thermal Imaging 4 in 1, 0.01Ms Ultra-Low Latency, 12um 296×192 (60 Hz), 7X Magnification, Thermal Monocular for Night Hunting</t>
  </si>
  <si>
    <t>B084GB11DQ</t>
  </si>
  <si>
    <t>Tactical Metal Alloy L4G24 CNG Mount Aluminum Frame Helmet Accessories Mount Arm for PVS 15/18 (Black)</t>
  </si>
  <si>
    <t>B01M35ED0T</t>
  </si>
  <si>
    <t>NightStar 2x42mm Night Vision Binocular, Gen 1, Black, NS42242CC</t>
  </si>
  <si>
    <t>B0D1R3QHYV</t>
  </si>
  <si>
    <t>GPNVG 18 Dummy Model Night Vision Goggles - Non-Functional Four-Tube Binocular Prop with NVG Mount for Tactical Helmet and Cosplay (Black)</t>
  </si>
  <si>
    <t>B0BY2VRWRD</t>
  </si>
  <si>
    <t>Metal L4G24 Mount Breakaway Night Vision Goggle Mount for Mounting Helmet CNC Fast OPS PJ MH BJ for pvs 18 /PVS31(Tan)</t>
  </si>
  <si>
    <t>B0CJFQL29B</t>
  </si>
  <si>
    <t>PARD Night Vision Monocular, Digital Night Vision Goggles for Wildlife Viewing, Hunting &amp; Outdoor. IR Illuminator with 200m, 1024 * 768px, Photos and Videos Playback, WiFi. NV009-940nm</t>
  </si>
  <si>
    <t>B0D1BR4RF4</t>
  </si>
  <si>
    <t>Tactical AN/PVS31 NVG Dummy Model,Helmet No Function Binocular Night Vision Goggle for Cosplay Display</t>
  </si>
  <si>
    <t>B0CJFQXC1P</t>
  </si>
  <si>
    <t>PARD Night Vision Monocular, Digital Night Vision Goggles for Wildlife Viewing, Hunting &amp; Outdoor. IR Illuminator with 200m, 1024 * 768px, Photos and Videos Playback, WiFi. NV009-850nm</t>
  </si>
  <si>
    <t>B0D1C2X9W7</t>
  </si>
  <si>
    <t>B0D3Z8LV1Y</t>
  </si>
  <si>
    <t>TOP NVG NVGRA-14 Night Vision Goggle Recording Adapter (NVGRA)</t>
  </si>
  <si>
    <t>B0D92PHT6W</t>
  </si>
  <si>
    <t>Jeekootoop Tactical Airsoft Hunting Dummy AN/PVS31 Night Vision Goggles with Helmet Mount, No Function Binoculars Night Vision NVG Model Cosplay Prop (Tan)</t>
  </si>
  <si>
    <t>B0DQV8RFJ2</t>
  </si>
  <si>
    <t>Infrared Night Vision Goggles, 4K 8X Digital Zoom Night Vision Binoculars for Adults, Nightvision Goggles with Camera and 5000mAh Charging Batteries, HD Nvg Goggles 5 Inch Screen</t>
  </si>
  <si>
    <t>B0F4XH7YSC</t>
  </si>
  <si>
    <t>Compound Bow Night Vision,4K Monocular Goggle with Photo/Video for Compound Bow/Dual Purpose Bow Hunting (Night Vision+Mounting Bracket)</t>
  </si>
  <si>
    <t>B0DB5GS3FF</t>
  </si>
  <si>
    <t>Night Vision Goggles,Head-Mounted Night Vision Goggles with Elastic Head Strap,4K Hd Infrared Waterproof with 8X Digital Zoom 1.4 in Hd Screen,3000mAh Rechargeable Lithium Battery for Camping</t>
  </si>
  <si>
    <t>B0CKYMVYTK</t>
  </si>
  <si>
    <t>Sheawasy Night Vision Monocular, 1080p Infrared Monocular for 100% Darkness, 32GB Included, Travel, Camping, Hunting, Surveillance</t>
  </si>
  <si>
    <t>B0DCWT2N81</t>
  </si>
  <si>
    <t>WILDGAMEPLUS NVG30 Wide Angle Optical Lens Kit, Aluminum 50° FoV Wide Angle Lens for NVG30 /NVG50 Night Vision Goggles,Protect Box/Lens Cap/Cloth Pocket/Cleaning Cloth/Manual Included WG-NVG30LS</t>
  </si>
  <si>
    <t>B0D92PB7BT</t>
  </si>
  <si>
    <t>Jeekootoop Tactical Airsoft Hunting Dummy AN/PVS31 Night Vision Goggles with Helmet Mount, No Function Binoculars Night Vision NVG Model Cosplay Prop (Black)</t>
  </si>
  <si>
    <t>B0DFFM32N5</t>
  </si>
  <si>
    <t>3.5x32 Digital Night Vision Scope for 22lr Ruger 10/22 (MS-32)</t>
  </si>
  <si>
    <t>B0D15214GQ</t>
  </si>
  <si>
    <t>Jeekootoop Tactical Airsoft Hunting Dummy Night Vision Goggles with Helmet Mount for PVS15/PVS18/GPNVG18, No Function Binoculars Night Vision Cosplay Prop (Tan)</t>
  </si>
  <si>
    <t>B0DL4DDHY7</t>
  </si>
  <si>
    <t>Keetopteep Tactical Airsoft Hunting AN/PVS31 Dummy Night Vision Goggles Model with Mount, No Function Night Vision Binoculars &amp; Goggles for Tactical Helmet NVG Mount, Cosplay Prop (Black)</t>
  </si>
  <si>
    <t>B0FQNXK2K3</t>
  </si>
  <si>
    <t>NoctiView Night Vision Goggles, 4K Night Vision Binoculars for Adults with 5000mAh Battery, 3" HD Screen &amp; 32GB Card for Hunting, Wildlife Observation, Security</t>
  </si>
  <si>
    <t>B0CFJRR7YH</t>
  </si>
  <si>
    <t>WISHBETY Night Vision Goggles,4K Night Vision Binoculars for Adult with 3.5" HD Screen,32GB TF Card for Photo and Video,9 Gear Infrared and 10X Digital Zoom for Outdoor Enthusiasts and Animal Watchers</t>
  </si>
  <si>
    <t>B09R3LJZKL</t>
  </si>
  <si>
    <t>OWLNV Night Vision Digital Rifle Scope, HD Day &amp; Night Hunting Riflescope Monocular with Rangefinder, WiFi, Gyroscope&amp;E-Compass, IR Illuminator 940nm, iOS &amp; Android Apps Waterproof L3-LRF</t>
  </si>
  <si>
    <t>B0BR39JWFC</t>
  </si>
  <si>
    <t>Bozily Night Vision Goggles, 4.5'' HD Screen 4K Night Vision Binoculars, 4000mAH Rechargeable 7 Levels Infrared Binoculars for Adults with 8X Digital Zoom/32GB TF Card for Camping Wild Explore</t>
  </si>
  <si>
    <t>B087S8LTDM</t>
  </si>
  <si>
    <t>Stealth CAM Shockproof No-Slip 3x20mm HQ Objective Lens High-Resolution 9X Infrared Filter Low Light Night Hunting Digital Monocular</t>
  </si>
  <si>
    <t>B0C2T48VZG</t>
  </si>
  <si>
    <t>oneleaf.ai Find NV200 True 4K 50mm Day/Night Vision Binoculars</t>
  </si>
  <si>
    <t>B08PV7RDCC</t>
  </si>
  <si>
    <t>KOLINLOV Digital Night Vision Monocular Scope Camera for Complete Darkness, Hunting Infrared Night Vision Rifle Scope Take Photos and Videos with 32GB Memory Card Megaorei 3</t>
  </si>
  <si>
    <t>B0BH1M4Y6N</t>
  </si>
  <si>
    <t>Armasight PVS-14 3X Lens</t>
  </si>
  <si>
    <t>B07P6DD49W</t>
  </si>
  <si>
    <t>HME COYOTE LIGHT Pro Durable Lightweight Portable Adjustable Intensity Rechargeable Night Vision Hunting Flashlight | Batteries, Case, Handle, 1" Scope Mount &amp; Charger Included, Green LED</t>
  </si>
  <si>
    <t>B08BTYNMDX</t>
  </si>
  <si>
    <t>DIY 720p Digital Video Recording Hunting Night Vision Rifle Scope Monocular Camera VCR with LCD Display, 850nm Infrared IR Flashlight for Tactical Hunting (MicroSD Card &amp; Battery NOT Included)</t>
  </si>
  <si>
    <t>B0DHGJKVM8</t>
  </si>
  <si>
    <t>Night Vision Goggles, 4K Night Vision Binoculars 3.2" HD Display and 32GB TF Card, can Store Photo and Video, 7 Gear Night Vision, 8X Digital Zoom for Outdoor Enthusiasts and Wildlife Watching</t>
  </si>
  <si>
    <t>B09W9LY8Z4</t>
  </si>
  <si>
    <t>Night Vision Goggles, 4K Infrared Night Vision Binoculars with Adults, 3'' Large HD Night Vision Binoculars，Rechargeable Battery and 32GB TF Card for Outdoor Camping</t>
  </si>
  <si>
    <t>B0FS6H77GW</t>
  </si>
  <si>
    <t>Night Vision Binoculars for Adults with Infrared | 20× Zoom Digital Night Vision Goggles with 4K Photos, 984ft Long Range, HD 3″ Screen, Rechargeable Battery – Best for Hunting, Wildlife, Surveillance</t>
  </si>
  <si>
    <t>B0DSJ35HKG</t>
  </si>
  <si>
    <t>4K Night Vision Goggles, Night Vision Binoculars, 5000mAh/18-Hour Long-Lasting Infrared Binoculars, 8X Digital Zoom and 32GB Memory Card.</t>
  </si>
  <si>
    <t>B0FFSB615H</t>
  </si>
  <si>
    <t>Night Vision Goggles, 4K Full-Color autofocus Night Vision Binoculars for Adults,Large-Capacity Rechargeable Battery with 32GB TF Card, 20X Digital Zoom，Suitable for Camping &amp; Fishing</t>
  </si>
  <si>
    <t>B0DP2NKDKP</t>
  </si>
  <si>
    <t>Night Vision Goggles, Head Mounted Night Vision Binoculars for Adults, with Flashlight, 4K Infrared Digital Night Vision, 3000mAH Rechargeable Battery, 1312FT, 32GB SD Card</t>
  </si>
  <si>
    <t>B0CVXSRF52</t>
  </si>
  <si>
    <t>CoxiVision 4K Night Vision Goggles - 3.1'' HD Screen, 5X Digital Zoom, 7-Level IR Illuminator Binoculars with 64GB Memory Card and Detachable 4400mAh Battery - Day and Night Photo and Video Recording</t>
  </si>
  <si>
    <t>B0G349P6M2</t>
  </si>
  <si>
    <t>4K Night Vision Binoculars with Range Finder for Adults – Infrared Night Vision Goggles with 8× Zoom, 36MP Photo &amp; 4K Video Recording – for Hunting, Camping, Wildlife &amp; Home Security</t>
  </si>
  <si>
    <t>B07347VBG3</t>
  </si>
  <si>
    <t>DLP Tactical Universal NVG Mount Shroud – Fits 1-Hole &amp; 3-Hole Helmets – ACH MICH OPS-Core Fast Crye AirFrame – Wilcox Norotos Compatible – for Night Vision Headlamps Cameras (Black)</t>
  </si>
  <si>
    <t>B0DS8BQF7K</t>
  </si>
  <si>
    <t>WARMOUNTS 4K Night Vision Goggle for Adults, Night Vision Binocular with 3.2 Inner HD Display, 36MP Photos, 8X Digital Zoom,7 Level IR, Rechargeable, for Camping, Hunting, Security (Incl. 32GB Card)</t>
  </si>
  <si>
    <t>B0CSKD3P3K</t>
  </si>
  <si>
    <t>M. A. C.® Night Vision Goggles – 4K HD Infrared Night Vision Binoculars with 5X Digital Zoom, 3" Screen, Rechargeable Battery (Black)</t>
  </si>
  <si>
    <t>B0FHWVJ38L</t>
  </si>
  <si>
    <t>Oaktiv Night Vision Goggles for Adults with 64GB Card – 8X Zoom, IR Flashlight, 48MP Camera, USB-C, Waterproof Design, 10,000mAh Battery</t>
  </si>
  <si>
    <t>B0D2ZSRK4V</t>
  </si>
  <si>
    <t>AN/PVS31 NVG Dummy Model,No Function Binocular Night Vision Goggle Model with Battery Case,for Tactical Hunting Cosplay</t>
  </si>
  <si>
    <t>B0CLXPQS8Z</t>
  </si>
  <si>
    <t>MIRAGETARGET L4 G24 Rhino Mount PVS 14 NVG Mount Night Vision Goggles Helmet Mount Compatible with All Models of PVS 15/PVS 18 (Black)</t>
  </si>
  <si>
    <t>B0G1S9W9DF</t>
  </si>
  <si>
    <t>Night Vision Goggles with Dual Infrared, 50mm Long-Range Digital Night Vision Device, Built-in Flashlight, Handheld/Head-Mounted/Tripod Compatible for Hunting, Camping &amp; Night Patrol (No SD Card)</t>
  </si>
  <si>
    <t>B0FMXCL7F2</t>
  </si>
  <si>
    <t>NVG Mount for L4G24 Metal Helmet Mount PVS15/18 Night Vision Goggles Mount</t>
  </si>
  <si>
    <t>B0F5X4GVH3</t>
  </si>
  <si>
    <t>Optics Binocular Glasses, 3X Zoom Opera Glasses, Binoculars Glasses with Polarized Lens, Fishing Binoculars Tool, for Fishing Bird Watching</t>
  </si>
  <si>
    <t>B0CP2F3SYY</t>
  </si>
  <si>
    <t>Night Vision Goggles, 4K Night Vision Binoculars Gift for Men Adult, 3" Large Screen, 8X Digital Zoom, Adjustable IR Light, Viewing up to 650FT in Total Darkness, 32GB Card for Camping, Hunting</t>
  </si>
  <si>
    <t>B0DLSTK889</t>
  </si>
  <si>
    <t>WGFXYBFY PVS-14 Helmet Mounted Night Vision Scope Infrared Night Vision Monocular for Adults 2X Magnification Can Be Used During The Day and at Night for Camping &amp; Surveillance</t>
  </si>
  <si>
    <t>B0DDWWCGNM</t>
  </si>
  <si>
    <t>Day and Night Vision Binoculars for Kids, Toddler IR Googles,Birthday Gifts for Toddler Boys 6-12 Years, Digital Night Vision Goggles for Kids, Binoculars 8-12 Years</t>
  </si>
  <si>
    <t>B0BYHPZ564</t>
  </si>
  <si>
    <t>oneleaf.ai Commander NV100 HD Night Vision Goggle, Clip on Night Vision Monocular for Hunting/Observations- 16MM</t>
  </si>
  <si>
    <t>B0D9NKBWJJ</t>
  </si>
  <si>
    <t>SKIOVEMI PVS-14 Head Mounted Patrol Infrared Night Vision, 2X28 Tactical Digital Monocular for Helmet, Built-in IR Illumination</t>
  </si>
  <si>
    <t>B0D1QZZDD3</t>
  </si>
  <si>
    <t>GPNVG 18 Dummy Model Night Vision Goggles - Non-Functional Four-Tube Binocular Prop with NVG Mount for Tactical Helmet and Cosplay (Tan)</t>
  </si>
  <si>
    <t>B0BX9T4JK6</t>
  </si>
  <si>
    <t>BEESOM PVS-14 Night Vision Goggles, Digital Night Vision for Dark, Infrared Monocular for Hunting, Camping, Travel</t>
  </si>
  <si>
    <t>B0DLBHT26M</t>
  </si>
  <si>
    <t>Tactical Night Vision Goggles Model PVS15 with Adjustable Helmet Mount for Cosplay and Display, No Function (Tan)</t>
  </si>
  <si>
    <t>B0DRC4JRKW</t>
  </si>
  <si>
    <t>NoctiView 4K Night Vision Binoculars–8X Zoom, 40MP Photos, 5000mAh Battery, 13° FOV, 3” Display, 800M Range, 3 IR Levels, 128GB Storage – Gift Set with Compass &amp; Pouch for Camping and Wildlife.</t>
  </si>
  <si>
    <t>B09VGPBNN3</t>
  </si>
  <si>
    <t>Grey Bear Night Vision Star Goggles, 9X Infrared Binoculars, IP54 for Wildlife Observation, Camping, Hiking, Security, View Range 1248ft at Day &amp; 591ft in Total Darkness</t>
  </si>
  <si>
    <t>B0F6YRSSW6</t>
  </si>
  <si>
    <t>Hunting Night Vision Scope, Infrared Monocular, Night Sight with Zoomable Built-in IR Flashlight and 1.2inch AMOLED Screen, Adjustable Reticle and x5 Digital Magnification (Without Battery)</t>
  </si>
  <si>
    <t>B0D1CFR16B</t>
  </si>
  <si>
    <t>YSS NVG Mount Aluminum J-ARM Night Vision Mount PVS 14 Dovetail Mount Night Vision Goggles Helmet Adapter Black</t>
  </si>
  <si>
    <t>B0FHHPFB5M</t>
  </si>
  <si>
    <t>WOSPORTS 4K Night Vision Goggles with 48MP Photo, 3280ft Full Color Vision, 1300ft IR Distance, 3" HD Screen, 10X Optical Zoom, 5000mAh Battery, Binoculars for Wildlife Observation, Gifts for Men</t>
  </si>
  <si>
    <t>B0DGT9WM5P</t>
  </si>
  <si>
    <t>ESSLNB Night Vision Monocular, 6x32 Night Vision Infrared Monocular, Portable Digital Night Vision Scopes for Day &amp; Night Camping, Surveillance, 1080P Full HD Photo &amp; Video</t>
  </si>
  <si>
    <t>B0DLK3QD75</t>
  </si>
  <si>
    <t>Night Vision Binoculars Digital Goggles - 4K Night Vision Binoculars for Adults Kids with HD Large Screen 32gb Card Infrared Rechargeable Binoculars Night Vision and Day for Kids 9-12 10-12</t>
  </si>
  <si>
    <t>B0F7WHD1K3</t>
  </si>
  <si>
    <t>Night Vision Goggles Head Mounted for Adults, 1312FT Rechargeable Infrared Digital Binoculars, 2.7"Large Screen, 8X Digital Zoom, 7-Level Infrared, Night-Vision Goggles with 32GB TF Card, Head Strap</t>
  </si>
  <si>
    <t>B0F4PHWT3C</t>
  </si>
  <si>
    <t>4k HD Night Vision Goggles,Compound Bow Sights Digital Crosshair Monocular Bow Sight for Observing Animals at Night Ideal for Hiking &amp; Camping</t>
  </si>
  <si>
    <t>B0FW57H3YF</t>
  </si>
  <si>
    <t>Night Vision Goggles for Adults, 4K Night Vision Binoculars 8X Zoom &amp; 5000mAh Rechargeable Battery, 3" HD Screen &amp; 32GB Card, Infrared Vision, Infrared Binoculars for Hunting, Camping &amp; Security</t>
  </si>
  <si>
    <t>B0GGXZ1GJC</t>
  </si>
  <si>
    <t>Night Vision Goggles, 4K Night Vision Binoculars, 3'' HD Screen &amp; 10X Digital Zoom, 5000mAh Battery and 32GB TF Card, 1500FT Viewing Range for Camping &amp; Security</t>
  </si>
  <si>
    <t>B07S95NTNM</t>
  </si>
  <si>
    <t>HME COYOTE LIGHT Pro Durable Lightweight Portable Adjustable Intensity Rechargeable Night Vision Hunting Flashlight | Batteries, Case, Handle, 1" Scope Mount &amp; Charger Included, White LED</t>
  </si>
  <si>
    <t>B0FJ6GBJ1T</t>
  </si>
  <si>
    <t>Night Vision Goggles with 3'' HD Screen – Night Vision Binoculars for Adults, Capture Photo &amp; Video, 7000mAh Rechargeable Battery, Digital Zoom Infrared Gear for Hunting &amp; Camping</t>
  </si>
  <si>
    <t>B0FDJYCMDQ</t>
  </si>
  <si>
    <t>NVG30 Night Vision Wide-Angle Lens Goggles,50°Wide Angle Optical Lents Kit for NVG50 Night Vision Goggles,NVG30,NVG50</t>
  </si>
  <si>
    <t>B0DZ1Z6M2N</t>
  </si>
  <si>
    <t>okyass Night Vision PVS-14 Disassembly Tool Set Removal and Installation Wrench for PVS14, BNVD1431, DTNVS, and ABMOD3 (Aluminum)</t>
  </si>
  <si>
    <t>B0DFY5V6BD</t>
  </si>
  <si>
    <t>Cosplay &amp; Airsoft Prop: GPNVG 18 Dummy Night Vision Goggles, Non-Functional 4-Tube Binocular Model with Helmet Mount (Black)</t>
  </si>
  <si>
    <t>B0DPKY3PC6</t>
  </si>
  <si>
    <t>Night Vision Goggles - 4K Night Vision Binoculars for Adults, 5000mAh Rechargeable Infrared Binoculars with 3'' HD Screen, 32GB MicroSD Card Included, Ideal for Camping &amp; Adventure, Black</t>
  </si>
  <si>
    <t>B0D5Y3XCXZ</t>
  </si>
  <si>
    <t>WARMTUYO Night Vision Goggles, 9 Gear Night Vision Binoculars, 4K Binoculars with Camera, 4000mAh Battery Nightvision, 10X Digital Zoom, 3.5" HD Display and 32GB TF Card</t>
  </si>
  <si>
    <t>B0FNBNZXZG</t>
  </si>
  <si>
    <t>Night Vision Goggles Mount CNC Metal for l4g24 NVG Mount Adjustable Aluminum Helmet Mounts for PVS15/PVS18 Tactical Night Vision Goggles Head Mounted (Black)</t>
  </si>
  <si>
    <t>B0D814JVTN</t>
  </si>
  <si>
    <t>HangTon Power Adapter Cable for PVS-31 Battery Pack to Wilcox GSGM ANVIS AVS-6/9 DPAM AN/PVS-23 AN/PVS31 Night Vision Goggles, Fischer 4 pin to Lemo 4 pin 20"</t>
  </si>
  <si>
    <t>B0FQNCR33D</t>
  </si>
  <si>
    <t>4K Night Vision Goggles,Head-Mounted Night Vision Binoculars with 8X Digital Zoom, Rechargeable Infrared Goggles with Screen for Viewing 984ft in 100% Darkness FHD Video for Adult（64GB TF）</t>
  </si>
  <si>
    <t>B0C467Z5YL</t>
  </si>
  <si>
    <t>E.T Dragon NVG Mount Night Vision Goggles PVS 14 J Arm Metal Helmet Mount Rhino Mount Compatible with All Models of PVS14</t>
  </si>
  <si>
    <t>B01KMKUNCW</t>
  </si>
  <si>
    <t>Superior Tactical ST MILSPEC U.S. Army PVS-14 and PVS-7 J-Arm</t>
  </si>
  <si>
    <t>B0DTHKXTSB</t>
  </si>
  <si>
    <t>D Lolylad Night Driving Glasses for Men Women- Polarized anti Glare Night Time Driving Glasses for Night Vision</t>
  </si>
  <si>
    <t>B0C8HVNJJT</t>
  </si>
  <si>
    <t>Hunting Night Visions NVG L4G24 Mount, Fast OPS Helmet Nylon NVG Mounting for PVS15 PVS18 PGPNVG18 Night Vision Goggle</t>
  </si>
  <si>
    <t>B0DFYMTLWD</t>
  </si>
  <si>
    <t>SKIOVEMI Digital Night Vision Goggles, 3D 36MP 4K Night Vision Binoculars Head-Mounted with 32GB Memory Card to Save Photos/Videos, 8X Digital, 7 Gear Infrared</t>
  </si>
  <si>
    <t>B0DSVR2WJF</t>
  </si>
  <si>
    <t>Night Vision Goggles,4K Night Vision Binoculars for Adults,3" HD Screen,6X Digital Zoom,Photos and Video Record Support Playback,6000mAh Rechargeable Battery,Outdoor Camping Gift for Adults with 32GB</t>
  </si>
  <si>
    <t>B0CZ15P818</t>
  </si>
  <si>
    <t>Pulsar 3x20 Monocular PL71014 Pulsar 3x20 B Thermal Night Vision Monocular Adapter for Krypton and Proton Thermal Imaging Front attachments Devices</t>
  </si>
  <si>
    <t>B0G586QD8F</t>
  </si>
  <si>
    <t>4K Night Vision Goggles, Night Vision Binoculars with Rangefinder, 3.2" HD Screen, 5000mAh Rechargeable Battery, 32GB TF Card for Adults, Camping, Wildlife Observation</t>
  </si>
  <si>
    <t>B0CGL1GMMS</t>
  </si>
  <si>
    <t>AZB Tactical Helmet Night Vision Goggles Mount L4G24 NVG Mount for PVS 15/18 GPNVG18</t>
  </si>
  <si>
    <t>B09T3D1226</t>
  </si>
  <si>
    <t>BLUPOND Set of 2 HD Day and Night Driving Glasses for Men and Women - Polarized Sport Sunglass and Yellow Night Vision Glass With Car Clip Holder (1 Yellow Lens + 1 Black Lens)</t>
  </si>
  <si>
    <t>B0CXSS18J7</t>
  </si>
  <si>
    <t>GTHUNDER 4K Night Vision Goggles, 4000mAH Rechargeable Infrared Digital Night Vision Binoculars, 32GB Card for Video and Photo</t>
  </si>
  <si>
    <t>B0DY786RDZ</t>
  </si>
  <si>
    <t>Gaderth Night Vision Monocular,1080p Infrared Monocular,7-Level Adjustable Long Distance Digita Monocular,R7 Digital Full High Defini Night Vision Goggles for Hunting, Camping, Travel</t>
  </si>
  <si>
    <t>B0DHCJJF49</t>
  </si>
  <si>
    <t>Night Vision Goggles,Pozifu 4K Night Vision Binoculars with 3.2" HD Screen,8X Digital Zoom,64GB TF Card,5200mAh Battery for Hunting,Camping &amp; Security (Black)</t>
  </si>
  <si>
    <t>B0FFRZTJ15</t>
  </si>
  <si>
    <t>Night Vision Goggles, 4K Full-Color Night Vision Binoculars for Adults,Large-Capacity Rechargeable Battery with 32GB TF Card, 20X Digital Zoom &amp; 3'' Large Screen，Suitable for Camping &amp; Fishing</t>
  </si>
  <si>
    <t>B0DRW57HHD</t>
  </si>
  <si>
    <t>Night Vision Goggles, Hunting Binoculars for Adults, Rechargeable Thermal Binoculars with 10X Digital Zoom,7 IR Levels,32GB TF Card and HD Screen,Capable of Saving Photos Videos for Camping &amp; Security</t>
  </si>
  <si>
    <t>B0CGKZDQSH</t>
  </si>
  <si>
    <t>Tactical Helmet Night Vision Goggles Mount L4G24 NVG Mount for PVS 15/18 GPNVG18</t>
  </si>
  <si>
    <t>B0D251MVJ6</t>
  </si>
  <si>
    <t>Airsoft Tactical GPNVG 18 Night Vision Goggles Dummy Binoculars No Function NVG Model for Tactical Decoration (TAN)</t>
  </si>
  <si>
    <t>B09ZYDBR1L</t>
  </si>
  <si>
    <t>FMA Tactical AVS9 Helmet Night Vision Goggle NVG Battery Box Case with Wire Functional Version</t>
  </si>
  <si>
    <t>B0DSLBJ56F</t>
  </si>
  <si>
    <t>DOOCK Night Vision Goggles, Full-Color 4K Night Vision Binoculars with 5200mAh Rechargeable, 8X Digital Zoom, 4K UHD Video &amp; 52MP Image, Infrared NVG Goggles for Camping Hunting &amp; Security (Black)</t>
  </si>
  <si>
    <t>B0D25LCQSZ</t>
  </si>
  <si>
    <t>Airsoft Tactical GPNVG 18 Night Vision Goggles Dummy Binoculars No Function NVG Model for Tactical Decoration (Black)</t>
  </si>
  <si>
    <t>B0B754R4QF</t>
  </si>
  <si>
    <t>Bush Furniture Cabot 60W Single Pedestal Desk and Hutch, White</t>
  </si>
  <si>
    <t>Home Office Desks</t>
  </si>
  <si>
    <t>Extra-large 150+ lb</t>
  </si>
  <si>
    <t>B0CLM7NPK1</t>
  </si>
  <si>
    <t>SUZLAZYR 850nm Infrared Digital LED IR Night Vision Scope Cameras Night Vision Monocular with 4.3 inch Screen for Outdoor Hunting Device</t>
  </si>
  <si>
    <t>B0FQ5R9BJV</t>
  </si>
  <si>
    <t>Night Vision Goggles - 5K Night Vision Binoculars for Adults, 10X Digital Zoom, 4'' UHD IPS Screen and 64GB TF Card for Photos and Videos Perfect for Outdoor Camping and Wildlife Observation</t>
  </si>
  <si>
    <t>B0DQNCL88B</t>
  </si>
  <si>
    <t>4K Night Vision Goggles - Night Vision Binoculars for Adult, 10X Digital Zoom, 3'' HD Screen, Up to 1640FT Viewing Range, with 64GB TF Card to Save Photos Videos, Camping Hiking Security Gifts for Men</t>
  </si>
  <si>
    <t>B07346BM63</t>
  </si>
  <si>
    <t>DLP Tactical Universal NVG Mount Shroud – Fits 1-Hole &amp; 3-Hole Helmets – ACH MICH OPS-Core Fast Crye AirFrame – Wilcox Norotos Compatible – for Night Vision Headlamps Cameras (Green)</t>
  </si>
  <si>
    <t>B0D2ZRPV57</t>
  </si>
  <si>
    <t>Helmets</t>
  </si>
  <si>
    <t>B0F5BDD9BC</t>
  </si>
  <si>
    <t>Aileway NVG PVS14 Mount for PVS14/15/18 Night Vision Goggles Adjustable L4G24 CNC Mounts Metal Aluminum NVG Helmet Front Bracket Mount for Hunting/Game - Sand</t>
  </si>
  <si>
    <t>B0CCJ4VSXK</t>
  </si>
  <si>
    <t>booiu L4G24 Night Vision Goggle Mount for PVS15/PVS18/GPNVG18 - Adjustable Aluminum Alloy Tactical Helmet Mount, Cosplay Prop (Sand)</t>
  </si>
  <si>
    <t>B0G1S863CZ</t>
  </si>
  <si>
    <t>Dual Infrared Night Vision Goggles, 50mm Long Range Digital Night Vision Device with Built-in Flashlight, Handheld, Head-Mounted &amp; Tripod Compatible for Hunting &amp; Security(with Card)</t>
  </si>
  <si>
    <t>B0DXVC81J3</t>
  </si>
  <si>
    <t>Night Vision Goggles Night Vision Binoculars for Total Darkness,Best Gifts for Men Him Dad Husband Boyfriend, Gear for Hunting and Camping(Full-Color Black)</t>
  </si>
  <si>
    <t>B01KZICJAK</t>
  </si>
  <si>
    <t>SHINU Night Vision Clip On UV400 Yellow Lenses Blue Light Blocking Clip-on(Night Vision Yellow Lens)</t>
  </si>
  <si>
    <t>B0FMXCY2NP</t>
  </si>
  <si>
    <t>Full-Color Night Vision Binoculars for Adults with 3.2" Screen, 4K Night Vision Goggles with 8X Digital Zoom, Long-Range IR, Rechargeable Battery, for Wildlife Observation, Camping &amp; Home Security</t>
  </si>
  <si>
    <t>B0CRF4QLZJ</t>
  </si>
  <si>
    <t>LEESEN PVS-14 Light Weight Dual Tube Mounting System Set IC AN/PVS-14LW，Night Vision Goggles Night Vision Adapter for PVS-14 Night Vision Binoculars Binocular - Fully Anodized Aluminum Alloy, Black</t>
  </si>
  <si>
    <t>B0D14RVFJ6</t>
  </si>
  <si>
    <t>Night Vision Goggles, 2K Video Clarity, 10X Digital Zoom, 2.4" TFT Screen, 850nm Infrared Light, 32GB Storage, Rechargeable Battery, Outdoor Adventures, Camping, Travel</t>
  </si>
  <si>
    <t>B0FJG77NT9</t>
  </si>
  <si>
    <t>Tactical Night Vision Goggles Model Support Fold Sideways with Adjustable Helmet Mount for PVS15/PVS18/GPNVG18, No Function (Black)</t>
  </si>
  <si>
    <t>B0CMZNVBZG</t>
  </si>
  <si>
    <t>M5 Night Vision Scope, Infrared Digital Night Vision Monocular FHD 1080P Hunting Surveillance in Total Darkness, 32GB Memory Card for Photo and Video Storage</t>
  </si>
  <si>
    <t>B07342FMJY</t>
  </si>
  <si>
    <t>DLP Tactical Universal NVG Mount Shroud – Fits 1-Hole &amp; 3-Hole Helmets – ACH MICH OPS-Core Fast Crye AirFrame – Wilcox Norotos Compatible – for Night Vision Headlamps Cameras (Tan)</t>
  </si>
  <si>
    <t>B0DJVYNKXM</t>
  </si>
  <si>
    <t>Miasazyr PVS14 Eyepiece Rear Lens PVS1431 PVS69 Eyepiece 40 Degrees 26mm 1X NVG Eyepiece PVS 14 Night Vision Lens Binocular/Monocular Lightweight Design,Black</t>
  </si>
  <si>
    <t>B01JM8HF2Q</t>
  </si>
  <si>
    <t>KDSG Objective Lens Cap/Cover, Daytime Training Filter (DTF), Protective Dust Cover for PVS-14, PVS-7B/D, 6015 etc</t>
  </si>
  <si>
    <t>Small Standard-Size</t>
  </si>
  <si>
    <t>B00MN5GAM2</t>
  </si>
  <si>
    <t>Walters 4x12 Monocular, 1.25 Inch Aperture, Manual Focus, 12.5 Degrees FOV, Beginner, Adults, Unisex</t>
  </si>
  <si>
    <t>B0CHYM2SXF</t>
  </si>
  <si>
    <t>WARMTUYO Night Vision Goggles 4K Binoculars with Camera, 9 Gear Night Vision, 10X Digital Zoom, 4000mAh Battery Nightvision, 3" HD Display and 32GB TF Card</t>
  </si>
  <si>
    <t>B01IUENHNE</t>
  </si>
  <si>
    <t>KDSG Night Vision Headmount Assembly for AN/PVS-7 B/D, AN/PVS-14, 6015, 6010, PVS-18 NVG NVD</t>
  </si>
  <si>
    <t>B0DFY4RYY5</t>
  </si>
  <si>
    <t>Cosplay &amp; Airsoft Prop: GPNVG 18 Dummy Night Vision Goggles, Non-Functional 4-Tube Binocular Model with Helmet Mount (Tan)</t>
  </si>
  <si>
    <t>B0DB5HXBMK</t>
  </si>
  <si>
    <t>Night Vision Goggles,Head-Mounted Night Vision Goggles with Elastic Head Strap,4K Hd Infrared Waterproof with 8X Digital Zoom 1.4 in Hd Screen,3000mAh Rechargeable Lithium Battery for Camping (32GB)</t>
  </si>
  <si>
    <t>B0D8T7TBPT</t>
  </si>
  <si>
    <t>Miasazyr Head-Mounted Night Vision Goggles - Hands Free Night Vision Binoculars for Adults, 1312FT Digital Infrared Goggles with White Light Lamp, 8X Digital Zoom, Include 32GB SD Card</t>
  </si>
  <si>
    <t>B0DS8CTNYH</t>
  </si>
  <si>
    <t>WARMOUNTS 4K Night Vision Goggle for Adults, Night Vision Binocular with 4.5'' HD Display, 36MP Photos, 8X Digital Zoom,7 Level IR, Rechargeable, for Camping, Hunting, Security (Incl. 32GB Card)</t>
  </si>
  <si>
    <t>B0D5LQ47GN</t>
  </si>
  <si>
    <t>WISHBETY Night Vision Goggles,4K Night Vision Binoculars for Adults,3.5 Inch Screen,9 Levels IR Mode and 10X Digital Zoom for Outdoor Enthusiasts and Animal Watchers,32GB TF Card for Photos and Videos</t>
  </si>
  <si>
    <t>B0DLBKYWNX</t>
  </si>
  <si>
    <t>Tactical Night Vision Goggles Model PVS15 with Adjustable Helmet Mount for Cosplay and Display, No Function (Black)</t>
  </si>
  <si>
    <t>B0DYDXXJNM</t>
  </si>
  <si>
    <t>Tactical Night Vision Goggles Model GPNVG18 with Adjustable Helmet Bracket NVG Mount for PVS15/PVS18/GPNVG18, No Function (Black)</t>
  </si>
  <si>
    <t>B0DKJKWY24</t>
  </si>
  <si>
    <t>Night Vision Monocular with Full-Color, Digital Night Vision with 1500M Range with 850NM IR, 10X Digital Zoom, 7-Layer Coated Lens, 64GB TF Card, 5H Battery, IPX4 Waterproof for Outdoor Surveillance</t>
  </si>
  <si>
    <t>B0G76F8PQZ</t>
  </si>
  <si>
    <t>2026 New Compact 4K Night Vision Goggles with Rechargeable Battery,TF Card for Save Photo&amp;Video,3 inch HD Display Screen Lightweight 10x Night Vision Binocular for Hunting Camping&amp;Security-Green</t>
  </si>
  <si>
    <t>B0FNQMHG35</t>
  </si>
  <si>
    <t>3D VR Night Vision Goggles - Night Vision Binoculars for Adults with Electronic Compass, Rechargeable Binoculars Dual-Lens Diopter Adjustment for Outdoor Enthusiasts and Animal Watchers</t>
  </si>
  <si>
    <t>B0DZX6V2JQ</t>
  </si>
  <si>
    <t>Night Vision Goggles True 4K Rechargeable IR Night Vision Binoculars Day Night Use with Photo &amp; Video Digital Zoom Infrared Full-Color Monocular Compact Binoculars High Powered for Adults</t>
  </si>
  <si>
    <t>B0DCDTXXDM</t>
  </si>
  <si>
    <t>CANIS SPORT INC New Reinforced Upgraded Version Night Vision Bridge with Adjustable Field of View for pvs14 Support 2 Optical Night Visions or 1 Digital Night Vision (British Standard) (TAN)</t>
  </si>
  <si>
    <t>B0F2T6Q862</t>
  </si>
  <si>
    <t>SKIOVEMI 850Nm Day/Night Vision Monocular, Digital Night Vision Scope Video Camera with 4.3 Inch LCD Display and 850Nm Infrared IR Flashlight (Battery NOT Included)</t>
  </si>
  <si>
    <t>B0FHQQXXMK</t>
  </si>
  <si>
    <t>Night Vision Goggles, 4K Night Vision Binoculars for Adults with 4.5" HD Display, 8X Digital Zoom, 36MP Photo &amp; Video, 32GB Card Included, 1312ft Full-Dark Viewing for Hunting, Camping &amp; Security</t>
  </si>
  <si>
    <t>B0DK2KPKW8</t>
  </si>
  <si>
    <t>CASEMATIX Thermal Vision Monocular Case Compatible with Flir Scout TKx Thermal Monocular for Hunting and Night Vision Scopes - 8.5" x 4.0" x 3.5"</t>
  </si>
  <si>
    <t>B0DLKRNCDJ</t>
  </si>
  <si>
    <t>JAZOON 30x60 Compact Binoculars for Adults and Kids – High Powered Binoculars with Low Light Night Vision, Foldable and Lightweight for Bird Watching, Travel, Hunting, Sports</t>
  </si>
  <si>
    <t>B0FSQJP412</t>
  </si>
  <si>
    <t>ZOOTEALY 4K Night Vision Binoculars for Adults: 48MP Infrared Night Vision Goggles with 4.0" Screen - 10X Digital Zoom - 32GB Card - 2600FT Range - 5000mAh Battery for Camping Hunting &amp; Observation</t>
  </si>
  <si>
    <t>B0B3NFD471</t>
  </si>
  <si>
    <t>AUPABU IR Night Vision Binoculars for Adults Hunting, Wildlife, Camping and Surveillance 1312ft / 400m with 32GB TF Card and Case Record FHD Photo Video Night Vision Goggles</t>
  </si>
  <si>
    <t>B0DSZCRWWN</t>
  </si>
  <si>
    <t>YERGOFE Fishing Binoculars Tool - 3X to 6X Fishing Scope Glasses for Watching, Sports, Measure, and Sightseeing, Portable Scope</t>
  </si>
  <si>
    <t>B00OGSBM9K</t>
  </si>
  <si>
    <t>ITT Dual Battery Cartridge Assembly</t>
  </si>
  <si>
    <t>B0CPVJMSVR</t>
  </si>
  <si>
    <t>FMA Airsoft Hunting Tactical GPNVG18 Dummy Model Night Vision Goggles No Function Four-Tube Binoculars &amp; L4G19 NVG Helmet Mount Plastic Bracket Helmet Accessories for Tactical Hunting Cosplay (Black)</t>
  </si>
  <si>
    <t>B0D9C1SZHW</t>
  </si>
  <si>
    <t>Bewinner Professional Binocular Glasses, HD Clarity, Lightweight &amp; Portable, Adjustable Focus, 8x Zoom Telescope Glasses with CPL Filters for Fishing, Bird Watching, Sports, Concerts</t>
  </si>
  <si>
    <t>B0CVX5VTC7</t>
  </si>
  <si>
    <t>Anyork 4K Night Vision Binoculars,10X Digital Zoom Night Vision Goggles,Rechargeable Battery with Type-C Cable,can Save Photo and Video with 32GB Memory Card</t>
  </si>
  <si>
    <t>B0D83YFG1Y</t>
  </si>
  <si>
    <t>PINTY Night Vision Goggles, 4K UHD Digital Vision Scope with 5X Zoom 5000 mAh Rechargeable Battery, 4 in. Photo &amp; Video Recorder with 32GB Storage Card for Day &amp; Night Time Hunting Birdwatching</t>
  </si>
  <si>
    <t>B0DZ1ZY9RB</t>
  </si>
  <si>
    <t>okyass Night Vision PVS-14 Disassembly Tool Set Removal and Installation Wrench for PVS14, BNVD1431, DTNVS, and ABMOD3 (Steel)</t>
  </si>
  <si>
    <t>B0D48HN54R</t>
  </si>
  <si>
    <t>Mozeyerh Night Vision Goggles Mount NVG Mount PVS 14 J Arm Helmet Mount Compatible with All Models of PVS 14/PVS 15/PVS 18/PVS 7</t>
  </si>
  <si>
    <t>B0DQTW643C</t>
  </si>
  <si>
    <t>PVS18 Monocular NVG Dummy Model, Helmet Night Vision Goggles for Cosplay and Display, No Function</t>
  </si>
  <si>
    <t>B0DH23LF2Q</t>
  </si>
  <si>
    <t>1-10x24 Rifle Scope kit with LED Fast Electric Zoom Switch LPVO Tactical Scope Fast Zooming System 30MM with Crosshair</t>
  </si>
  <si>
    <t>B0F62D8S7V</t>
  </si>
  <si>
    <t>4K Night Vision Goggles, 1315 FT Night Vision Binoculars for Adults, Infrared Goggles for Hunter 8X Digital Zoom with 32GB TF Card for Photos and Videos, Ideal for Outdoor Camping Observation</t>
  </si>
  <si>
    <t>B0DPMMH6P2</t>
  </si>
  <si>
    <t>WGFXYBFY 4K Night Vision Goggles, Head Mounted Night Vision Monocular 8X Digital Zoom 7-Level Infrared with Wristband, Headband and 32GB TF Card to Photo and Video for Camping</t>
  </si>
  <si>
    <t>B0C85X6LNC</t>
  </si>
  <si>
    <t>Shanyingquan Tactical Helmet L4G24 NVG Base Mount, Universal NVG Bracket Holder, Goggle Night Vision Mount for PVS15, PVS18, GPNVG18</t>
  </si>
  <si>
    <t>B0BSFS82FT</t>
  </si>
  <si>
    <t>Worth 4 Dot Light, Worth 4 Light Test, Electronic Portable Eye Suppression Check Binocular 4 Dot Light for Children Adults Spectacles Store</t>
  </si>
  <si>
    <t>B0DG1DHWLW</t>
  </si>
  <si>
    <t>WGFXYBFY Head Mounted Night Vision Monocular,4K Night Vision Goggles for Adults,Built-in 3000mah Lithium Battery,for Camping and Surveillance,Black</t>
  </si>
  <si>
    <t>B0D1VCB52Z</t>
  </si>
  <si>
    <t>CANIS SPORT INC New Metal L4G24 Night-Vision arms Mount for PVS18+ Tactical 3-Hole Night Vision NVG Mount Shroud for ACH/MICH/OPS-Core Fast Helmet/Crye, black</t>
  </si>
  <si>
    <t>B0010FHNWC</t>
  </si>
  <si>
    <t>Allen Company Adjustable Binocular Strap, Camo</t>
  </si>
  <si>
    <t>B0DZ2799GT</t>
  </si>
  <si>
    <t>MUM/GT-14 Binocular Bridge System NVG Mount Base， Night Vision Adapter Goggles，Versatile Modular Helmet Mount，for PVS-14 Night Vision Monocular Or Dual Binoculars，Lightweight Aluminium</t>
  </si>
  <si>
    <t>B0D1CF5H7D</t>
  </si>
  <si>
    <t>B0FFB43PBM</t>
  </si>
  <si>
    <t>Head Mounted Night Vision Goggles with Screen for Adults 2000FT - 4K Night Vision Binoculars, Infrared Goggles with 64GB Card with Flashlight 8X Digital Zoom Outdoor Exploration Camping</t>
  </si>
  <si>
    <t>B0F4958BYZ</t>
  </si>
  <si>
    <t>Night Vision Goggles for Adults, 4K with 58MP Full Color &amp; AI Image Processing, IP66 Waterproof, 5000mAh Rechargeable Battery, 64GB SD Card, Tactical LED Light for Hunting Camping Gifts for Men</t>
  </si>
  <si>
    <t>B07NSPF9S4</t>
  </si>
  <si>
    <t>B BLOOMOAK Day Night Driving Glasses- Anti-Glare Night Vision Glasses Men Women Polarized Sunglasses Night Sight Glasses for Fishing Driving Filter Dazzling Glare from Headlights</t>
  </si>
  <si>
    <t>B0DYTYPR75</t>
  </si>
  <si>
    <t>Zhuluck Infrared Night Vision Glasses - UV Protection Driving Glasses, Adjustable Thermal Imaging Eyewear, Night Vision IR Glasses For Outdoor Riding</t>
  </si>
  <si>
    <t>B0DBPPDNVJ</t>
  </si>
  <si>
    <t>Night Vision Goggles, COLALY Night Vision Binoculars for Adults 2.8'' Large Screen, 10X Digital Zoom, 2000mAh Battery, Save Photo and Video, Support PC, 2.0MP Infrared Scope for Camping &amp; Security</t>
  </si>
  <si>
    <t>B0CRKXB2NV</t>
  </si>
  <si>
    <t>ATTCL HD Night Driving Glasses for Men - Anti Glare Yellow Lens, Clear Vision Reduces Headlight Glare Yellow Sunglasses 2238</t>
  </si>
  <si>
    <t>B0GN5DQ2Q9</t>
  </si>
  <si>
    <t>Gear Rack US Military Tan NVG Bracket for Night Vision Goggles Shroud Norotos Used on ECH or ACH/MICH/CVC Helmet Rhino Mount Front Bracket with Screw (Black ACH Bolt and Nut)</t>
  </si>
  <si>
    <t>B0FZB8P62B</t>
  </si>
  <si>
    <t>Night Vision Goggles NVG Mount with PVS 14 J ARM Adapter,Aluminum NVG mount Combo J-Arm for Tactical Helmet Mounted,Full Metal Modular Interface Dovetail Compatible with PVS14 Monocular Night-Vision</t>
  </si>
  <si>
    <t>B0DK8J1GFL</t>
  </si>
  <si>
    <t>MUM/GT-14 Binocular Bridge System NVG Mount Base，Night Vision Goggles Night Vision Adapter，Versatile Modular Helmet Mount，for PVS-14 Night Vision Monocular Or Dual Binoculars，Lightweight Aluminium</t>
  </si>
  <si>
    <t>B0DQTRZNYC</t>
  </si>
  <si>
    <t>PVS15 NVG Dummy Model,Helmet Dual-Tube Binocular Night Vision Goggles for Cosplay Display, No Function</t>
  </si>
  <si>
    <t>B0DQ5LT7TG</t>
  </si>
  <si>
    <t>4K Night Vision Binoculars for Adults,Night Vision Goggles for Helmet(1312FT),8X Digital Zoom,7-Level Infrared Adjustment for Camping,32GB Card for Videos</t>
  </si>
  <si>
    <t>B0CBCP9YTK</t>
  </si>
  <si>
    <t>KILOGOGRAPH Night Vision Goggles - Night Binoculars with Night Vision for Adult, 4K Video with Sound, 7 IR Night Vision Binoculars Military Grade, 64GB Memory Card, Hunting Gift (N009 Plus with WiFi)</t>
  </si>
  <si>
    <t>B0DKFKLNV9</t>
  </si>
  <si>
    <t>BINOCK NVG40 Pro WiFi Night Vision Goggles for Adults, Helmet Mounted OLED Large Circular Screen Night Vision Monocular, Dual IR 850nm 940nm 4K Video Shockproof NVG Goggles for Camping Hunting</t>
  </si>
  <si>
    <t>B0DWSF2TT3</t>
  </si>
  <si>
    <t>Fishing Binocular Glasses, 3X Portable Scope and Glasses, Yellow Filter Independently Manual Focusing Fishing Scope Glasses</t>
  </si>
  <si>
    <t>B0FXRRLNPQ</t>
  </si>
  <si>
    <t>Night Vision Monocular, Infrared Imager Night Vision, 4X Electronic Zoom, Long Battery Life,Clip-on Night Vision Scope for Night Observation, Range up to 300 m</t>
  </si>
  <si>
    <t>B0DQTTS2ZY</t>
  </si>
  <si>
    <t>PVS15 NVG Dummy Model with Night Vision LG424 Mount, No Function Binocular Night Vision for Tactical Helmet NVG Mount, CS Game, Cosplay</t>
  </si>
  <si>
    <t>B01MUCYIFR</t>
  </si>
  <si>
    <t>Norotos Mil-Spec Original USGI PVS-7 PVS-14 Night Vision Goggle NVG Rhino Mount MICH/ACH/CVC Helmet Front Bracket Assembly Only, without Screw and Locknut, A3297308, Black</t>
  </si>
  <si>
    <t>B09KXPQPX5</t>
  </si>
  <si>
    <t>Maoershan Hard Protective Travel Case Bag Fit for GeowFii Night Vision Binoculars Mini Digital Night Vision Goggles(only case)</t>
  </si>
  <si>
    <t>B0CPV9ZL6T</t>
  </si>
  <si>
    <t>BESTSIGHT Battery 1 pc Indicator + 3pcs Battery(Red Color) Night Vision+1pc Pink Color for Pard Night Vision</t>
  </si>
  <si>
    <t>B01JT5FDR6</t>
  </si>
  <si>
    <t>Single Battery Cap Assembly for PVS-14 Night Vision Monocular</t>
  </si>
  <si>
    <t>B0C8HXQ5PQ</t>
  </si>
  <si>
    <t>B0F5B9BDTX</t>
  </si>
  <si>
    <t>Aileway NVG Mount for PVS14/PVS15/PVS18 L4G24 CNC Mounts Metal Aluminum Adjustable Night Vision Goggles NVG Helmet Front Bracket Mount for Hunting/Game (Black)</t>
  </si>
  <si>
    <t>B0FZJ3DWGR</t>
  </si>
  <si>
    <t>Night Vision Goggles - Eagle 4K Night Vision Binoculars for Adults with Dual-Lens Magnified Display, 3 IR Modes, 8X Zoom, 3'' HD Screen, 5000mAh Battery, 64GB Card, for Outdoor &amp; Hunting, Black</t>
  </si>
  <si>
    <t>B0DQTVS6QL</t>
  </si>
  <si>
    <t>B0D1TYFPTV</t>
  </si>
  <si>
    <t>Zhongren Dummy GPNVG 18 NVG Model, Night Vision Goggles Model Head Mounted for Tactical Helmet NVG Mount Airsoft Hunting Cosplay Display Movie Props-No Function (GPNVG18 Model, Black)</t>
  </si>
  <si>
    <t>B0DXL1DPGH</t>
  </si>
  <si>
    <t>Miasazyr 850nm Infrared Digital LED IR Night Vision Scope Cameras Night Vision Monocular with 4.3 inch Screen for Outdoor Hunting Device</t>
  </si>
  <si>
    <t>B0DCWBTW43</t>
  </si>
  <si>
    <t>Tactical Night Vision Goggles Model AN/PVS31 with Adjustable Helmet Mount for Cosplay and Display, No Function (Tan)</t>
  </si>
  <si>
    <t>B0CQ29RYD1</t>
  </si>
  <si>
    <t>YSS Compact and Sturdy Night Vision Device Anti-Lost Lanyard Suitable for Three-Hole Bracket</t>
  </si>
  <si>
    <t>B0CCPDCTVL</t>
  </si>
  <si>
    <t>doorslay Night Vision monocular Night Vision Scope 7 Level Digital Night Vision Monocular for Dark Night Vision Goggles</t>
  </si>
  <si>
    <t>B0CNCVMPMZ</t>
  </si>
  <si>
    <t>Aetheria Night Vision Goggles with Night Vision Mount for PVS15/PVS18/GPNVG18, Four-Tube Binocular Night Vision Cosplay Prop-Tan, Non-Functioning</t>
  </si>
  <si>
    <t>B0DWV855G1</t>
  </si>
  <si>
    <t>VISWISS Night Vision Protection and Focusing Device PVS14 PVS18 PVS31 Multi-Function Protection Night Vision Intake Visor(34mm)</t>
  </si>
  <si>
    <t>B0F5GZZ3NX</t>
  </si>
  <si>
    <t>3D VR Night Vision Goggles - Infrared Night Vision Binoculars for Adults &amp; Kids with 2297FT View Range, Compass, 5000mAh Battery, Diopter Adjustment, 6X Digital Zoom for Camping, Hiking, Concert</t>
  </si>
  <si>
    <t>B0DRFY4W3Q</t>
  </si>
  <si>
    <t>VANTARA HD Night Vision Binoculars - 3 Inch Portable Adult Night Vision Scope - Supports 128GB Memory Card - for Hunting Observation Y200</t>
  </si>
  <si>
    <t>B0FHDMX7KG</t>
  </si>
  <si>
    <t>Gear Rack US Military Tan NVG Bracket for Night Vision Goggles Shroud Norotos Used on ECH or ACH/MICH/CVC Helmet Rhino Mount Front Bracket with Screw (ECH Bracket with ECH Bolt)</t>
  </si>
  <si>
    <t>B0BPZT136P</t>
  </si>
  <si>
    <t>AN/PVS-7B AN/PVS-7 A3144397 ITT Night Vision Goggle Battery Cap with Tether</t>
  </si>
  <si>
    <t>B0D1TXNPF7</t>
  </si>
  <si>
    <t>Zhongren Dummy Tactical AN/PVS31 Model, Dummy Night Vision Goggles for Tactical Helmet NVG Mount Airsoft Cosplay Display Movie Props-No Function (AN/PVS31 Model, Tan)</t>
  </si>
  <si>
    <t>B0C85XBJ9S</t>
  </si>
  <si>
    <t>Tactical Helmet L4G24 NVG Base Mount, NVG Bracket Holder,Goggle Night Vision Mount for PVS15, PVS18, GPNVG18</t>
  </si>
  <si>
    <t>B0CX8XT1KM</t>
  </si>
  <si>
    <t>AMNOUR PVS14 PVS31 Objective Holder Rings Close Focus Stop Ring for Objective Lens Night Vision Tube Monocular, Black, JTSF9648</t>
  </si>
  <si>
    <t>B0D1TTPV4J</t>
  </si>
  <si>
    <t>Zhongren Dummy GPNVG 18 NVG Model, Night Vision Goggles Model Head Mounted for Tactical Helmet NVG Mount Airsoft Hunting Cosplay Display Movie Props-No Function (GPNVG18 Model, Tan)</t>
  </si>
  <si>
    <t>B0CXR1GHVZ</t>
  </si>
  <si>
    <t>LEESEN Sacrificial Window PVS-14 PVS-7 Night Vision Thread Protection Piece Anti-Impact Protection Lens (1-PACK), Transparent color</t>
  </si>
  <si>
    <t>B0D7GZGW3L</t>
  </si>
  <si>
    <t>PAERKU PVS14 j-arm Night Vision Mount,Plastic J-Arm Night Vision NVG Mount Helmet Adapter for Night Vision pvs14 Supports Right Eye</t>
  </si>
  <si>
    <t>B0DGSZB491</t>
  </si>
  <si>
    <t>Hdlsina Airsoft Tactical PVS15 Night Vision Goggles Dummy Binoculars with Helmet Mount No Function NVG Model for Tactical Decoration and Props(Khaki)</t>
  </si>
  <si>
    <t>B0D1TWLFMH</t>
  </si>
  <si>
    <t>Zhongren Dummy Tactical AN/PVS31 Model, Dummy Night Vision Goggles for Tactical Helmet NVG Mount Airsoft Cosplay Display Movie Props-No Function (AN/PVS31 Model, Black)</t>
  </si>
  <si>
    <t>B0DQ7YG36P</t>
  </si>
  <si>
    <t>seanme Night Vision Goggles with Camera, 4K Night Vision Binoculars for Adults, 3280FT Infrared, 3" Large Screen, 8X Digital Zoom, 5000 mAh Battery and 32GB Memory Card for Saving Photos and Videos</t>
  </si>
  <si>
    <t>B0BZ789CGK</t>
  </si>
  <si>
    <t>Night Vision Goggles, 4K Night Vision Binoculars for Adult, Rechargeable Infrared Binoculars with Camera, 3'' Ultra HD Screen, 32GB TF Card, 8X Digital Zoom, Hunting, Camping, Security</t>
  </si>
  <si>
    <t>B0GJCYMXN7</t>
  </si>
  <si>
    <t>Night Vision Goggles - Eagle 4K Night Vision Binoculars for Adults with Dual-Lens Magnified Display, 3 IR Modes, 8X Zoom, 3'' HD Screen, 5000mAh Battery, 64GB Card, Black</t>
  </si>
  <si>
    <t>B0BXX6PVGS</t>
  </si>
  <si>
    <t>Grey Bear Night Vision Goggles PRO 2, 9X Magnification Infrared Binoculars for Adults, FHD 60FPS Video (REAL*) to Capture Fast Motion, No-Glare IR, 32GB - Hunting, Camping, Hiking, Security (NVB-200F)</t>
  </si>
  <si>
    <t>B0CY3BY2GH</t>
  </si>
  <si>
    <t>LEESEN Rubber Eyecup Fits PVS-14 PVS-18 PVS-7 Night Vision Monocular and Night Vision Goggles for 32-38mm and Above General Purpose Night Vision Eyecup (Color : L3)</t>
  </si>
  <si>
    <t>B0DRJ9CT4P</t>
  </si>
  <si>
    <t>Night Vision Goggles - 4K Night Vision Binoculars for Adults, 1986FT Viewing Range Infrared with 5000mAh Battery, Includes 32GB Micro SD Card, Ideal for Camping, Hunting &amp; Security, Black</t>
  </si>
  <si>
    <t>B0CPVK1SF3</t>
  </si>
  <si>
    <t>FMA Airsoft Hunting Tactical GPNVG18 Dummy Model Night Vision Goggles No Function Four-Tube Binoculars &amp; L4G19 NVG Helmet Mount Plastic Bracket Helmet Accessories for Tactical Hunting Cosplay (Brown)</t>
  </si>
  <si>
    <t>B0CCS8R7KN</t>
  </si>
  <si>
    <t>ATN ACMDOVJARM J-Arm Dovetail</t>
  </si>
  <si>
    <t>B0CY3DG7HP</t>
  </si>
  <si>
    <t>LEESEN Rubber Eyecup Fits PVS-14 PVS-18 PVS-7 Night Vision Monocular and Night Vision Goggles for 32-38mm and Above General Purpose Night Vision Eyecup (Color : L5)</t>
  </si>
  <si>
    <t>B0CY39HFY5</t>
  </si>
  <si>
    <t>LEESEN Rubber Eyecup Fits PVS-14 PVS-18 PVS-7 Night Vision Monocular and Night Vision Goggles for 32-38mm and Above General Purpose Night Vision Eyecup (Color : L2)</t>
  </si>
  <si>
    <t>B0CY3BYRJ4</t>
  </si>
  <si>
    <t>LEESEN Rubber Eyecup Fits PVS-14 PVS-18 PVS-7 Night Vision Monocular and Night Vision Goggles for 32-38mm and Above General Purpose Night Vision Eyecup (Color : L1)</t>
  </si>
  <si>
    <t>B0F9YZPW5M</t>
  </si>
  <si>
    <t>Housoutil Monocular Night Vision Telescope Portable Telescope for Adults for Stargazing Outdoor Activities Hiking Camping</t>
  </si>
  <si>
    <t>B0CY3GTM5S</t>
  </si>
  <si>
    <t>LEESEN Rubber Eyecup Fits PVS-14 PVS-18 PVS-7 Night Vision Monocular and Night Vision Goggles for 32-38mm and Above General Purpose Night Vision Eyecup (Color : L4)</t>
  </si>
  <si>
    <t>B0DXNY1YQ7</t>
  </si>
  <si>
    <t>High Resolution Display ABS Night Visibility Monocular Scope For Camping Night Patrols Hunting Camping Patrol</t>
  </si>
  <si>
    <t>B0DBGG2BPW</t>
  </si>
  <si>
    <t>PVS-14 Night Vision Mount Dovetail J Arm NVG Mount NVM-14 NVG Mount PVS 14 Accessories Compatible with All Models of PVS-14</t>
  </si>
  <si>
    <t>B0DXV9GDL7</t>
  </si>
  <si>
    <t>Infrared Night Vision Glasses - UV Protection Driving Glasses, Adjustable Thermal Imaging Eyewear | High-Protection Glasses, Night Vision IR Glasses For Safe Night Driving And Outdoor Riding (Yellow)</t>
  </si>
  <si>
    <t>B0DSPKG239</t>
  </si>
  <si>
    <t>4K Video&amp;48MP Image Night Vision GogglesTechnology Gifts for Adults, Infrared Binoculars 3″ Screen,5Ah Battery,8X Digital Zoom,32GB TF Card,IP65 Waterproof for Outdoor, Animals,Camping &amp; Surveillance</t>
  </si>
  <si>
    <t>B0D5MCMLHD</t>
  </si>
  <si>
    <t>Gthunder 4K UHD Night Vision Goggles, 4'' IPS HD Rechargeable Night Vision Binoculars for Camping Hunting &amp; Security, Digital Infrared, WiFi, PiP</t>
  </si>
  <si>
    <t>B0BYHNLW24</t>
  </si>
  <si>
    <t>Night Vision Goggles, 3" Discreen 4K Night Vision Binoculars for Adults in Total Darkness and Day for Hunting &amp; Surveillance Binoculars with Camera with 32GB Memory Card</t>
  </si>
  <si>
    <t>B0CVWXJP3K</t>
  </si>
  <si>
    <t>Night Vision Goggles, 4K Night Vision Binoculars for Adults, Rechargeable Digital Infrared 10X Digital Zoom with 3'' Large Screen, 32GB TF Card for Photos and Videos</t>
  </si>
  <si>
    <t>B0G1SQKR98</t>
  </si>
  <si>
    <t>Night Vision Binoculars Nova - 4K 40MP Infrared Night Vision Goggles with 8X Zoom, 3'' HD Screen, 5000mAh Battery, 7-Level IR for Hunting, Camping, Security</t>
  </si>
  <si>
    <t>B0CN4DZLZL</t>
  </si>
  <si>
    <t>SOXICK Night Vision Glasses for Driving, Polarized Sunglasses Anti Glare for Men (Gunmetal Gray)</t>
  </si>
  <si>
    <t>B0DGSZ6B6V</t>
  </si>
  <si>
    <t>Airsoft Tactical PVS15 Night Vision Goggles Dummy Binoculars with Helmet Mount No Function NVG Model for Tactical Decoration and Props(Black)</t>
  </si>
  <si>
    <t>B0G64N1DHJ</t>
  </si>
  <si>
    <t>Night Vision Goggles - 1080P Night Vision Binoculars with 2000mAh Rechargeable Battery, 2.8" IPS HD Screen &amp; 10X Zoom Binoculars 2600FT/800M Infrared Range,Gifts for Men Dad Husband Boy Friend</t>
  </si>
  <si>
    <t>B07C93W7DS</t>
  </si>
  <si>
    <t>Predator Tactics Coyote Reaper XXL Infrared LED Bulb Module, 97443</t>
  </si>
  <si>
    <t>B0F8QQCBHK</t>
  </si>
  <si>
    <t>E.T Dragon Magnifier Flip Mount, Quick Detach, 7075-T6 Aluminum, Compatible with EOTech G33/G43/G45, Holosun HM3X, Sig Juliet, Trijicon, Vortex</t>
  </si>
  <si>
    <t>B0CTG3FX9C</t>
  </si>
  <si>
    <t>AMNOUR PVS14 PVS31 Objective Lens Sacrificial Window Protector Cover Night Vision Tube Monocular Protectors, JTSF9648</t>
  </si>
  <si>
    <t>B0CM9GZQDR</t>
  </si>
  <si>
    <t>SOXICK Night Vision Glasses for Driving, Polarized Sunglasses for Men, Anti Glare (Black)</t>
  </si>
  <si>
    <t>B0F82Y67FZ</t>
  </si>
  <si>
    <t>Night Vision Goggles, 4K Night Vision Binoculars for Adults, Infrared Night Vision with 5000mAh Rechargeable Battery,32GB TF Card,3'' TFT Screen,1968FT Infrared Binoculars for Hunting,Camping&amp;Travel</t>
  </si>
  <si>
    <t>B005JI1R96</t>
  </si>
  <si>
    <t>Xgen 2.1x Digital Night Vision Viewer</t>
  </si>
  <si>
    <t>B09331NT9Z</t>
  </si>
  <si>
    <t>FMA Tactical Aluminum Helmet NVG Flip Mount Adapter for NVG Night Vision Goggles (DE)</t>
  </si>
  <si>
    <t>B0G8D97YJY</t>
  </si>
  <si>
    <t>Handheld Night Vision Monocular with 2" HD Screen - 800M Detection Range, 5W IR, 10X Zoom for Camping Hunting &amp; Wildlife Observation, Includes Compass &amp; Supports TF Card</t>
  </si>
  <si>
    <t>B0D9BLJKR8</t>
  </si>
  <si>
    <t>DUCO Night Vision Glasses for Men Women Chic Metal Polygon Frame, Anti-Glare, UV400 Protection, Yellow Polarized Lens 309Y (Black Gold Frame Night Vision Lens)</t>
  </si>
  <si>
    <t>B0B82N6D7X</t>
  </si>
  <si>
    <t>PARD Night Vision Adapter-48mm, Fit for NV007V / NV007A / NV007V2</t>
  </si>
  <si>
    <t>B011FEL9VS</t>
  </si>
  <si>
    <t>NC Star DMRK132A NcStar, Mark III Tactical Red Dot, Advanced/4 Reticle</t>
  </si>
  <si>
    <t>B0BLBXCKWB</t>
  </si>
  <si>
    <t>Night Vision Goggles, Profey 4K Night Vision Binoculars for Adults, Rechargeable Night Vision Goggles for Hunting &amp; Security, 32GB TF Card to Save Photo, Video, Best for Hunters</t>
  </si>
  <si>
    <t>B0DRFLTH8B</t>
  </si>
  <si>
    <t>AWETHE NVG Protection and Focusing Device Cover,37mm Diameter for an/PVS6、an/PVS-7、AN/PVS-7B/D、ANVIS-9、AN/PVS-14、NEPVS-14 Night Vision Goggles</t>
  </si>
  <si>
    <t>B0DL2TT9XN</t>
  </si>
  <si>
    <t>Tactical Airsoft Hunting GPNVG18 Dummy Night Vision Goggles Model with Mount, No Function Night Vision Binoculars &amp; Goggles for Tactical Helmet NVG Mount, Cosplay Prop (Black)</t>
  </si>
  <si>
    <t>B094Y7K5HN</t>
  </si>
  <si>
    <t>AISHFP 4K 10-300 X 40 MM Telescope, Super Zoom High Power Scope Night Vision Waterproof Military Monoculars Telescope for Camping Travelling,No Tripod</t>
  </si>
  <si>
    <t>B0C8H5PXQK</t>
  </si>
  <si>
    <t>Night Vision L4G69 Helmet Mount, Tactical Airsoft NVG Mount for PVS15 PVS18 GPNVG18 Night Vision Goggles</t>
  </si>
  <si>
    <t>B0BNHR8X3S</t>
  </si>
  <si>
    <t>Night Vision Binoculars, Night Vision Goggles for Hunting, 5X Digital Zoom 1080P Infrarednight Vision Monocular for Viewing 984ft/300M in 100% Dark Black</t>
  </si>
  <si>
    <t>B0D7H14246</t>
  </si>
  <si>
    <t>Helmet Mount,NVG Mount Night Vision Goggles Helmet Mount Adjustable Full Nylon Tactical Helmet Mount for L4G24 Nvg Mount for pvs-15/18 pvs 31 Type Mock nvgs Mount (Desert-Nylon)</t>
  </si>
  <si>
    <t>B0BLVHHG8T</t>
  </si>
  <si>
    <t>E.T Dragon Night Vision Goggles for Helmet PVS 14 Night Vision NVG Mount Compatible with PVS 14</t>
  </si>
  <si>
    <t>B000G2IV26</t>
  </si>
  <si>
    <t>Alpen Optics PRO 10x25 compact Binocular</t>
  </si>
  <si>
    <t>B0CBCVG8JQ</t>
  </si>
  <si>
    <t>HALCONTORNO Night Vision Binoculars - Binoculars for Adults, 4K Video with Sound, 42MP Photo, Night Vision Goggles, Hunting Gifts for Men, 2.4G Wi-Fi</t>
  </si>
  <si>
    <t>B0DQSQRFSR</t>
  </si>
  <si>
    <t>Night Vision Goggles, 4K Night Vision Binoculars for Adults, 5000mAh Rechargeable Battery &amp; 32 GB TF Card Infrared Binoculars with Camera, 3'' HD Screen, 8X Digital Zoom to 3280 Ft Clear View, Black</t>
  </si>
  <si>
    <t>B0759YKTMB</t>
  </si>
  <si>
    <t>Night Optics USA Sacrificial Window (PVS-7/14) A3144264</t>
  </si>
  <si>
    <t>B0CP4RWTJ7</t>
  </si>
  <si>
    <t>LEESEN Rubber Eyecup Fits PVS-14 Night Vision Monocular and PVS-18 Night Vision Goggles</t>
  </si>
  <si>
    <t>B0B1WS2S5F</t>
  </si>
  <si>
    <t>UpaClaire Night Vision Driving Glasses Clip on Anti Glare Wear Over Large-Frame Prescription Glasses</t>
  </si>
  <si>
    <t>B0FSZRM6JL</t>
  </si>
  <si>
    <t>4K Night Vision Binoculars - 40MP Infrared Goggles for Adults with 8X Zoom, 7-Level IR and 32GB TF Card can Save Photo and Video for Hunting, Camping &amp; Security</t>
  </si>
  <si>
    <t>B0B25TJ31Q</t>
  </si>
  <si>
    <t>Night Driving Glasses for Men Women,Polarized Night Vision Glasses Anti-Glare Diminish Oncoming Headlights and Reflections</t>
  </si>
  <si>
    <t>B01JN8IAEW</t>
  </si>
  <si>
    <t>ANVIS Night Vision Goggles Low Profile Battery Pack (LPBP) Battery Cartridge (2 pc)</t>
  </si>
  <si>
    <t>B01JKFEBS2</t>
  </si>
  <si>
    <t>Demist Shield for PVS-14, 6015 Night Vision Device</t>
  </si>
  <si>
    <t>B078GVZBCK</t>
  </si>
  <si>
    <t>ITT Night Vision Intensifier Tube Retainer ANVIS PVS-14 AVS-9 AVS-6 5002569</t>
  </si>
  <si>
    <t>B0CNXQSR5M</t>
  </si>
  <si>
    <t>JOAXOR Helmet Fast PASGT MICH Helmets M88 Accessories Tactical Night Vision Goggle Mount NVG PVS-7 PVS14 Monocular Bracket</t>
  </si>
  <si>
    <t>B0CCPD4QW5</t>
  </si>
  <si>
    <t>doorslay Night Vision 5X Digital Zoom Night Vision Save 24MP Photos Night Vision monocular Night Vision Goggles</t>
  </si>
  <si>
    <t>B0CNCTXYHV</t>
  </si>
  <si>
    <t>Aetheria Cosplay Dummy Night Vision Goggles with Night Vision Mount for PVS15/PVS18/GPNVG18, Four-Tube Binocular Night Vision Cosplay Prop-Black, Non-Functioning</t>
  </si>
  <si>
    <t>B091T8LKXB</t>
  </si>
  <si>
    <t>UpaClaire Night Vision Glasses Clip-On Yellow-Green Anti-Glare High-Definition Vision Foggy Rainy Used for Safe Driving Fishing Glasses Reduce Eye Fatigue Ultra-Lightweight for Men and Women</t>
  </si>
  <si>
    <t>B07X1LLH72</t>
  </si>
  <si>
    <t>Helmet Accessory Improved Version PVS-14 /PVS-18 Single-Barrel Night Vision Model Metal Dumper（Night Vision Goggle NOT Included）</t>
  </si>
  <si>
    <t>B0BSNX37FL</t>
  </si>
  <si>
    <t>Magik 1-2 Pc 30x60 Zoom Portable Binoculars Waterproof Hunting Day Night Vision (1 Pack)</t>
  </si>
  <si>
    <t>B0DB44DPBB</t>
  </si>
  <si>
    <t>US Military Black NVG Bracket for Night Vision Goggles Shroud Norotos Used on ACH/MICH/CVC Helmet Rhino Mount Front Bracket with Screw</t>
  </si>
  <si>
    <t>B0DRY6PDMV</t>
  </si>
  <si>
    <t>Dummy GPNVG 18 NVG Model, Night Vision Goggles Model Head Mounted for Tactical Helmet NVG Mount Airsoft Hunting Cosplay Display Movie Props-No Function (Upgraded GPNVG18 Model, Tan)</t>
  </si>
  <si>
    <t>B0DRY32NSR</t>
  </si>
  <si>
    <t>Dummy GPNVG 18 NVG Model, Night Vision Goggles Model Head Mounted for Tactical Helmet NVG Mount Airsoft Hunting Cosplay Display Movie Props-No Function (Upgraded GPNVG18 Model, Black)</t>
  </si>
  <si>
    <t>B0D7GV6QBN</t>
  </si>
  <si>
    <t>Helmet Mount,NVG Mount Night Vision Goggles Helmet Mount Adjustable Full Nylon Tactical Helmet Mount for L4G24 Nvg Mount for pvs-15/18 pvs 31 Type Mock nvgs Mount (Black-Nylon)</t>
  </si>
  <si>
    <t>B0FGQ25QPW</t>
  </si>
  <si>
    <t>NVG Protection Cover &amp; Focusing Device Gen2 For 34mm/1.346" Or 37mm/1.446" Tube，Adjustable Iris Ring Night Vision Goggles Scope Cap Dust Cover Filter，Fits For AN/PVS6 DTNVG PVS14 PVS18 PVS31 Etc</t>
  </si>
  <si>
    <t>B0FGPNSBB5</t>
  </si>
  <si>
    <t>NVG Protection Cover &amp; Focusing Device Gen2 for 34mm/1.346" Or 37mm/1.446" Tube，Adjustable Iris Ring Night Vision Goggles Scope Cap Dust Cover Filter，Fits for an/PVS6 DTNVG PVS14 PVS18 PVS31 Etc</t>
  </si>
  <si>
    <t>B0FG7XG5VD</t>
  </si>
  <si>
    <t>KINGSEVEN Large Night Vision Glasses Explore Brighter Nights Fashion Glasses Essential for Men and Women on the Journey! (Mate Black+Bright Black+Gray)</t>
  </si>
  <si>
    <t>B0CP21V1Q5</t>
  </si>
  <si>
    <t>JFFCESTORE PVS15/18 GPNVG18 Night Vision Goggles Mount and Airsoft Tactical Helmet Counterweight NVG Pouch Counterbalance Weight Bag (TAN/CAMO Counterbalance Weight Bag)</t>
  </si>
  <si>
    <t>B0DRNTCMXS</t>
  </si>
  <si>
    <t>okyass Dovetail Mount NVG Interface Shoe Adapter for PVS-7/14 Night Vision Bridge Mount</t>
  </si>
  <si>
    <t>B0CP221YLB</t>
  </si>
  <si>
    <t>JFFCESTORE PVS15/18 GPNVG18 Night Vision Goggles Mount and Airsoft Tactical Helmet Counterweight NVG Pouch Counterbalance Weight Bag (Black/Counterbalance Weight Bag)</t>
  </si>
  <si>
    <t>B0CN2ZXDB5</t>
  </si>
  <si>
    <t>SOXICK Night Driving Glasses for Men, Night Vision Glasses for Driving, Anti-Glare Glasses with UV400 Polarized Lens (Gunmetal Gray)</t>
  </si>
  <si>
    <t>B0CXX7ZW7P</t>
  </si>
  <si>
    <t>YSS New Reinforced Upgraded Version Night Vision Bridge for Night Vision pvs14 Supports 2 Optical Night Visions or 1 Digital Night Vision (UK Standard)</t>
  </si>
  <si>
    <t>B073LV5NZQ</t>
  </si>
  <si>
    <t>JINJULI Night Vision Goggles Adjustable Spy Gear Night Mission Goggles with Flip-Out Lights Green Lens Protect Eyes Children's Day Gift</t>
  </si>
  <si>
    <t>B0CRHQQ1DX</t>
  </si>
  <si>
    <t>SUZLAZYR Night Vision Head Strap - Outdoor Helmet Mounted Night Vision Goggles Accessories Elastic Headband for NVG10/NVG30/G1/PVS14</t>
  </si>
  <si>
    <t>B0C8H5YH2H</t>
  </si>
  <si>
    <t>B0BNJQ7BWG</t>
  </si>
  <si>
    <t>Sehnsucht Night Driving Glasses for Women Polarized Anti Glare,Stylish Oversized Night Vision Glasses,Day &amp; Night Sunglasses 8004 Black</t>
  </si>
  <si>
    <t>B0CTH2P96M</t>
  </si>
  <si>
    <t>Andoer Professional Digital Night Vision Monocular 2.5K Rechargeable 10x Zoom for Birdwatching Travel Sightseeing Hunting Camping</t>
  </si>
  <si>
    <t>B0F66RRJNY</t>
  </si>
  <si>
    <t>Holibanna 1Set High-Power Monocular Telescope High Definition Low-Light Night for Outdoor Activities Like Hiking Bird Watching and Hunting</t>
  </si>
  <si>
    <t>B0BSNX9M2F</t>
  </si>
  <si>
    <t>Magik 1-2 Pc 30x60 Zoom Portable Binoculars Waterproof Hunting Day Night Vision (2 Pack)</t>
  </si>
  <si>
    <t>B0DWV753M5</t>
  </si>
  <si>
    <t>VISWISS PVS14 PVS31 ANVIS Objective Lens Sacrificial Window Protector Night Vision Goggle Filters Cover Night Vision Tube Monocular Protectors</t>
  </si>
  <si>
    <t>B09PYLC92Q</t>
  </si>
  <si>
    <t>Aviator Night-Vision Glasses for Men Women Clear Sight Night Time Safe Driving Glasses Spring Hinge Anti-Glare Polarized Yellow Lens Al-Mg Metal Frame Pilot Eyewear UV400 Protection Classic Sunglasses</t>
  </si>
  <si>
    <t>B01JQZKBWG</t>
  </si>
  <si>
    <t>Neck Cord for PVS-14, PVS-7B/D, 6015 etc Night Vision Device</t>
  </si>
  <si>
    <t>B0BCGYH9BM</t>
  </si>
  <si>
    <t>WIRUN Night Vision Glasses Anti-Glare Polarized UV400 Aviator Yellow Safety Night Driving Glasses Eyewear for Men &amp; Women (Silver025)</t>
  </si>
  <si>
    <t>B08TCJWKQ3</t>
  </si>
  <si>
    <t>AGM Global Vision Taipan 15-384 Heat Vision IR Monocular for Night Hunting Monocular for Adults high Powered Tactical Thermal Imager Heat Vision Night and Day</t>
  </si>
  <si>
    <t>B09QKKKVHR</t>
  </si>
  <si>
    <t>N9 Digital Night Vision Scope for Rifle - 1080P FHD Clip-On Attachment with 5" Large IPS Screen, 850nm Infrared Illuminator, WiFi, 3-10.5X Zoom, Recoil Resistant Day/Night Optic for Hunting</t>
  </si>
  <si>
    <t>B0CC8VYCJX</t>
  </si>
  <si>
    <t>Night Vision Scope for Rifle with 5" IPS Screen, 1080P Digital Night Vision Monocular with WiFi &amp; 850nm IR Illuminator, Infrared Scope Camera for Day and Night Hunting, Wildlife Observation</t>
  </si>
  <si>
    <t>B0B4JMVYK1</t>
  </si>
  <si>
    <t>Night Vision Photochromic Polarized HD Sunglasses Spring Hinge UV400 Protection Sun Glasses Safety Eyeglasses for Men Women Day and Night Sports Driving Golf Fishing Anti Glare Gradient Lens Eyewear</t>
  </si>
  <si>
    <t>B0DXFHDDT8</t>
  </si>
  <si>
    <t>CIGMAN 4K Night Vision Binoculars, 40MP Infrared Night Vision Goggles, 8X Zoom, 3" HD TFT Screen, 3W 850nm IR Light, Built-in Microphone and Flashlight, 5000mAh Battery, 512GB Storage Support</t>
  </si>
  <si>
    <t>B08DHW3QNW</t>
  </si>
  <si>
    <t>Night Vision Binoculars for Adults, 3.5'' HD Night Vision Goggles with 3000mAh Rechargeable Battery, 32GB TF Card for Photos and Videos, 8X Digital Zoom for Outdoor, Camping and Travel</t>
  </si>
  <si>
    <t>B0CSFRLCTW</t>
  </si>
  <si>
    <t>SHITOOMFE Binoculars Glasses Portable Hands Binoculars Telescope 10X Zoom Glasses for Outdoor Fishing Binocular Glasses</t>
  </si>
  <si>
    <t>B0DNSMWQRS</t>
  </si>
  <si>
    <t>Night Vision Goggles - 4K Night Vision Binoculars for Adults, 3'' HD Screen Night Vision Goggles Rechargeable Binoculars Built in, 32GB Card to Save Photos and Videos, for Hunting, Camping, Travel</t>
  </si>
  <si>
    <t>B0FWQXD314</t>
  </si>
  <si>
    <t>DBAL-A2 Box Laser Sights,with IR Laser + Green/Rad/Blue Dot Laser Sight + Strobe/Momentary/Constant Modes Whitelight LED ，with Pressure Switch，for 20mm Picatinny Rail (Green Laser-Golden)</t>
  </si>
  <si>
    <t>B0FVWS25C3</t>
  </si>
  <si>
    <t>Night Vision Goggles, 5K Night Vision Binoculars with 64GB TF Card, APP Remote Control, 4” HD Screen, 2000FT Viewing Range for Outdoor Camping and Observation</t>
  </si>
  <si>
    <t>B0G44QMR7M</t>
  </si>
  <si>
    <t>Nightfox Arctic Thermal Night Vision Monocular, Head or Helmet Mounted, Low Latency 50fps Thermal Camera, IP65 Waterproof, 24° FOV, 256 * 192 Resolution</t>
  </si>
  <si>
    <t>B089BXXMMM</t>
  </si>
  <si>
    <t>8" 4-Pin ANVIS/LEMO to Fischer/BNVD Right Angle Power Cable for NVG Night Vision Systems</t>
  </si>
  <si>
    <t>B001DZQTNS</t>
  </si>
  <si>
    <t>Brunton Lite Tech Monocular</t>
  </si>
  <si>
    <t>B0B9XYPWSD</t>
  </si>
  <si>
    <t>Night Vision Goggles, Profey 4K Digital Infrared Night Vision Binoculars for Adults, Night and Day, 3'' Screen Rechargeable Hunting Night Vision with 7-Brightness Level, Include 32GB TF Card</t>
  </si>
  <si>
    <t>B0BRJ6WPDD</t>
  </si>
  <si>
    <t>SOXICK Night Vision Glasses for Driving, Night Driving Glasses for Men, Polarized Sunglasses Anti-Glare Sunglasses (Yellow)</t>
  </si>
  <si>
    <t>B0FKTJLT4G</t>
  </si>
  <si>
    <t>C2 Thermal Imaging Monocular, 256x192 HD (12μm) Handheld Thermal Scope with 8X Zoom, Hot Spot Tracking, Video Recording, Portable Thermal Monocular for Hunting, Wildlife Observation, Outdoor​</t>
  </si>
  <si>
    <t>B0F1LRPRMV</t>
  </si>
  <si>
    <t>NightCrystal M7 Head-Mounted and Helmet-Mounted Day Night Vision Goggles with Elastic Head Strap, 5X Digital Zoom, NVG with 1.4-inch HD Screen and Adjustable Infrared Flashlight (Without Battery)</t>
  </si>
  <si>
    <t>B0086Y03EA</t>
  </si>
  <si>
    <t>Night Optics USA Mil-Spec Headmount Assembly Fits PVS-7/14 A3144268</t>
  </si>
  <si>
    <t>B0BNJQFB5V</t>
  </si>
  <si>
    <t>Sehnsucht Night Driving Glasses for Women Polarized Anti Glare,Stylish Oversized Night Vision Glasses,Day &amp; Night Sunglasses 8004 Purple</t>
  </si>
  <si>
    <t>B0CPLT93TP</t>
  </si>
  <si>
    <t>CANIS SPORT INC M24 Double Dovetail Slot Mount Adapter-Reconnaissance Helmet Mount Fit for Night Vision M250</t>
  </si>
  <si>
    <t>B0FF1NTHKJ</t>
  </si>
  <si>
    <t>Tactical Night Vision Goggles GPNVG18 Model, Four-Tube Binocular Night Vision Goggles Model for CS Game and Cosplay Prop, No Function (Tan)</t>
  </si>
  <si>
    <t>B0F93SMJLJ</t>
  </si>
  <si>
    <t>NUOBESTY Digital Night Vision Telescope Monocular High Definition Scope for Adults Bird Watching Men</t>
  </si>
  <si>
    <t>B0DMQCPT4V</t>
  </si>
  <si>
    <t>Barska NV-1 Digital Night Vision Monocular – Compact Infrared Scope for Day &amp; Night Use – HD Photo/Video, Rechargeable Battery, USB/Micro SD Compatible</t>
  </si>
  <si>
    <t>B0DDPV7V4N</t>
  </si>
  <si>
    <t>LVIOE Night Vision Driving Glasses Fit Over Prescription Glasses, Wrap Around Nighttime Anti Glare Polarized N4203</t>
  </si>
  <si>
    <t>Sports Sunglasses</t>
  </si>
  <si>
    <t>B0GPSZR571</t>
  </si>
  <si>
    <t>Owlnv Night Vision Rifle Scope with Rangefinder, Day/Night Digital Optic, HD CMOS, Variable Zoom, Wi-Fi, IP67 Waterproof – for Hunting &amp; Outdoor Use</t>
  </si>
  <si>
    <t>B0777DN6BK</t>
  </si>
  <si>
    <t>Astromania Night Vision Binocular/Digital Infrared Night Vision Scope - Hunting IR Telescope with 2" TFT LCD in-View,1300ft/400M Viewing Range,640x480p HD Photo Camera Video Recorder Display</t>
  </si>
  <si>
    <t>B0DYHTP71V</t>
  </si>
  <si>
    <t>Night Vision Goggles - 4K Night Vision Binoculars with 875 Yards Range,48MP,3 Inch Display,10X Digital Zoom,7-Level IR,32GB Card,5000mAh Battery,Gifts Cool Gadgets for Dad</t>
  </si>
  <si>
    <t>B0CCJ4KGJ7</t>
  </si>
  <si>
    <t>Helmet Mount Night Vision Goggles Nylon NVG Tactical Helmet Mount Adjustable Full Nylon Tactical Helmet Mount for L4G24 Nvg Mount (Brown)</t>
  </si>
  <si>
    <t>B0DQCRSHY9</t>
  </si>
  <si>
    <t>NSSIW Night-Vision-Glasses Women Mens Over-the-Glasses: Wrap-Around Anti Glare Polarized Night Vision Glasses for Driving</t>
  </si>
  <si>
    <t>B0DRJQT1R9</t>
  </si>
  <si>
    <t>T TAKMLY Night Vision Goggles, 2624FT-10X Digital Zoom, 2.8'' HD Screen Infrared Binoculars with 64GB TF Card for Photos and Videos, for Adults Outdoor Camping and Wildlife Observation (Black)</t>
  </si>
  <si>
    <t>B0DQCNM21J</t>
  </si>
  <si>
    <t>B0DQCQR1S9</t>
  </si>
  <si>
    <t>B0DQCN61GY</t>
  </si>
  <si>
    <t>B0DQCPN5V3</t>
  </si>
  <si>
    <t>B0DQCPZ9X4</t>
  </si>
  <si>
    <t>B0DFXSWLBZ</t>
  </si>
  <si>
    <t>NOXOWL Night Vision Goggles, True 4K Night Vision Binoculars, Equipped with 50mm Objective Lens, 850nm IR, 3'' HD Screen 4000mAh Rechargeable Battery, Suit for Wildlife Watching and Camping</t>
  </si>
  <si>
    <t>B00Z4HVOVS</t>
  </si>
  <si>
    <t>Sky-Watcher Star Adventurer 2i Astro Pack – Motorized DSLR Night Sky Tracker for Portable Nightscapes, Time-Lapse, and Panoramas – Remote Camera Control – Long Exposure Imaging (S20510), Black</t>
  </si>
  <si>
    <t>Camera Mounts &amp; Clamps</t>
  </si>
  <si>
    <t>B0CX1W3986</t>
  </si>
  <si>
    <t>GOYOJO NVG Night Vision Goggles - Helmet Mounted 2K Night Vision Binoculars Adults with 4 Color Modes 4X Magnification, HD Recording &amp; Playback for Hunting Surveillance (Helmet Not Included), Black</t>
  </si>
  <si>
    <t>B0DQCQNG91</t>
  </si>
  <si>
    <t>B0FMY4LNXT</t>
  </si>
  <si>
    <t>Head-Mounted Night Vision Goggles | Helmet-Compatible 4K 48MP Night Vision Binoculars with 16X Zoom, Built-in Compass/Altimeter &amp; Barometer, App Video &amp; Audio Recording, 3000mAh Rechargeable Battery</t>
  </si>
  <si>
    <t>B0CGV952W1</t>
  </si>
  <si>
    <t>Aetheria Dummy Model Night Vision Goggles for Tactical Hunting Cosplay GPNVG18 Helmet Mount Set-Four-Tube Binocular-Non-Functioning</t>
  </si>
  <si>
    <t>B0CGVBBGX4</t>
  </si>
  <si>
    <t>Aetheria Cosplay Night Vision Goggles for Tactical Hunting Cosplay GPNVG18 Helmet Mount Set-Four-Tube Binocular-Non-Functioning</t>
  </si>
  <si>
    <t>B0DJSSN6DK</t>
  </si>
  <si>
    <t>Portable Thermal Monocular for Hunting,384x288 Ai15 Night Vision Monocular,1.43" Large AMOLED Display,Thermal Night Vision with Wi-Fi Hotspot/STA/MIC,12hrs+ Battery Powers</t>
  </si>
  <si>
    <t>B08T1NBY24</t>
  </si>
  <si>
    <t>RETYLY Night Vision with Flip-Out LED for Activities at Night Especially for</t>
  </si>
  <si>
    <t>B0BFG7H6KZ</t>
  </si>
  <si>
    <t>Dragon RVX Mag OTG Goggles Light Rose Lumalens Light Rose+Lumalens Dark Smoke</t>
  </si>
  <si>
    <t>B09QFYRHKB</t>
  </si>
  <si>
    <t>OWLNV Day&amp;Night Vision Rifle Scope, HD Digital Night Vision Hunting Riflescope Monocular with Rangefinder, WiFi, Gyroscope&amp;E-Compass, IR Illuminator 940nm, iOS &amp; Android Apps Waterproof L3-LRF</t>
  </si>
  <si>
    <t>B0FDW99SWF</t>
  </si>
  <si>
    <t>Bansainong 256x192 Thermal Scope, Thermal Riflescope with Night Vision Scope, 60Hz Refresh Rate, Adjustable 11 Color Palettes, Dual System with High Sensitivity for Outdoor Activities &amp; Hunting （M</t>
  </si>
  <si>
    <t>B0DBF8T881</t>
  </si>
  <si>
    <t>Jeekootoop PVS15 Night Vision Goggles Dummy Model With Mount, No Function Binocular for Tactical Helmet NVG Mount, CS Game, Cosplay Prop (Tan)</t>
  </si>
  <si>
    <t>B0DB89H7S1</t>
  </si>
  <si>
    <t>Tactical Airsoft Hunting PVS15 Dummy Night Vision Goggles Model with Mount, No Function Binocular Night Vision for Tactical Helmet NVG Mount, CS Game, Cosplay Prop</t>
  </si>
  <si>
    <t>B0G63SDN5V</t>
  </si>
  <si>
    <t>WARMTUYO 9 Gear Night Vision Goggles</t>
  </si>
  <si>
    <t>B0CWP42PZN</t>
  </si>
  <si>
    <t>B0BWSZXCRT</t>
  </si>
  <si>
    <t>Night Vision Goggles, R18 Digital Night Vision Binoculars for Total Dark, 2.4'' 1080p Photo &amp; Video Infrared Night Vision Scope for Hunting Travel Surveillance</t>
  </si>
  <si>
    <t>B0BGL5PGXX</t>
  </si>
  <si>
    <t>oneleaf.ai Find NV200 True 4K 35mm Night Vision Binoculars, Day/Night Vision Goggles with Rangefinder</t>
  </si>
  <si>
    <t>B0DRHW81G6</t>
  </si>
  <si>
    <t>Night Vision Goggles - 4K Night Vision Binoculars for Adults, 5000mAh Rechargeable Infrared Binoculars with 3'' Large Screen, 8X Digital Zoom for Camping Hunting &amp; Security</t>
  </si>
  <si>
    <t>B0DNCPCDGN</t>
  </si>
  <si>
    <t>Night Vision Goggles, Night Vision Binoculars with 32GB TF Card, 7 Level IR, 5X Digital Zoom,2000mAh,IP65 Waterproof &amp; for Camping &amp; Security</t>
  </si>
  <si>
    <t>B0DMFBYZTN</t>
  </si>
  <si>
    <t>Metal NVG Night Vision Goggles Helmet Mount and Shroud Combo, Fit for AN/PVS-15 • AN/PVS-18 • AN/PVS-31 (L3Harris BNVD &amp; BNVD1531) • GPNVG-18 (Dovetail) • AN/PSQ-36 FGS (Dovetail), Black</t>
  </si>
  <si>
    <t>B0D6K41TY7</t>
  </si>
  <si>
    <t>Nightiger Night Vision Binoculars High Resolution 6x5 Excellent Color Optics Built-in 6000mAh Rechargeable Batteries FHD Night Vision Goggles with Camera Night Vision Monocular Telescope Binoculars</t>
  </si>
  <si>
    <t>B09XWLVMVX</t>
  </si>
  <si>
    <t>LEJUNJIE Tactical Helmet Mounting Bracket for Rhino NVG PVS-14/PVS-7 Night Vision Goggles Mount&amp;Fast ACH PASGT MICH Helmets M88</t>
  </si>
  <si>
    <t>B0CRSQRN5S</t>
  </si>
  <si>
    <t>Sheawasy Night Vision Monocular, Digital Infrared Night Vision for 100% Darkness, 1080P FHD Video, 32GB Included, for Travel, Camping, Hunting, Surveillance</t>
  </si>
  <si>
    <t>B0D69ZN24L</t>
  </si>
  <si>
    <t>Nightiger Night Vision Binoculars High Resolution 6x5 Excellent Color Optics Built-in 6000mAh Rechargeable Batteries HD Night Vision Goggles with Camera Night Vision Monocular Telescope Binoculars</t>
  </si>
  <si>
    <t>B0D79J616L</t>
  </si>
  <si>
    <t>BONMIXC Night Vision Binoculars with WiFi &amp; Starlight Lens, 32GB Memory Card Included, Night Vision Goggles for Day and Night, 7-Level-Infrared, High Definition Photography, Video 960P</t>
  </si>
  <si>
    <t>B0DFH7KR7B</t>
  </si>
  <si>
    <t>Night Vision Goggles &amp; Night Vision Binoculars with Grip,4K UHD Video,36MP Image,4.5″HD Screen,8X Digital Zoom,400m Range–Perfect for Hunting,Camping&amp;Wildlife Observation</t>
  </si>
  <si>
    <t>B0D49JZQZ8</t>
  </si>
  <si>
    <t>Night Vision Scope with 3X Telescope, All-Metal Design, Day and Night Vision Capability, Ideal for Hunting, Fishing, Hiking and Outdoor Activities, Black</t>
  </si>
  <si>
    <t>B0CN2Z48WV</t>
  </si>
  <si>
    <t>SOXICK Night Driving Glasses for Men, Anti-Glare Glasses with UV400 Polarized Lens (Ink Black)</t>
  </si>
  <si>
    <t>B0DL31Z77X</t>
  </si>
  <si>
    <t>Keetopteep Tactical Airsoft Hunting PVS15 Dummy Night Vision Goggles Model with Mount, No Function Night Vision Binoculars &amp; Goggles for Tactical Helmet NVG Mount, Cosplay Prop (Black)</t>
  </si>
  <si>
    <t>B09J4VSGXQ</t>
  </si>
  <si>
    <t>Hanlong Airsoft Hunting Tactical GPNVG 18 Night Vision Goggles Dummy NVG Model No Function (Black)</t>
  </si>
  <si>
    <t>Goggles</t>
  </si>
  <si>
    <t>B0CBPFGGH2</t>
  </si>
  <si>
    <t>YSS PVS-18 Night Vision Goggles Picatinny Mount pvs18 Monocular Scope Ring Adapter Aluminum Adapter Picatinny Rail nvg Mount Bubble Level</t>
  </si>
  <si>
    <t>B0829FH5DF</t>
  </si>
  <si>
    <t>Rexing B1 Night Vision Goggles Binoculars with LCD Screen, Infrared (IR) Digital Camera, Dual Photo + Video Recording for Spotting, Hunting, Tracking up to 300 Meters (Black)</t>
  </si>
  <si>
    <t>B0DDXYT9ML</t>
  </si>
  <si>
    <t>i4SEE M35-384 LRF Thermal Monocular, 35mm Focal Lens 384x288(50Hz) Thermal Imaging Monocular Night Vision for Hunting, Handheld Infrared Thermal Scopes</t>
  </si>
  <si>
    <t>B0873CC25S</t>
  </si>
  <si>
    <t>VITENZI Night Vision Glasses for Men and Women Anti Glare Safety Night and Day Driving Glasses HD Yellow Tinted Sunglasses Wrap Around Sport Rome in Black</t>
  </si>
  <si>
    <t>B0873N35YC</t>
  </si>
  <si>
    <t>VITENZI Night Vision Glasses for Men and Women Anti Glare Safety Night and Day Driving Glasses HD Yellow Tinted Sunglasses Wrap Around Sport Rome in Tortoise</t>
  </si>
  <si>
    <t>B0DDXSDMX3</t>
  </si>
  <si>
    <t>I4SEE K25-384 LRF Thermal Imaging Monocular for Hunting – 25mm Focal Lens, 384×288 (50Hz) 12μm Night Vision Infrared Scope, 1920×1080 Full-HD AMOLED Display, 12-Hour Battery Life for Outdoor Use</t>
  </si>
  <si>
    <t>B0DNDRJ79P</t>
  </si>
  <si>
    <t>BFOCO Polarized Night Vision Glasses With Metalless &amp; Screwless Spring Hinges for Men - Yellow Polarised Sports Sunglasses Night Driving (Glossy Transparent)</t>
  </si>
  <si>
    <t>B0D8VXYYQ9</t>
  </si>
  <si>
    <t>Miasazyr NVG10 NVG30 Helmet Mounting Bracket Night Vision Goggles NVG Mount Fast Mounting Breakaway Base Adapters Helmet Accessories</t>
  </si>
  <si>
    <t>B0CRZ5N21G</t>
  </si>
  <si>
    <t>CEKOCK 850nm Cross Cursor Aiming Digital IR Night Vision Scope for Tactical Hunting with Long Distance Vision and Portable Design，Rechargeable, Not Allowed to Take Photos or Videos, Black</t>
  </si>
  <si>
    <t>B0DCZGK886</t>
  </si>
  <si>
    <t>GUANIEE Night Vision Goggles, Night Vision Binoculars with Built-in Flashlight 1080P Infrared Digital 8X Digital Zoom, Night Vision Monocular 2500mAh Rechargeable Battery with 32GB SD Card</t>
  </si>
  <si>
    <t>B01MG2EYN4</t>
  </si>
  <si>
    <t>Superior Tactical LLC S ST Pvs-14 and Pvs-7 Head Mount</t>
  </si>
  <si>
    <t>B0D91H2QZZ</t>
  </si>
  <si>
    <t>GPNVG 18 Night Vision Goggles Dummy Model with NVG Mount for PVS15/PVS18, Four-Tube Binocular Night Vision for Tactical Helmet NVG Mount, Cosplay Prop, CS Game,No Function (Tan)</t>
  </si>
  <si>
    <t>B0FMJRMB3N</t>
  </si>
  <si>
    <t>4K Night Vision Goggles with 4.0” IPS Screen, 48MP Photo, 8X Digital Zoom, 180° Rotatable Lens, Day/Night Vision Binoculars with IR up to 1000ft, Built-in Compass, 32H Battery, Tripod Mount</t>
  </si>
  <si>
    <t>B0DXV24JR4</t>
  </si>
  <si>
    <t>Night Vision Goggles - 4K Night Vision Binoculars with 5000mAh,Binoculars for Adults-3'' HD Screen for Camping,Security and Wildlife Observation</t>
  </si>
  <si>
    <t>B0D8L74NPZ</t>
  </si>
  <si>
    <t>PVS15 Night Vision Goggles Dummy Model with Night Vision Mount, Binocular Night Vision for Tactical Helmet NVG Mount, CS Game, Cosplay Prop, No Function (Tan)</t>
  </si>
  <si>
    <t>B0BPC5NP95</t>
  </si>
  <si>
    <t>EastVita Monocular Night Vision Goggles, 1080 Photo &amp; Video Portable Night Vision, 5X Digital Zoom Travel Infrared Monoculars for Day &amp; Night Hunting Camping Travel</t>
  </si>
  <si>
    <t>B0DKTVR79B</t>
  </si>
  <si>
    <t>T2 Pro Android Thermal Monocular, Hunting Night Vision Scope for Phone, Detect Deer at 1579 Yards, 13mm Lens, Thermal Camera for Outdoor with Tactical Handle and Scope Mount (Not for iOS)</t>
  </si>
  <si>
    <t>B0D6W4WPPZ</t>
  </si>
  <si>
    <t>YSS New Reinforced Upgraded Version Night Vision Bridge for Night Vision pvs14 Supports 2 Optical Night Visions or 1 Digital Night Vision (UK Standard) (tan)</t>
  </si>
  <si>
    <t>B08MVSX9HW</t>
  </si>
  <si>
    <t>ATN OTS LT Thermal Viewer</t>
  </si>
  <si>
    <t>B08NCP25GK</t>
  </si>
  <si>
    <t>ATN unisex adult Viewer Thermal Monocular, 320, 2-4x, 320x240 US</t>
  </si>
  <si>
    <t>B08NC7PFPY</t>
  </si>
  <si>
    <t>ATN unisex adult Viewer Thermal Monocular, 160, 4-8x, 160x120 US</t>
  </si>
  <si>
    <t>B0D8L772G4</t>
  </si>
  <si>
    <t>PVS15 Night Vision Goggles Dummy Model with NVG Mount, Binocular Airsoft Night Vision for Tactical Helmet, CS Game, Cosplay Prop, No Function (Black)</t>
  </si>
  <si>
    <t>B0C4B1LKYX</t>
  </si>
  <si>
    <t>oneleaf.ai AD38 Night Vision Scope Adapter-38mm</t>
  </si>
  <si>
    <t>B0D59BY4ZN</t>
  </si>
  <si>
    <t>Gexmil Night Vision Goggles NVG Mount for L4G24 Metal Helmet PVS15/18 NVG Metal G24</t>
  </si>
  <si>
    <t>B0C7XVCQ71</t>
  </si>
  <si>
    <t>SiOnyx Aurora Full-Color Digital Night Vision Camera</t>
  </si>
  <si>
    <t>B0FS7CFQL4</t>
  </si>
  <si>
    <t>Virgo S2 Mini Thermal Scope 4-in-1 Handheld Rifle Pistol Helmet Mount 256x192 60Hz Thermal Imaging Monocular</t>
  </si>
  <si>
    <t>B0D91HD4GH</t>
  </si>
  <si>
    <t>GPNVG 18 Night Vision Goggles Dummy Model with NVG Mount for PVS15/PVS18, Four-Tube Binocular Night Vision for Tactical Helmet NVG Mount, Cosplay Prop, CS Game,No Function (Black)</t>
  </si>
  <si>
    <t>B0CGQD82JV</t>
  </si>
  <si>
    <t>PVS-14 Light Weight Dual Tube Mounting System IC AN/PVS-14LW，Night Vision Goggles Night Vision Adapter for PVS-14 Night Vision Binoculars Monocular Or Binocular (Color : Black)</t>
  </si>
  <si>
    <t>B0CGQDCKT3</t>
  </si>
  <si>
    <t>LEESEN PVS-14 Light Weight Dual Tube Mounting System IC AN/PVS-14LW，Night Vision Goggles Night Vision Adapter for PVS-14 Night Vision Binoculars Monocular Or Binocular (Color : Gold)</t>
  </si>
  <si>
    <t>B0DHZVJ49V</t>
  </si>
  <si>
    <t>[2025 Upgrade] 4K Night Vision Monocular with Head Strap - | 1312 FT | 8X Magnification | Head Mounted | Dual IR 850</t>
  </si>
  <si>
    <t>B0FWZTQ2DG</t>
  </si>
  <si>
    <t>Night Vision Goggles with Rangefinder, 4K Night Vision Binoculars for Adult with 3.2''HD Screen &amp; 4500mAh Rechargeable Battery, 64GB TF Card, 1600FT Viewing Range for Hunting, Camping</t>
  </si>
  <si>
    <t>B0DMT1GKM8</t>
  </si>
  <si>
    <t>DUCO Night-vision Glasses Polarized Night Driving Men's Shooting Glasses</t>
  </si>
  <si>
    <t>B0DG1FSVHD</t>
  </si>
  <si>
    <t>WGFXYBFY NVG30 Helmet Mounted Night Vision Scope,940nm Infrared Night Vision Monocular,3 Levels of Infrared Adjustment,Support WiFi,Can Day and Night Use,Black</t>
  </si>
  <si>
    <t>B0BLSL9WW3</t>
  </si>
  <si>
    <t>oneleaf.ai Find NV200 True 4K 35mm Night Vision Binoculars, Night Vision Goggles for Observation/Hunting, Night Viewing Distance up to 600M (Day Viewing Distance up to 6KM)</t>
  </si>
  <si>
    <t>B0DN5NV7V7</t>
  </si>
  <si>
    <t>NVG 3rd 2K Resolution 2688x1520 Helmet Mounted Night Vision,Infrared Night Vision Monocular 4X Digital Zoom Visual Distance 300m 20mm Focal Lens for Outdoor Night Vision Hunting (NVG 3rd)</t>
  </si>
  <si>
    <t>B0D7MVMH4H</t>
  </si>
  <si>
    <t>Tactical Night Vision Goggles Model with Adjustable Helmet Mount for PVS15/PVS18/GPNVG18, No Function (Tan)</t>
  </si>
  <si>
    <t>B0DY1F9ZLP</t>
  </si>
  <si>
    <t>Head&amp;Helmet Mounted Night Vision Goggles with Head Strap, 5X Magnification,940nm IR,400M Night Vision Riflescope 1.4“ HD Round Screen, Aluminum Alloy Body, for Hunting, Fishing,Camping,Surveillance</t>
  </si>
  <si>
    <t>B0BCGXCCT4</t>
  </si>
  <si>
    <t>WIRUN Night Vision Glasses Anti-Glare Polarized UV400 Aviator Yellow Safety Night Driving Glasses Eyewear for Men &amp; Women (Golden081)</t>
  </si>
  <si>
    <t>B0BCGVFG9W</t>
  </si>
  <si>
    <t>WIRUN Night Vision Glasses Anti-Glare Polarized UV400 Aviator Yellow Safety Night Driving Glasses Eyewear for Men &amp; Women (Silver081)</t>
  </si>
  <si>
    <t>B08HXTM26W</t>
  </si>
  <si>
    <t>Digital Infrared Night Vision Binoculars for Camping, Hunting, Surveillance &amp; Bird Watching, 3X Digital Zoom, 984ft Range, 2.31” LCD Display by SIGWEIS</t>
  </si>
  <si>
    <t>B0CYH98PZ1</t>
  </si>
  <si>
    <t>Nightiger Day/Night Vision Binoculars with Ranging Function - Large HD Screen, 10X Digital Zoom, 2624FT Viewing Range, 7000mAh Rechargeable Infrared Night Vision Goggles for Adults</t>
  </si>
  <si>
    <t>B0CTCJJ6BZ</t>
  </si>
  <si>
    <t>Night Vision Goggles, 1312FT Digital Infrared Head Mounted Night Vision, Nightvision Goggles for Helmet, Compatible with Military Tactical FastMICH Helmet, 8X Digital Zoom/ 32GB SD Card</t>
  </si>
  <si>
    <t>B0DQGFMF54</t>
  </si>
  <si>
    <t>Night Vision Goggles, 4K UHD Video &amp; 36MP Image Infrared Night Vision Binoculars with 4.5″ Screen, 4500mAh Rechargeable Battery, 32GB TF Card, 8X Digital Zoom, Backlit Silicone Button for Camping</t>
  </si>
  <si>
    <t>B0DXF8LBYR</t>
  </si>
  <si>
    <t>Plastic Night Vision Binocular Bridge Mount for pvs14 Adjustable for Dovetail L4G24 Helmet Bracket Support 1 Digital or 2 Optical nvg (UK Standard)</t>
  </si>
  <si>
    <t>B0BCGYM9ZQ</t>
  </si>
  <si>
    <t>WIRUN Night Vision Glasses Anti-Glare Polarized UV400 Aviator Yellow Safety Night Driving Glasses Eyewear for Men &amp; Women (Grey025)</t>
  </si>
  <si>
    <t>B0BCGXBQR7</t>
  </si>
  <si>
    <t>WIRUN Night Vision Glasses Anti-Glare Polarized UV400 Aviator Yellow Safety Night Driving Glasses Eyewear for Men &amp; Women (Black025)</t>
  </si>
  <si>
    <t>B0DJ73XZ78</t>
  </si>
  <si>
    <t>[2024 Upgrade] Night Vision Goggles with Head Strap, Rechargeable Infrared Binoculars 3" Screen 1312FT Compatible with Fast MICH Helmet for Long Range Airsoft Military Hunting Tactical Gear</t>
  </si>
  <si>
    <t>B0BCGVR2W1</t>
  </si>
  <si>
    <t>WIRUN Night Vision Glasses Anti-Glare Polarized UV400 Aviator Yellow Safety Night Driving Glasses Eyewear for Men &amp; Women (Golden025)</t>
  </si>
  <si>
    <t>B0FPMHF7RC</t>
  </si>
  <si>
    <t>Night Vision Goggles 1080P 48MP,3'' HD Display,5X Optical 8X Digital Zoom,IPX4 Waterproof Infrared Night Vision for Camping</t>
  </si>
  <si>
    <t>B0DK5Z2M85</t>
  </si>
  <si>
    <t>Gen 20/20 Digital Night Vision Monocular for Adults with Photo Capture and 2GB SD Card – 2.3X Magnification, 12° FOV, Surveillance &amp; Hunting, Video Output, Adjustable FPS, and Color Display Options</t>
  </si>
  <si>
    <t>B004145A42</t>
  </si>
  <si>
    <t>Night Owl Optics iGen 20/20 Digital Night Vision Monocular - 2.3X Magnification, 12° FOV, Surveillance &amp; Hunting, Video Output, Color Display Options, Adjustable Frames Per Second</t>
  </si>
  <si>
    <t>B0BNJR3JM1</t>
  </si>
  <si>
    <t>Sehnsucht Night Driving Glasses Classic Night Vision Glasses for Men Women,Anti Glare Reducing Yellow Night Time Glasses 218Y Black Demi</t>
  </si>
  <si>
    <t>B0DZN42XC8</t>
  </si>
  <si>
    <t>GOWWPUN Night Vision Goggles Head Mounted 3D VR Night Vision Binoculars Wide FOV 58° with 3600mAh Rechargeable Battery,Save Photo Video,8X Digital Zoom for Camping and Hunting</t>
  </si>
  <si>
    <t>B0BNKBXMTM</t>
  </si>
  <si>
    <t>Sehnsucht Night Driving Glasses Classic Night Vision Glasses for Men Women,Anti Glare Reducing Yellow Night Time Glasses 218Y Black Orange</t>
  </si>
  <si>
    <t>B0DK5LRS8W</t>
  </si>
  <si>
    <t>Night Owl Optics Night Vision Monocular for Adults – 3-6x Digital Viewer with 37mm Lens, Built-in IR Illuminator, Adjustable Frame Rate &amp; Lightweight 9.34oz Design for Wildlife Observation &amp; Security</t>
  </si>
  <si>
    <t>B0DJWT8XD7</t>
  </si>
  <si>
    <t>Night Owl Optics xGen2 Night Vision Monocular with Thermal Imaging - Perfect for Beginners &amp; Kids, with Built-in IR Illuminator, 70yd Range, Mode Selection, and Easy Focus Adjustment</t>
  </si>
  <si>
    <t>B0CNSQL5BT</t>
  </si>
  <si>
    <t>okyass Tactical PVS-14 NVG Dovetail Shoe Night Vision Goggles Mount Bracket Assembly Couples wit</t>
  </si>
  <si>
    <t>B08F2V28CN</t>
  </si>
  <si>
    <t>X-Vision XANR100 Night Vision Rangefinder</t>
  </si>
  <si>
    <t>B0FS798S99</t>
  </si>
  <si>
    <t>Night Vision Goggles, Anyork 4K Night Vision Binoculars for Adults, 4000mAh Rechargeable Infrared Binoculars with 3'' Large Screen, 5X Digital Zoom for Camping, Includes 32GB TF Card</t>
  </si>
  <si>
    <t>B0727ZMXV1</t>
  </si>
  <si>
    <t>ANAVS-6 night vision goggles used by the military Poster Print (8 x 10)</t>
  </si>
  <si>
    <t>B0CQ1KWM6T</t>
  </si>
  <si>
    <t>YSS L4 G24 NVG Mount Metal Night Vision Helemet Mount for PVS15/PVS18 Night Vision Goggles Dovetail Mount No Shaking Black</t>
  </si>
  <si>
    <t>B0CWTPMVRM</t>
  </si>
  <si>
    <t>GOYOJO NVG 2K Night Vision Goggles for Adults - Helmet Mounted Night Vision Monocular with 4 Color Modes 4X Magnification, HD Recording &amp; Playback for Hunting Surveillance (Helmet Included), Balck</t>
  </si>
  <si>
    <t>B0D5HNGNSS</t>
  </si>
  <si>
    <t>4K Night Vision Goggles,Night Vision Binoculars for Adults,3.2'' IPS Screen,Infrared Camera, 10X Digital Zoom,4000mAh Battery Binoculars with 64GB TF Card,WiFi,Hunting &amp; Camping Gear-N002</t>
  </si>
  <si>
    <t>B0CFY21NBW</t>
  </si>
  <si>
    <t>Ruaiok Night Vision Goggles, 4K FHD Infrared Night Vision Binoculars with 8X Digital Zoom, 5000mAh Tactical Light Night Vision Scope, 3'' TFT Screen, 32GB Card, Suitable for Camping, Hunting</t>
  </si>
  <si>
    <t>B0B789GB5W</t>
  </si>
  <si>
    <t>proSPORT Yellow Lens Sun Glasses Rimless Night Vision Driving Riding Anti Glare Men Women</t>
  </si>
  <si>
    <t>B0B783PGYZ</t>
  </si>
  <si>
    <t>proSPORT Yellow Sun Glasses Men Women Rimless Night Vision Driving Riding Anti Glare</t>
  </si>
  <si>
    <t>B0B789SPJM</t>
  </si>
  <si>
    <t>B0B789G362</t>
  </si>
  <si>
    <t>B0CL3GZ6CR</t>
  </si>
  <si>
    <t>ATN Binox 4K 4-16X Smart Ultra HD Day/Night Hunting Binoculars w/Built-in Laser Rangefinder, Video Record, Wi-Fi, E-Compass, 16hrs+ Battery Power, Camping, Birdwatching, Sports</t>
  </si>
  <si>
    <t>B09J4RLV8R</t>
  </si>
  <si>
    <t>Hanlong Tactical Hunting Dummy Night Vision Goggle GPNVG 18 &amp; Plastic L4G24 NVG Mount for Airsoft (Black), One Size</t>
  </si>
  <si>
    <t>B0DFPT2K85</t>
  </si>
  <si>
    <t>Miasazyr Tactical Soft Helmets, Heavy Duty Night Vision Head Strap Adjustable NVG Mount Cap Headband for Night Vision Goggles &amp; Action Camera, Head Harness Compatible with NVG10/NVG30/G1/PVS 14</t>
  </si>
  <si>
    <t>B0BZV2K73W</t>
  </si>
  <si>
    <t>doorslay Night Vision Scope 4K Digital 3.2" NightNight Vision Binocularsfor Photo and Video Night Vision Goggles</t>
  </si>
  <si>
    <t>B09333SNTH</t>
  </si>
  <si>
    <t>FMA Tactical Aluminum Helmet NVG Flip Mount Adapter for NVG Night Vision Goggles (BK)</t>
  </si>
  <si>
    <t>B078NHJ9KW</t>
  </si>
  <si>
    <t>MOD Armory IC PVS-14 J Arm Adapter with NVG Dovetail Shoe or Bayonet Interface (Dovetail)</t>
  </si>
  <si>
    <t>Sights &amp; Optics</t>
  </si>
  <si>
    <t>B002BVUSSU</t>
  </si>
  <si>
    <t>Night Owl Optics 5-Power NOXM50 Night Vision Monocular</t>
  </si>
  <si>
    <t>B0DNQ93Z48</t>
  </si>
  <si>
    <t>Thermal Monocular, 384x288 (AI Super Resolution) Thermal Imaging Monocular,1.43" Large AMOLED Display,Thermal Night Vision with Wi-Fi Hotspot/STA/MIC,12hrs+ Battery Powers</t>
  </si>
  <si>
    <t>B0DJBD1G4W</t>
  </si>
  <si>
    <t>Pink Ribbon Shades The NightHawk Night Driving Half Rim Bifocal, 3.00</t>
  </si>
  <si>
    <t>B0C4YK81C2</t>
  </si>
  <si>
    <t>Guide Sensmart TK421 Thermal Imaging Monocular for Night Hunting -400x300 (50 Hz) High Sensitivity Thermal Vision Monocular, 6.8X Digtal Zoom &amp; 1800yd Search Range</t>
  </si>
  <si>
    <t>B0B1MYC1PL</t>
  </si>
  <si>
    <t>Guide Sensmart TK431 Thermal Vision Monocular – Night Vision for Hunting, 2.3X Optical Zoom, 9.2X Digital Zoom, 400x300 Resolution, 1550yd Detection Range, WiFi Video Streaming, Waterproof</t>
  </si>
  <si>
    <t>B0CHMF1DHT</t>
  </si>
  <si>
    <t>MIRAGETARGET L4 G24 Rhino Mount PVS 14 NVG Helmet Mount Night Vision Goggles Mount Compatible with All Models of PVS 15/PVS 18/PVS 14/PVS 7(TAN)</t>
  </si>
  <si>
    <t>B004UO6E0M</t>
  </si>
  <si>
    <t>US ARMY ISSUE - ACH PVS-7/14 NIGHT VISION NVG HELMET RHINO MOUNT</t>
  </si>
  <si>
    <t>B09XMTYL4H</t>
  </si>
  <si>
    <t>PARD Night Vision Scope, Hunting Night Vision with IR 850nm, Night Vision Monocular for Hunting, Surveillance, Animal Observation, NV008SPLRF-850nm</t>
  </si>
  <si>
    <t>B0DJBCB4WL</t>
  </si>
  <si>
    <t>Pink Ribbon Shades The NightHawk Night Driving Half Rim Bifocal, 2.00</t>
  </si>
  <si>
    <t>B0DJBCVC4H</t>
  </si>
  <si>
    <t>Pink Ribbon Shades The NightHawk Night Driving Half Rim Bifocal, 1.50</t>
  </si>
  <si>
    <t>B0DJBDFPMW</t>
  </si>
  <si>
    <t>Pink Ribbon Shades The NightHawk Night Driving Half Rim Bifocal, 2.50</t>
  </si>
  <si>
    <t>B0DYDY5SWT</t>
  </si>
  <si>
    <t>Tactical Night Vision Goggles Model GPNVG18 with Adjustable Helmet NVG Bracket Mount for Cosplay and Display, No Function (Tan)</t>
  </si>
  <si>
    <t>B0D798Z856</t>
  </si>
  <si>
    <t>Yzpacc Night Vision Goggles Mount for L4G69/ PVS15/PCS18/GPNV18 NVG Helmet Mount for 3-Hole Tactical Airsoft Helmet</t>
  </si>
  <si>
    <t>B0CQNM8HVZ</t>
  </si>
  <si>
    <t>okyass NVG Dual BNVS Dovetail Adapter for PVS14,PVS14 Night Vision System Dual Head Bracket (tan)</t>
  </si>
  <si>
    <t>B0CKSLZFKZ</t>
  </si>
  <si>
    <t>Aetheria Dummy Night Vision Goggles with L4G24 Night Vision Mount for PVS15/PVS18/GPNVG18, PVS15 Dual-Tube Binocular Night Vision Goggles (Black)</t>
  </si>
  <si>
    <t>B0FRM17QZS</t>
  </si>
  <si>
    <t>HOMEE Night Vision Binoculars for Adults, 2.8" HD Screen Infrared Portable Digital Night Vision Goggles with 10X Digital Zoom,Photo and Video, 2000mAh Rechargeable Battery for Camping (With 64GB Card)</t>
  </si>
  <si>
    <t>B0D7GZP27N</t>
  </si>
  <si>
    <t>Nightiger Dual IR Night Vision Monocular for Adults Helmet OLED Large Circular Screen 850nm 940nm Rechargeable WiFi Night Vision Goggles HD Camera 4K Video Photo Digital Zoom Night Vision Binocular</t>
  </si>
  <si>
    <t>B0CQNJF7Q8</t>
  </si>
  <si>
    <t>okyass NVG Dual BNVS Dovetail Adapter for PVS14,PVS14 Night Vision System Dual Head Bracket (Black)</t>
  </si>
  <si>
    <t>B01MREL5ZC</t>
  </si>
  <si>
    <t>NightStar 2x50mm, Gen-1, Night Vision Monocular, 15 Degrees, Black, NS41250C</t>
  </si>
  <si>
    <t>B0DCF4H4HK</t>
  </si>
  <si>
    <t>TOP NVG NVGRA Camera Adapter for RunCam Helmet Camera</t>
  </si>
  <si>
    <t>B0BQ31RHZM</t>
  </si>
  <si>
    <t>TEQIN Night Vision Monocular, Night Vision InfraredMonocular with 1.5" TFT LCD Display Screen, 984ft/300M Viewing Range in 100% Dark, for Hunting Camping Travel Black</t>
  </si>
  <si>
    <t>B0BXL38NTH</t>
  </si>
  <si>
    <t>E.T Dragon Tactical 3-Hole Type 2 Skeleton NVG Mount Shroud for ACH/MICH/OPS-Core Fast/Crye AirFrame Helmet</t>
  </si>
  <si>
    <t>B0F8QM6ZXP</t>
  </si>
  <si>
    <t>BLESSOURCE Night Vision Goggles - Eagle 4K Night Vision Binoculars for Adults with Dual-Lens Magnified Display, 3 IR Modes, 8X Zoom, 3'' HD Screen, 5000mAh Battery, 64GB Card, for Outdoor &amp; Hunting</t>
  </si>
  <si>
    <t>B0D7MFNZ69</t>
  </si>
  <si>
    <t>PAERKU Upgraded Pvs14 Night Vision Mount, Night Vision Bridge with Adjustable Field of View for pvs14 Support 2 Optical Night Visions or 1 Digital Night Vision (British Standard)</t>
  </si>
  <si>
    <t>B0DY7S115F</t>
  </si>
  <si>
    <t>Night Vision Goggles,Binoculars for Adults - 5000mAh Long-Lasting, 3'' Screen &amp; 10X Zoom Camping, Security</t>
  </si>
  <si>
    <t>B0C9HTTNT2</t>
  </si>
  <si>
    <t>Night Vision Goggles, Binoculars Gifts for Mens, Viewing up to 650FT in Total Darkness, 64GB Card High-Powered Monocular Telescope for Stargazing, Hiking, Wildlife Watching</t>
  </si>
  <si>
    <t>B0DMF5BWJV</t>
  </si>
  <si>
    <t>Tactical GPNVG18 Dummy Model Night Vision Goggles Luminous Version &amp; L4G24 NVG Helmet Mount Plastic Bracket Kit</t>
  </si>
  <si>
    <t>B0DMF8HZ9J</t>
  </si>
  <si>
    <t>B0DMFBG9BB</t>
  </si>
  <si>
    <t>B0BC4CQKNC</t>
  </si>
  <si>
    <t>True WiFi Night Vision Monocular Support Smartphone iOS/Android 32G Super HD in Full Darkness Clearly Infrared Camera Telescope 12MP Photo Video Night Watching 5X Digital Zoom Night Vision Binocular</t>
  </si>
  <si>
    <t>B0DJXSJ1N1</t>
  </si>
  <si>
    <t>Hdlsina Airsoft Tactical Cosplay GPNVG18 Binoculars Night Vision Goggles Model No Function,L4G24 Night Vision Helmet Mount for PVS15/PVS18/GPNVG18 Fit for Tactical Decoration and Props (KHAKI)</t>
  </si>
  <si>
    <t>B0DJXPBVHT</t>
  </si>
  <si>
    <t>Airsoft Tactical Cosplay GPNVG18 Binoculars Night Vision Goggles Model No Function,L4G24 Night Vision Helmet Mount for PVS15/PVS18/GPNVG18 Fit for Tactical Decoration and Props (Black)</t>
  </si>
  <si>
    <t>B0CG9851GF</t>
  </si>
  <si>
    <t>Airsoft L4G69 NVG Mount,Fast OPS Helmet Nylon NVG Mounting for PVS15 PVS18 PGPNVG18 Night Vision Goggle</t>
  </si>
  <si>
    <t>B0CG983BW5</t>
  </si>
  <si>
    <t>B0CG982DQ1</t>
  </si>
  <si>
    <t>Airsoft L4G24 Night Vision Googgles Mount,Military Nylon Adjustable Helmet NVG Bracket Adapter for PVS15 PVS18 GPNVG18</t>
  </si>
  <si>
    <t>B01N29QZ26</t>
  </si>
  <si>
    <t>AN/AVS-9(V) F4949G ANVIS Night Vision Goggle NVG Black Carrying Case w/ Foam Cushion</t>
  </si>
  <si>
    <t>B0DCJYVJPH</t>
  </si>
  <si>
    <t>SKIOVEMI NV8300 Night Vision Goggles Head-Mounted, 3D 4K Thermal Goggles Military Tactical Night Binoculars with Night Vision/Digital Night Vision with 32GB Card to Save Photos/Videos</t>
  </si>
  <si>
    <t>B07MPC17VV</t>
  </si>
  <si>
    <t>FOCUS REVISION Tactical 3-Hole Type 2 Night Vision NVG Mount Shroud for ACH/MICH/OPS-Core Fast Helmet/Crye AirFrame Helmet (Army Green)</t>
  </si>
  <si>
    <t>B0DLNST3L1</t>
  </si>
  <si>
    <t>Miasazyr Thermal Monocular for Hunting, 296x192 (60 Hz), 4K Resolution, 11 Modes, 7X Magnification Thermal Monocular Night Vision Handheld Thermal Imaging</t>
  </si>
  <si>
    <t>B08TC3BXS6</t>
  </si>
  <si>
    <t>CREATIVE XP Infrared Night Vision Monocular Telescope for 100% Darkness - IR Digital Monocular, High-Tech Spy Gear for Hunting &amp; Surveillance - Save Photo &amp; Video with Card Reader Included</t>
  </si>
  <si>
    <t>B0CY2422CT</t>
  </si>
  <si>
    <t>1080P Night Vision Goggles, 10X Optical Telescopes and 8X Digital Zoom for Total Darkness Surveillance, 3'' Large Screen Binoculars can Save Photo &amp; Video with 64GB Memory Card, for Camping, Hunting</t>
  </si>
  <si>
    <t>B0FNK5HK84</t>
  </si>
  <si>
    <t>Night Vision Goggles Binoculars for Adults, 6X Digital Zoom, 3" Screen, Long Battery Life, Ideal for Hunting, Camping, and Security</t>
  </si>
  <si>
    <t>B0DB8BMNM1</t>
  </si>
  <si>
    <t>Jeekootoop Tactical AN/PVS18 Night Vision Goggles Dummy Model with Night Vision Mount, Single-Barrel NVG for Tactical Helmet, CS Game, Cosplay Prop (Black)</t>
  </si>
  <si>
    <t>B0CN452ZJ6</t>
  </si>
  <si>
    <t>Vortix 1PC Gpnvg18 Four-Tube Binocular Night Vision Goggles Model + 1PC L4g24 Night Vision Goggles Mount, Fast Helmets Supportor Acessories Cosplay Prop (Black)</t>
  </si>
  <si>
    <t>B00STABS40</t>
  </si>
  <si>
    <t>Carson AuraPlus 2x Power Digital Night Vision Camcorder with 8GB MicroSD Card (NV-250)</t>
  </si>
  <si>
    <t>B0CYS75L1M</t>
  </si>
  <si>
    <t>LEESEN Sacrificial Window PVS-14 PVS-7 1431 ANVIS Night Vision Orange Eyepiece Filter Lens Night Vision Thread Protection Piece Anti-Impact Protection Lens for 30mm Lens (1-Pack)</t>
  </si>
  <si>
    <t>B0FXX9P4FT</t>
  </si>
  <si>
    <t>Merlin Night Vision Binoculars,9.2X Zoom Digital Night Vision Goggles for Adults with 1150FT IR Range,Photo &amp; Video Recording,5000mAh Battery, App Control,IP67 Monocular for Hunting Camping &amp; Security</t>
  </si>
  <si>
    <t>B0FCS6F82W</t>
  </si>
  <si>
    <t>B0DFL7QQTZ</t>
  </si>
  <si>
    <t>EnuoChbuild Dummy Model Cosplay Prop - GPNVG18 Night Vision Goggles with Night Vision Mount for Helmet Cosplay Display, Four-Tube Binocular, Black</t>
  </si>
  <si>
    <t>B0DBL2VQ4Z</t>
  </si>
  <si>
    <t>Lancer Tactical Dummy GPNVG-18 Night Vision Goggles Non-Functional (Black)</t>
  </si>
  <si>
    <t>B0DBL682J7</t>
  </si>
  <si>
    <t>Lancer Tactical Dummy GPNVG-18 Night Vision Goggles Non-Functional (Tan)</t>
  </si>
  <si>
    <t>B01J8BI3R8</t>
  </si>
  <si>
    <t>Night View Night Vision Clip On Glasses, Yellow, One Size</t>
  </si>
  <si>
    <t>B01MRENM00</t>
  </si>
  <si>
    <t>NightStar Digital Night Vision 4x50mm Monocular, 15 Degrees, Black NS41450</t>
  </si>
  <si>
    <t>B08HCMY63M</t>
  </si>
  <si>
    <t>AoHeng Night Driving Clip on Glasses Night Vision Clip Fit Over Glasses Non Flip</t>
  </si>
  <si>
    <t>B0CKT5RWBR</t>
  </si>
  <si>
    <t>Aetheria PVS15 Night Vision Goggles Dual-Tube Binocular Night Vision Goggles Device for Tactical HuntingCosplay Prop (Black)</t>
  </si>
  <si>
    <t>B0BNTZBF6F</t>
  </si>
  <si>
    <t>Night Vision Binoculars,1080P 5X Digital Zoom 984Ft 7-Level Adjustable Infrared Night Vision for Photography,Wildlife Watching,Camping</t>
  </si>
  <si>
    <t>B0CP4RKGP7</t>
  </si>
  <si>
    <t>PVS-14 Dovetail Assembly Bracket Metal Bridge Arm Assembly Bracket - CNC Full Aerospace Aluminum</t>
  </si>
  <si>
    <t>B00JV5GSVK</t>
  </si>
  <si>
    <t>FineLife Night Vision Binocular, Camouflage</t>
  </si>
  <si>
    <t>B0D3131SDD</t>
  </si>
  <si>
    <t>L4G24 Night Vision Goggles Mount NVG Mount for L4G24 Metal Helmet Mount PVS15/18</t>
  </si>
  <si>
    <t>B0DMV5JSD7</t>
  </si>
  <si>
    <t>Night Vision Monocular - High powerr Digital Adults Monocular, Portable infraredd Night Vision Monocular | Low Light Vision Device, Low Light Monocular for Outdoors, Camping Gear, Concert and Stadium</t>
  </si>
  <si>
    <t>B0CKT9MMP6</t>
  </si>
  <si>
    <t>Aetheria NV8000 Night Vision Goggles Head-Mounted, 3D 4K Infrared Night Vision Binoculars with 32GB Memory Card, Waterproof Dustproof Night Vision Device for Adults</t>
  </si>
  <si>
    <t>B0DHZT42T2</t>
  </si>
  <si>
    <t>SKIOVEMI NV8300 Head-Mounted Night Vision Goggles for Adults, 3D 36MP 4K Thermal Goggles Military Tactical Digital Infrared Night Vision Binoculars with 32GB Memory Card</t>
  </si>
  <si>
    <t>B0DYDWQGSX</t>
  </si>
  <si>
    <t>Tactical Night Vision Goggles Model GPNVG18 with Adjustable Helmet Bracket NVG Mount for PVS15/PVS18/GPNVG18, No Function (Tan)</t>
  </si>
  <si>
    <t>B0CBV6V43B</t>
  </si>
  <si>
    <t>Night Vision Monocular - Digital Night Vision Scope with 1.6" 640x480 HD IPS Display, Audio &amp;Video Recording Camera Function, 850nm IR Illuminator, 4 Imaging Modes, for Hunting, Military Tactical</t>
  </si>
  <si>
    <t>B0D3QPQ2Q7</t>
  </si>
  <si>
    <t>Superior Tactical LLC S Night Vision Objective Lens Assembly for PVS-14 - Carson</t>
  </si>
  <si>
    <t>B0D7S97G8V</t>
  </si>
  <si>
    <t>4K Night Vision Goggles - Infrared Night Vision in 100% Darkness with 10X Digital Zoom, 5000mAh Rechargeable for Camping Hunting and Surveillance with 32GB Card, Neck Strap &amp; Case</t>
  </si>
  <si>
    <t>B0FVTFHBGF</t>
  </si>
  <si>
    <t>Yoidesu Digital Night Vision Goggles, Outdoor 4K HD Infrared Monocular Binoculars for Camping Travel, with 28X Zoom 4800mAh Rechargeable Battery for Adult Camping</t>
  </si>
  <si>
    <t>B0DYHPZYSY</t>
  </si>
  <si>
    <t>HT-A16 Thermal Vision Monocular for Night Hunting 384x288 IR Resolution,25Hz Refresh Rate, Heat Vision IR Thermal Vision Monocular for Wildlife Viewing 35mm Focal Lens Infrared Thermal Scopes</t>
  </si>
  <si>
    <t>B0BCQ4T7G2</t>
  </si>
  <si>
    <t>ATN ACMKIRTGBR Universal Thermal Target Pack - Boar</t>
  </si>
  <si>
    <t>B0DNQJ857V</t>
  </si>
  <si>
    <t>EliteZ Monocular Night Vision Goggles, 1080 Photo &amp; Video Portable Night Vision, 5X Digital Zoom 300m Full Dark Viewing Distance, Photos &amp; Videos, for Hunting,Camping,Travel</t>
  </si>
  <si>
    <t>B0CKVK23HW</t>
  </si>
  <si>
    <t>Anti-Blur Night Vision Monocular 30mm Lens 2.3X-9.2X Zoom,0.38 inch OLED Screen 1080p Digital Ranger Finder, 850nm Invisible IR waveligh for Outdoor Hunting Night Vision with WiFi APP</t>
  </si>
  <si>
    <t>B0FMRP7MWZ</t>
  </si>
  <si>
    <t>GEERTOP 4K Night Vision Goggles - 58MP Full-Color Camera Night Vision Binoculars 64GB TF Card, Flashlight &amp; 16HR Recording for Hunting, Camping, Wildlife Observation</t>
  </si>
  <si>
    <t>B0CMV9NZC8</t>
  </si>
  <si>
    <t>NVG Lanyard for 3-Hole Bracket mounting attaches securely to a Variety of NVG Combat Helmet mounts - Prevents NVGs from Being Lost &amp; Dropped</t>
  </si>
  <si>
    <t>B0DDCRGTVJ</t>
  </si>
  <si>
    <t>BUK OPS Cycloptic Handheld Primetime Viewer with Primetime Color Vision, Low Light Enhancing Technology, 4K HD Video, 1-5x Digital Zoom, 1.39 inch HD Viewfinder, Digital Monocular for Hunters</t>
  </si>
  <si>
    <t>B0D475DNTP</t>
  </si>
  <si>
    <t>Digital Night Vision Goggles Binoculars for Adults, 36MP 4K 8X Infrared Night Vision Scopes Head Mount with 32GB TF Card 3.2" TFT Screen for Save Photo &amp; Video (NV2180)</t>
  </si>
  <si>
    <t>B0CDC9BF6Z</t>
  </si>
  <si>
    <t>RSBFER 1X32 Infrared Digital Night Vision Goggles Scope Monocular Head Mounted Helmet Wear for Hunting, Wildlife Watching</t>
  </si>
  <si>
    <t>B0CP3C49VZ</t>
  </si>
  <si>
    <t>GOYOJO Thermal Monocular for Hunting, 25Hz Handheld Infrared Thermal Scope, with High Sensitivity 256x192 Night Vision Telescope, with Photo, Video Record for Night Fishing, Camping, 2X - 4X</t>
  </si>
  <si>
    <t>B0CGV6M54W</t>
  </si>
  <si>
    <t>Aetheria L4G24 Night Vision Mount for PVS15/PVS18/GPNVG18, Flip-up Mount for Night Vision Goggles for WoSporT Fast Helmets (Tan)</t>
  </si>
  <si>
    <t>B0CGV7QP38</t>
  </si>
  <si>
    <t>Aetheria L4G24 Night Vision Mount for PVS15/PVS18/GPNVG18, Flip-up Mount for Night Vision Goggles for WoSporT Fast Helmets (Black)</t>
  </si>
  <si>
    <t>B0759TK6CF</t>
  </si>
  <si>
    <t>Night Optics USA A3144263 Shield Demist Pvs-7 Night Vision Scopes</t>
  </si>
  <si>
    <t>B091GJC18T</t>
  </si>
  <si>
    <t>FMA PVS18 Lens Rubber Cover Protective Cover for PVS18 NVG Night Vision Goggles</t>
  </si>
  <si>
    <t>B0DPRDM9GJ</t>
  </si>
  <si>
    <t>TacRight Night Vision Goggles With Camera - 5X Digital Zoom, HD Screen With 2.5" Display, Hunting Accessories, Equipment, Video Binoculars, Gifts for Men</t>
  </si>
  <si>
    <t>B0D9VW4L8S</t>
  </si>
  <si>
    <t>[2024 Upgrade] Night Vision Goggles Head Mounted,with Added White Fill Light Night Vision Binoculars 4K Video and 36MP Photo for Viewing 1312FT,8X Digital Zoom Long Rang Infrared Goggles Night</t>
  </si>
  <si>
    <t>B0CGKLKDNK</t>
  </si>
  <si>
    <t>LEESEN J-Arm Headset Adapter PVS 14 Night Vision Mount,Rhino All Aluminum Alloy Material PVS 14 J Arm Night Vision Goggles NVG Mount Metal Helmet Compatible with All Models of PVS14</t>
  </si>
  <si>
    <t>B0CRZ2BG1M</t>
  </si>
  <si>
    <t>Tactical Green Light AN/PVS31 Helmet Dummy Night Vision Goggle Model ＆ L4G19 NVG Helmet Mount Plastic Bracket No Function Binocular Night Vision NVG with Battery Case and Storage Box</t>
  </si>
  <si>
    <t>B0DPMLSLDF</t>
  </si>
  <si>
    <t>WGFXYBFY 4K Head Mounted Night Vision Monocular, 1312FT Night Vision Goggles for Adults, 8X Digital Zoom 7-Level Infrared with 32GB Memory Card to Photo and Video for Camping</t>
  </si>
  <si>
    <t>B07YCSKQHC</t>
  </si>
  <si>
    <t>AGM 5X AFOCAL Magnifier Lens</t>
  </si>
  <si>
    <t>B0DLNVYX4S</t>
  </si>
  <si>
    <t>EOTACTACTICAL NVG Focus Enhancement Device Night Vision Universal Focus Adjustable Iris Aperture for PVS-14/ PVS-31/ PVS-18 (34mm 1.346in)</t>
  </si>
  <si>
    <t>B0DLNXV5ST</t>
  </si>
  <si>
    <t>EOTACTACTICAL NVG Focus Enhancement Device Night Vision Universal Focus Adjustable Iris Aperture for PVS-14/ PVS-31/ PVS-18 (37mm 1.446in)</t>
  </si>
  <si>
    <t>B0C89SGP57</t>
  </si>
  <si>
    <t>WarmHeartting Airsoft L4G24 Night Vision Googgles Tactical Helmet NVG Mount for PVS15 PVS18 GPNVG18</t>
  </si>
  <si>
    <t>B0D9K6GH71</t>
  </si>
  <si>
    <t>PVS-14 Binocular Bridge Helmet Mount Light Weight Dual Tube Mounting System IC AN/PVS-14LW，Night Vision Goggles Night Vision Adapter for PVS-14 Night Vision Binoculars Monocular Or Binocular (Tan)</t>
  </si>
  <si>
    <t>B0D9K5W9H1</t>
  </si>
  <si>
    <t>PVS-14 Binocular Bridge Helmet Mount Light Weight Dual Tube Mounting System IC AN/PVS-14LW，Night Vision Goggles Night Vision Adapter for PVS-14 Night Vision Binoculars Monocular Or Binocular (Black)</t>
  </si>
  <si>
    <t>B0DFH3FVSR</t>
  </si>
  <si>
    <t>B0CDBK9WMH</t>
  </si>
  <si>
    <t>FMA AVS9 Bracket Mount Helmet Accessories Functional Night Vision Base TB1272-C</t>
  </si>
  <si>
    <t>B0DNQDZP2G</t>
  </si>
  <si>
    <t>HATSEN NVG Focus Enhancement Device Universal Focus Adjustable Iris for an/PVS6 an/PVS-7 AN/PVS-7B/D ANVIS-9 AN/PVS-14 NEPVS-14 Etc Night Vision Goggles, 37mm/34mm (37mm)</t>
  </si>
  <si>
    <t>B0FFGS8XST</t>
  </si>
  <si>
    <t>GPNVG18 Tactical Night Vision Goggle Model, Four-Tube Binocular Night Vision Goggles for Cosplay and Outdoor Activities, No Function (Black)</t>
  </si>
  <si>
    <t>B0DJNSCPMD</t>
  </si>
  <si>
    <t>DTACGERA Night Vision Goggles Head Mounted Monocular Digital Infrared 1080P FHD Save Photos &amp; Videos with 6X Digital Zoom for 100% Darkness Hunting Wildlife Observation Camping</t>
  </si>
  <si>
    <t>B0D499R583</t>
  </si>
  <si>
    <t>Night Vision Goggles, Infrared Binoculars with Camera for Hunting Day and Night High-Power Binoculars with 3X Digital Zoom, 984ft Range, 2.31''LCD Display with 32GB Memory Card (Battery Not Included)</t>
  </si>
  <si>
    <t>B0DPQL2QKL</t>
  </si>
  <si>
    <t>Night Vision Goggles, 4K Infrared Night Vision Binoculars for Adults, 3" Large Screen, 8X Digital Zoom, Adjustable IR Light, 32GB Card for Photos &amp; Videos, for Camping, Hunting &amp; Security</t>
  </si>
  <si>
    <t>B0GCJWC2XZ</t>
  </si>
  <si>
    <t>384 * 288 AISR Thermal Monocular, 1.43" Thermal Imaging Monocular Handheld Infrared Scope with 10+h Battery Life, 32GB, 60Hz Thermal Camera Monocular for Hunting Camping Adventure, Camping, Travel</t>
  </si>
  <si>
    <t>B0FBM5V5LD</t>
  </si>
  <si>
    <t>SeeGhylpht 600M Range Night Vision Monocular, 40MP Resolution, 8X Digital Zoom, 2600mAh Removable Battery, 850nm Infrared Spotlight with 3 - Level Adjustment, Ideal for Outdoor Exploration &amp; Hunting</t>
  </si>
  <si>
    <t>B0CFV58PD6</t>
  </si>
  <si>
    <t>RUSUO Lens,Monocular Crossing Cursor Digital Night-Visions Device Infrared Day Night Use Night-Visions Device 500M Full Black Viewing Distance 4X Digital Zoom Night-Visions Device</t>
  </si>
  <si>
    <t>B0FF9LN6LZ</t>
  </si>
  <si>
    <t>TRV 4K Digital Night Vision Goggles for Adults - 8X Zoom, 300M Range, 12H Battery, IR Camera &amp; Video Recorder</t>
  </si>
  <si>
    <t>B0DJSPWVRY</t>
  </si>
  <si>
    <t>D-14 Bridge Dual PVS-14 NVG Mounting System Night Vision Helmet Mount Integrated Components，Adjustable Dovetail Versatile Night Vision Goggles Adapter，for Single Monocular &amp; Dual Binocular PVS-14</t>
  </si>
  <si>
    <t>B0DPWYRX96</t>
  </si>
  <si>
    <t>SKIOVEMI Head-Mounted Night Vision Goggles for Adults, Night Vision Binoculars with 4 Color Modes 8X Magnification, Long Rang Infrared Goggles Night</t>
  </si>
  <si>
    <t>B08RNNXDHG</t>
  </si>
  <si>
    <t>FMA Tactical AVS9 Helmet Night Vision Goggle NVG Battery Box Case Dummy Model</t>
  </si>
  <si>
    <t>B09156VR1C</t>
  </si>
  <si>
    <t>FMA Tactical GPNVG18 Dummy Model Night Vision Goggles &amp; L4G19 NVG Helmet Mount Plastic Bracket No Function</t>
  </si>
  <si>
    <t>B0FNKVTNH8</t>
  </si>
  <si>
    <t>Luna Optics LN-QD-B50 Quantum Digital Day-Night Vision Binocular 6-36x50 - Digital Night Vision with 1000m Laser Rangefinder, 2K Recording, Professional Grade for Hunting and Surveillance</t>
  </si>
  <si>
    <t>B0D7PZWF76</t>
  </si>
  <si>
    <t>oneleaf.ai Find NV200 70mm LRF 4K Digital Day/Night Vision Binoculars with Rangefinder</t>
  </si>
  <si>
    <t>B0CN44M68K</t>
  </si>
  <si>
    <t>Vortix GPNVG18 Night Vision Goggles Mount Cosplay Prop, Tactical Dummy Model Night Vision Goggles with Four-Tube Binocular (Black)</t>
  </si>
  <si>
    <t>B01GOXRWUW</t>
  </si>
  <si>
    <t>DLP Tactical 3-Hole Skeleton NVG Mount Shroud Compatible with ACH/MICH/OPS-Core Fast/Crye AirFrame Helmet (Tan)</t>
  </si>
  <si>
    <t>B01GOXRWVQ</t>
  </si>
  <si>
    <t>DLP Tactical 3-Hole Skeleton NVG Mount Shroud Compatible with ACH/MICH/OPS-Core Fast/Crye AirFrame Helmet (Black)</t>
  </si>
  <si>
    <t>B0CZL6DMCF</t>
  </si>
  <si>
    <t>OBIOCKIDAY Night Vision Goggles, GPNVG18 Four-Tube Binocular Mount Hunting Cosplay Prop with No Function for Camping (Black)</t>
  </si>
  <si>
    <t>B0D93W3WYY</t>
  </si>
  <si>
    <t>Beuiouer Metal L4 G24 L4G24 NVG Operational Support for PVS15 PVS18 GPNVG18 Goggle Night Vision Stent Skip Fast OPS Helmet Parts</t>
  </si>
  <si>
    <t>B0DKTJNR5G</t>
  </si>
  <si>
    <t>Thermal Monocular,384x288 (AI Super Resolution) H3 Thermal Monocular for Hunting,(800×600) Micro-OLED Display,IP66 Thermal Night Vision with Wi-Fi Hotspot/STA/MIC,12hrs+ Battery Powers</t>
  </si>
  <si>
    <t>B0F1L8MMWJ</t>
  </si>
  <si>
    <t>New Megaorei NK008 1080P 300M Hunting Digital Infrared Night Vision Scope Attachment Camcorder with Built-in 940nm Infrared Flashlight Monocular</t>
  </si>
  <si>
    <t>B0D72YRD8R</t>
  </si>
  <si>
    <t>RinRinGo Night Vision Goggles Cosplay Prop, Four-Tube Binocular Night Vision Goggles with Mount for GPNVG18 (Non-Function)</t>
  </si>
  <si>
    <t>B0D72XGX13</t>
  </si>
  <si>
    <t>B0DC3S3DK2</t>
  </si>
  <si>
    <t>SKIOVEMI NV8161 Military Tactical Night-Vision Goggles Head Mounted, 4K HD IR Night Vision Binoculars with 8X Digital Zoom, Save Photo and Video with 32GB Memory Card, Built-in 3000Mah Battery</t>
  </si>
  <si>
    <t>B0DCVS1489</t>
  </si>
  <si>
    <t>EliteZ Night Vision Goggles - 1080P Night Vision Binoculars for Adults, 5X Digital Zoom and 3'' HD Screen Binoculars can Save Photo and Video, with Rechargeable 3000mAh Battery, Black</t>
  </si>
  <si>
    <t>B0DPHLR4JY</t>
  </si>
  <si>
    <t>HMWOKPOT 4K Helmet Style Night Vision Binoculars Dual Screen Night Vision Goggles with 3 Adjustable Infrared Lights &amp; Tactical Flashlight</t>
  </si>
  <si>
    <t>B0CBP2XY45</t>
  </si>
  <si>
    <t>PVS 14 Night Vision Goggles 2X Digital Night Vision Monocular Scope with POM J ARM Helmet Adapter NVG Mount Kits Entry Level</t>
  </si>
  <si>
    <t>B0DBZVM4Z3</t>
  </si>
  <si>
    <t>Miasazyr Thermal Monocular, 4K Thermal Imaging Monocular for Adults, 256x192 (60 Hz) Night Vision Scope Infrared Thermal Camera with 11 Mode for Outdoor Camping, Animal Observation</t>
  </si>
  <si>
    <t>B0DCJRM53T</t>
  </si>
  <si>
    <t>Miasazyr 4K Night Vision Binoculars for Adults, Head-Mounted 3D Night Vision Goggles Camera with 8X Digital Zoom &amp; 7-Level Infrared for Camping, Hiking</t>
  </si>
  <si>
    <t>B0FG2YFNNG</t>
  </si>
  <si>
    <t>TRV NVG3rd Digital Night Vision Goggles for Adults - 2.5K HD Head Mounted, 40° FOV, Infrared, with OLED Display, 250m Range, IPX7 Waterproof</t>
  </si>
  <si>
    <t>B0CS68BDNP</t>
  </si>
  <si>
    <t>ROBBIN Military Digital IR Night Vision Goggles, 4X Zoom Adult Night Vision Binoculars, for Viewing 984Ft/300M in 100% Darkness for Hunting</t>
  </si>
  <si>
    <t>B0F3C5LBQ5</t>
  </si>
  <si>
    <t>Zippy Goose Night Vision Goggles – 4k Night Vision Binoculars 5W IR Illumination, 800M Detection Range, Built-in Tactical Flashlight | Camping, Hunting</t>
  </si>
  <si>
    <t>B09ZTP3CQ6</t>
  </si>
  <si>
    <t>FMA Tactical AVS9 Helmet Night Vision Goggle NVG Battery Box Case with Wire Dummy Model</t>
  </si>
  <si>
    <t>B0CX8RHBV7</t>
  </si>
  <si>
    <t>GOYOJO Versatile Night Vision Binocular Adapter - Easy Installation, Stable Mounting Bracket, Lightweight Aluminum Material</t>
  </si>
  <si>
    <t>B0CV62FQ82</t>
  </si>
  <si>
    <t>Gear Rack Universal NVG Mount Shroud with Integrated IR and Light Array 1 or 3 Hole Attachment for US Military Helmets Night Vision Mount with Lights (Black)</t>
  </si>
  <si>
    <t>B0BWSGPJDK</t>
  </si>
  <si>
    <t>True North PVS-31 / BNVD-1531 / ANVIS NVG Battery Enclosure for Night Vision in Black LFG-094-A3</t>
  </si>
  <si>
    <t>B0DQKSMDPG</t>
  </si>
  <si>
    <t>PVS-14 NVG Monocular Mount Helmet Dual Night Vision Goggles Bridge Mount Adapter</t>
  </si>
  <si>
    <t>B0CGDH3DTC</t>
  </si>
  <si>
    <t>YSS NVG Rhino Arm Helmet Mount -Full Metal Sturdy and Adjustable Design for PVS-14/PVS-7 Night Vision Goggles - Ideal for Hunting, Hiking, and Tactical Operations, Easy Installation (Black)</t>
  </si>
  <si>
    <t>B0CGDLCVY2</t>
  </si>
  <si>
    <t>YSS NVG Rhino Arm Helmet Mount -Full Metal Sturdy and Adjustable Design for PVS-14/PVS-7 Night Vision Goggles - Ideal for Hunting, Hiking, and Tactical Operations, Easy Installation (Blue)</t>
  </si>
  <si>
    <t>B0CGDGHZ6F</t>
  </si>
  <si>
    <t>YSS NVG Rhino Arm Helmet Mount -Full Metal Sturdy and Adjustable Design for PVS-14/PVS-7 Night Vision Goggles - Ideal for Hunting, Hiking, and Tactical Operations, Easy Installation (tan)</t>
  </si>
  <si>
    <t>B0BXG1HB1F</t>
  </si>
  <si>
    <t>HIIGH PVS14 Night Vision Goggles Binocular Bracket J Arm Tactical Hunting Ultralight NVG Mount Bridge for Dual AN/PVS-14 Night Vision Goggles Fast Bridging L4G24 Mount</t>
  </si>
  <si>
    <t>B01IDXG2DO</t>
  </si>
  <si>
    <t>DLP Tactical 3-Hole Type 2 Skeleton NVG Mount Shroud Compatible with ACH/MICH/OPS-Core Fast/Crye AirFrame Helmet (Black)</t>
  </si>
  <si>
    <t>B0D59L43MN</t>
  </si>
  <si>
    <t>Full Color Night Vision Goggles, 5K Video Clarity, 10X Digital Zoom, Full Color and White, 850nm Infrared Light, Rechargeable Battery,32GB Storage, Outdoor Adventures, Camping, Travel</t>
  </si>
  <si>
    <t>B0CPRRJYDT</t>
  </si>
  <si>
    <t>Armasight BNVD-51 Battery Pack with Long-Lasting Battery and Ergonomic Design for BNVD-51 Night Vision Goggles (Gray)</t>
  </si>
  <si>
    <t>Large bulky</t>
  </si>
  <si>
    <t>B0D9S1N97T</t>
  </si>
  <si>
    <t>5k Night Vision Goggles, Built-in Powerful Focusable IR, Full Color 4-inch Super Large Display, Long Viewing Range, Supports WiFi,with High Speed 64GB Card</t>
  </si>
  <si>
    <t>B0FDQLP4YG</t>
  </si>
  <si>
    <t>MUM/GT-14 Binocular Bridge System NVG Mount，Lightweight Modular Night Vision Goggles Base Metal Helmet Mount，Compatible with PVS-14/MUM-14/GT-14 Night Vision Binoculars Or Monocular Interface Etc</t>
  </si>
  <si>
    <t>B0DPQJ58BF</t>
  </si>
  <si>
    <t>WGFXYBFY Infrared Night Vision Scope, Rechargeable Night Vision Monocular for Adults, with 1.54 in HD Screen and 7X Magnification, Support Charging While Using,Standard Accessories</t>
  </si>
  <si>
    <t>B0D4M1XZML</t>
  </si>
  <si>
    <t>VONOV 5K Night Vision Goggles Night Vision Binoculars,Full-Color 4.5" OLED Infrared Night Vision, with 50x Ｄigital Zoom, 5G WiFi, Support Anti Shake，Rechargeable Battery, Free High Speed 64GB Card</t>
  </si>
  <si>
    <t>B0DPQH7QQ1</t>
  </si>
  <si>
    <t>WGFXYBFY Infrared Night Vision Scope, Rechargeable Night Vision Monocular for Adults, with 1.54 in HD Screen and 7X Magnification, Support Charging While Using,Comes with Headband and Stand</t>
  </si>
  <si>
    <t>B0DJVZ4Q2T</t>
  </si>
  <si>
    <t>Miasazyr PVS14 PVS31 Objective Lens 58 Degrees Extra-Large Angles Night Vision Tube Binocular Monocular NVG Lens,Black</t>
  </si>
  <si>
    <t>B0DKS5PS12</t>
  </si>
  <si>
    <t>PVS-14 Dual NVG Bridge Mount, Adjustable Dovetail Versatile Night Vision Goggles Adapter, Integrated Night Vision Scope Helmet Mounting System, for Dual Binocular &amp; Single Monocular PVS-14, Tan</t>
  </si>
  <si>
    <t>B08GWGF9KL</t>
  </si>
  <si>
    <t>Rexing B1 (Carbon Fiber Color) Night Vision Goggles Binoculars with LCD Screen, Infrared (IR) Digital Camera, Dual Photo + Video Recording for Spotting, Hunting, Tracking up to 300 Meters</t>
  </si>
  <si>
    <t>B0CFV2H85F</t>
  </si>
  <si>
    <t>GOYOJO Thermal Night Vision Riflescope for Hunting - 25 mm/12um Long-Range Detection, Adjustable Focus, HD Imaging, 6H Battery, and More - Perfect for Hunting, Surveillance, and Wildlife Observation</t>
  </si>
  <si>
    <t>B0DJ1S5PGH</t>
  </si>
  <si>
    <t>KONTONTY Compact Night Hunting Scope for Men Portable Pocket Telescope for Travel</t>
  </si>
  <si>
    <t>B0CJ2ZF71W</t>
  </si>
  <si>
    <t>SIANKO PVS-14/PVS-7 Adapter Mount Arm Holder Kit,Adjustable Spacing Angle Full Metal Rhino Bracket Accessories for Airsoft Hunting Paintball</t>
  </si>
  <si>
    <t>B000S6OHKK</t>
  </si>
  <si>
    <t>Express Distributing Amber Driver Glasses Reduce Glare Blindness Night Vision</t>
  </si>
  <si>
    <t>B0CRQK499Q</t>
  </si>
  <si>
    <t>Night Vision Binoculars for Adults Kids Aupabu 4K Infrared 6X Digital Zoom Goggles 6000mAh Rechargeable for Hunting, Wildlife, Camping and Surveillance with Case Night Vision Goggles</t>
  </si>
  <si>
    <t>B0CV63LCN2</t>
  </si>
  <si>
    <t>Gear Rack NVG Rhino Arm Mount Full Metal Universal Compatible with PVS -14 Night Vision Goggles Mount Helmet Adapter (Black)</t>
  </si>
  <si>
    <t>B0CV644GTM</t>
  </si>
  <si>
    <t>Gear Rack NVG Rhino Arm Mount Full Metal Universal Compatible with PVS -14 Night Vision Goggles Mount Helmet Adapter (Coyote)</t>
  </si>
  <si>
    <t>B0F299G3B9</t>
  </si>
  <si>
    <t>Night Vision Goggles Head Mounted 4K Rechargeable 1312FT Digital Infrared Night Vision Binoculars 8X Digital Zoom Night Vision Scope Can Save Photos/Videos,Lncluding 32GB SD Card (Basic)</t>
  </si>
  <si>
    <t>B0BC9S2BR7</t>
  </si>
  <si>
    <t>WIRUN Night Vision Glasses for Men Women Polarized UV400 Aviator Anti Glare Yellow Safety Night View Driving Eyewear (Black)</t>
  </si>
  <si>
    <t>B0DY7PQ72Z</t>
  </si>
  <si>
    <t>Wide Field Digital Zoom Infrared Day/Night Vision Binocular &amp; Goggle with Camera Filter for Adults - 3" HD 8MP Take Photo &amp; Video, 6x42MM Tactical Gear Night Vision</t>
  </si>
  <si>
    <t>B09J4S3CZL</t>
  </si>
  <si>
    <t>Hanlong Tactical Hunting Dummy Night Vision Goggle GPNVG 18 &amp; Plastic L4G24 NVG Mount for Airsoft (Sand), One Size</t>
  </si>
  <si>
    <t>B0CPR9ZWGM</t>
  </si>
  <si>
    <t>Armasight BNVD-40 Battery Pack with Long-Lasting Battery and Ergonomic Design for BNVD-40 Night Vision Goggles (Gray)</t>
  </si>
  <si>
    <t>B0CX8NV8SG</t>
  </si>
  <si>
    <t>AMNOUR PVS14 PVS31 Power Cord Battery Box 4-core Double-Ended Elbow Wire for Night Vision, 1 pieces, JTSF9648</t>
  </si>
  <si>
    <t>B081CWC47R</t>
  </si>
  <si>
    <t>BNISE Night Vision Binoculars Goggles, Digital Infrared Binoculars with Night Vision 32GB Memory Card for Hunting Spy Camping Wildlife Adventure</t>
  </si>
  <si>
    <t>B0F9KVBYRD</t>
  </si>
  <si>
    <t>Nightiger Night Vision Binoculars 4K 6000mAh Rechargeable Night Vision Goggles High Resolution Optics FHD Night Vision Camera for Bird Watching Football Games Match Travel</t>
  </si>
  <si>
    <t>B0FF2BPDPF</t>
  </si>
  <si>
    <t>PVS15 Binocular Tactical Night Vision Goggle Model, Tactical Night Vision Goggles Model for Cosplay and Outdoor Activities, No Function (Black)</t>
  </si>
  <si>
    <t>B0CHVGR9RN</t>
  </si>
  <si>
    <t>MIRAGETARGET PVS 14 Night Vision Monocular Goggle Outdoor/Hiking</t>
  </si>
  <si>
    <t>B07S45NKXZ</t>
  </si>
  <si>
    <t>HME COYOTE LIGHT Pro Durable Lightweight Portable Adjustable Intensity Rechargeable Night Vision Hunting Flashlight | Batteries, Case, Handle, 1" Scope Mount &amp; Charger Included, IR LED</t>
  </si>
  <si>
    <t>B0CFLS6XMT</t>
  </si>
  <si>
    <t>Naiveferry 1Pc Vision Monocular Night, Rechargeable Battery, Infrared Digital Camera with Video Recording for Outdoor Hunting Camping Bird Watching</t>
  </si>
  <si>
    <t>B0CZ9QVS8D</t>
  </si>
  <si>
    <t>SUZLAZYR PVS 14 J Arm NVG Mount Night Vision Goggles Dovetail Helmet Mount Rhino Mount Compatible with PVS-14, Black</t>
  </si>
  <si>
    <t>B0FBLMC4ZT</t>
  </si>
  <si>
    <t>Night Vision Binoculars 1080P FHD Hunting thermal imaging for professional outdoor hunting long-distance observation</t>
  </si>
  <si>
    <t>B0FNYDSM9X</t>
  </si>
  <si>
    <t>Pard USA Night Stalker 4K EX Digital Night Vision Scope – 70mm Objective Lens, 5.5X Optical Magnification, 2X Digital Zoom – 4K CMOS Sensor with 0.001 Lux Sensitivity &amp; Crystal Clear Display</t>
  </si>
  <si>
    <t>B0CQ2ZNFPX</t>
  </si>
  <si>
    <t>HUVIOVED NV8300 3D 4K Night Vision Goggles with 3D Vision Effect, Night Vision Binoculars Telescope with 8 X Digital Zoom and 7 Infrared for Save Photo Video</t>
  </si>
  <si>
    <t>B0BKFHHFM2</t>
  </si>
  <si>
    <t>RYPPLE Kids Night Vision Goggles,Kids Camping Gear, Adjustable Led Night Goggles with Flip, Adjustable Spy Gear Night Mission Goggles, with Flip-Out Lights Green Lens, Racing Bicycling to Protect Chi</t>
  </si>
  <si>
    <t>B0DC45CZMX</t>
  </si>
  <si>
    <t>SUZLAZYR 4K HD Night Vision Goggles,Rechargeable Head Mounted Night Vision Monocular,7 Levels Ir Scope 8X Digital Zoom,for Camping Surveillance with 32SD Card</t>
  </si>
  <si>
    <t>B0DKFWLQG7</t>
  </si>
  <si>
    <t>VOCUE Pocket Monocular Night High Magnification Portable for Outdoor Hunting Camping</t>
  </si>
  <si>
    <t>B08TV8K3J3</t>
  </si>
  <si>
    <t>AGM Goggle KIT W G50</t>
  </si>
  <si>
    <t>B0DHP3H72R</t>
  </si>
  <si>
    <t>Miasazyr 3D VR Night Vision Goggles Head Mounted - 4K HD IR Binoculars - 6X Digital Zoom &amp; 4 Color Modes, Rechargeable Binoculars with Camera Built in, 32GB Card to Save Photos and Videos</t>
  </si>
  <si>
    <t>B0C8MK527L</t>
  </si>
  <si>
    <t>Kneysan 4K Night Vision Binoculars for Adults,Night Vision Goggles IP54 Waterproof 10X Digital Zoom Infrared Binoculars with 3'' Large Screen 32GB Memory Card for Storage&amp;Rechargeable Lithium Battery</t>
  </si>
  <si>
    <t>B077F892XV</t>
  </si>
  <si>
    <t>FMA Airsoft Hunting Tactical AVS 9 Night Vision Goggles Dummy NVG Model No Function TB1270</t>
  </si>
  <si>
    <t>B0DK341DQ3</t>
  </si>
  <si>
    <t>QUMIIRITY Compact High-Powered Monocular Telescope for Adults Lightweight Handheld Design for Bird Watching Hiking Camping and Outdoor Activities Magnification and Portable Storage</t>
  </si>
  <si>
    <t>B0CKT862WD</t>
  </si>
  <si>
    <t>Aetheria NV8160 Night Vision Goggles Helmet-Mounted, HD Video Recording and Photography Telescope Infrared Night Vision Binoculars with 32GB Memory Card Tripod Interface</t>
  </si>
  <si>
    <t>B000Y8DY1K</t>
  </si>
  <si>
    <t>Carson MagniFly 2x Power Hands Free Fly-Tying LED Lighted Gooseneck Magnifier with C-Clamp and AC/DC Adapter (OD-65)</t>
  </si>
  <si>
    <t>B0CWZYRB8L</t>
  </si>
  <si>
    <t>Aimsniper MUM/GT-14 Binocular Bridge System NVG Mount，Night Vision Goggles Night Vision Adapter，for PVS-14 Night Vision Binoculars Monocular Or Binocular (DE)</t>
  </si>
  <si>
    <t>B0CN45RQVS</t>
  </si>
  <si>
    <t>Vortix 1PC Gpnvg18 Four-Tube Binocular Night Vision Goggles Model + 1PC L4g24 Night Vision Goggles Mount, Fast Helmets Supportor Acessories Cosplay Prop (Tan)</t>
  </si>
  <si>
    <t>B0CXJKM2KJ</t>
  </si>
  <si>
    <t>LEESEN Metal Binocular Bridge System Modular Night Vision Goggles Mount Helmet Bracket NVG Mounts for The MUM-14 &amp; GT-14 PVS14 Night Vision Goggles for L4 G24 Mounting Fast Helmet</t>
  </si>
  <si>
    <t>B0DPJ6YYZG</t>
  </si>
  <si>
    <t>WEBNMK Mini Portable Outdoor Thermal Night Vision Infrared Hunting Camera with Water Leaka Detection New Thermal Camera</t>
  </si>
  <si>
    <t>B07X2JSYLY</t>
  </si>
  <si>
    <t>Airsoft Hunting Tactical GPNVG 18 Night Vision Goggles Dummy NVG Model No Function (BK) (Black)</t>
  </si>
  <si>
    <t>B0FLTSR7BF</t>
  </si>
  <si>
    <t>Gslxheal Digital Night Vision Scope Monocular | Night Vision Goggles for Adults with 4X Zoom, Infrared Thermal Spotting Camera for Camping Shooting</t>
  </si>
  <si>
    <t>B0DPCCJFFT</t>
  </si>
  <si>
    <t>HMWOKPOT Night Vision Scope for 35-45mm Eyepiece Scope, DIY Night Vision(Day and Night) Long Viewing Range Night Hunting with Infrared Flashlight and 4.3 inch Display Screen</t>
  </si>
  <si>
    <t>B0CTMJZWTJ</t>
  </si>
  <si>
    <t>SHUAIGUO Night Vision Goggles, 2.5K Digital Night Vision Monoculars, 10X Digital Zoom Viewing 800M in Dark with 1.54-inch TFT Screen Support Image Video Recording for Bird Watching/Travelling</t>
  </si>
  <si>
    <t>B0CX8D3SQV</t>
  </si>
  <si>
    <t>AMNOUR PVS14 PVS31 Objective Lens Sacrificial Cover 650-900nm Anti-Glare Bandpass Filter Night Vision Tube Monocular Protectors, Black, JTSF9648</t>
  </si>
  <si>
    <t>B091CZ8KH4</t>
  </si>
  <si>
    <t>NiteSite Sentinel PRO Night Vision</t>
  </si>
  <si>
    <t>B0BY2XD17D</t>
  </si>
  <si>
    <t>YSS New Aluminum Alloy PVS14 Night Vision J-Arm Mount fit for Helmet Openwork Design(Support Left Eye, Chinese Thread)</t>
  </si>
  <si>
    <t>B0DXL2GWHL</t>
  </si>
  <si>
    <t>Miasazyr NK008 Digital Night Vision Scope for Hunting, 940nm Infrared Night Vision Monocular 5X Zoom with Reticle HD 1080P Video Recording Camera</t>
  </si>
  <si>
    <t>B0FF1ZNJXZ</t>
  </si>
  <si>
    <t>Fucellveca L4G24 Night Vision Mount, Tactical Helmet Night Vision Goggle Mount for Cosplay Prop and Outdoor Activities (Tan)</t>
  </si>
  <si>
    <t>B0DM958GLP</t>
  </si>
  <si>
    <t>WGFXYBFY NV8000 4K Night Vision Binoculars with 3D Vision Effect, Rechargeable Night Vision Goggles for Adults 7-Level Infrared 8X Digital Zoom, Helmet-Mounted Night Vision</t>
  </si>
  <si>
    <t>B0CX13WTKH</t>
  </si>
  <si>
    <t>Aimsniper Modular Helmet Mount for MUM/GT-14，Binocular Bridge System NVG Mount，Night Vision Goggles Night Vision Adapter，for PVS-14 Night Vision Binoculars Monocular Or Binocular(Gold)</t>
  </si>
  <si>
    <t>B0DD7J1XVT</t>
  </si>
  <si>
    <t>Night Driving Glasses Flip Clip-On Myopic Night Vision Goggles Anti-Glare Unisex Glasses</t>
  </si>
  <si>
    <t>B0D9GBDFK9</t>
  </si>
  <si>
    <t>SKIOVEMI Head-Mounted Night Vision Goggles for Adults, 3D VR Night Vision Binoculars, Include 2 * 32GB Card to Save 3D Photos/Videos, 6X Digital Zoom</t>
  </si>
  <si>
    <t>B0CX4PWR6S</t>
  </si>
  <si>
    <t>Ziehla 1Pcs New for SON-LC02A Night Vision Monocular Viewfinder Display</t>
  </si>
  <si>
    <t>B0CS67LQYQ</t>
  </si>
  <si>
    <t>Huolang Night Vision Scope 5.0Inch Display Siamese HD 1080P Scope Video Cameras Infrared Illuminator Riflescope Hunting Optical System Kamera</t>
  </si>
  <si>
    <t>B07DGKMYN5</t>
  </si>
  <si>
    <t>Eagle Industries Black Night Vision Soft Carry Case</t>
  </si>
  <si>
    <t>B00I9CDTZO</t>
  </si>
  <si>
    <t>Bushnell Equinox Z Digital Night Vision Monocular, 4.5 x 40mm, Model Number: 260140</t>
  </si>
  <si>
    <t>B0CB4GYFJF</t>
  </si>
  <si>
    <t>Metal Material Type PVS15/18 GPNVG18 Night Vision Goggles Mount and Battery Pouch Counterweight Pouch for L4G24 NVG Helmet Mount (Black)</t>
  </si>
  <si>
    <t>B0CX9883NV</t>
  </si>
  <si>
    <t>SUZLAZYR NV8300 4K Night Vision Goggles with 3D Vision Effect, Rechargeable Night Vision Binoculars Military Tactical, 8X Digital Zoom, 7-Level Infrared, Helmet-Mounted Night Vision</t>
  </si>
  <si>
    <t>B07DPVNKW8</t>
  </si>
  <si>
    <t>MOD Armory Universal Smartphone Adapter for Night Vision Filming</t>
  </si>
  <si>
    <t>B0D9TJBKPM</t>
  </si>
  <si>
    <t>PVS 14 Mount Dovetail J Arm Night Vision Goggles NVG Mount PVS-14 NVG Bridge Mount Compatible with All Models of PVS-14</t>
  </si>
  <si>
    <t>B0DNQ6G22W</t>
  </si>
  <si>
    <t>EliteZ Night Vision Monocular, 1080p Night Vision Binoculars for Adult, 1.5'' Hd Screen, 5X Digital Zoom, Includes 32GB Tf Card to Save Photos and Videos, Ideal for Camping, Hunting &amp; Security</t>
  </si>
  <si>
    <t>B0DJW65ZZ2</t>
  </si>
  <si>
    <t>SKIOVEMI Head Mounted Night Vision Goggles/Binoculars for Adults, 4K Digital Infrared Military Tactical Night Vision with 32G Memory Card,Black</t>
  </si>
  <si>
    <t>B0DKNYSGTY</t>
  </si>
  <si>
    <t>PVS-14 Dual NVG Bridge Mount, Adjustable Dovetail Versatile Night Vision Goggles Adapter, Integrated Night Vision Scope Helmet Mounting System, for Dual Binocular &amp; Single Monocular PVS-14, Black</t>
  </si>
  <si>
    <t>B09SCZMBC7</t>
  </si>
  <si>
    <t>Night Vision Goggles Binoculars - Digital Infrared Binoculars for Adults with Night Vision Spy Gear for Hunting &amp; Surveillance</t>
  </si>
  <si>
    <t>B08RJ9DWN2</t>
  </si>
  <si>
    <t>FMA Tactical Airsoft AN/PVS31 Binocular Night Vision Device Non Functional Helmet Night Vision Goggle NVG TB1284 A-Type (Dummy Model)</t>
  </si>
  <si>
    <t>B0DKNNT9T8</t>
  </si>
  <si>
    <t>All-Metal J-arm Night Vision NVG Mount for AN/PVS-14 Monocular, with Rotating Knuckle for Attachment to Helmets, Tan</t>
  </si>
  <si>
    <t>B07W91FF3Y</t>
  </si>
  <si>
    <t>Digital Infrared Night Vision Binoculars Scope for 100% Darkness with 2.31" TFT LCD and 300m View Range Record HD Image &amp; 720p Video for Hunting and Wildlife Monitoring</t>
  </si>
  <si>
    <t>B0DC6WGV4M</t>
  </si>
  <si>
    <t>TOP NVG NVGRA-15 Night Vision Goggle Recording Adapter (NVGRA)</t>
  </si>
  <si>
    <t>B08QRSYPHR</t>
  </si>
  <si>
    <t>Digital Real Night Vision Monocular Goggle, Infrared Binocular for Hunting, Surveillance, Spotting and Spy, 4X Digital Zoom and Take HD Photo &amp; 960P Video from 200m in Total Darkness</t>
  </si>
  <si>
    <t>B09QSC4DQP</t>
  </si>
  <si>
    <t>Mini Night Vision Goggles Binocular Camera 1080P 12MP Starlight Distance to 300M with 2.4" TFT for Hunting Hiking Camping Climbing</t>
  </si>
  <si>
    <t>B0CLR1G44T</t>
  </si>
  <si>
    <t>PVS-14 Monocular Night Vision Goggle Models - with functionality, Digital Night Vision Goggle IR Night Vision Monocular, Suitable for Night Vision Hunting Cosplay Tactical Hunting Dummy</t>
  </si>
  <si>
    <t>B0CK1YNKQH</t>
  </si>
  <si>
    <t>L4G24/G19 Tactical Helmet NVG Mount，Night Vision Goggles and Sports Camera Bracket Base，for Fast/Crye AirFrame Helmet，Aluminium Alloy &amp; Fiber Polymer，with Elastic Rope，3PCS (DE)</t>
  </si>
  <si>
    <t>B0CZ9SD1ZN</t>
  </si>
  <si>
    <t>SUZLAZYR Tactical Metal PVS 14 J Arm Mount Night Vision Goggles NVG Mount Dovetail Mount Rhino Mount Compatible with PVS-14 &amp; L4G24 Helmet Mount,Sand</t>
  </si>
  <si>
    <t>B0CZ9QSYGX</t>
  </si>
  <si>
    <t>SUZLAZYR Tactical Metal PVS 14 J Arm Mount Night Vision Goggles NVG Mount Dovetail Mount Rhino Mount Compatible with PVS-14 &amp; L4G24 Helmet Mount,Black</t>
  </si>
  <si>
    <t>B0CXR27ZRM</t>
  </si>
  <si>
    <t>LEESEN Pvs-14 MUM28 MUM14 NVM14 Dual Vision Light Weight Mount,Light Weight Dual Tube Mounting System,Night Vision Goggles Night Vision Adapter, Black</t>
  </si>
  <si>
    <t>B0DPG6WZH6</t>
  </si>
  <si>
    <t>WGFXYBFY Head Mounted Night Vision Monocular, 4K Night Vision Goggles 8X Digital Zoom with Tactical Light and Backlight Button, Can Save Photo and Video, for Camping</t>
  </si>
  <si>
    <t>B0D8KJGC3P</t>
  </si>
  <si>
    <t>EESHHA Binoculars, 30X60 Zoom, High-power Spotting Telescope, Professional Folding, Night Vision, Portable, Suitable for Sports, Concerts, Bird Watching, Camping</t>
  </si>
  <si>
    <t>B0CZ7LZMJR</t>
  </si>
  <si>
    <t>Pulsar Battery Pack APS 3 PL79161 APS3 Thermal Vision Imaging Axion monocular Series Thermion Thermal riflescopes and Digex Night Vision riflescopes Devices Merger LRF Thermal Vision Binoculars</t>
  </si>
  <si>
    <t>B0CHK354J5</t>
  </si>
  <si>
    <t>HALCONTORNO Night Vision Binoculars - Full Color in Darkness, Binoculars for Adults, 4K Video with Sound, Night Vision Goggles, 4.2" OLED Screen, Hunting Accessories, 64GB TF Card, Gadgets for Men</t>
  </si>
  <si>
    <t>B0G5YJLBP9</t>
  </si>
  <si>
    <t>HMWOKPOT Head Mounted Night Vision Goggles, 4K Infrared Digital Night Vision Night Vision Binoculars for Adults - 4500Mah Rechargeable Battery</t>
  </si>
  <si>
    <t>B0D7WS6GJM</t>
  </si>
  <si>
    <t>Tactical Dummy Night Vision Binoculars Model, Rotatable Goggles Helmet Mounts Compatible, Simulated Green Light, Cable &amp; Case(BK)</t>
  </si>
  <si>
    <t>B0D7WYK9BG</t>
  </si>
  <si>
    <t>Tactical Dummy Night Vision Binoculars Model, Rotatable Goggles Helmet Mounts Compatible, Simulated Green Light, Cable &amp; Case(T)</t>
  </si>
  <si>
    <t>B07PKCKN3M</t>
  </si>
  <si>
    <t>Wbestexercises Night Driving Glasses,Night Driving Polarized View Safety Glasses Anti glare Anti reflective HD Night Vision</t>
  </si>
  <si>
    <t>B0CN6ZQN2M</t>
  </si>
  <si>
    <t>High-Sensitivity Handheld Thermal Monocular,Thermal Night Vision Imaging Monocular with Heat Vision for Hunting, 8X Digital Zoom, Adjustable Palettes &amp; Brightness, 15mm Focal Length 256x192</t>
  </si>
  <si>
    <t>B0DPXCQ4WV</t>
  </si>
  <si>
    <t>PVS-14 Night Vision Monocular Dual Mount Adapter Powered Dual Bridge Mount</t>
  </si>
  <si>
    <t>B0DQWW2XKZ</t>
  </si>
  <si>
    <t>Darkonix CY900 Night Vision Scope, 21x Scope HD 1080P for Total Darkness Hunting, Built-in Rangefinder Scopes, 850nm Day/Night Monocular Goggles with Camera &amp; Video</t>
  </si>
  <si>
    <t>B0CPLLRHQC</t>
  </si>
  <si>
    <t>Kethvoz 4K Night Vision Binoculars, 8X Digital Zoom &amp; 7-Level Adjustable IR - 1080P HD Video Recording &amp; 36MP Photos, with 32GB Card, Ideal for Hunting, Camping, Security Surveillance</t>
  </si>
  <si>
    <t>B0D7BYPHYJ</t>
  </si>
  <si>
    <t>Binocular Bridge System, Outdoor Night Vision Helmet Mount, Metal Helmet Mount, PVS-14 Helmet Mount, Black</t>
  </si>
  <si>
    <t>B0DNQPDCZ3</t>
  </si>
  <si>
    <t>EliteZ Night Vision Goggles, 4K Full-Color Night Vision Binoculars for Adults, 7 Gear Night Vision, 8X Digital Zoom, 32GB Card to Save Photos and Videos, Ideal for Camping &amp; Hiking (Black)</t>
  </si>
  <si>
    <t>B0CDH6NFGW</t>
  </si>
  <si>
    <t>Night Vision Goggles,1080P Infrarednight Binoculars with 5X Digital Zoom, 2.4” LCD Display, for Hunting, Camping, Travel, Surveillance</t>
  </si>
  <si>
    <t>B0DD2VWKBV</t>
  </si>
  <si>
    <t>ExploreHorizon Plastic Black R6 Digital Night Vision Binoculars 1080p Full Infrared Night Vision Goggles for Camping Travel Black</t>
  </si>
  <si>
    <t>B0BX8DJVK2</t>
  </si>
  <si>
    <t>NV1182 Digital Night Vision Binoculars with Recording Mini HD 1080P View Goggles (NV1182-8)</t>
  </si>
  <si>
    <t>B0DHGJRCVC</t>
  </si>
  <si>
    <t>ORPUNA M250 HD Digital Night Vision Monocular Mount Rail Attachment Base Adapter，CNC Quick Release Metal Clamp ，Fits Scope Attachment or Standalone Night Vision Scopes，for 20mn Picatinny Rail Mountin</t>
  </si>
  <si>
    <t>B0CH3D2SQQ</t>
  </si>
  <si>
    <t>FMA Tactica GPNVG18 Night Vision Cag/BNVS Version Model &amp; Battery case&amp; Wire TB1289 (BNVS Version)</t>
  </si>
  <si>
    <t>B0CW1LVB59</t>
  </si>
  <si>
    <t>Head Mounted 4K HD Night Vision, 8X Zoom Night Vision Monocular Digital Infrared Monocular, with Photo and Video Shooting, Built-in 3000mAh Lithium Battery IP54, for Hunting, Camping, Surveillance</t>
  </si>
  <si>
    <t>B089BXXJC5</t>
  </si>
  <si>
    <t>ArmorMason 8" 4-Pin ANVIS Battery Pack to PVS-31 BNVD Adapter Cable for NVG Night Vision Systems</t>
  </si>
  <si>
    <t>B0CKT8RG67</t>
  </si>
  <si>
    <t>Aetheria NV8300 3D 4K Night Vision Goggles Helmet-Mounted, Binoculars Gear IR Night Vision Telescope Infrared Night Vision Binoculars with 32GB Memory Card</t>
  </si>
  <si>
    <t>B0CY9Q77RX</t>
  </si>
  <si>
    <t>jojofuny Compact Monocular Telescope Night Vision High Definition Scope for Adults for Hunting and Hiking</t>
  </si>
  <si>
    <t>B082RF18V4</t>
  </si>
  <si>
    <t>Day/Night Colorful Digital Night Vision Scope w/Video Rec (NVR-10)</t>
  </si>
  <si>
    <t>B0CKTSGRQY</t>
  </si>
  <si>
    <t>SUZLAZYR Night Vision Goggles Head Mounted, Night Vision Binoculars, Night Vision Goggles Military Tactical, 8X Digital Zoom Infrared Goggles for Adults, Include 32GB SD Card</t>
  </si>
  <si>
    <t>B0DT9N2QFH</t>
  </si>
  <si>
    <t>WGFXYBFY NVG 40 Pro Night Vision Goggles for Adults, 4K Helmet Mounted Night Vision Monocular, 6X Digital Zoom 4-Level Dual Infrared Adjustment (850nm, 940nm), WiFi Connection, for Camping</t>
  </si>
  <si>
    <t>B0B2D8G8FY</t>
  </si>
  <si>
    <t>Night Vision Goggles NVG Mount-Black Helmet Mount -Night Vision Model Metal Dumper for PVS14/PVS18/PVS15/PVS7（Night Vision Goggle NOT Included）</t>
  </si>
  <si>
    <t>B0FWK4LDC3</t>
  </si>
  <si>
    <t>Theless Gear Night Vision Scope – 1080P Digital Infrared Attachment for Rifle Scopes, 850nm &amp; 940nm IR, 4X Zoom, Tactical Hunting Optics, Long Range Night Vision Monocular</t>
  </si>
  <si>
    <t>B07DGM5FQ8</t>
  </si>
  <si>
    <t>Integrated Components ANVIS Ground Mount Adapter with Mount Viewer and Rhino Back Plate (Size 3)</t>
  </si>
  <si>
    <t>B0DKN7R112</t>
  </si>
  <si>
    <t>All-Metal J-arm Night Vision NVG Mount for AN/PVS-14 Monocular, with Rotating Knuckle for Attachment to Helmets, Black</t>
  </si>
  <si>
    <t>B0D538YG7Z</t>
  </si>
  <si>
    <t>PVS-14 Digital Night Vision 2X IR LED Day/Night for Hunting</t>
  </si>
  <si>
    <t>B07THMFMY4</t>
  </si>
  <si>
    <t>Gexgune Tactical Airsoft Military Helmet Mount kit Helmet NVG Mount for Night Vision Goggle PVS14 PVS7</t>
  </si>
  <si>
    <t>B0FVTLQ6Z3</t>
  </si>
  <si>
    <t>Wisoqu Night Vision Monocular, 4K Digital Infrared Night Vision with 1.54" Larger Screen, 28X Digital Zoom Infrared Monocular Telescope, 4800mAh Rechargeable Battery</t>
  </si>
  <si>
    <t>B0D14796Y2</t>
  </si>
  <si>
    <t>Hanlong Tactical GPNVG 18 Night Vision Goggles Dummy NVG Model No Function, Black</t>
  </si>
  <si>
    <t>B0CQK4R2LQ</t>
  </si>
  <si>
    <t>Chestnut-YX Tactical AN/PVS15 Helmet Night Vision Goggles No Function Dummy Model Airsoft Paintball PVS15 Dual-Tube Binocular Night Vision Goggles Tactical Helmet Accessories for Outdoor Game Cosplay</t>
  </si>
  <si>
    <t>B0CZ9DZHRP</t>
  </si>
  <si>
    <t>SUZLAZYR NV8260 Night Vision Goggles | 984ft Long Distance | 8X Digital Zoom, 7 Levels 850nm IR | Head Mounted | Night Vision Monocular | HD Recording, 32GB</t>
  </si>
  <si>
    <t>B0BTYCVN9H</t>
  </si>
  <si>
    <t>mincl Rimless Rectangular Night Vision Glasses Male Driving: Anti Glare Al-Mg Frame Night Driving Glasses for Men (2pcs-black Night vision&amp;gray Night vision)</t>
  </si>
  <si>
    <t>B07BRM6HCW</t>
  </si>
  <si>
    <t>FMA Hunting Tactical PAS-29 Dummy No Function Model for NVG PVS31 TB1287</t>
  </si>
  <si>
    <t>B0CQ2Z88SY</t>
  </si>
  <si>
    <t>HUVIOVED Night Vision Binoculars - NV8300 3D 4K Night Vision Goggles Helmet-Mounted with 32GB Memory Card, Waterproof Dustproof Night Vision Device for Adults</t>
  </si>
  <si>
    <t>B0DMSNMSC8</t>
  </si>
  <si>
    <t>ZXLPHA Night Vision Binoculars for Adults, Binoculars Night Vision Optical Telescope High Power Definition New Outdoor 60X60 Waterproof High Clarity 3000M Maifeng for Hunting &amp; Camping</t>
  </si>
  <si>
    <t>B0D3HRXG5H</t>
  </si>
  <si>
    <t>HMWOKPOT Adult Night Vision Binoculars, PVS-32 high-Definition Night Vision Device Digital Infrared Night Vision Goggles for Wildlife Observation Photography</t>
  </si>
  <si>
    <t>B0BKY9KPTD</t>
  </si>
  <si>
    <t>Feiyx Night Vision Goggles Night Vision Binoculars - Digital Infrared with Military-Grade Night Vision, Tactical Gear for Hunting &amp; Security</t>
  </si>
  <si>
    <t>B0FRRT7QRK</t>
  </si>
  <si>
    <t>Caseeda Thermal Imaging Monocular for Hunting,Thermal Night Vision with 256 * 192 HD AMOLED Display, Video Recording, Built-in 32GB Memory, 8X Digital Zoom, with WiFi, IP67 Waterproof</t>
  </si>
  <si>
    <t>B0DKZ2YT1K</t>
  </si>
  <si>
    <t>Children Adjustable LED Night Vision Goggles With Flip-Out Lights Eye Lens Glass</t>
  </si>
  <si>
    <t>B0DX21D8LY</t>
  </si>
  <si>
    <t>SKIOVEMI Head Mounted Night Vision Goggles/Binoculars for Adults, 4K Digital Infrared Military Tactical Night Vision Monoculars with 32G Memory Card, 1.28" Dual Round Screen for Camping</t>
  </si>
  <si>
    <t>B0FJ1YHK6J</t>
  </si>
  <si>
    <t>Miasazyr NK008 Night Vision Scope for Hunting, 1080p HD Infrared Riflescope Monocular Camera, Built-in 850 IR Illuminator, 5X Digital Zoom</t>
  </si>
  <si>
    <t>B0CX4WWQKG</t>
  </si>
  <si>
    <t>CNHRFGVD Digital Infrared Night Vision Binoculars 4X20 Zoom 1640 ft Viewing Range IR Camera with 4" LCD Screen Take High-Definition Photos Videos Features for Hunting Surveillance with 32GB TF Card</t>
  </si>
  <si>
    <t>B0CHM276J1</t>
  </si>
  <si>
    <t>BUTXET Hands Free Night Vision Binoculars Goggles for Adults, Head-Mounted Night Vision Goggles with 32GB SD Card, 4X Dight Zoom, 3000mAh Rechargeable Battery Powered, 984FT Infrared Viewing</t>
  </si>
  <si>
    <t>B0D4V1R1NB</t>
  </si>
  <si>
    <t>Fuhomtre Digital Night Vision Monocular,1080P Night Vision Goggles,Rechargeable Digital Infrared Night Vision Scope with 3800 Mah,Travel Monoculars Save Photos &amp; Videos for Camping(with 64GB Card) R7</t>
  </si>
  <si>
    <t>B0CN9284QS</t>
  </si>
  <si>
    <t>Night Vision Goggles, GPNVG18 Four-Tube Binocular Mount Hunting Cosplay Prop for Camping -No Function (Black)</t>
  </si>
  <si>
    <t>B0CY8XLB6H</t>
  </si>
  <si>
    <t>4K Night Vision Binoculars Goggles for Adults-Perfect for Boating, Hunting &amp; Camping - 36MP Photos &amp; Full HD Videos, Large 3'' Display, 4000mAh Rechargeable Battery, Complete with 32GB Memory Card</t>
  </si>
  <si>
    <t>B0FX4N47SG</t>
  </si>
  <si>
    <t>Digital Night Vision Thermal Imager Viewing Binocular Large Field of View 18X Eyepiece 0.39 Screen with Eye Shield(NP18 Inner Core)</t>
  </si>
  <si>
    <t>B0DCTCY8NY</t>
  </si>
  <si>
    <t>2000x24 HD Monocular Telescope, Mini Portable Mobile Phone Telescope with Holder Outdoor Camping Traveling Hunting Birdwatching Telescopes,A</t>
  </si>
  <si>
    <t>B0C9HYJXFW</t>
  </si>
  <si>
    <t>Nylon Night Vision Goggle Tactical Helmet Mount for L4G24 Adaptation PVS15/18 GPNVG18 Helmet NVG Mounting Bracket</t>
  </si>
  <si>
    <t>B0CLM7FS8Y</t>
  </si>
  <si>
    <t>SUZLAZYR Digital Night Vision Scope, 850nm Infrared Tactical Scopes with 4.3" Display Screen, View 200m in Night, Quick Installation</t>
  </si>
  <si>
    <t>B0FD3RDL5C</t>
  </si>
  <si>
    <t>Gslxheal Helmet Mounted Night-Vision Goggles, Night Vision Binoculars for Adults with 8X Digital Zoom, Tactical Light | 400m Range for Military Tactical</t>
  </si>
  <si>
    <t>B01MZ64P59</t>
  </si>
  <si>
    <t>BEISON Night Vision Goggles Driving Glasses Polarized Sunglasses Anti-Glare (Silver, Night Vision Yellow)</t>
  </si>
  <si>
    <t>B0DJSBBRNB</t>
  </si>
  <si>
    <t>MAX14 PVS14 J-Arm NVG Mount Dovetail For Tactical Helmet，Lightweight All-Metal Night Vision Goggles Mount Adapter With Rotating Knuckle，Compatible With AN/PVS-14 Monocular,AB Night Vision RVM14 Etc</t>
  </si>
  <si>
    <t>B08TVBG1YS</t>
  </si>
  <si>
    <t>AGM Global Vision Model G50S Helmet Mount for Use with NVG-40 and NVG-50 Series Dual Tube Night Vision Goggle/Binoculars to be Mounted on Helmets with Mounting Shrouds</t>
  </si>
  <si>
    <t>B0CXG8HMVN</t>
  </si>
  <si>
    <t>LEESEN PVS-14 Night Vision Goggles, IR Digital Night Vision Goggle Monocular Models - with functionality, 2X Night Vision Goggle, for Night Vision Hunting Cosplay Tactical Hunting Dummy Etc.</t>
  </si>
  <si>
    <t>B0D7MMD8W3</t>
  </si>
  <si>
    <t>HMWOKPOT 4K Infrared Night Vision Goggles, 3D Head-Mounted Night Vision Binoculars Night Vision Scope Accommodating Nearsightedness and Farsightedness</t>
  </si>
  <si>
    <t>B0915DTJS4</t>
  </si>
  <si>
    <t>B0FD6SN7TG</t>
  </si>
  <si>
    <t>Vaguelly High-Powered Monocular Telescope Night Portable for Outdoor Hiking Bird Watching Boys and Girls</t>
  </si>
  <si>
    <t>B0FLDL7Q2V</t>
  </si>
  <si>
    <t>Caseeda Thermal Monocular for Hunting,Night Vision Scope with HD AMOLED Display, Video Recording, Built-in 32GB Memory, 8X Digital Zoom, 2200ft Range, WiFi, IP67 Waterproof</t>
  </si>
  <si>
    <t>B0D2DC1RDW</t>
  </si>
  <si>
    <t>RIDID GPNVG18 Night Vision Goggles Military Tactical, Four-Tube Binocular Night Vision Goggles Mount Cosplay Prop Nonfunctional, Black, A1V9Z16Y22LR00PB2D9OSR</t>
  </si>
  <si>
    <t>B0FHHD284Z</t>
  </si>
  <si>
    <t>Night Vision Goggles Binoculars Base Mount Aluminum Fixed Bracket Track Clip 10-21mm Universal Dovetail，Compatible With Henbaker CY789 NVG System Mounting，Fits For 10mm To 20mm Rail System Mounting</t>
  </si>
  <si>
    <t>B0C4HVQH5Y</t>
  </si>
  <si>
    <t>RexingUSA B1 Pro - 4K IR Night Vision Digital Binocular, 4K(2160P) Resolution, IR Night Vision, Videos, Photos, 4X Digital Zoom, Weather Resistant</t>
  </si>
  <si>
    <t>B09NVT25LP</t>
  </si>
  <si>
    <t>Night Vision Binoculars for 100% Darkness - Save Photos &amp; Videos with Audio,Digital Infrared Goggles Military for Viewing 1000M in Dark, for Hunting, Spy Military, Tactical, Security</t>
  </si>
  <si>
    <t>B0CT5QV4SM</t>
  </si>
  <si>
    <t>Dual Tube Night Vision Goggle/Binocular Night Vision Goggles for Adults, NVG10++ Helmet Night Vision Binocular with 4 Color and 4X Magnification, 40° View, Detection Range 0.6-980 Ft (NVG Mount)</t>
  </si>
  <si>
    <t>B0CKMKK4QB</t>
  </si>
  <si>
    <t>Plaxo GPNVG18 Night Vision Goggles, Four-Tube Binocular Military Tactical Model Dummy Night Vision Goggles Mount Set, for Airsoft Hunting Helmet Binocular</t>
  </si>
  <si>
    <t>B0BRSHDW45</t>
  </si>
  <si>
    <t>WIKINK Helmet-Mounted High-Definition Night Vision Telescope, 1x Optical/3x Digital Zoom, High-Definition Low-Light Day and Night Patrol Night Vision, 1080P, 0.38 LCOS</t>
  </si>
  <si>
    <t>B0FBRQMX39</t>
  </si>
  <si>
    <t>WJQZJDAMAI PVS-14 Binocular Bridge System NVG Mount，Night Vision Goggles Night Vision Adapter，for PVS-14 Night Vision for Adults Binoculars Monocular Or Binocular</t>
  </si>
  <si>
    <t>B0FBRQHMJ6</t>
  </si>
  <si>
    <t>B0CF56PYFD</t>
  </si>
  <si>
    <t>Tenoburian Tactical Night Vision Goggle NVG Helmet Mount Bracket Compatible for PVS-15 PVS-18 GPNVG-18</t>
  </si>
  <si>
    <t>B0DFYNY7JF</t>
  </si>
  <si>
    <t>WGFXYBFY NV2183 Night Vision Goggles,4K Infrared Night Vision Binoculars,4 Color Effects Can Be Used During The Day and at Night,1312FT Night Vision Scope for Camping</t>
  </si>
  <si>
    <t>B0CJY5LFJF</t>
  </si>
  <si>
    <t>PVS15 PVS18 GPNVG18 Night Vision Goggles Mount，Adjustable Tactical Helmet Mount，for L4G24 NVG Metal Helmet Mount，CNC Aluminum (BK)</t>
  </si>
  <si>
    <t>B00JK11388</t>
  </si>
  <si>
    <t>LRI bppnvg Night Vision LED, Green</t>
  </si>
  <si>
    <t>B0BCFWJXZZ</t>
  </si>
  <si>
    <t>WIRUN Night Vision Glasses Anti-Glare Polarized UV400 Aviator Night Driving Glasses for Men &amp; Women Yellow Safety Eyewear (Black)</t>
  </si>
  <si>
    <t>B0BCD5LXS4</t>
  </si>
  <si>
    <t>WIRUN Night Vision Glasses Anti-Glare Polarized UV400 Aviator Night Driving Glasses for Men &amp; Women Yellow Safety Eyewear (Grey)</t>
  </si>
  <si>
    <t>B0BCD5WZGF</t>
  </si>
  <si>
    <t>WIRUN Night Vision Glasses Anti-Glare Polarized UV400 Aviator Night Driving Glasses for Men &amp; Women Yellow Safety Eyewear (Silver)</t>
  </si>
  <si>
    <t>B0FJFTWMMM</t>
  </si>
  <si>
    <t>PARD Thermal Monocular, Thermal Imaging Monocular with 12μm Pixel Size, WiFi, Waterproof, High-Sensitivity NETD ≤25mK for Hunting, Surveillance &amp; Outdoor Exploration, Leopard 256 with 16mm Lens</t>
  </si>
  <si>
    <t>B0FJFWSHV5</t>
  </si>
  <si>
    <t>PARD Thermal Monocular, Thermal Imaging Monocular with 12μm Pixel Size, WiFi, Waterproof, High-Sensitivity NETD ≤25mK for Hunting, Surveillance &amp; Outdoor Exploration, Leopard 256 with 11mm Lens</t>
  </si>
  <si>
    <t>B0FBM2LPK6</t>
  </si>
  <si>
    <t>Monoculars Telescope High Power Folding High-Powered Binoculars Nitrogen Waterproof Telescope with Low Light for Bird Watching Outdoor Sports Games Binoculars</t>
  </si>
  <si>
    <t>B0CX8Q8Z42</t>
  </si>
  <si>
    <t>AMNOUR PVS 14 PVS 31 Close Focus Stop Ring for Objective Lens D-Ring Night Vision Tube Monocular, Black, JTSF9648</t>
  </si>
  <si>
    <t>B0F18XT2B2</t>
  </si>
  <si>
    <t>Bestguarder Digital Night Vision Binoculars Day Night use with Camera &amp; Camcorder Function Takes Photo &amp; Video from 400m/1300ft for Camping Farm Monitor Night Vision Goggles</t>
  </si>
  <si>
    <t>B0FG85KXLV</t>
  </si>
  <si>
    <t>SKIOVEMI Night Vision Goggles Head Mounted, 4K 2000FT Digital Night Vision Infrared Binoculars with Adjustable Light, 8X Digital Zoom for Outdoor Hunting Camping, Include 64GB Card</t>
  </si>
  <si>
    <t>B0F4N3HKB2</t>
  </si>
  <si>
    <t>HMWOKPOT 3DVR Helmet Mounted Night Vision Goggles for Adults, Night Vision Scope/Binoculars with 6X Zoom for Outdoor Adventure, Include Dual 32GB TF Cards</t>
  </si>
  <si>
    <t>B0DPML9P9Q</t>
  </si>
  <si>
    <t>MUM/GT-14 Modular Helmet Mount，Binocular Bridge System NVG Mount Base，Tactical Versatile Night Vision Goggles Adapter，for PVS-14 Night Vision Monocular Or Dual Binocular，Lightweight Aluminium，Tan</t>
  </si>
  <si>
    <t>B079Y4MCCM</t>
  </si>
  <si>
    <t>Jadedragon Tactical Helmet Night Vision Goggles Mount Shroud for Fast ACH, MICH, PASGT Tactical Helmet (Green)</t>
  </si>
  <si>
    <t>B0F5BTT2G1</t>
  </si>
  <si>
    <t>DOITOOL Compact Monocular Telescope for Outdoor Activities Lightweight and Portable for Travel Birdwatching Fishing and Camping Black</t>
  </si>
  <si>
    <t>B0DNJKVDCW</t>
  </si>
  <si>
    <t>SKIOVEMI Night Vision Goggles, Helmet Mounted Night Vision Monocular for Adults, 4K UHD 40MP 5-Levels Infrared 8X Digital Zoom Military Grade Binoculars with 32GB Memory Card</t>
  </si>
  <si>
    <t>B091TMW8D4</t>
  </si>
  <si>
    <t>Tactical Airsoft AN/PVS31 Helmet Dummy Night Vision Goggle Model No Function Binocular Night Vision NVG with Battery Case and Storage Box</t>
  </si>
  <si>
    <t>B0DWKLX64H</t>
  </si>
  <si>
    <t>2025 Upgrade - Night Vision Monocular, 1312FT Long Range HD Hunting Infrared Goggles Night Vision Monocular for Adults - Ideal for Thermal Scope and Night Vision Binoculars</t>
  </si>
  <si>
    <t>B0DXF71W55</t>
  </si>
  <si>
    <t>Night Vision Glasses for Driving, Sunglasses Night Vision Goggles, Anti-Glare Night Driving Glasses, Lightweight, Suitable for Men and Women Night Driving, Outdoor Sports, Fishing and Traveling(Transp</t>
  </si>
  <si>
    <t>B08R7WZMRM</t>
  </si>
  <si>
    <t>ArmorMason GPNVG-18 / PVS-31 / BNVD-1531 NVG 4 Cell Remote Battery Pack for Night Vision</t>
  </si>
  <si>
    <t>B09YD2PS4K</t>
  </si>
  <si>
    <t>FMA Tactical PVS14 NVG Double Bracket Dual Mount Monocular Connection Bridge Arm (B-Single arm)</t>
  </si>
  <si>
    <t>B0D1G1DTNG</t>
  </si>
  <si>
    <t>Night Vision Goggles，Infrared Night Vision Device for Adults，Digital Night Binoculars， 4k HD Screen Night Vision Binoculars，Camping Night Vision for Men, Hunting，Adventure</t>
  </si>
  <si>
    <t>B0CYY9526K</t>
  </si>
  <si>
    <t>Generic 20x Telescope, high-Definition Military high Power Night Vision, Professional-Grade Military Sniper, Outdoor bee Finder Telescope</t>
  </si>
  <si>
    <t>B09ZYFHHJV</t>
  </si>
  <si>
    <t>BONEW Headband 3.5X-420mm Magnification Binocular Loupes with 5W Adjustable Headband Lamp Jeweler or Hobby Adjustable Pupil Distance Brightness Head Circumference (Silver)</t>
  </si>
  <si>
    <t>B0DJ72BMBZ</t>
  </si>
  <si>
    <t>FELTECHELECTR Compact Handheld Monocular Telescope for Bird Watching Hiking and Travel Lightweight High Magnification Easy Outdoor Adventures</t>
  </si>
  <si>
    <t>B0CLMCPWB2</t>
  </si>
  <si>
    <t>Aluminum Alloy Binocular Bridge Folding Arm Mount Bracket for PVS14 Dual Night Vision Mount PVS-14 Light Weight Dual Tube Mounting System IC AN/PVS-14LW - Fully CNC-Controlled Aluminum Alloy (Size :</t>
  </si>
  <si>
    <t>B0CLMBSM95</t>
  </si>
  <si>
    <t>Aluminum Alloy Binocular Bridge Folding Arm Mount Bracket For PVS14 Dual Night Vision Mount PVS-14 Light Weight Dual Tube Mounting System IC AN/PVS-14LW - Fully CNC-controlled Aluminum Alloy ( Size :</t>
  </si>
  <si>
    <t>B0DHRTH144</t>
  </si>
  <si>
    <t>Digital Monocular Telescope, 2.5K HD NightVision Monocular, 10X Digital Zoom 7 Gear Infrared NightVision Monocular for Travel Concerts</t>
  </si>
  <si>
    <t>B0BWSB5BTT</t>
  </si>
  <si>
    <t>True North PVS-31 / BNVD-1531 / ANVIS NVG 4 Cell Remote Battery Pack + 25" BNVD Cable</t>
  </si>
  <si>
    <t>B0DPN15RH6</t>
  </si>
  <si>
    <t>WGFXYBFY Rechargeable Night-Vision Monocular Device, 850nm Digital Infrared Night Vision Scope, with 1.54 Inch Display and 1700mah Battery, Supports Charging While Using, Black</t>
  </si>
  <si>
    <t>B0DMVYH2GM</t>
  </si>
  <si>
    <t>Hanglong Night Vision Lanyard Elastic Retention Bungee Cord for PVS7/14 PVS31 Helmet mount Reinforcement Rope Tourniquet Fixed strap (Ranger Green)</t>
  </si>
  <si>
    <t>B01HDXT6GA</t>
  </si>
  <si>
    <t>L3 Insight Technology PEQ-15 Pattern Generators (Tan)</t>
  </si>
  <si>
    <t>B0DFYPGLF7</t>
  </si>
  <si>
    <t>WGFXYBFY NV8160 Head-Mounted Night Vision Goggles,Rechargeable 2.7 Inch Night Vision Binoculars,1312FT Digital Infrared Spoce for Adults,7 Infrared Adjustment,with 32GB SD Card</t>
  </si>
  <si>
    <t>B09W174NPF</t>
  </si>
  <si>
    <t>UNI-T UTX318 Hunting Thermal Imager Handheld Night Vision Outdoor Monocular Observation Infrared Thermal Imager</t>
  </si>
  <si>
    <t>B0DMD5H4HR</t>
  </si>
  <si>
    <t>Night Vision Goggles for Helmet, Head Mounted Digital Night Vision Monocular with 4 Color Modes, 3X Magnification Infrared HD Record&amp;Playback Goggles for Hunting Surveillance Camping</t>
  </si>
  <si>
    <t>B0DN5M3V2Q</t>
  </si>
  <si>
    <t>WGFXYBFY NVG 50 Night Vision Goggles, Helmet Mounted Night Vision Monocular, 4 Color Effects Day and Night Use Support WiFi, for Camping and Surveillance</t>
  </si>
  <si>
    <t>B0DNSXTLG5</t>
  </si>
  <si>
    <t>BGHJIKGFS Kids Teens Night Vision Binoculars with 8X Zoom and LED Light, 32GB TF Card, Children Night Vision Goggles with 2.4 Inch Display for Photo and Video</t>
  </si>
  <si>
    <t>B01M3Y4IJ3</t>
  </si>
  <si>
    <t>NightStar Digital Night Vision 4x42mm Monocular, Black, NS41442</t>
  </si>
  <si>
    <t>B0CY9BG74V</t>
  </si>
  <si>
    <t>Ultimate Night Vision Goggles - 2.7K Digital Infrared Binoculars for Adults | Day and Night Vision | 3'' Screen | Rechargeable | 7-Brightness Levels</t>
  </si>
  <si>
    <t>B0D9K95J2Y</t>
  </si>
  <si>
    <t>SKIOVEMI Night Vision Scope/Digital Night Vision Goggles Monocular for Adults, Helmet Mounted Night Vision Goggles with 1.54 in HD Screen for Fishing, Hiking and Outdoor Activities</t>
  </si>
  <si>
    <t>B0CX8P7B94</t>
  </si>
  <si>
    <t>AMNOUR PVS 14 PVS 31 Objective Lens Aluminum Holder Ring Fixing Ring locating Ring seat Ring Night Vision Tube Monocular, Black, JTSF9648</t>
  </si>
  <si>
    <t>B0DDPKKPC2</t>
  </si>
  <si>
    <t>GoAssemb Helmet-Style Night Vision Telescope, 4K Night Vision Accessories for Adults, Monocular Digital Device with Super Bright Infrared Light, 32G Memory</t>
  </si>
  <si>
    <t>B0DQ8JP1X8</t>
  </si>
  <si>
    <t>WGFXYBFY 3280 FT Infrared Night Vision Goggles - Military Grade Night Vision Scope, 5 Levels Infrared, 3.5X Digital Zoom Can Connect to WiFi with 9 Patterns of Front Sight, for Hunting,50mm/850nm</t>
  </si>
  <si>
    <t>B0DN5PK1LG</t>
  </si>
  <si>
    <t>WGFXYBFY Night Vision Monocular for Adults, 940nm Infrared Night Vision Scope 45° Wide Field of View Night Vision Goggles, 4X Magnification Support WiFi for Camping and Observe Wildlife</t>
  </si>
  <si>
    <t>B0BFHFXJVX</t>
  </si>
  <si>
    <t>Mens Night Vision Sports Sunglasses Reader square Driving Bifocal Reading Glasses Goggles Safety Nighttime UV Protection (black yellow, 3.75, multiplier_x)</t>
  </si>
  <si>
    <t>B0BFHGGXPD</t>
  </si>
  <si>
    <t>Mens Night Vision Sports Sunglasses Reader square Driving Bifocal Reading Glasses Goggles Safety Nighttime UV Protection (black yellow, 0, multiplier_x)</t>
  </si>
  <si>
    <t>B0D69TRB7P</t>
  </si>
  <si>
    <t>Twilite Night Vision Monocular - Full Color 4-8x40mm Digital Night Vision Camera for Camping Hunting &amp; Fishing</t>
  </si>
  <si>
    <t>B0DDCK1WCT</t>
  </si>
  <si>
    <t>SKIOVEMI Head Mounted Night Vision Goggles with Head Strap and 32GB SD Card, Digital Infrared Night Vision Binoculars for Adults, 8X Digital Zoom</t>
  </si>
  <si>
    <t>B0DNW2GPCV</t>
  </si>
  <si>
    <t>WGFXYBFY 984 FT Night Vision Monocular, 1080P Infrared Night Vision Scope, with 7 Types of Infrared Crosshairs 4X Digital Zoom and 3400mah Rechargeable Battery, for Camping and Wildlife Watching,850NM</t>
  </si>
  <si>
    <t>B0DNW3WSQT</t>
  </si>
  <si>
    <t>WGFXYBFY 984 FT Night Vision Monocular, 1080P Infrared Night Vision Scope, with 7 Types of Infrared Crosshairs 4X Digital Zoom and 3400mah Rechargeable Battery, for Camping and Wildlife Watching,940NM</t>
  </si>
  <si>
    <t>B0DNMP6J7Q</t>
  </si>
  <si>
    <t>WGFXYBFY 4.3" Infrared Night Vision Scope 850nm Night Vision Monocular for Adults, Can Be Used Day or Night for Outdoor Hunting Device</t>
  </si>
  <si>
    <t>B0D9S4FYQQ</t>
  </si>
  <si>
    <t>SKIOVEMI Night Vision Monocular - 1080P Video Camera Infrared Dark Vision Device, 350M Photo Taking Video Recording for Outdoor Fishing Boating</t>
  </si>
  <si>
    <t>B0DFYPPHB2</t>
  </si>
  <si>
    <t>WGFXYBFY Infrared Digital Night Vision Scope,Full Color Night Vision in Low Light,3" Screen Night Vision Goggles,About 600 Meters View Distance in Complete Darkness,for Camping,Hiking</t>
  </si>
  <si>
    <t>B0DFCGS1KY</t>
  </si>
  <si>
    <t>MIRAGETARGET L4 G24 NVG Mount PVS 15/18 NVG Mount Night Vision Goggles Helmet Mount</t>
  </si>
  <si>
    <t>B0D9667MYV</t>
  </si>
  <si>
    <t>HUVIOVED Night Vision Goggles for Adults, 3DVR Helmet Mounted Night Vision Binoculars/Night Vision Scope with 3D 8K Photo &amp; 4K Video, 6X Zoom, for Outdoor Adventure, Include Dual 32GB TF Cards,B</t>
  </si>
  <si>
    <t>B0D966Y4F9</t>
  </si>
  <si>
    <t>HUVIOVED Night Vision Goggles for Adults, 3DVR Helmet Mounted Night Vision Binoculars/Night Vision Scope with 3D 8K Photo &amp; 4K Video, 6X Zoom, for Outdoor Adventure, Include Dual 32GB TF Cards,A</t>
  </si>
  <si>
    <t>B09RN3WKQL</t>
  </si>
  <si>
    <t>Bresser Nightlux 200 Pro Digital Night Vision Device Binocular, 3X with Digital Zoom (2X), Infrared Lighting, Large Display, Photo and Video Function</t>
  </si>
  <si>
    <t>B0DN5GXB89</t>
  </si>
  <si>
    <t>WGFXYBFY Rechargeable Night Vision Monocular for Adults, HD Recording and Playback, for Camping with 16GB Memory Card, NVG50 Infrared Night Vision Scope</t>
  </si>
  <si>
    <t>B0CQCKPQ8G</t>
  </si>
  <si>
    <t>FUIBEJAE Pilot Pro Night Vision 5X Infrared Monocular Monocular, Infrared Monoculars with Night Vision Videos and Playback Function for Outdoor</t>
  </si>
  <si>
    <t>B091GCX2T4</t>
  </si>
  <si>
    <t>FMA Airsoft Paintball AN/PVS-18 NVG Night Vision Goggles Dummy Model TB388 (Black)</t>
  </si>
  <si>
    <t>B0DM96JVB4</t>
  </si>
  <si>
    <t>WGFXYBFY 4K Head-Mounted Night Vision Goggles for Adults, Naked Eye 3D Night Vision Binoculars, 8X Digital Zoom, Built-in Dual Screen Digital Infrared Night Vision Scope for Camping</t>
  </si>
  <si>
    <t>B0CJQX78Q8</t>
  </si>
  <si>
    <t>IUPPA Digital Night Vision Scope Monocular 1080P 100-200M Travel Infrared Camcorder Support Photo Video Recording Mulle Language for Outdoor Camping Huntings Night Observation Boating</t>
  </si>
  <si>
    <t>B0DL8KGFZW</t>
  </si>
  <si>
    <t>DPAM GSGM 4 Hole NVG Shroud Adapter Plate Interfaces Versatile Helmet Mount Accessories，Fits Tactical ACH MICH Helmet，for Attachment to L4 3-Hole, 1-Hole Shrouds, Lo-Pro Shroud, Skeleton Shrouds Etc</t>
  </si>
  <si>
    <t>B0DFYLLM95</t>
  </si>
  <si>
    <t>Miasazyr Head-Mounted Night Vision Monocular, Night Vision Goggles for Adult, Infrared Monocular with 8X Digital Zoom, 4K Video &amp; 36MP Photos, 3000mAh Rechargeable Battery for Camping</t>
  </si>
  <si>
    <t>B0BS12YLS2</t>
  </si>
  <si>
    <t>Monocular Infrared Night Vision Goggles,1.5''TFT Screen 5X Zoom Digital Binoculars,7 Level Adjustable 3 Modes Digital Binoculars for Animal Observation, Outdoor Hunting,Travel</t>
  </si>
  <si>
    <t>B0CF58VMC5</t>
  </si>
  <si>
    <t>B0DB8KBGDS</t>
  </si>
  <si>
    <t>SKIOVEMI Head &amp; Helmet Mounted Night Vision monocular, 4K HD Infrared Digital Night Vision Goggle with Photo and Video Shooting for Camping Travel</t>
  </si>
  <si>
    <t>B0C77BTMM2</t>
  </si>
  <si>
    <t>HSAPAZD NVG Dummy Model, GPNVG18 Night Vision Binoculars, Double-Metal</t>
  </si>
  <si>
    <t>B0CRZ4CPMH</t>
  </si>
  <si>
    <t>Cross Adjustable Infrared Night Vision Scope Metal Body Outdoor Hunting Equipment Visible Distance Within 100 Meters, Suitable for Close-Range Hunting and Observation</t>
  </si>
  <si>
    <t>B0BPGV96WF</t>
  </si>
  <si>
    <t>2 Pack Night Vision Binoculars, Night Vision Goggles for Hunting, 5X Digital Zoom 1080P Infrarednight Vision Monocular for Viewing 984ft in 100% Darkness for Camping Travel Gifts</t>
  </si>
  <si>
    <t>B0DHP6MYGF</t>
  </si>
  <si>
    <t>Miasazyr Night Vision Goggles, 4K Full Color Binoculars with 4.5'' Large Screen, 4000 mAh Rechargeable Battery, 8X Digital Zoom, Backlit Buttons, 1312FT Long Rang Night Vision for Camping</t>
  </si>
  <si>
    <t>B0CHJWDG9Q</t>
  </si>
  <si>
    <t>GOYOJO NV1182 Digital Night Vision Binoculars - 1080P Video 12 Megapixel Photo 300 Meter IR Illumination 2.4" LCD 8X Zoom for Surveillance Hunting Camping Wildlife</t>
  </si>
  <si>
    <t>B0DBVHNZL1</t>
  </si>
  <si>
    <t>SKIOVEMI Night Vision Goggles/4K Night Vision Binoculars/Digital Night Vision with 8X Digital Zoom, 350M-400M Views in Total Darkness, Include 32GB Card</t>
  </si>
  <si>
    <t>B08SBRVKBC</t>
  </si>
  <si>
    <t>FMA TB1250 Tactical AN/PVS-15 Helmet Night Vision Goggle NVG No Function Dummy Model</t>
  </si>
  <si>
    <t>B0D731HGM8</t>
  </si>
  <si>
    <t>Goekhyrani Tactical Helmet Mount, Tactical Helmet Night Vision Goggles Mount L4G24 NVG Mount for PVS 15/PVS18/18 GPNVG18 (Tan)</t>
  </si>
  <si>
    <t>B0D72TR3D1</t>
  </si>
  <si>
    <t>Goekhyrani Tactical Helmet Mount, Tactical Helmet Night Vision Goggles Mount L4G24 NVG Mount for PVS 15/PVS18/18 GPNVG18 (Black)</t>
  </si>
  <si>
    <t>B0BX8VXJT4</t>
  </si>
  <si>
    <t>NV1182 Digital Night Vision Binoculars with Recording Mini HD 1080P View Goggles (NV1182-15)</t>
  </si>
  <si>
    <t>B0CZ9FT6SH</t>
  </si>
  <si>
    <t>SUZLAZYR NV8260 Head Mounted Night Vision Goggles - 4K Infrared Helmet Night Vision Monocular, 8X Digital Zoom, 3000mAh Rechargeable Battery, 32 GB SD Card for HD Recording</t>
  </si>
  <si>
    <t>B08XX24DSB</t>
  </si>
  <si>
    <t>Tactical Hunting Non Functional Night Vision Goggle GPNVG 18 &amp; Plastic L4G24 NVG Mount for Helmet Airsoft (Black)</t>
  </si>
  <si>
    <t>B0D9BKGZJ8</t>
  </si>
  <si>
    <t>Miasazyr Night Vision Goggles Head Mounted, Rechargeable Hands Free Night Vision Binoculars,1312FT Digital Infrared Night Vision Scopes, Compatible with Military Tactical Helmet, 8X Digital Zoom</t>
  </si>
  <si>
    <t>B08XVT3FVC</t>
  </si>
  <si>
    <t>FMA Airsoft Paintball L4G24 Plastic Helmet NVG Mount for PVS15 PVS18 GPNVG18 Night Vision Goggles TB1012 (BK)</t>
  </si>
  <si>
    <t>B0CRQJRKZD</t>
  </si>
  <si>
    <t>LEESEN 3.2'' HD Night Vision Goggles, 8X Zoom Digital Night Binoculars, Built-in 2600mah Battery, 4k Night Vision Binoculars, with 32GB Memory Card, Adults, Hunting, Camping</t>
  </si>
  <si>
    <t>B0CGX83XMR</t>
  </si>
  <si>
    <t>NV8000 3D Digital Night Vision Binoculars - 300m Range, 1080P Video, Helmet Mount, Rechargeable IR - for Hunting, Wildlife, Surveillance</t>
  </si>
  <si>
    <t>B0CY4LV2CH</t>
  </si>
  <si>
    <t>GPNVG18 Four-Tube Binocular Night Vision Scopes + L4G24 Flip-up Mount for Night Vision Device (Black)</t>
  </si>
  <si>
    <t>B0CN44LX9Q</t>
  </si>
  <si>
    <t>Vortix GPNVG18 Night Vision Goggles Mount Cosplay Prop, Tactical Dummy Model Night Vision Goggles with Four-Tube Binocular (Tan)</t>
  </si>
  <si>
    <t>B0D4F9HMRP</t>
  </si>
  <si>
    <t>BUPEI 8-24X40 Monocular Telescope Zoom Powerful Monocular Camping Military Binocular Telescope Astronomy</t>
  </si>
  <si>
    <t>B0BFHLQZL8</t>
  </si>
  <si>
    <t>Sports Driving Night Vision Bifocal Reading Sunglasses Men Fishing Reading Anti Glare Yellow Lens Goggles Reader Sunglasses (white yellow, 1.5, multiplier_x)</t>
  </si>
  <si>
    <t>B0BFHK9MZD</t>
  </si>
  <si>
    <t>Sports Driving Night Vision Bifocal Reading Sunglasses Men Fishing Reading Anti Glare Yellow Lens Goggles Reader Sunglasses (red yellow, 1.25, multiplier_x)</t>
  </si>
  <si>
    <t>B0BFJ87M96</t>
  </si>
  <si>
    <t>Sports Driving Night Vision Bifocal Reading Sunglasses Men Fishing Reading Anti Glare Yellow Lens Goggles Reader Sunglasses (blue yellow, 0, multiplier_x)</t>
  </si>
  <si>
    <t>B0CZ9D7QJ5</t>
  </si>
  <si>
    <t>SUZLAZYR NV8260 Head Mounted Night Vision, Night Vision Goggles &amp; Monocular for Adults, 8X Digital Zoom, 850nm Infrared, Rechargeable Battery, HD Recording, 32GB</t>
  </si>
  <si>
    <t>B0CS6CRK2Q</t>
  </si>
  <si>
    <t>CEKOCK Digital Night Vision Monocular, Infrared, 4K, 4-15X, 30mm, 367g, Black, Adults, Unisex, Beginner, Outdoor Enthusiasts, Hunters, Wildlife Observers, Tactical Users</t>
  </si>
  <si>
    <t>B0CBR4M1ZK</t>
  </si>
  <si>
    <t>New Infrared 1X32mm Digital Scope Monocular - High-Functioning Night Vision PVS18 - Wide 7.95°X 6° Field of View for Hunting/Hiking</t>
  </si>
  <si>
    <t>B0BC9SN28F</t>
  </si>
  <si>
    <t>WIRUN Night Vision Glasses for Men Women Polarized UV400 Aviator Anti Glare Yellow Safety Night View Driving Eyewear (Golden)</t>
  </si>
  <si>
    <t>B09Y3X3687</t>
  </si>
  <si>
    <t>Night Vision Dual Helmet Mount Assembly</t>
  </si>
  <si>
    <t>B0BTH2T4ZF</t>
  </si>
  <si>
    <t>Ruaiok Night Vision Goggles 4K Binoculars, Infrared with 3'' Large Screen View Up to 984ft 32GB Memory Card Save Photos and Videos, Suitable for Camping Hunting, BlackDark, (R9)</t>
  </si>
  <si>
    <t>B0CFVKXSS9</t>
  </si>
  <si>
    <t>Goyojo Night Vision Monocular Thermal Imager Scope Sight for Hunting</t>
  </si>
  <si>
    <t>B0CN44YJBR</t>
  </si>
  <si>
    <t>Vortix L4G24 Night Vision Mount for PVS15/PVS18/GPNVG18, Night Vision Goggles Holder and Fast Helmets Supportor Acessories (Black)</t>
  </si>
  <si>
    <t>B0CN92KWPZ</t>
  </si>
  <si>
    <t>LOCHE Night Vision Goggles, GPNVG18 Four-Tube Binocular Night Vision Goggles Mount Cosplay Prop for Camping &amp; Hunting</t>
  </si>
  <si>
    <t>B08XWZYZW2</t>
  </si>
  <si>
    <t>Tactical Hunting Non Functional Night Vision Goggle GPNVG 18 &amp; Plastic L4G24 NVG Mount for Helmet Airsoft (Sand)</t>
  </si>
  <si>
    <t>B00006I5IS</t>
  </si>
  <si>
    <t>NEWCON OPTIK SGT-150P StarGate Night Vision Scope</t>
  </si>
  <si>
    <t>B0CRHHHN7M</t>
  </si>
  <si>
    <t>SINAIRSOFT Tactical Helmet Mount Night Vision Goggle Mounting L4G24 NVG Adapter for PVS15 PVS18 GPNVG18 Airsoft Helmet Accessories</t>
  </si>
  <si>
    <t>B0CX8D6BQB</t>
  </si>
  <si>
    <t>Aetheria Night Vision Goggles Helmet-Mounted, 4K Night Vision Binoculars with Sensor, Infrared Night Vision Telescope with 32GB Memory Card, Support Save Photo and Video-NV8260</t>
  </si>
  <si>
    <t>B0BX71BFJQ</t>
  </si>
  <si>
    <t>WIRUN Night Vision Glasses for Men Women Driving, Anti Glare Polarized UV400 Nighttime Yellow Safety Fishing Golf Eyewear (Black)</t>
  </si>
  <si>
    <t>B0BX6YT2XZ</t>
  </si>
  <si>
    <t>WIRUN Night Vision Glasses for Men Women Driving, Anti Glare Polarized UV400 Nighttime Yellow Safety Fishing Golf Eyewear (White)</t>
  </si>
  <si>
    <t>B0GRGZ7G62</t>
  </si>
  <si>
    <t>Binoculars with Camera and Night Vision - 12x42 Digital Binoculars with 2.4" IPS Screen, 7 IR Modes for 200-300m in Darkness, for Adults Bird Watching, Hunting, Camping - Includes 32GB Card</t>
  </si>
  <si>
    <t>B08XJQ7FZN</t>
  </si>
  <si>
    <t>Night Vision Googgles</t>
  </si>
  <si>
    <t>Optics Mounts</t>
  </si>
  <si>
    <t>B0B8ML9J45</t>
  </si>
  <si>
    <t>MILESEEY Night Vision Binoculars, Night Vision Goggles with 4.5" Extra Large Screen, Digital Infrared Night Vision Binoculars for Hunting/Surveillance,Tripod Support</t>
  </si>
  <si>
    <t>B0GK6XSWRD</t>
  </si>
  <si>
    <t>YUANZIMOO Head-Mounted Night Vision Monocular Digital Infrared Monocular Camo</t>
  </si>
  <si>
    <t>B0GDFMHTQF</t>
  </si>
  <si>
    <t>3D Head-Mounted Night Vision Goggles White Light Supplemental Lighting Infrared Night Vision Binoculars Stealth 850nm IR NVG Manual Focus &amp; 8X Digital Zoom 10°FOV，TF Card Included</t>
  </si>
  <si>
    <t>B0F8NBYMG9</t>
  </si>
  <si>
    <t>Compact Binoculars Night Vision Goggles, 2X30 High-Definition Plastic Binoculars for Camping &amp; Hiking</t>
  </si>
  <si>
    <t>B0FPMLNL52</t>
  </si>
  <si>
    <t>B0D9M2494J</t>
  </si>
  <si>
    <t>CANIS SPORT INC New Aluminum Night Vision Goggle j-arm Mount for Helmet Night Vision NVG Mount fit for PVS 14 tan (UK Standard Interface) (TAN)</t>
  </si>
  <si>
    <t>Category</t>
  </si>
  <si>
    <t>Category ID</t>
  </si>
  <si>
    <t>night_vision</t>
  </si>
  <si>
    <t>Snapshot Month</t>
  </si>
  <si>
    <t>202603</t>
  </si>
  <si>
    <t>Snapshot Date</t>
  </si>
  <si>
    <t>2026-03-31</t>
  </si>
  <si>
    <t>Latest Run Date</t>
  </si>
  <si>
    <t>2026-03-29</t>
  </si>
  <si>
    <t>Generated At</t>
  </si>
  <si>
    <t>2026-03-30T21:26:07.949Z</t>
  </si>
  <si>
    <t>ASIN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</si>
</sst>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0.00"/>
    <numFmt numFmtId="166" formatCode="0.0"/>
    <numFmt numFmtId="167" formatCode="0.0%"/>
  </numFmts>
  <fonts count="9" x14ac:knownFonts="1">
    <font>
      <sz val="12"/>
      <color theme="1"/>
      <name val="Calibri"/>
      <family val="2"/>
      <scheme val="minor"/>
    </font>
    <font>
      <b/>
      <sz val="12"/>
      <color theme="1"/>
      <name val="Calibri"/>
      <family val="2"/>
      <scheme val="minor"/>
    </font>
    <font>
      <u/>
      <sz val="12"/>
      <color theme="10"/>
      <name val="Calibri"/>
      <family val="2"/>
      <scheme val="minor"/>
    </font>
    <font>
      <b/>
      <sz val="11"/>
      <color rgb="FFFFFFFF"/>
      <name val="Calibri"/>
      <family val="2"/>
      <scheme val="minor"/>
    </font>
    <font>
      <b/>
      <sz val="12"/>
      <color rgb="FF006100"/>
      <name val="Calibri"/>
      <family val="2"/>
      <scheme val="minor"/>
    </font>
    <font>
      <u/>
      <sz val="12"/>
      <color rgb="FF0563C1"/>
      <name val="Calibri"/>
      <family val="2"/>
      <scheme val="minor"/>
    </font>
    <font>
      <b/>
      <sz val="12"/>
      <color rgb="FF1F4E79"/>
      <name val="Calibri"/>
      <family val="2"/>
      <scheme val="minor"/>
    </font>
    <font>
      <b/>
      <sz val="10"/>
      <color rgb="FF000000"/>
      <name val="Calibri"/>
      <family val="2"/>
      <scheme val="minor"/>
    </font>
    <font>
      <b/>
      <sz val="10"/>
      <color rgb="FF1F4E79"/>
      <name val="Calibri"/>
      <family val="2"/>
      <scheme val="minor"/>
    </font>
  </fonts>
  <fills count="5">
    <fill>
      <patternFill patternType="none"/>
    </fill>
    <fill>
      <patternFill patternType="gray125"/>
    </fill>
    <fill>
      <patternFill patternType="solid">
        <fgColor rgb="FF1F4E79"/>
        <bgColor indexed="64"/>
      </patternFill>
    </fill>
    <fill>
      <patternFill patternType="solid">
        <fgColor rgb="FFF2F7FB"/>
        <bgColor indexed="64"/>
      </patternFill>
    </fill>
    <fill>
      <patternFill patternType="solid">
        <fgColor rgb="FFFFFFFF"/>
        <bgColor indexed="64"/>
      </patternFill>
    </fill>
  </fills>
  <borders count="13">
    <border>
      <left/>
      <right/>
      <top/>
      <bottom/>
      <diagonal/>
    </border>
    <border>
      <left style="thin">
        <color rgb="FF8DB4E2"/>
      </left>
      <right style="thin">
        <color rgb="FFD6E4F0"/>
      </right>
      <top style="thin">
        <color rgb="FFD6E4F0"/>
      </top>
      <bottom style="thin">
        <color rgb="FFD6E4F0"/>
      </bottom>
      <diagonal/>
    </border>
    <border>
      <left style="thin">
        <color rgb="FFD6E4F0"/>
      </left>
      <right style="thin">
        <color rgb="FFD6E4F0"/>
      </right>
      <top style="thin">
        <color rgb="FFD6E4F0"/>
      </top>
      <bottom style="thin">
        <color rgb="FFD6E4F0"/>
      </bottom>
      <diagonal/>
    </border>
    <border>
      <left style="thin">
        <color rgb="FFD6E4F0"/>
      </left>
      <right style="thin">
        <color rgb="FF8DB4E2"/>
      </right>
      <top style="thin">
        <color rgb="FFD6E4F0"/>
      </top>
      <bottom style="thin">
        <color rgb="FFD6E4F0"/>
      </bottom>
      <diagonal/>
    </border>
    <border>
      <left style="thin">
        <color rgb="FF8DB4E2"/>
      </left>
      <right style="thin">
        <color rgb="FFD6E4F0"/>
      </right>
      <top style="thin">
        <color rgb="FFD6E4F0"/>
      </top>
      <bottom style="thin">
        <color rgb="FF8DB4E2"/>
      </bottom>
      <diagonal/>
    </border>
    <border>
      <left style="thin">
        <color rgb="FFD6E4F0"/>
      </left>
      <right style="thin">
        <color rgb="FFD6E4F0"/>
      </right>
      <top style="thin">
        <color rgb="FFD6E4F0"/>
      </top>
      <bottom style="thin">
        <color rgb="FF8DB4E2"/>
      </bottom>
      <diagonal/>
    </border>
    <border>
      <left style="thin">
        <color rgb="FFD6E4F0"/>
      </left>
      <right style="thin">
        <color rgb="FF8DB4E2"/>
      </right>
      <top style="thin">
        <color rgb="FFD6E4F0"/>
      </top>
      <bottom style="thin">
        <color rgb="FF8DB4E2"/>
      </bottom>
      <diagonal/>
    </border>
    <border>
      <left style="thin">
        <color rgb="FF8DB4E2"/>
      </left>
      <right style="thin">
        <color rgb="FFD6E4F0"/>
      </right>
      <top/>
      <bottom style="thin">
        <color rgb="FFD6E4F0"/>
      </bottom>
      <diagonal/>
    </border>
    <border>
      <left style="thin">
        <color rgb="FFD6E4F0"/>
      </left>
      <right style="thin">
        <color rgb="FFD6E4F0"/>
      </right>
      <top/>
      <bottom style="thin">
        <color rgb="FFD6E4F0"/>
      </bottom>
      <diagonal/>
    </border>
    <border>
      <left style="thin">
        <color rgb="FFD6E4F0"/>
      </left>
      <right style="thin">
        <color rgb="FF8DB4E2"/>
      </right>
      <top/>
      <bottom style="thin">
        <color rgb="FFD6E4F0"/>
      </bottom>
      <diagonal/>
    </border>
    <border>
      <left style="thin">
        <color rgb="FF8DB4E2"/>
      </left>
      <right style="thin">
        <color rgb="FFD6E4F0"/>
      </right>
      <top style="thin">
        <color rgb="FF8DB4E2"/>
      </top>
      <bottom style="medium">
        <color rgb="FF1F4E79"/>
      </bottom>
      <diagonal/>
    </border>
    <border>
      <left style="thin">
        <color rgb="FFD6E4F0"/>
      </left>
      <right style="thin">
        <color rgb="FFD6E4F0"/>
      </right>
      <top style="thin">
        <color rgb="FF8DB4E2"/>
      </top>
      <bottom style="medium">
        <color rgb="FF1F4E79"/>
      </bottom>
      <diagonal/>
    </border>
    <border>
      <left style="thin">
        <color rgb="FFD6E4F0"/>
      </left>
      <right style="thin">
        <color rgb="FF8DB4E2"/>
      </right>
      <top style="thin">
        <color rgb="FF8DB4E2"/>
      </top>
      <bottom style="medium">
        <color rgb="FF1F4E79"/>
      </bottom>
      <diagonal/>
    </border>
  </borders>
  <cellStyleXfs count="2">
    <xf numFmtId="0" fontId="0" fillId="0" borderId="0"/>
    <xf numFmtId="0" fontId="2" fillId="0" borderId="0" applyNumberFormat="0" applyFill="0" applyBorder="0" applyAlignment="0" applyProtection="0"/>
  </cellStyleXfs>
  <cellXfs count="83">
    <xf numFmtId="0" fontId="0" fillId="0" borderId="0" xfId="0"/>
    <xf numFmtId="0" fontId="1" fillId="0" borderId="0" xfId="0" applyFont="1"/>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0" fillId="3" borderId="7" xfId="0" applyFill="1" applyBorder="1" applyAlignment="1">
      <alignment vertical="center"/>
    </xf>
    <xf numFmtId="0" fontId="0" fillId="3" borderId="8" xfId="0" applyFill="1" applyBorder="1" applyAlignment="1">
      <alignment vertical="center" wrapText="1"/>
    </xf>
    <xf numFmtId="0" fontId="0" fillId="3" borderId="8" xfId="0" applyFill="1" applyBorder="1" applyAlignment="1">
      <alignment vertical="center"/>
    </xf>
    <xf numFmtId="165" fontId="0" fillId="3" borderId="8" xfId="0" applyNumberFormat="1" applyFill="1" applyBorder="1" applyAlignment="1">
      <alignment vertical="center"/>
    </xf>
    <xf numFmtId="165" fontId="4" fillId="3" borderId="8" xfId="0" applyNumberFormat="1" applyFont="1" applyFill="1" applyBorder="1" applyAlignment="1">
      <alignment vertical="center"/>
    </xf>
    <xf numFmtId="3" fontId="0" fillId="3" borderId="8" xfId="0" applyNumberFormat="1" applyFill="1" applyBorder="1" applyAlignment="1">
      <alignment vertical="center"/>
    </xf>
    <xf numFmtId="166" fontId="0" fillId="3" borderId="8" xfId="0" applyNumberFormat="1" applyFill="1" applyBorder="1" applyAlignment="1">
      <alignment vertical="center"/>
    </xf>
    <xf numFmtId="0" fontId="0" fillId="3" borderId="9" xfId="0" applyFill="1" applyBorder="1" applyAlignment="1">
      <alignment vertical="center"/>
    </xf>
    <xf numFmtId="0" fontId="0" fillId="0" borderId="1" xfId="0" applyBorder="1" applyAlignment="1">
      <alignment vertical="center"/>
    </xf>
    <xf numFmtId="0" fontId="0" fillId="0" borderId="2" xfId="0" applyBorder="1" applyAlignment="1">
      <alignment vertical="center" wrapText="1"/>
    </xf>
    <xf numFmtId="0" fontId="0" fillId="0" borderId="2" xfId="0" applyBorder="1" applyAlignment="1">
      <alignment vertical="center"/>
    </xf>
    <xf numFmtId="165" fontId="0" fillId="0" borderId="2" xfId="0" applyNumberFormat="1" applyBorder="1" applyAlignment="1">
      <alignment vertical="center"/>
    </xf>
    <xf numFmtId="165" fontId="4" fillId="0" borderId="2" xfId="0" applyNumberFormat="1" applyFont="1" applyBorder="1" applyAlignment="1">
      <alignment vertical="center"/>
    </xf>
    <xf numFmtId="3" fontId="0" fillId="0" borderId="2" xfId="0" applyNumberFormat="1" applyBorder="1" applyAlignment="1">
      <alignment vertical="center"/>
    </xf>
    <xf numFmtId="166" fontId="0" fillId="0" borderId="2" xfId="0" applyNumberFormat="1" applyBorder="1" applyAlignment="1">
      <alignment vertical="center"/>
    </xf>
    <xf numFmtId="0" fontId="0" fillId="0" borderId="3" xfId="0" applyBorder="1" applyAlignment="1">
      <alignment vertical="center"/>
    </xf>
    <xf numFmtId="0" fontId="0" fillId="3" borderId="1" xfId="0" applyFill="1" applyBorder="1" applyAlignment="1">
      <alignment vertical="center"/>
    </xf>
    <xf numFmtId="0" fontId="0" fillId="3" borderId="2" xfId="0" applyFill="1" applyBorder="1" applyAlignment="1">
      <alignment vertical="center" wrapText="1"/>
    </xf>
    <xf numFmtId="0" fontId="0" fillId="3" borderId="2" xfId="0" applyFill="1" applyBorder="1" applyAlignment="1">
      <alignment vertical="center"/>
    </xf>
    <xf numFmtId="165" fontId="0" fillId="3" borderId="2" xfId="0" applyNumberFormat="1" applyFill="1" applyBorder="1" applyAlignment="1">
      <alignment vertical="center"/>
    </xf>
    <xf numFmtId="165" fontId="4" fillId="3" borderId="2" xfId="0" applyNumberFormat="1" applyFont="1" applyFill="1" applyBorder="1" applyAlignment="1">
      <alignment vertical="center"/>
    </xf>
    <xf numFmtId="3" fontId="0" fillId="3" borderId="2" xfId="0" applyNumberFormat="1" applyFill="1" applyBorder="1" applyAlignment="1">
      <alignment vertical="center"/>
    </xf>
    <xf numFmtId="166" fontId="0" fillId="3" borderId="2" xfId="0" applyNumberFormat="1" applyFill="1" applyBorder="1" applyAlignment="1">
      <alignment vertical="center"/>
    </xf>
    <xf numFmtId="0" fontId="0" fillId="3" borderId="3" xfId="0" applyFill="1" applyBorder="1" applyAlignment="1">
      <alignment vertical="center"/>
    </xf>
    <xf numFmtId="0" fontId="0" fillId="0" borderId="4" xfId="0"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165" fontId="0" fillId="0" borderId="5" xfId="0" applyNumberFormat="1" applyBorder="1" applyAlignment="1">
      <alignment vertical="center"/>
    </xf>
    <xf numFmtId="165" fontId="4" fillId="0" borderId="5" xfId="0" applyNumberFormat="1" applyFont="1" applyBorder="1" applyAlignment="1">
      <alignment vertical="center"/>
    </xf>
    <xf numFmtId="3" fontId="0" fillId="0" borderId="5" xfId="0" applyNumberFormat="1" applyBorder="1" applyAlignment="1">
      <alignment vertical="center"/>
    </xf>
    <xf numFmtId="166" fontId="0" fillId="0" borderId="5" xfId="0" applyNumberFormat="1" applyBorder="1" applyAlignment="1">
      <alignment vertical="center"/>
    </xf>
    <xf numFmtId="0" fontId="0" fillId="0" borderId="6" xfId="0" applyBorder="1" applyAlignment="1">
      <alignment vertical="center"/>
    </xf>
    <xf numFmtId="0" fontId="5" fillId="3" borderId="8" xfId="1" applyFont="1" applyFill="1" applyBorder="1" applyAlignment="1">
      <alignment horizontal="center" vertical="center"/>
    </xf>
    <xf numFmtId="0" fontId="5" fillId="0" borderId="2" xfId="1" applyFont="1" applyBorder="1" applyAlignment="1">
      <alignment horizontal="center" vertical="center"/>
    </xf>
    <xf numFmtId="0" fontId="5" fillId="3" borderId="2" xfId="1" applyFont="1" applyFill="1" applyBorder="1" applyAlignment="1">
      <alignment horizontal="center" vertical="center"/>
    </xf>
    <xf numFmtId="0" fontId="5" fillId="0" borderId="5" xfId="1" applyFont="1" applyBorder="1" applyAlignment="1">
      <alignment horizontal="center" vertical="center"/>
    </xf>
    <xf numFmtId="0" fontId="0" fillId="3" borderId="4" xfId="0" applyFill="1" applyBorder="1" applyAlignment="1">
      <alignment vertical="center"/>
    </xf>
    <xf numFmtId="0" fontId="0" fillId="3" borderId="5" xfId="0" applyFill="1" applyBorder="1" applyAlignment="1">
      <alignment vertical="center" wrapText="1"/>
    </xf>
    <xf numFmtId="0" fontId="0" fillId="3" borderId="5" xfId="0" applyFill="1" applyBorder="1" applyAlignment="1">
      <alignment vertical="center"/>
    </xf>
    <xf numFmtId="165" fontId="0" fillId="3" borderId="5" xfId="0" applyNumberFormat="1" applyFill="1" applyBorder="1" applyAlignment="1">
      <alignment vertical="center"/>
    </xf>
    <xf numFmtId="165" fontId="4" fillId="3" borderId="5" xfId="0" applyNumberFormat="1" applyFont="1" applyFill="1" applyBorder="1" applyAlignment="1">
      <alignment vertical="center"/>
    </xf>
    <xf numFmtId="3" fontId="0" fillId="3" borderId="5" xfId="0" applyNumberFormat="1" applyFill="1" applyBorder="1" applyAlignment="1">
      <alignment vertical="center"/>
    </xf>
    <xf numFmtId="166" fontId="0" fillId="3" borderId="5" xfId="0" applyNumberFormat="1" applyFill="1" applyBorder="1" applyAlignment="1">
      <alignment vertical="center"/>
    </xf>
    <xf numFmtId="0" fontId="0" fillId="3" borderId="6" xfId="0" applyFill="1" applyBorder="1" applyAlignment="1">
      <alignment vertical="center"/>
    </xf>
    <xf numFmtId="0" fontId="5" fillId="3" borderId="5" xfId="1" applyFont="1" applyFill="1" applyBorder="1" applyAlignment="1">
      <alignment horizontal="center" vertical="center"/>
    </xf>
    <xf numFmtId="167" fontId="0" fillId="0" borderId="2" xfId="0" applyNumberFormat="1" applyBorder="1" applyAlignment="1">
      <alignment vertical="center"/>
    </xf>
    <xf numFmtId="166" fontId="0" fillId="0" borderId="3" xfId="0" applyNumberFormat="1" applyBorder="1" applyAlignment="1">
      <alignment vertical="center"/>
    </xf>
    <xf numFmtId="167" fontId="0" fillId="0" borderId="5" xfId="0" applyNumberFormat="1" applyBorder="1" applyAlignment="1">
      <alignment vertical="center"/>
    </xf>
    <xf numFmtId="166" fontId="0" fillId="0" borderId="6" xfId="0" applyNumberFormat="1" applyBorder="1" applyAlignment="1">
      <alignment vertical="center"/>
    </xf>
    <xf numFmtId="167" fontId="0" fillId="3" borderId="8" xfId="0" applyNumberFormat="1" applyFill="1" applyBorder="1" applyAlignment="1">
      <alignment vertical="center"/>
    </xf>
    <xf numFmtId="167" fontId="0" fillId="3" borderId="2" xfId="0" applyNumberFormat="1" applyFill="1" applyBorder="1" applyAlignment="1">
      <alignment vertical="center"/>
    </xf>
    <xf numFmtId="166" fontId="0" fillId="3" borderId="3" xfId="0" applyNumberFormat="1" applyFill="1" applyBorder="1" applyAlignment="1">
      <alignment vertical="center"/>
    </xf>
    <xf numFmtId="167" fontId="0" fillId="3" borderId="9" xfId="0" applyNumberFormat="1" applyFill="1" applyBorder="1" applyAlignment="1">
      <alignment vertical="center"/>
    </xf>
    <xf numFmtId="167" fontId="0" fillId="0" borderId="3" xfId="0" applyNumberFormat="1" applyBorder="1" applyAlignment="1">
      <alignment vertical="center"/>
    </xf>
    <xf numFmtId="167" fontId="0" fillId="3" borderId="3" xfId="0" applyNumberFormat="1" applyFill="1" applyBorder="1" applyAlignment="1">
      <alignment vertical="center"/>
    </xf>
    <xf numFmtId="167" fontId="0" fillId="0" borderId="6" xfId="0" applyNumberFormat="1" applyBorder="1" applyAlignment="1">
      <alignment vertical="center"/>
    </xf>
    <xf numFmtId="165" fontId="0" fillId="3" borderId="9" xfId="0" applyNumberFormat="1" applyFill="1" applyBorder="1" applyAlignment="1">
      <alignment vertical="center"/>
    </xf>
    <xf numFmtId="165" fontId="0" fillId="0" borderId="3" xfId="0" applyNumberFormat="1" applyBorder="1" applyAlignment="1">
      <alignment vertical="center"/>
    </xf>
    <xf numFmtId="165" fontId="0" fillId="3" borderId="3" xfId="0" applyNumberFormat="1" applyFill="1" applyBorder="1" applyAlignment="1">
      <alignment vertical="center"/>
    </xf>
    <xf numFmtId="165" fontId="0" fillId="0" borderId="6" xfId="0" applyNumberFormat="1" applyBorder="1" applyAlignment="1">
      <alignment vertical="center"/>
    </xf>
    <xf numFmtId="0" fontId="6" fillId="3" borderId="7" xfId="0" applyFont="1" applyFill="1" applyBorder="1" applyAlignment="1">
      <alignment vertical="center"/>
    </xf>
    <xf numFmtId="0" fontId="6" fillId="3" borderId="1" xfId="0" applyFont="1" applyFill="1" applyBorder="1" applyAlignment="1">
      <alignment vertical="center"/>
    </xf>
    <xf numFmtId="0" fontId="8" fillId="4" borderId="10" xfId="0" applyFont="1" applyFill="1" applyBorder="1" applyAlignment="1">
      <alignment vertical="center"/>
    </xf>
    <xf numFmtId="0" fontId="7" fillId="4" borderId="12" xfId="0" applyFont="1" applyFill="1" applyBorder="1" applyAlignment="1">
      <alignment vertical="center"/>
    </xf>
    <xf numFmtId="0" fontId="6" fillId="4" borderId="1" xfId="0" applyFont="1" applyFill="1" applyBorder="1" applyAlignment="1">
      <alignment vertical="center"/>
    </xf>
    <xf numFmtId="0" fontId="0" fillId="4" borderId="3" xfId="0" applyFill="1" applyBorder="1" applyAlignment="1">
      <alignment vertical="center"/>
    </xf>
    <xf numFmtId="0" fontId="6" fillId="4" borderId="4" xfId="0" applyFont="1" applyFill="1" applyBorder="1" applyAlignment="1">
      <alignment vertical="center"/>
    </xf>
    <xf numFmtId="0" fontId="0" fillId="4" borderId="6" xfId="0" applyFill="1" applyBorder="1" applyAlignment="1">
      <alignment vertical="center"/>
    </xf>
    <xf numFmtId="0" fontId="1" fillId="3" borderId="7" xfId="0" applyFont="1" applyFill="1" applyBorder="1" applyAlignment="1">
      <alignment vertical="center"/>
    </xf>
    <xf numFmtId="3" fontId="1" fillId="3" borderId="8" xfId="0" applyNumberFormat="1" applyFont="1" applyFill="1" applyBorder="1" applyAlignment="1">
      <alignment vertical="center"/>
    </xf>
    <xf numFmtId="167" fontId="1" fillId="3" borderId="8" xfId="0" applyNumberFormat="1" applyFont="1" applyFill="1" applyBorder="1" applyAlignment="1">
      <alignment vertical="center"/>
    </xf>
    <xf numFmtId="165" fontId="1" fillId="3" borderId="8" xfId="0" applyNumberFormat="1" applyFont="1" applyFill="1" applyBorder="1" applyAlignment="1">
      <alignment vertical="center"/>
    </xf>
    <xf numFmtId="166" fontId="1" fillId="3" borderId="9" xfId="0" applyNumberFormat="1" applyFont="1" applyFill="1" applyBorder="1" applyAlignment="1">
      <alignment vertical="center"/>
    </xf>
    <xf numFmtId="0" fontId="1" fillId="3" borderId="1" xfId="0" applyFont="1" applyFill="1" applyBorder="1" applyAlignment="1">
      <alignment vertical="center"/>
    </xf>
    <xf numFmtId="3" fontId="1" fillId="3" borderId="2" xfId="0" applyNumberFormat="1" applyFont="1" applyFill="1" applyBorder="1" applyAlignment="1">
      <alignment vertical="center"/>
    </xf>
    <xf numFmtId="167" fontId="1" fillId="3" borderId="2" xfId="0" applyNumberFormat="1" applyFont="1" applyFill="1" applyBorder="1" applyAlignment="1">
      <alignment vertical="center"/>
    </xf>
    <xf numFmtId="165" fontId="1" fillId="3" borderId="2" xfId="0" applyNumberFormat="1" applyFont="1" applyFill="1" applyBorder="1" applyAlignment="1">
      <alignment vertical="center"/>
    </xf>
    <xf numFmtId="166" fontId="1" fillId="3" borderId="3" xfId="0" applyNumberFormat="1" applyFont="1" applyFill="1" applyBorder="1" applyAlignment="1">
      <alignment vertical="center"/>
    </xf>
  </cellXfs>
  <cellStyles count="2">
    <cellStyle name="Hyperlink" xfId="1" builtinId="8"/>
    <cellStyle name="Normal" xfId="0" builtinId="0"/>
  </cellStyles>
  <dxfs count="16">
    <dxf>
      <font>
        <b/>
        <i val="0"/>
        <color rgb="FFCC0000"/>
      </font>
    </dxf>
    <dxf>
      <font>
        <b/>
        <i val="0"/>
        <color rgb="FF006100"/>
      </font>
    </dxf>
    <dxf>
      <font>
        <b/>
        <i val="0"/>
        <color rgb="FFCC0000"/>
      </font>
    </dxf>
    <dxf>
      <font>
        <b/>
        <i val="0"/>
        <color rgb="FF006100"/>
      </font>
    </dxf>
    <dxf>
      <font>
        <b/>
        <i val="0"/>
        <color rgb="FFCC0000"/>
      </font>
    </dxf>
    <dxf>
      <font>
        <b/>
        <i val="0"/>
        <color rgb="FF006100"/>
      </font>
    </dxf>
    <dxf>
      <font>
        <b/>
        <i val="0"/>
        <color rgb="FFCC0000"/>
      </font>
    </dxf>
    <dxf>
      <font>
        <b/>
        <i val="0"/>
        <color rgb="FF006100"/>
      </font>
    </dxf>
    <dxf>
      <font>
        <b/>
        <i val="0"/>
        <color rgb="FFCC0000"/>
      </font>
    </dxf>
    <dxf>
      <font>
        <b/>
        <i val="0"/>
        <color rgb="FF006100"/>
      </font>
    </dxf>
    <dxf>
      <font>
        <b/>
        <i val="0"/>
        <color rgb="FFCC0000"/>
      </font>
    </dxf>
    <dxf>
      <font>
        <b/>
        <i val="0"/>
        <color rgb="FF006100"/>
      </font>
    </dxf>
    <dxf>
      <font>
        <b/>
        <i val="0"/>
        <color rgb="FFCC0000"/>
      </font>
    </dxf>
    <dxf>
      <font>
        <b/>
        <i val="0"/>
        <color rgb="FF006100"/>
      </font>
    </dxf>
    <dxf>
      <font>
        <b/>
        <i val="0"/>
        <color rgb="FFCC0000"/>
      </font>
    </dxf>
    <dxf>
      <font>
        <b/>
        <i val="0"/>
        <color rgb="FF006100"/>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FDBD42-FA86-D541-B520-3A8840AD4A12}">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9.xml.rels><?xml version="1.0" encoding="UTF-8" standalone="yes"?>
<Relationships xmlns="http://schemas.openxmlformats.org/package/2006/relationships"><Relationship Id="rId1" Type="http://schemas.openxmlformats.org/officeDocument/2006/relationships/hyperlink" Target="https://amazon.com/dp/B0FDH7FLV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3"/>
  <sheetViews>
    <sheetView tabSelected="1" workbookViewId="0">
      <pane ySplit="1" topLeftCell="A2" activePane="bottomLeft" state="frozen"/>
      <selection pane="bottomLeft" activeCell="J114" sqref="J114"/>
    </sheetView>
  </sheetViews>
  <sheetFormatPr baseColWidth="10" defaultRowHeight="16" x14ac:dyDescent="0.2"/>
  <cols>
    <col min="1" max="1" width="23.33203125" customWidth="1"/>
    <col min="2" max="2" width="15" customWidth="1"/>
    <col min="3" max="3" width="18.33203125" customWidth="1"/>
    <col min="4" max="4" width="16.6640625" customWidth="1"/>
    <col min="5" max="5" width="20" customWidth="1"/>
    <col min="6" max="6" width="16.6640625" customWidth="1"/>
    <col min="7" max="7" width="13.33203125" customWidth="1"/>
  </cols>
  <sheetData>
    <row r="1" spans="1:7" ht="30" customHeight="1" thickBot="1" x14ac:dyDescent="0.25">
      <c r="A1" s="2" t="s">
        <v>0</v>
      </c>
      <c r="B1" s="3" t="s">
        <v>1</v>
      </c>
      <c r="C1" s="3" t="s">
        <v>2</v>
      </c>
      <c r="D1" s="3" t="s">
        <v>3</v>
      </c>
      <c r="E1" s="3" t="s">
        <v>4</v>
      </c>
      <c r="F1" s="3" t="s">
        <v>5</v>
      </c>
      <c r="G1" s="4" t="s">
        <v>6</v>
      </c>
    </row>
    <row r="2" spans="1:7" s="1" customFormat="1" x14ac:dyDescent="0.2">
      <c r="A2" s="73" t="s">
        <v>7</v>
      </c>
      <c r="B2" s="74">
        <v>2</v>
      </c>
      <c r="C2" s="9">
        <v>483211.6</v>
      </c>
      <c r="D2" s="74">
        <v>1119</v>
      </c>
      <c r="E2" s="75">
        <v>0.2039</v>
      </c>
      <c r="F2" s="76">
        <v>431.82</v>
      </c>
      <c r="G2" s="77">
        <v>4.5</v>
      </c>
    </row>
    <row r="3" spans="1:7" x14ac:dyDescent="0.2">
      <c r="A3" s="13" t="s">
        <v>8</v>
      </c>
      <c r="B3" s="18">
        <v>3</v>
      </c>
      <c r="C3" s="17">
        <v>248522.23</v>
      </c>
      <c r="D3" s="18">
        <v>2561</v>
      </c>
      <c r="E3" s="50">
        <v>0.10489999999999999</v>
      </c>
      <c r="F3" s="16">
        <v>97.04</v>
      </c>
      <c r="G3" s="51">
        <v>4.3</v>
      </c>
    </row>
    <row r="4" spans="1:7" x14ac:dyDescent="0.2">
      <c r="A4" s="21" t="s">
        <v>9</v>
      </c>
      <c r="B4" s="26">
        <v>1</v>
      </c>
      <c r="C4" s="25">
        <v>110762.22</v>
      </c>
      <c r="D4" s="26">
        <v>911</v>
      </c>
      <c r="E4" s="55">
        <v>4.6699999999999998E-2</v>
      </c>
      <c r="F4" s="24">
        <v>121.58</v>
      </c>
      <c r="G4" s="56">
        <v>4.4000000000000004</v>
      </c>
    </row>
    <row r="5" spans="1:7" x14ac:dyDescent="0.2">
      <c r="A5" s="13" t="s">
        <v>10</v>
      </c>
      <c r="B5" s="18">
        <v>23</v>
      </c>
      <c r="C5" s="17">
        <v>94330.68</v>
      </c>
      <c r="D5" s="18">
        <v>320</v>
      </c>
      <c r="E5" s="50">
        <v>3.9800000000000002E-2</v>
      </c>
      <c r="F5" s="16">
        <v>294.77999999999997</v>
      </c>
      <c r="G5" s="51">
        <v>4.32</v>
      </c>
    </row>
    <row r="6" spans="1:7" x14ac:dyDescent="0.2">
      <c r="A6" s="21" t="s">
        <v>11</v>
      </c>
      <c r="B6" s="26">
        <v>5</v>
      </c>
      <c r="C6" s="25">
        <v>87921.79</v>
      </c>
      <c r="D6" s="26">
        <v>889</v>
      </c>
      <c r="E6" s="55">
        <v>3.7100000000000001E-2</v>
      </c>
      <c r="F6" s="24">
        <v>98.9</v>
      </c>
      <c r="G6" s="56">
        <v>4.49</v>
      </c>
    </row>
    <row r="7" spans="1:7" x14ac:dyDescent="0.2">
      <c r="A7" s="13" t="s">
        <v>12</v>
      </c>
      <c r="B7" s="18">
        <v>1</v>
      </c>
      <c r="C7" s="17">
        <v>83984.66</v>
      </c>
      <c r="D7" s="18">
        <v>93</v>
      </c>
      <c r="E7" s="50">
        <v>3.5400000000000001E-2</v>
      </c>
      <c r="F7" s="16">
        <v>903.06</v>
      </c>
      <c r="G7" s="51">
        <v>4.5</v>
      </c>
    </row>
    <row r="8" spans="1:7" x14ac:dyDescent="0.2">
      <c r="A8" s="21" t="s">
        <v>13</v>
      </c>
      <c r="B8" s="26">
        <v>15</v>
      </c>
      <c r="C8" s="25">
        <v>72583.100000000006</v>
      </c>
      <c r="D8" s="26">
        <v>450</v>
      </c>
      <c r="E8" s="55">
        <v>3.0599999999999999E-2</v>
      </c>
      <c r="F8" s="24">
        <v>161.30000000000001</v>
      </c>
      <c r="G8" s="56">
        <v>4.3099999999999996</v>
      </c>
    </row>
    <row r="9" spans="1:7" x14ac:dyDescent="0.2">
      <c r="A9" s="13" t="s">
        <v>14</v>
      </c>
      <c r="B9" s="18">
        <v>1</v>
      </c>
      <c r="C9" s="17">
        <v>61046.31</v>
      </c>
      <c r="D9" s="18">
        <v>837</v>
      </c>
      <c r="E9" s="50">
        <v>2.58E-2</v>
      </c>
      <c r="F9" s="16">
        <v>72.930000000000007</v>
      </c>
      <c r="G9" s="51">
        <v>4.5999999999999996</v>
      </c>
    </row>
    <row r="10" spans="1:7" x14ac:dyDescent="0.2">
      <c r="A10" s="21" t="s">
        <v>15</v>
      </c>
      <c r="B10" s="26">
        <v>1</v>
      </c>
      <c r="C10" s="25">
        <v>54106.46</v>
      </c>
      <c r="D10" s="26">
        <v>1022</v>
      </c>
      <c r="E10" s="55">
        <v>2.2800000000000001E-2</v>
      </c>
      <c r="F10" s="24">
        <v>52.94</v>
      </c>
      <c r="G10" s="56">
        <v>4.2</v>
      </c>
    </row>
    <row r="11" spans="1:7" x14ac:dyDescent="0.2">
      <c r="A11" s="13" t="s">
        <v>16</v>
      </c>
      <c r="B11" s="18">
        <v>1</v>
      </c>
      <c r="C11" s="17">
        <v>46780.15</v>
      </c>
      <c r="D11" s="18">
        <v>47</v>
      </c>
      <c r="E11" s="50">
        <v>1.9699999999999999E-2</v>
      </c>
      <c r="F11" s="16">
        <v>995.32</v>
      </c>
      <c r="G11" s="51">
        <v>4.7</v>
      </c>
    </row>
    <row r="12" spans="1:7" x14ac:dyDescent="0.2">
      <c r="A12" s="21" t="s">
        <v>17</v>
      </c>
      <c r="B12" s="26">
        <v>8</v>
      </c>
      <c r="C12" s="25">
        <v>39242.03</v>
      </c>
      <c r="D12" s="26">
        <v>68</v>
      </c>
      <c r="E12" s="55">
        <v>1.66E-2</v>
      </c>
      <c r="F12" s="24">
        <v>577.09</v>
      </c>
      <c r="G12" s="56">
        <v>4.09</v>
      </c>
    </row>
    <row r="13" spans="1:7" x14ac:dyDescent="0.2">
      <c r="A13" s="13" t="s">
        <v>18</v>
      </c>
      <c r="B13" s="18">
        <v>1</v>
      </c>
      <c r="C13" s="17">
        <v>38630.67</v>
      </c>
      <c r="D13" s="18">
        <v>165</v>
      </c>
      <c r="E13" s="50">
        <v>1.6299999999999999E-2</v>
      </c>
      <c r="F13" s="16">
        <v>234.13</v>
      </c>
      <c r="G13" s="51">
        <v>4.2</v>
      </c>
    </row>
    <row r="14" spans="1:7" x14ac:dyDescent="0.2">
      <c r="A14" s="21" t="s">
        <v>19</v>
      </c>
      <c r="B14" s="26">
        <v>3</v>
      </c>
      <c r="C14" s="25">
        <v>37357.660000000003</v>
      </c>
      <c r="D14" s="26">
        <v>301</v>
      </c>
      <c r="E14" s="55">
        <v>1.5800000000000002E-2</v>
      </c>
      <c r="F14" s="24">
        <v>124.11</v>
      </c>
      <c r="G14" s="56">
        <v>4.03</v>
      </c>
    </row>
    <row r="15" spans="1:7" x14ac:dyDescent="0.2">
      <c r="A15" s="13" t="s">
        <v>20</v>
      </c>
      <c r="B15" s="18">
        <v>1</v>
      </c>
      <c r="C15" s="17">
        <v>36857.050000000003</v>
      </c>
      <c r="D15" s="18">
        <v>433</v>
      </c>
      <c r="E15" s="50">
        <v>1.5599999999999999E-2</v>
      </c>
      <c r="F15" s="16">
        <v>85.12</v>
      </c>
      <c r="G15" s="51">
        <v>4.4000000000000004</v>
      </c>
    </row>
    <row r="16" spans="1:7" x14ac:dyDescent="0.2">
      <c r="A16" s="21" t="s">
        <v>21</v>
      </c>
      <c r="B16" s="26">
        <v>1</v>
      </c>
      <c r="C16" s="25">
        <v>30110.5</v>
      </c>
      <c r="D16" s="26">
        <v>455</v>
      </c>
      <c r="E16" s="55">
        <v>1.2699999999999999E-2</v>
      </c>
      <c r="F16" s="24">
        <v>66.180000000000007</v>
      </c>
      <c r="G16" s="56">
        <v>4.4000000000000004</v>
      </c>
    </row>
    <row r="17" spans="1:7" x14ac:dyDescent="0.2">
      <c r="A17" s="13" t="s">
        <v>22</v>
      </c>
      <c r="B17" s="18">
        <v>1</v>
      </c>
      <c r="C17" s="17">
        <v>28255.83</v>
      </c>
      <c r="D17" s="18">
        <v>228</v>
      </c>
      <c r="E17" s="50">
        <v>1.1900000000000001E-2</v>
      </c>
      <c r="F17" s="16">
        <v>123.93</v>
      </c>
      <c r="G17" s="51">
        <v>4.5999999999999996</v>
      </c>
    </row>
    <row r="18" spans="1:7" x14ac:dyDescent="0.2">
      <c r="A18" s="21" t="s">
        <v>23</v>
      </c>
      <c r="B18" s="26">
        <v>4</v>
      </c>
      <c r="C18" s="25">
        <v>25669.200000000001</v>
      </c>
      <c r="D18" s="26">
        <v>266</v>
      </c>
      <c r="E18" s="55">
        <v>1.0800000000000001E-2</v>
      </c>
      <c r="F18" s="24">
        <v>96.5</v>
      </c>
      <c r="G18" s="56">
        <v>4.21</v>
      </c>
    </row>
    <row r="19" spans="1:7" x14ac:dyDescent="0.2">
      <c r="A19" s="13" t="s">
        <v>24</v>
      </c>
      <c r="B19" s="18">
        <v>4</v>
      </c>
      <c r="C19" s="17">
        <v>24692.27</v>
      </c>
      <c r="D19" s="18">
        <v>137</v>
      </c>
      <c r="E19" s="50">
        <v>1.04E-2</v>
      </c>
      <c r="F19" s="16">
        <v>180.24</v>
      </c>
      <c r="G19" s="51">
        <v>3.97</v>
      </c>
    </row>
    <row r="20" spans="1:7" x14ac:dyDescent="0.2">
      <c r="A20" s="21" t="s">
        <v>25</v>
      </c>
      <c r="B20" s="26">
        <v>2</v>
      </c>
      <c r="C20" s="25">
        <v>24569.43</v>
      </c>
      <c r="D20" s="26">
        <v>137</v>
      </c>
      <c r="E20" s="55">
        <v>1.04E-2</v>
      </c>
      <c r="F20" s="24">
        <v>179.34</v>
      </c>
      <c r="G20" s="56">
        <v>4.1900000000000004</v>
      </c>
    </row>
    <row r="21" spans="1:7" x14ac:dyDescent="0.2">
      <c r="A21" s="13" t="s">
        <v>26</v>
      </c>
      <c r="B21" s="18">
        <v>2</v>
      </c>
      <c r="C21" s="17">
        <v>24153.08</v>
      </c>
      <c r="D21" s="18">
        <v>403</v>
      </c>
      <c r="E21" s="50">
        <v>1.0200000000000001E-2</v>
      </c>
      <c r="F21" s="16">
        <v>59.93</v>
      </c>
      <c r="G21" s="51">
        <v>4.75</v>
      </c>
    </row>
    <row r="22" spans="1:7" x14ac:dyDescent="0.2">
      <c r="A22" s="21" t="s">
        <v>27</v>
      </c>
      <c r="B22" s="26">
        <v>6</v>
      </c>
      <c r="C22" s="25">
        <v>21199.85</v>
      </c>
      <c r="D22" s="26">
        <v>312</v>
      </c>
      <c r="E22" s="55">
        <v>8.8999999999999999E-3</v>
      </c>
      <c r="F22" s="24">
        <v>67.95</v>
      </c>
      <c r="G22" s="56">
        <v>4</v>
      </c>
    </row>
    <row r="23" spans="1:7" x14ac:dyDescent="0.2">
      <c r="A23" s="13" t="s">
        <v>28</v>
      </c>
      <c r="B23" s="18">
        <v>1</v>
      </c>
      <c r="C23" s="17">
        <v>20394.09</v>
      </c>
      <c r="D23" s="18">
        <v>316</v>
      </c>
      <c r="E23" s="50">
        <v>8.6E-3</v>
      </c>
      <c r="F23" s="16">
        <v>64.540000000000006</v>
      </c>
      <c r="G23" s="51">
        <v>4.4000000000000004</v>
      </c>
    </row>
    <row r="24" spans="1:7" x14ac:dyDescent="0.2">
      <c r="A24" s="21" t="s">
        <v>29</v>
      </c>
      <c r="B24" s="26">
        <v>4</v>
      </c>
      <c r="C24" s="25">
        <v>19323.09</v>
      </c>
      <c r="D24" s="26">
        <v>85</v>
      </c>
      <c r="E24" s="55">
        <v>8.2000000000000007E-3</v>
      </c>
      <c r="F24" s="24">
        <v>227.33</v>
      </c>
      <c r="G24" s="56">
        <v>3.97</v>
      </c>
    </row>
    <row r="25" spans="1:7" x14ac:dyDescent="0.2">
      <c r="A25" s="13" t="s">
        <v>30</v>
      </c>
      <c r="B25" s="18">
        <v>4</v>
      </c>
      <c r="C25" s="17">
        <v>19275.37</v>
      </c>
      <c r="D25" s="18">
        <v>60</v>
      </c>
      <c r="E25" s="50">
        <v>8.0999999999999996E-3</v>
      </c>
      <c r="F25" s="16">
        <v>321.26</v>
      </c>
      <c r="G25" s="51">
        <v>4.2699999999999996</v>
      </c>
    </row>
    <row r="26" spans="1:7" x14ac:dyDescent="0.2">
      <c r="A26" s="21" t="s">
        <v>31</v>
      </c>
      <c r="B26" s="26">
        <v>9</v>
      </c>
      <c r="C26" s="25">
        <v>19170.18</v>
      </c>
      <c r="D26" s="26">
        <v>205</v>
      </c>
      <c r="E26" s="55">
        <v>8.0999999999999996E-3</v>
      </c>
      <c r="F26" s="24">
        <v>93.51</v>
      </c>
      <c r="G26" s="56">
        <v>4.22</v>
      </c>
    </row>
    <row r="27" spans="1:7" x14ac:dyDescent="0.2">
      <c r="A27" s="13" t="s">
        <v>32</v>
      </c>
      <c r="B27" s="18">
        <v>15</v>
      </c>
      <c r="C27" s="17">
        <v>18421.84</v>
      </c>
      <c r="D27" s="18">
        <v>45</v>
      </c>
      <c r="E27" s="50">
        <v>7.7999999999999996E-3</v>
      </c>
      <c r="F27" s="16">
        <v>409.37</v>
      </c>
      <c r="G27" s="51">
        <v>4.04</v>
      </c>
    </row>
    <row r="28" spans="1:7" x14ac:dyDescent="0.2">
      <c r="A28" s="21" t="s">
        <v>33</v>
      </c>
      <c r="B28" s="26">
        <v>3</v>
      </c>
      <c r="C28" s="25">
        <v>18175.88</v>
      </c>
      <c r="D28" s="26">
        <v>89</v>
      </c>
      <c r="E28" s="55">
        <v>7.7000000000000002E-3</v>
      </c>
      <c r="F28" s="24">
        <v>204.22</v>
      </c>
      <c r="G28" s="56">
        <v>4.38</v>
      </c>
    </row>
    <row r="29" spans="1:7" x14ac:dyDescent="0.2">
      <c r="A29" s="13" t="s">
        <v>34</v>
      </c>
      <c r="B29" s="18">
        <v>6</v>
      </c>
      <c r="C29" s="17">
        <v>16894.23</v>
      </c>
      <c r="D29" s="18">
        <v>199</v>
      </c>
      <c r="E29" s="50">
        <v>7.1000000000000004E-3</v>
      </c>
      <c r="F29" s="16">
        <v>84.9</v>
      </c>
      <c r="G29" s="51">
        <v>4.4400000000000004</v>
      </c>
    </row>
    <row r="30" spans="1:7" x14ac:dyDescent="0.2">
      <c r="A30" s="21" t="s">
        <v>35</v>
      </c>
      <c r="B30" s="26">
        <v>2</v>
      </c>
      <c r="C30" s="25">
        <v>15374.81</v>
      </c>
      <c r="D30" s="26">
        <v>39</v>
      </c>
      <c r="E30" s="55">
        <v>6.4999999999999997E-3</v>
      </c>
      <c r="F30" s="24">
        <v>394.23</v>
      </c>
      <c r="G30" s="56">
        <v>3.72</v>
      </c>
    </row>
    <row r="31" spans="1:7" x14ac:dyDescent="0.2">
      <c r="A31" s="13" t="s">
        <v>36</v>
      </c>
      <c r="B31" s="18">
        <v>13</v>
      </c>
      <c r="C31" s="17">
        <v>14974.02</v>
      </c>
      <c r="D31" s="18">
        <v>28</v>
      </c>
      <c r="E31" s="50">
        <v>6.3E-3</v>
      </c>
      <c r="F31" s="16">
        <v>534.79</v>
      </c>
      <c r="G31" s="51">
        <v>3.99</v>
      </c>
    </row>
    <row r="32" spans="1:7" x14ac:dyDescent="0.2">
      <c r="A32" s="21" t="s">
        <v>37</v>
      </c>
      <c r="B32" s="26">
        <v>1</v>
      </c>
      <c r="C32" s="25">
        <v>14569.46</v>
      </c>
      <c r="D32" s="26">
        <v>293</v>
      </c>
      <c r="E32" s="55">
        <v>6.1000000000000004E-3</v>
      </c>
      <c r="F32" s="24">
        <v>49.73</v>
      </c>
      <c r="G32" s="56">
        <v>4.5</v>
      </c>
    </row>
    <row r="33" spans="1:7" x14ac:dyDescent="0.2">
      <c r="A33" s="13" t="s">
        <v>38</v>
      </c>
      <c r="B33" s="18">
        <v>5</v>
      </c>
      <c r="C33" s="17">
        <v>13504.43</v>
      </c>
      <c r="D33" s="18">
        <v>48</v>
      </c>
      <c r="E33" s="50">
        <v>5.7000000000000002E-3</v>
      </c>
      <c r="F33" s="16">
        <v>281.33999999999997</v>
      </c>
      <c r="G33" s="51">
        <v>4.08</v>
      </c>
    </row>
    <row r="34" spans="1:7" x14ac:dyDescent="0.2">
      <c r="A34" s="21" t="s">
        <v>39</v>
      </c>
      <c r="B34" s="26">
        <v>10</v>
      </c>
      <c r="C34" s="25">
        <v>12907.83</v>
      </c>
      <c r="D34" s="26">
        <v>145</v>
      </c>
      <c r="E34" s="55">
        <v>5.4000000000000003E-3</v>
      </c>
      <c r="F34" s="24">
        <v>89.02</v>
      </c>
      <c r="G34" s="56">
        <v>4.0999999999999996</v>
      </c>
    </row>
    <row r="35" spans="1:7" x14ac:dyDescent="0.2">
      <c r="A35" s="13" t="s">
        <v>40</v>
      </c>
      <c r="B35" s="18">
        <v>5</v>
      </c>
      <c r="C35" s="17">
        <v>12828.19</v>
      </c>
      <c r="D35" s="18">
        <v>133</v>
      </c>
      <c r="E35" s="50">
        <v>5.4000000000000003E-3</v>
      </c>
      <c r="F35" s="16">
        <v>96.45</v>
      </c>
      <c r="G35" s="51">
        <v>4.4000000000000004</v>
      </c>
    </row>
    <row r="36" spans="1:7" x14ac:dyDescent="0.2">
      <c r="A36" s="21" t="s">
        <v>41</v>
      </c>
      <c r="B36" s="26">
        <v>6</v>
      </c>
      <c r="C36" s="25">
        <v>12706.23</v>
      </c>
      <c r="D36" s="26">
        <v>157</v>
      </c>
      <c r="E36" s="55">
        <v>5.4000000000000003E-3</v>
      </c>
      <c r="F36" s="24">
        <v>80.930000000000007</v>
      </c>
      <c r="G36" s="56">
        <v>4.3600000000000003</v>
      </c>
    </row>
    <row r="37" spans="1:7" x14ac:dyDescent="0.2">
      <c r="A37" s="13" t="s">
        <v>42</v>
      </c>
      <c r="B37" s="18">
        <v>2</v>
      </c>
      <c r="C37" s="17">
        <v>12486.62</v>
      </c>
      <c r="D37" s="18">
        <v>15</v>
      </c>
      <c r="E37" s="50">
        <v>5.3E-3</v>
      </c>
      <c r="F37" s="16">
        <v>832.44</v>
      </c>
      <c r="G37" s="51">
        <v>4.1100000000000003</v>
      </c>
    </row>
    <row r="38" spans="1:7" x14ac:dyDescent="0.2">
      <c r="A38" s="21" t="s">
        <v>43</v>
      </c>
      <c r="B38" s="26">
        <v>4</v>
      </c>
      <c r="C38" s="25">
        <v>12043.7</v>
      </c>
      <c r="D38" s="26">
        <v>34</v>
      </c>
      <c r="E38" s="55">
        <v>5.1000000000000004E-3</v>
      </c>
      <c r="F38" s="24">
        <v>354.23</v>
      </c>
      <c r="G38" s="56">
        <v>3.77</v>
      </c>
    </row>
    <row r="39" spans="1:7" x14ac:dyDescent="0.2">
      <c r="A39" s="13" t="s">
        <v>44</v>
      </c>
      <c r="B39" s="18">
        <v>1</v>
      </c>
      <c r="C39" s="17">
        <v>11885.47</v>
      </c>
      <c r="D39" s="18">
        <v>296</v>
      </c>
      <c r="E39" s="50">
        <v>5.0000000000000001E-3</v>
      </c>
      <c r="F39" s="16">
        <v>40.15</v>
      </c>
      <c r="G39" s="51">
        <v>4.0999999999999996</v>
      </c>
    </row>
    <row r="40" spans="1:7" x14ac:dyDescent="0.2">
      <c r="A40" s="21" t="s">
        <v>45</v>
      </c>
      <c r="B40" s="26">
        <v>3</v>
      </c>
      <c r="C40" s="25">
        <v>11610.22</v>
      </c>
      <c r="D40" s="26">
        <v>38</v>
      </c>
      <c r="E40" s="55">
        <v>4.8999999999999998E-3</v>
      </c>
      <c r="F40" s="24">
        <v>305.52999999999997</v>
      </c>
      <c r="G40" s="56">
        <v>3.78</v>
      </c>
    </row>
    <row r="41" spans="1:7" x14ac:dyDescent="0.2">
      <c r="A41" s="13" t="s">
        <v>46</v>
      </c>
      <c r="B41" s="18">
        <v>1</v>
      </c>
      <c r="C41" s="17">
        <v>11099.92</v>
      </c>
      <c r="D41" s="18">
        <v>58</v>
      </c>
      <c r="E41" s="50">
        <v>4.7000000000000002E-3</v>
      </c>
      <c r="F41" s="16">
        <v>191.38</v>
      </c>
      <c r="G41" s="51">
        <v>3.8</v>
      </c>
    </row>
    <row r="42" spans="1:7" x14ac:dyDescent="0.2">
      <c r="A42" s="21" t="s">
        <v>47</v>
      </c>
      <c r="B42" s="26">
        <v>9</v>
      </c>
      <c r="C42" s="25">
        <v>10940.48</v>
      </c>
      <c r="D42" s="26">
        <v>30</v>
      </c>
      <c r="E42" s="55">
        <v>4.5999999999999999E-3</v>
      </c>
      <c r="F42" s="24">
        <v>364.68</v>
      </c>
      <c r="G42" s="56">
        <v>4.1399999999999997</v>
      </c>
    </row>
    <row r="43" spans="1:7" x14ac:dyDescent="0.2">
      <c r="A43" s="13" t="s">
        <v>48</v>
      </c>
      <c r="B43" s="18">
        <v>3</v>
      </c>
      <c r="C43" s="17">
        <v>10879.61</v>
      </c>
      <c r="D43" s="18">
        <v>74</v>
      </c>
      <c r="E43" s="50">
        <v>4.5999999999999999E-3</v>
      </c>
      <c r="F43" s="16">
        <v>147.02000000000001</v>
      </c>
      <c r="G43" s="51">
        <v>4.4000000000000004</v>
      </c>
    </row>
    <row r="44" spans="1:7" x14ac:dyDescent="0.2">
      <c r="A44" s="21" t="s">
        <v>49</v>
      </c>
      <c r="B44" s="26">
        <v>5</v>
      </c>
      <c r="C44" s="25">
        <v>10697.3</v>
      </c>
      <c r="D44" s="26">
        <v>94</v>
      </c>
      <c r="E44" s="55">
        <v>4.4999999999999997E-3</v>
      </c>
      <c r="F44" s="24">
        <v>113.8</v>
      </c>
      <c r="G44" s="56">
        <v>4.41</v>
      </c>
    </row>
    <row r="45" spans="1:7" x14ac:dyDescent="0.2">
      <c r="A45" s="13" t="s">
        <v>50</v>
      </c>
      <c r="B45" s="18">
        <v>5</v>
      </c>
      <c r="C45" s="17">
        <v>9813.75</v>
      </c>
      <c r="D45" s="18">
        <v>101</v>
      </c>
      <c r="E45" s="50">
        <v>4.1000000000000003E-3</v>
      </c>
      <c r="F45" s="16">
        <v>97.17</v>
      </c>
      <c r="G45" s="51">
        <v>3.54</v>
      </c>
    </row>
    <row r="46" spans="1:7" x14ac:dyDescent="0.2">
      <c r="A46" s="21" t="s">
        <v>51</v>
      </c>
      <c r="B46" s="26">
        <v>2</v>
      </c>
      <c r="C46" s="25">
        <v>9760.61</v>
      </c>
      <c r="D46" s="26">
        <v>34</v>
      </c>
      <c r="E46" s="55">
        <v>4.1000000000000003E-3</v>
      </c>
      <c r="F46" s="24">
        <v>287.08</v>
      </c>
      <c r="G46" s="56">
        <v>4.5599999999999996</v>
      </c>
    </row>
    <row r="47" spans="1:7" x14ac:dyDescent="0.2">
      <c r="A47" s="13" t="s">
        <v>52</v>
      </c>
      <c r="B47" s="18">
        <v>3</v>
      </c>
      <c r="C47" s="17">
        <v>9163.73</v>
      </c>
      <c r="D47" s="18">
        <v>115</v>
      </c>
      <c r="E47" s="50">
        <v>3.8999999999999998E-3</v>
      </c>
      <c r="F47" s="16">
        <v>79.680000000000007</v>
      </c>
      <c r="G47" s="51">
        <v>4.4000000000000004</v>
      </c>
    </row>
    <row r="48" spans="1:7" x14ac:dyDescent="0.2">
      <c r="A48" s="21" t="s">
        <v>53</v>
      </c>
      <c r="B48" s="26">
        <v>6</v>
      </c>
      <c r="C48" s="25">
        <v>8877.09</v>
      </c>
      <c r="D48" s="26">
        <v>13</v>
      </c>
      <c r="E48" s="55">
        <v>3.7000000000000002E-3</v>
      </c>
      <c r="F48" s="24">
        <v>682.85</v>
      </c>
      <c r="G48" s="56">
        <v>4.29</v>
      </c>
    </row>
    <row r="49" spans="1:7" x14ac:dyDescent="0.2">
      <c r="A49" s="13" t="s">
        <v>54</v>
      </c>
      <c r="B49" s="18">
        <v>8</v>
      </c>
      <c r="C49" s="17">
        <v>8842.3799999999992</v>
      </c>
      <c r="D49" s="18">
        <v>29</v>
      </c>
      <c r="E49" s="50">
        <v>3.7000000000000002E-3</v>
      </c>
      <c r="F49" s="16">
        <v>304.91000000000003</v>
      </c>
      <c r="G49" s="51">
        <v>4.37</v>
      </c>
    </row>
    <row r="50" spans="1:7" x14ac:dyDescent="0.2">
      <c r="A50" s="21" t="s">
        <v>55</v>
      </c>
      <c r="B50" s="26">
        <v>1</v>
      </c>
      <c r="C50" s="25">
        <v>8420.24</v>
      </c>
      <c r="D50" s="26">
        <v>9</v>
      </c>
      <c r="E50" s="55">
        <v>3.5999999999999999E-3</v>
      </c>
      <c r="F50" s="24">
        <v>935.58</v>
      </c>
      <c r="G50" s="56">
        <v>3.8</v>
      </c>
    </row>
    <row r="51" spans="1:7" x14ac:dyDescent="0.2">
      <c r="A51" s="13" t="s">
        <v>56</v>
      </c>
      <c r="B51" s="18">
        <v>1</v>
      </c>
      <c r="C51" s="17">
        <v>8413.99</v>
      </c>
      <c r="D51" s="18">
        <v>8</v>
      </c>
      <c r="E51" s="50">
        <v>3.5999999999999999E-3</v>
      </c>
      <c r="F51" s="16">
        <v>1051.75</v>
      </c>
      <c r="G51" s="51">
        <v>0</v>
      </c>
    </row>
    <row r="52" spans="1:7" x14ac:dyDescent="0.2">
      <c r="A52" s="21" t="s">
        <v>57</v>
      </c>
      <c r="B52" s="26">
        <v>1</v>
      </c>
      <c r="C52" s="25">
        <v>8025.37</v>
      </c>
      <c r="D52" s="26">
        <v>134</v>
      </c>
      <c r="E52" s="55">
        <v>3.3999999999999998E-3</v>
      </c>
      <c r="F52" s="24">
        <v>59.89</v>
      </c>
      <c r="G52" s="56">
        <v>4.2</v>
      </c>
    </row>
    <row r="53" spans="1:7" x14ac:dyDescent="0.2">
      <c r="A53" s="13" t="s">
        <v>58</v>
      </c>
      <c r="B53" s="18">
        <v>5</v>
      </c>
      <c r="C53" s="17">
        <v>7202.76</v>
      </c>
      <c r="D53" s="18">
        <v>35</v>
      </c>
      <c r="E53" s="50">
        <v>3.0000000000000001E-3</v>
      </c>
      <c r="F53" s="16">
        <v>205.79</v>
      </c>
      <c r="G53" s="51">
        <v>3.91</v>
      </c>
    </row>
    <row r="54" spans="1:7" x14ac:dyDescent="0.2">
      <c r="A54" s="21" t="s">
        <v>59</v>
      </c>
      <c r="B54" s="26">
        <v>1</v>
      </c>
      <c r="C54" s="25">
        <v>7009.02</v>
      </c>
      <c r="D54" s="26">
        <v>44</v>
      </c>
      <c r="E54" s="55">
        <v>3.0000000000000001E-3</v>
      </c>
      <c r="F54" s="24">
        <v>159.30000000000001</v>
      </c>
      <c r="G54" s="56">
        <v>4.8</v>
      </c>
    </row>
    <row r="55" spans="1:7" x14ac:dyDescent="0.2">
      <c r="A55" s="13" t="s">
        <v>60</v>
      </c>
      <c r="B55" s="18">
        <v>1</v>
      </c>
      <c r="C55" s="17">
        <v>6440.44</v>
      </c>
      <c r="D55" s="18">
        <v>72</v>
      </c>
      <c r="E55" s="50">
        <v>2.7000000000000001E-3</v>
      </c>
      <c r="F55" s="16">
        <v>89.45</v>
      </c>
      <c r="G55" s="51">
        <v>4.4000000000000004</v>
      </c>
    </row>
    <row r="56" spans="1:7" x14ac:dyDescent="0.2">
      <c r="A56" s="21" t="s">
        <v>61</v>
      </c>
      <c r="B56" s="26">
        <v>1</v>
      </c>
      <c r="C56" s="25">
        <v>6199.72</v>
      </c>
      <c r="D56" s="26">
        <v>35</v>
      </c>
      <c r="E56" s="55">
        <v>2.5999999999999999E-3</v>
      </c>
      <c r="F56" s="24">
        <v>177.13</v>
      </c>
      <c r="G56" s="56">
        <v>4.7</v>
      </c>
    </row>
    <row r="57" spans="1:7" x14ac:dyDescent="0.2">
      <c r="A57" s="13" t="s">
        <v>62</v>
      </c>
      <c r="B57" s="18">
        <v>1</v>
      </c>
      <c r="C57" s="17">
        <v>6161.17</v>
      </c>
      <c r="D57" s="18">
        <v>102</v>
      </c>
      <c r="E57" s="50">
        <v>2.5999999999999999E-3</v>
      </c>
      <c r="F57" s="16">
        <v>60.4</v>
      </c>
      <c r="G57" s="51">
        <v>4.5</v>
      </c>
    </row>
    <row r="58" spans="1:7" x14ac:dyDescent="0.2">
      <c r="A58" s="21" t="s">
        <v>63</v>
      </c>
      <c r="B58" s="26">
        <v>2</v>
      </c>
      <c r="C58" s="25">
        <v>5984.87</v>
      </c>
      <c r="D58" s="26">
        <v>60</v>
      </c>
      <c r="E58" s="55">
        <v>2.5000000000000001E-3</v>
      </c>
      <c r="F58" s="24">
        <v>99.75</v>
      </c>
      <c r="G58" s="56">
        <v>3.81</v>
      </c>
    </row>
    <row r="59" spans="1:7" x14ac:dyDescent="0.2">
      <c r="A59" s="13" t="s">
        <v>64</v>
      </c>
      <c r="B59" s="18">
        <v>5</v>
      </c>
      <c r="C59" s="17">
        <v>5953.44</v>
      </c>
      <c r="D59" s="18">
        <v>74</v>
      </c>
      <c r="E59" s="50">
        <v>2.5000000000000001E-3</v>
      </c>
      <c r="F59" s="16">
        <v>80.45</v>
      </c>
      <c r="G59" s="51">
        <v>4.1900000000000004</v>
      </c>
    </row>
    <row r="60" spans="1:7" x14ac:dyDescent="0.2">
      <c r="A60" s="21" t="s">
        <v>65</v>
      </c>
      <c r="B60" s="26">
        <v>1</v>
      </c>
      <c r="C60" s="25">
        <v>5943.41</v>
      </c>
      <c r="D60" s="26">
        <v>35</v>
      </c>
      <c r="E60" s="55">
        <v>2.5000000000000001E-3</v>
      </c>
      <c r="F60" s="24">
        <v>169.81</v>
      </c>
      <c r="G60" s="56">
        <v>4.2</v>
      </c>
    </row>
    <row r="61" spans="1:7" x14ac:dyDescent="0.2">
      <c r="A61" s="13" t="s">
        <v>66</v>
      </c>
      <c r="B61" s="18">
        <v>2</v>
      </c>
      <c r="C61" s="17">
        <v>5436.09</v>
      </c>
      <c r="D61" s="18">
        <v>31</v>
      </c>
      <c r="E61" s="50">
        <v>2.3E-3</v>
      </c>
      <c r="F61" s="16">
        <v>175.36</v>
      </c>
      <c r="G61" s="51">
        <v>4.2</v>
      </c>
    </row>
    <row r="62" spans="1:7" x14ac:dyDescent="0.2">
      <c r="A62" s="21" t="s">
        <v>67</v>
      </c>
      <c r="B62" s="26">
        <v>4</v>
      </c>
      <c r="C62" s="25">
        <v>5395.6</v>
      </c>
      <c r="D62" s="26">
        <v>42</v>
      </c>
      <c r="E62" s="55">
        <v>2.3E-3</v>
      </c>
      <c r="F62" s="24">
        <v>128.47</v>
      </c>
      <c r="G62" s="56">
        <v>4.21</v>
      </c>
    </row>
    <row r="63" spans="1:7" x14ac:dyDescent="0.2">
      <c r="A63" s="13" t="s">
        <v>68</v>
      </c>
      <c r="B63" s="18">
        <v>3</v>
      </c>
      <c r="C63" s="17">
        <v>5305.1</v>
      </c>
      <c r="D63" s="18">
        <v>138</v>
      </c>
      <c r="E63" s="50">
        <v>2.2000000000000001E-3</v>
      </c>
      <c r="F63" s="16">
        <v>38.44</v>
      </c>
      <c r="G63" s="51">
        <v>4.45</v>
      </c>
    </row>
    <row r="64" spans="1:7" x14ac:dyDescent="0.2">
      <c r="A64" s="21" t="s">
        <v>69</v>
      </c>
      <c r="B64" s="26">
        <v>4</v>
      </c>
      <c r="C64" s="25">
        <v>5263.45</v>
      </c>
      <c r="D64" s="26">
        <v>36</v>
      </c>
      <c r="E64" s="55">
        <v>2.2000000000000001E-3</v>
      </c>
      <c r="F64" s="24">
        <v>146.21</v>
      </c>
      <c r="G64" s="56">
        <v>4.3</v>
      </c>
    </row>
    <row r="65" spans="1:7" x14ac:dyDescent="0.2">
      <c r="A65" s="13" t="s">
        <v>70</v>
      </c>
      <c r="B65" s="18">
        <v>5</v>
      </c>
      <c r="C65" s="17">
        <v>5168.96</v>
      </c>
      <c r="D65" s="18">
        <v>14</v>
      </c>
      <c r="E65" s="50">
        <v>2.2000000000000001E-3</v>
      </c>
      <c r="F65" s="16">
        <v>369.21</v>
      </c>
      <c r="G65" s="51">
        <v>4.76</v>
      </c>
    </row>
    <row r="66" spans="1:7" x14ac:dyDescent="0.2">
      <c r="A66" s="21" t="s">
        <v>71</v>
      </c>
      <c r="B66" s="26">
        <v>3</v>
      </c>
      <c r="C66" s="25">
        <v>5038.62</v>
      </c>
      <c r="D66" s="26">
        <v>9</v>
      </c>
      <c r="E66" s="55">
        <v>2.0999999999999999E-3</v>
      </c>
      <c r="F66" s="24">
        <v>559.85</v>
      </c>
      <c r="G66" s="56">
        <v>4.5999999999999996</v>
      </c>
    </row>
    <row r="67" spans="1:7" x14ac:dyDescent="0.2">
      <c r="A67" s="13" t="s">
        <v>72</v>
      </c>
      <c r="B67" s="18">
        <v>2</v>
      </c>
      <c r="C67" s="17">
        <v>5034.8900000000003</v>
      </c>
      <c r="D67" s="18">
        <v>45</v>
      </c>
      <c r="E67" s="50">
        <v>2.0999999999999999E-3</v>
      </c>
      <c r="F67" s="16">
        <v>111.89</v>
      </c>
      <c r="G67" s="51">
        <v>5</v>
      </c>
    </row>
    <row r="68" spans="1:7" x14ac:dyDescent="0.2">
      <c r="A68" s="21" t="s">
        <v>73</v>
      </c>
      <c r="B68" s="26">
        <v>5</v>
      </c>
      <c r="C68" s="25">
        <v>5018.24</v>
      </c>
      <c r="D68" s="26">
        <v>36</v>
      </c>
      <c r="E68" s="55">
        <v>2.0999999999999999E-3</v>
      </c>
      <c r="F68" s="24">
        <v>139.4</v>
      </c>
      <c r="G68" s="56">
        <v>4.03</v>
      </c>
    </row>
    <row r="69" spans="1:7" x14ac:dyDescent="0.2">
      <c r="A69" s="13" t="s">
        <v>74</v>
      </c>
      <c r="B69" s="18">
        <v>2</v>
      </c>
      <c r="C69" s="17">
        <v>4796.9799999999996</v>
      </c>
      <c r="D69" s="18">
        <v>19</v>
      </c>
      <c r="E69" s="50">
        <v>2E-3</v>
      </c>
      <c r="F69" s="16">
        <v>252.47</v>
      </c>
      <c r="G69" s="51">
        <v>4.28</v>
      </c>
    </row>
    <row r="70" spans="1:7" x14ac:dyDescent="0.2">
      <c r="A70" s="21" t="s">
        <v>75</v>
      </c>
      <c r="B70" s="26">
        <v>5</v>
      </c>
      <c r="C70" s="25">
        <v>4443.84</v>
      </c>
      <c r="D70" s="26">
        <v>32</v>
      </c>
      <c r="E70" s="55">
        <v>1.9E-3</v>
      </c>
      <c r="F70" s="24">
        <v>138.87</v>
      </c>
      <c r="G70" s="56">
        <v>4.3600000000000003</v>
      </c>
    </row>
    <row r="71" spans="1:7" x14ac:dyDescent="0.2">
      <c r="A71" s="13" t="s">
        <v>76</v>
      </c>
      <c r="B71" s="18">
        <v>2</v>
      </c>
      <c r="C71" s="17">
        <v>4357.09</v>
      </c>
      <c r="D71" s="18">
        <v>130</v>
      </c>
      <c r="E71" s="50">
        <v>1.8E-3</v>
      </c>
      <c r="F71" s="16">
        <v>33.520000000000003</v>
      </c>
      <c r="G71" s="51">
        <v>4.2699999999999996</v>
      </c>
    </row>
    <row r="72" spans="1:7" x14ac:dyDescent="0.2">
      <c r="A72" s="21" t="s">
        <v>77</v>
      </c>
      <c r="B72" s="26">
        <v>2</v>
      </c>
      <c r="C72" s="25">
        <v>4349.26</v>
      </c>
      <c r="D72" s="26">
        <v>84</v>
      </c>
      <c r="E72" s="55">
        <v>1.8E-3</v>
      </c>
      <c r="F72" s="24">
        <v>51.78</v>
      </c>
      <c r="G72" s="56">
        <v>4.4000000000000004</v>
      </c>
    </row>
    <row r="73" spans="1:7" x14ac:dyDescent="0.2">
      <c r="A73" s="13" t="s">
        <v>78</v>
      </c>
      <c r="B73" s="18">
        <v>2</v>
      </c>
      <c r="C73" s="17">
        <v>4349.0200000000004</v>
      </c>
      <c r="D73" s="18">
        <v>34</v>
      </c>
      <c r="E73" s="50">
        <v>1.8E-3</v>
      </c>
      <c r="F73" s="16">
        <v>127.91</v>
      </c>
      <c r="G73" s="51">
        <v>4.3499999999999996</v>
      </c>
    </row>
    <row r="74" spans="1:7" x14ac:dyDescent="0.2">
      <c r="A74" s="21" t="s">
        <v>79</v>
      </c>
      <c r="B74" s="26">
        <v>3</v>
      </c>
      <c r="C74" s="25">
        <v>4274.5200000000004</v>
      </c>
      <c r="D74" s="26">
        <v>18</v>
      </c>
      <c r="E74" s="55">
        <v>1.8E-3</v>
      </c>
      <c r="F74" s="24">
        <v>237.47</v>
      </c>
      <c r="G74" s="56">
        <v>3.81</v>
      </c>
    </row>
    <row r="75" spans="1:7" x14ac:dyDescent="0.2">
      <c r="A75" s="13" t="s">
        <v>80</v>
      </c>
      <c r="B75" s="18">
        <v>3</v>
      </c>
      <c r="C75" s="17">
        <v>4216.46</v>
      </c>
      <c r="D75" s="18">
        <v>71</v>
      </c>
      <c r="E75" s="50">
        <v>1.8E-3</v>
      </c>
      <c r="F75" s="16">
        <v>59.39</v>
      </c>
      <c r="G75" s="51">
        <v>4.3499999999999996</v>
      </c>
    </row>
    <row r="76" spans="1:7" x14ac:dyDescent="0.2">
      <c r="A76" s="21" t="s">
        <v>81</v>
      </c>
      <c r="B76" s="26">
        <v>3</v>
      </c>
      <c r="C76" s="25">
        <v>4159.13</v>
      </c>
      <c r="D76" s="26">
        <v>99</v>
      </c>
      <c r="E76" s="55">
        <v>1.8E-3</v>
      </c>
      <c r="F76" s="24">
        <v>42.01</v>
      </c>
      <c r="G76" s="56">
        <v>4.32</v>
      </c>
    </row>
    <row r="77" spans="1:7" x14ac:dyDescent="0.2">
      <c r="A77" s="13" t="s">
        <v>82</v>
      </c>
      <c r="B77" s="18">
        <v>3</v>
      </c>
      <c r="C77" s="17">
        <v>4142.8500000000004</v>
      </c>
      <c r="D77" s="18">
        <v>48</v>
      </c>
      <c r="E77" s="50">
        <v>1.6999999999999999E-3</v>
      </c>
      <c r="F77" s="16">
        <v>86.31</v>
      </c>
      <c r="G77" s="51">
        <v>4.4400000000000004</v>
      </c>
    </row>
    <row r="78" spans="1:7" x14ac:dyDescent="0.2">
      <c r="A78" s="21" t="s">
        <v>83</v>
      </c>
      <c r="B78" s="26">
        <v>1</v>
      </c>
      <c r="C78" s="25">
        <v>4046.66</v>
      </c>
      <c r="D78" s="26">
        <v>95</v>
      </c>
      <c r="E78" s="55">
        <v>1.6999999999999999E-3</v>
      </c>
      <c r="F78" s="24">
        <v>42.6</v>
      </c>
      <c r="G78" s="56">
        <v>4.2</v>
      </c>
    </row>
    <row r="79" spans="1:7" x14ac:dyDescent="0.2">
      <c r="A79" s="13" t="s">
        <v>84</v>
      </c>
      <c r="B79" s="18">
        <v>10</v>
      </c>
      <c r="C79" s="17">
        <v>3982.56</v>
      </c>
      <c r="D79" s="18">
        <v>83</v>
      </c>
      <c r="E79" s="50">
        <v>1.6999999999999999E-3</v>
      </c>
      <c r="F79" s="16">
        <v>47.98</v>
      </c>
      <c r="G79" s="51">
        <v>3.9</v>
      </c>
    </row>
    <row r="80" spans="1:7" x14ac:dyDescent="0.2">
      <c r="A80" s="21" t="s">
        <v>85</v>
      </c>
      <c r="B80" s="26">
        <v>1</v>
      </c>
      <c r="C80" s="25">
        <v>3903.24</v>
      </c>
      <c r="D80" s="26">
        <v>43</v>
      </c>
      <c r="E80" s="55">
        <v>1.6000000000000001E-3</v>
      </c>
      <c r="F80" s="24">
        <v>90.77</v>
      </c>
      <c r="G80" s="56">
        <v>4.2</v>
      </c>
    </row>
    <row r="81" spans="1:7" x14ac:dyDescent="0.2">
      <c r="A81" s="13" t="s">
        <v>86</v>
      </c>
      <c r="B81" s="18">
        <v>3</v>
      </c>
      <c r="C81" s="17">
        <v>3802.22</v>
      </c>
      <c r="D81" s="18">
        <v>39</v>
      </c>
      <c r="E81" s="50">
        <v>1.6000000000000001E-3</v>
      </c>
      <c r="F81" s="16">
        <v>97.49</v>
      </c>
      <c r="G81" s="51">
        <v>4.24</v>
      </c>
    </row>
    <row r="82" spans="1:7" x14ac:dyDescent="0.2">
      <c r="A82" s="21" t="s">
        <v>87</v>
      </c>
      <c r="B82" s="26">
        <v>1</v>
      </c>
      <c r="C82" s="25">
        <v>3660.12</v>
      </c>
      <c r="D82" s="26">
        <v>61</v>
      </c>
      <c r="E82" s="55">
        <v>1.5E-3</v>
      </c>
      <c r="F82" s="24">
        <v>60</v>
      </c>
      <c r="G82" s="56">
        <v>3</v>
      </c>
    </row>
    <row r="83" spans="1:7" x14ac:dyDescent="0.2">
      <c r="A83" s="13" t="s">
        <v>88</v>
      </c>
      <c r="B83" s="18">
        <v>17</v>
      </c>
      <c r="C83" s="17">
        <v>3582.26</v>
      </c>
      <c r="D83" s="18">
        <v>55</v>
      </c>
      <c r="E83" s="50">
        <v>1.5E-3</v>
      </c>
      <c r="F83" s="16">
        <v>65.13</v>
      </c>
      <c r="G83" s="51">
        <v>3.67</v>
      </c>
    </row>
    <row r="84" spans="1:7" x14ac:dyDescent="0.2">
      <c r="A84" s="21" t="s">
        <v>89</v>
      </c>
      <c r="B84" s="26">
        <v>1</v>
      </c>
      <c r="C84" s="25">
        <v>3533.47</v>
      </c>
      <c r="D84" s="26">
        <v>45</v>
      </c>
      <c r="E84" s="55">
        <v>1.5E-3</v>
      </c>
      <c r="F84" s="24">
        <v>78.52</v>
      </c>
      <c r="G84" s="56">
        <v>4.3</v>
      </c>
    </row>
    <row r="85" spans="1:7" x14ac:dyDescent="0.2">
      <c r="A85" s="13" t="s">
        <v>90</v>
      </c>
      <c r="B85" s="18">
        <v>4</v>
      </c>
      <c r="C85" s="17">
        <v>3491.31</v>
      </c>
      <c r="D85" s="18">
        <v>39</v>
      </c>
      <c r="E85" s="50">
        <v>1.5E-3</v>
      </c>
      <c r="F85" s="16">
        <v>89.52</v>
      </c>
      <c r="G85" s="51">
        <v>4.41</v>
      </c>
    </row>
    <row r="86" spans="1:7" x14ac:dyDescent="0.2">
      <c r="A86" s="21" t="s">
        <v>91</v>
      </c>
      <c r="B86" s="26">
        <v>11</v>
      </c>
      <c r="C86" s="25">
        <v>3297.87</v>
      </c>
      <c r="D86" s="26">
        <v>69</v>
      </c>
      <c r="E86" s="55">
        <v>1.4E-3</v>
      </c>
      <c r="F86" s="24">
        <v>47.8</v>
      </c>
      <c r="G86" s="56">
        <v>3.84</v>
      </c>
    </row>
    <row r="87" spans="1:7" x14ac:dyDescent="0.2">
      <c r="A87" s="13" t="s">
        <v>92</v>
      </c>
      <c r="B87" s="18">
        <v>3</v>
      </c>
      <c r="C87" s="17">
        <v>3182.34</v>
      </c>
      <c r="D87" s="18">
        <v>23</v>
      </c>
      <c r="E87" s="50">
        <v>1.2999999999999999E-3</v>
      </c>
      <c r="F87" s="16">
        <v>138.36000000000001</v>
      </c>
      <c r="G87" s="51">
        <v>4.17</v>
      </c>
    </row>
    <row r="88" spans="1:7" x14ac:dyDescent="0.2">
      <c r="A88" s="21" t="s">
        <v>93</v>
      </c>
      <c r="B88" s="26">
        <v>1</v>
      </c>
      <c r="C88" s="25">
        <v>3133.19</v>
      </c>
      <c r="D88" s="26">
        <v>53</v>
      </c>
      <c r="E88" s="55">
        <v>1.2999999999999999E-3</v>
      </c>
      <c r="F88" s="24">
        <v>59.12</v>
      </c>
      <c r="G88" s="56">
        <v>5</v>
      </c>
    </row>
    <row r="89" spans="1:7" x14ac:dyDescent="0.2">
      <c r="A89" s="13" t="s">
        <v>94</v>
      </c>
      <c r="B89" s="18">
        <v>1</v>
      </c>
      <c r="C89" s="17">
        <v>3088.31</v>
      </c>
      <c r="D89" s="18">
        <v>44</v>
      </c>
      <c r="E89" s="50">
        <v>1.2999999999999999E-3</v>
      </c>
      <c r="F89" s="16">
        <v>70.19</v>
      </c>
      <c r="G89" s="51">
        <v>5</v>
      </c>
    </row>
    <row r="90" spans="1:7" x14ac:dyDescent="0.2">
      <c r="A90" s="21" t="s">
        <v>95</v>
      </c>
      <c r="B90" s="26">
        <v>4</v>
      </c>
      <c r="C90" s="25">
        <v>3043.58</v>
      </c>
      <c r="D90" s="26">
        <v>6</v>
      </c>
      <c r="E90" s="55">
        <v>1.2999999999999999E-3</v>
      </c>
      <c r="F90" s="24">
        <v>507.26</v>
      </c>
      <c r="G90" s="56">
        <v>3.7</v>
      </c>
    </row>
    <row r="91" spans="1:7" x14ac:dyDescent="0.2">
      <c r="A91" s="13" t="s">
        <v>96</v>
      </c>
      <c r="B91" s="18">
        <v>2</v>
      </c>
      <c r="C91" s="17">
        <v>2994.4</v>
      </c>
      <c r="D91" s="18">
        <v>17</v>
      </c>
      <c r="E91" s="50">
        <v>1.2999999999999999E-3</v>
      </c>
      <c r="F91" s="16">
        <v>176.14</v>
      </c>
      <c r="G91" s="51">
        <v>3.48</v>
      </c>
    </row>
    <row r="92" spans="1:7" x14ac:dyDescent="0.2">
      <c r="A92" s="21" t="s">
        <v>97</v>
      </c>
      <c r="B92" s="26">
        <v>6</v>
      </c>
      <c r="C92" s="25">
        <v>2941.53</v>
      </c>
      <c r="D92" s="26">
        <v>56</v>
      </c>
      <c r="E92" s="55">
        <v>1.1999999999999999E-3</v>
      </c>
      <c r="F92" s="24">
        <v>52.53</v>
      </c>
      <c r="G92" s="56">
        <v>2.4</v>
      </c>
    </row>
    <row r="93" spans="1:7" x14ac:dyDescent="0.2">
      <c r="A93" s="13" t="s">
        <v>98</v>
      </c>
      <c r="B93" s="18">
        <v>8</v>
      </c>
      <c r="C93" s="17">
        <v>2877.67</v>
      </c>
      <c r="D93" s="18">
        <v>84</v>
      </c>
      <c r="E93" s="50">
        <v>1.1999999999999999E-3</v>
      </c>
      <c r="F93" s="16">
        <v>34.26</v>
      </c>
      <c r="G93" s="51">
        <v>3.86</v>
      </c>
    </row>
    <row r="94" spans="1:7" x14ac:dyDescent="0.2">
      <c r="A94" s="21" t="s">
        <v>99</v>
      </c>
      <c r="B94" s="26">
        <v>1</v>
      </c>
      <c r="C94" s="25">
        <v>2668.08</v>
      </c>
      <c r="D94" s="26">
        <v>56</v>
      </c>
      <c r="E94" s="55">
        <v>1.1000000000000001E-3</v>
      </c>
      <c r="F94" s="24">
        <v>47.64</v>
      </c>
      <c r="G94" s="56">
        <v>4</v>
      </c>
    </row>
    <row r="95" spans="1:7" x14ac:dyDescent="0.2">
      <c r="A95" s="13" t="s">
        <v>100</v>
      </c>
      <c r="B95" s="18">
        <v>2</v>
      </c>
      <c r="C95" s="17">
        <v>2615.96</v>
      </c>
      <c r="D95" s="18">
        <v>23</v>
      </c>
      <c r="E95" s="50">
        <v>1.1000000000000001E-3</v>
      </c>
      <c r="F95" s="16">
        <v>113.74</v>
      </c>
      <c r="G95" s="51">
        <v>4.0999999999999996</v>
      </c>
    </row>
    <row r="96" spans="1:7" x14ac:dyDescent="0.2">
      <c r="A96" s="21" t="s">
        <v>101</v>
      </c>
      <c r="B96" s="26">
        <v>1</v>
      </c>
      <c r="C96" s="25">
        <v>2589.04</v>
      </c>
      <c r="D96" s="26">
        <v>49</v>
      </c>
      <c r="E96" s="55">
        <v>1.1000000000000001E-3</v>
      </c>
      <c r="F96" s="24">
        <v>52.84</v>
      </c>
      <c r="G96" s="56">
        <v>4.0999999999999996</v>
      </c>
    </row>
    <row r="97" spans="1:7" x14ac:dyDescent="0.2">
      <c r="A97" s="13" t="s">
        <v>102</v>
      </c>
      <c r="B97" s="18">
        <v>19</v>
      </c>
      <c r="C97" s="17">
        <v>2533.65</v>
      </c>
      <c r="D97" s="18">
        <v>11</v>
      </c>
      <c r="E97" s="50">
        <v>1.1000000000000001E-3</v>
      </c>
      <c r="F97" s="16">
        <v>230.33</v>
      </c>
      <c r="G97" s="51">
        <v>3.24</v>
      </c>
    </row>
    <row r="98" spans="1:7" x14ac:dyDescent="0.2">
      <c r="A98" s="21" t="s">
        <v>103</v>
      </c>
      <c r="B98" s="26">
        <v>4</v>
      </c>
      <c r="C98" s="25">
        <v>2532.2399999999998</v>
      </c>
      <c r="D98" s="26">
        <v>26</v>
      </c>
      <c r="E98" s="55">
        <v>1.1000000000000001E-3</v>
      </c>
      <c r="F98" s="24">
        <v>97.39</v>
      </c>
      <c r="G98" s="56">
        <v>3.82</v>
      </c>
    </row>
    <row r="99" spans="1:7" x14ac:dyDescent="0.2">
      <c r="A99" s="13" t="s">
        <v>104</v>
      </c>
      <c r="B99" s="18">
        <v>4</v>
      </c>
      <c r="C99" s="17">
        <v>2494.41</v>
      </c>
      <c r="D99" s="18">
        <v>10</v>
      </c>
      <c r="E99" s="50">
        <v>1.1000000000000001E-3</v>
      </c>
      <c r="F99" s="16">
        <v>249.44</v>
      </c>
      <c r="G99" s="51">
        <v>3.67</v>
      </c>
    </row>
    <row r="100" spans="1:7" x14ac:dyDescent="0.2">
      <c r="A100" s="21" t="s">
        <v>105</v>
      </c>
      <c r="B100" s="26">
        <v>10</v>
      </c>
      <c r="C100" s="25">
        <v>2484.06</v>
      </c>
      <c r="D100" s="26">
        <v>80</v>
      </c>
      <c r="E100" s="55">
        <v>1E-3</v>
      </c>
      <c r="F100" s="24">
        <v>31.05</v>
      </c>
      <c r="G100" s="56">
        <v>4.22</v>
      </c>
    </row>
    <row r="101" spans="1:7" x14ac:dyDescent="0.2">
      <c r="A101" s="13" t="s">
        <v>106</v>
      </c>
      <c r="B101" s="18">
        <v>3</v>
      </c>
      <c r="C101" s="17">
        <v>2408.92</v>
      </c>
      <c r="D101" s="18">
        <v>31</v>
      </c>
      <c r="E101" s="50">
        <v>1E-3</v>
      </c>
      <c r="F101" s="16">
        <v>77.709999999999994</v>
      </c>
      <c r="G101" s="51">
        <v>4.2</v>
      </c>
    </row>
    <row r="102" spans="1:7" x14ac:dyDescent="0.2">
      <c r="A102" s="21" t="s">
        <v>107</v>
      </c>
      <c r="B102" s="26">
        <v>3</v>
      </c>
      <c r="C102" s="25">
        <v>2185.33</v>
      </c>
      <c r="D102" s="26">
        <v>6</v>
      </c>
      <c r="E102" s="55">
        <v>8.9999999999999998E-4</v>
      </c>
      <c r="F102" s="24">
        <v>364.22</v>
      </c>
      <c r="G102" s="56">
        <v>3.8</v>
      </c>
    </row>
    <row r="103" spans="1:7" x14ac:dyDescent="0.2">
      <c r="A103" s="13" t="s">
        <v>108</v>
      </c>
      <c r="B103" s="18">
        <v>4</v>
      </c>
      <c r="C103" s="17">
        <v>2124.6999999999998</v>
      </c>
      <c r="D103" s="18">
        <v>30</v>
      </c>
      <c r="E103" s="50">
        <v>8.9999999999999998E-4</v>
      </c>
      <c r="F103" s="16">
        <v>70.819999999999993</v>
      </c>
      <c r="G103" s="51">
        <v>4.21</v>
      </c>
    </row>
    <row r="104" spans="1:7" x14ac:dyDescent="0.2">
      <c r="A104" s="21" t="s">
        <v>109</v>
      </c>
      <c r="B104" s="26">
        <v>7</v>
      </c>
      <c r="C104" s="25">
        <v>2052.83</v>
      </c>
      <c r="D104" s="26">
        <v>35</v>
      </c>
      <c r="E104" s="55">
        <v>8.9999999999999998E-4</v>
      </c>
      <c r="F104" s="24">
        <v>58.65</v>
      </c>
      <c r="G104" s="56">
        <v>4.0599999999999996</v>
      </c>
    </row>
    <row r="105" spans="1:7" x14ac:dyDescent="0.2">
      <c r="A105" s="13" t="s">
        <v>110</v>
      </c>
      <c r="B105" s="18">
        <v>3</v>
      </c>
      <c r="C105" s="17">
        <v>2051.29</v>
      </c>
      <c r="D105" s="18">
        <v>37</v>
      </c>
      <c r="E105" s="50">
        <v>8.9999999999999998E-4</v>
      </c>
      <c r="F105" s="16">
        <v>55.44</v>
      </c>
      <c r="G105" s="51">
        <v>4.4000000000000004</v>
      </c>
    </row>
    <row r="106" spans="1:7" x14ac:dyDescent="0.2">
      <c r="A106" s="21" t="s">
        <v>111</v>
      </c>
      <c r="B106" s="26">
        <v>1</v>
      </c>
      <c r="C106" s="25">
        <v>2000.08</v>
      </c>
      <c r="D106" s="26">
        <v>46</v>
      </c>
      <c r="E106" s="55">
        <v>8.0000000000000004E-4</v>
      </c>
      <c r="F106" s="24">
        <v>43.48</v>
      </c>
      <c r="G106" s="56">
        <v>3.5</v>
      </c>
    </row>
    <row r="107" spans="1:7" x14ac:dyDescent="0.2">
      <c r="A107" s="13" t="s">
        <v>112</v>
      </c>
      <c r="B107" s="18">
        <v>1</v>
      </c>
      <c r="C107" s="17">
        <v>1990.56</v>
      </c>
      <c r="D107" s="18">
        <v>15</v>
      </c>
      <c r="E107" s="50">
        <v>8.0000000000000004E-4</v>
      </c>
      <c r="F107" s="16">
        <v>132.69999999999999</v>
      </c>
      <c r="G107" s="51">
        <v>4.4000000000000004</v>
      </c>
    </row>
    <row r="108" spans="1:7" s="1" customFormat="1" x14ac:dyDescent="0.2">
      <c r="A108" s="78" t="s">
        <v>113</v>
      </c>
      <c r="B108" s="79">
        <v>3</v>
      </c>
      <c r="C108" s="25">
        <v>1988.44</v>
      </c>
      <c r="D108" s="79">
        <v>4</v>
      </c>
      <c r="E108" s="80">
        <v>8.0000000000000004E-4</v>
      </c>
      <c r="F108" s="81">
        <v>497.11</v>
      </c>
      <c r="G108" s="82">
        <v>4.55</v>
      </c>
    </row>
    <row r="109" spans="1:7" x14ac:dyDescent="0.2">
      <c r="A109" s="13" t="s">
        <v>114</v>
      </c>
      <c r="B109" s="18">
        <v>1</v>
      </c>
      <c r="C109" s="17">
        <v>1808.84</v>
      </c>
      <c r="D109" s="18">
        <v>5</v>
      </c>
      <c r="E109" s="50">
        <v>8.0000000000000004E-4</v>
      </c>
      <c r="F109" s="16">
        <v>361.77</v>
      </c>
      <c r="G109" s="51">
        <v>5</v>
      </c>
    </row>
    <row r="110" spans="1:7" x14ac:dyDescent="0.2">
      <c r="A110" s="21" t="s">
        <v>115</v>
      </c>
      <c r="B110" s="26">
        <v>1</v>
      </c>
      <c r="C110" s="25">
        <v>1794.94</v>
      </c>
      <c r="D110" s="26">
        <v>10</v>
      </c>
      <c r="E110" s="55">
        <v>8.0000000000000004E-4</v>
      </c>
      <c r="F110" s="24">
        <v>179.49</v>
      </c>
      <c r="G110" s="56">
        <v>4.0999999999999996</v>
      </c>
    </row>
    <row r="111" spans="1:7" x14ac:dyDescent="0.2">
      <c r="A111" s="13" t="s">
        <v>116</v>
      </c>
      <c r="B111" s="18">
        <v>1</v>
      </c>
      <c r="C111" s="17">
        <v>1757.02</v>
      </c>
      <c r="D111" s="18">
        <v>45</v>
      </c>
      <c r="E111" s="50">
        <v>6.9999999999999999E-4</v>
      </c>
      <c r="F111" s="16">
        <v>39.04</v>
      </c>
      <c r="G111" s="51">
        <v>4.2</v>
      </c>
    </row>
    <row r="112" spans="1:7" x14ac:dyDescent="0.2">
      <c r="A112" s="21" t="s">
        <v>117</v>
      </c>
      <c r="B112" s="26">
        <v>5</v>
      </c>
      <c r="C112" s="25">
        <v>1709.64</v>
      </c>
      <c r="D112" s="26">
        <v>20</v>
      </c>
      <c r="E112" s="55">
        <v>6.9999999999999999E-4</v>
      </c>
      <c r="F112" s="24">
        <v>85.48</v>
      </c>
      <c r="G112" s="56">
        <v>3.99</v>
      </c>
    </row>
    <row r="113" spans="1:7" x14ac:dyDescent="0.2">
      <c r="A113" s="13" t="s">
        <v>118</v>
      </c>
      <c r="B113" s="18">
        <v>2</v>
      </c>
      <c r="C113" s="17">
        <v>1665.95</v>
      </c>
      <c r="D113" s="18">
        <v>44</v>
      </c>
      <c r="E113" s="50">
        <v>6.9999999999999999E-4</v>
      </c>
      <c r="F113" s="16">
        <v>37.86</v>
      </c>
      <c r="G113" s="51">
        <v>4.3</v>
      </c>
    </row>
    <row r="114" spans="1:7" x14ac:dyDescent="0.2">
      <c r="A114" s="21" t="s">
        <v>119</v>
      </c>
      <c r="B114" s="26">
        <v>3</v>
      </c>
      <c r="C114" s="25">
        <v>1580.98</v>
      </c>
      <c r="D114" s="26">
        <v>14</v>
      </c>
      <c r="E114" s="55">
        <v>6.9999999999999999E-4</v>
      </c>
      <c r="F114" s="24">
        <v>112.93</v>
      </c>
      <c r="G114" s="56">
        <v>3.57</v>
      </c>
    </row>
    <row r="115" spans="1:7" x14ac:dyDescent="0.2">
      <c r="A115" s="13" t="s">
        <v>120</v>
      </c>
      <c r="B115" s="18">
        <v>1</v>
      </c>
      <c r="C115" s="17">
        <v>1554.73</v>
      </c>
      <c r="D115" s="18">
        <v>24</v>
      </c>
      <c r="E115" s="50">
        <v>6.9999999999999999E-4</v>
      </c>
      <c r="F115" s="16">
        <v>64.78</v>
      </c>
      <c r="G115" s="51">
        <v>4.2</v>
      </c>
    </row>
    <row r="116" spans="1:7" x14ac:dyDescent="0.2">
      <c r="A116" s="21" t="s">
        <v>121</v>
      </c>
      <c r="B116" s="26">
        <v>2</v>
      </c>
      <c r="C116" s="25">
        <v>1536.69</v>
      </c>
      <c r="D116" s="26">
        <v>38</v>
      </c>
      <c r="E116" s="55">
        <v>5.9999999999999995E-4</v>
      </c>
      <c r="F116" s="24">
        <v>40.44</v>
      </c>
      <c r="G116" s="56">
        <v>4.1500000000000004</v>
      </c>
    </row>
    <row r="117" spans="1:7" x14ac:dyDescent="0.2">
      <c r="A117" s="13" t="s">
        <v>122</v>
      </c>
      <c r="B117" s="18">
        <v>1</v>
      </c>
      <c r="C117" s="17">
        <v>1520.45</v>
      </c>
      <c r="D117" s="18">
        <v>11</v>
      </c>
      <c r="E117" s="50">
        <v>5.9999999999999995E-4</v>
      </c>
      <c r="F117" s="16">
        <v>138.22</v>
      </c>
      <c r="G117" s="51">
        <v>4.2</v>
      </c>
    </row>
    <row r="118" spans="1:7" x14ac:dyDescent="0.2">
      <c r="A118" s="21" t="s">
        <v>123</v>
      </c>
      <c r="B118" s="26">
        <v>1</v>
      </c>
      <c r="C118" s="25">
        <v>1511.87</v>
      </c>
      <c r="D118" s="26">
        <v>24</v>
      </c>
      <c r="E118" s="55">
        <v>5.9999999999999995E-4</v>
      </c>
      <c r="F118" s="24">
        <v>62.99</v>
      </c>
      <c r="G118" s="56">
        <v>4.4000000000000004</v>
      </c>
    </row>
    <row r="119" spans="1:7" x14ac:dyDescent="0.2">
      <c r="A119" s="13" t="s">
        <v>124</v>
      </c>
      <c r="B119" s="18">
        <v>1</v>
      </c>
      <c r="C119" s="17">
        <v>1507.73</v>
      </c>
      <c r="D119" s="18">
        <v>10</v>
      </c>
      <c r="E119" s="50">
        <v>5.9999999999999995E-4</v>
      </c>
      <c r="F119" s="16">
        <v>150.77000000000001</v>
      </c>
      <c r="G119" s="51">
        <v>4.2</v>
      </c>
    </row>
    <row r="120" spans="1:7" x14ac:dyDescent="0.2">
      <c r="A120" s="21" t="s">
        <v>125</v>
      </c>
      <c r="B120" s="26">
        <v>1</v>
      </c>
      <c r="C120" s="25">
        <v>1441.15</v>
      </c>
      <c r="D120" s="26">
        <v>12</v>
      </c>
      <c r="E120" s="55">
        <v>5.9999999999999995E-4</v>
      </c>
      <c r="F120" s="24">
        <v>120.1</v>
      </c>
      <c r="G120" s="56">
        <v>5</v>
      </c>
    </row>
    <row r="121" spans="1:7" x14ac:dyDescent="0.2">
      <c r="A121" s="13" t="s">
        <v>126</v>
      </c>
      <c r="B121" s="18">
        <v>2</v>
      </c>
      <c r="C121" s="17">
        <v>1384.63</v>
      </c>
      <c r="D121" s="18">
        <v>40</v>
      </c>
      <c r="E121" s="50">
        <v>5.9999999999999995E-4</v>
      </c>
      <c r="F121" s="16">
        <v>34.619999999999997</v>
      </c>
      <c r="G121" s="51">
        <v>4.43</v>
      </c>
    </row>
    <row r="122" spans="1:7" x14ac:dyDescent="0.2">
      <c r="A122" s="21" t="s">
        <v>127</v>
      </c>
      <c r="B122" s="26">
        <v>2</v>
      </c>
      <c r="C122" s="25">
        <v>1372.98</v>
      </c>
      <c r="D122" s="26">
        <v>29</v>
      </c>
      <c r="E122" s="55">
        <v>5.9999999999999995E-4</v>
      </c>
      <c r="F122" s="24">
        <v>47.34</v>
      </c>
      <c r="G122" s="56">
        <v>4.42</v>
      </c>
    </row>
    <row r="123" spans="1:7" x14ac:dyDescent="0.2">
      <c r="A123" s="13" t="s">
        <v>128</v>
      </c>
      <c r="B123" s="18">
        <v>4</v>
      </c>
      <c r="C123" s="17">
        <v>1360.55</v>
      </c>
      <c r="D123" s="18">
        <v>24</v>
      </c>
      <c r="E123" s="50">
        <v>5.9999999999999995E-4</v>
      </c>
      <c r="F123" s="16">
        <v>56.69</v>
      </c>
      <c r="G123" s="51">
        <v>3.58</v>
      </c>
    </row>
    <row r="124" spans="1:7" x14ac:dyDescent="0.2">
      <c r="A124" s="21" t="s">
        <v>129</v>
      </c>
      <c r="B124" s="26">
        <v>2</v>
      </c>
      <c r="C124" s="25">
        <v>1340.97</v>
      </c>
      <c r="D124" s="26">
        <v>50</v>
      </c>
      <c r="E124" s="55">
        <v>5.9999999999999995E-4</v>
      </c>
      <c r="F124" s="24">
        <v>26.82</v>
      </c>
      <c r="G124" s="56">
        <v>4.0999999999999996</v>
      </c>
    </row>
    <row r="125" spans="1:7" x14ac:dyDescent="0.2">
      <c r="A125" s="13" t="s">
        <v>130</v>
      </c>
      <c r="B125" s="18">
        <v>2</v>
      </c>
      <c r="C125" s="17">
        <v>1328.34</v>
      </c>
      <c r="D125" s="18">
        <v>7</v>
      </c>
      <c r="E125" s="50">
        <v>5.9999999999999995E-4</v>
      </c>
      <c r="F125" s="16">
        <v>189.76</v>
      </c>
      <c r="G125" s="51">
        <v>4.4000000000000004</v>
      </c>
    </row>
    <row r="126" spans="1:7" x14ac:dyDescent="0.2">
      <c r="A126" s="21" t="s">
        <v>131</v>
      </c>
      <c r="B126" s="26">
        <v>23</v>
      </c>
      <c r="C126" s="25">
        <v>1235.92</v>
      </c>
      <c r="D126" s="26">
        <v>5</v>
      </c>
      <c r="E126" s="55">
        <v>5.0000000000000001E-4</v>
      </c>
      <c r="F126" s="24">
        <v>247.18</v>
      </c>
      <c r="G126" s="56">
        <v>0</v>
      </c>
    </row>
    <row r="127" spans="1:7" x14ac:dyDescent="0.2">
      <c r="A127" s="13" t="s">
        <v>132</v>
      </c>
      <c r="B127" s="18">
        <v>19</v>
      </c>
      <c r="C127" s="17">
        <v>1201.05</v>
      </c>
      <c r="D127" s="18">
        <v>29</v>
      </c>
      <c r="E127" s="50">
        <v>5.0000000000000001E-4</v>
      </c>
      <c r="F127" s="16">
        <v>41.42</v>
      </c>
      <c r="G127" s="51">
        <v>2.23</v>
      </c>
    </row>
    <row r="128" spans="1:7" x14ac:dyDescent="0.2">
      <c r="A128" s="21" t="s">
        <v>133</v>
      </c>
      <c r="B128" s="26">
        <v>1</v>
      </c>
      <c r="C128" s="25">
        <v>1150.8399999999999</v>
      </c>
      <c r="D128" s="26">
        <v>1</v>
      </c>
      <c r="E128" s="55">
        <v>5.0000000000000001E-4</v>
      </c>
      <c r="F128" s="24">
        <v>1150.8399999999999</v>
      </c>
      <c r="G128" s="56">
        <v>0</v>
      </c>
    </row>
    <row r="129" spans="1:7" x14ac:dyDescent="0.2">
      <c r="A129" s="13" t="s">
        <v>134</v>
      </c>
      <c r="B129" s="18">
        <v>2</v>
      </c>
      <c r="C129" s="17">
        <v>1112.3499999999999</v>
      </c>
      <c r="D129" s="18">
        <v>30</v>
      </c>
      <c r="E129" s="50">
        <v>5.0000000000000001E-4</v>
      </c>
      <c r="F129" s="16">
        <v>37.08</v>
      </c>
      <c r="G129" s="51">
        <v>3.9</v>
      </c>
    </row>
    <row r="130" spans="1:7" x14ac:dyDescent="0.2">
      <c r="A130" s="21" t="s">
        <v>135</v>
      </c>
      <c r="B130" s="26">
        <v>5</v>
      </c>
      <c r="C130" s="25">
        <v>1105.3399999999999</v>
      </c>
      <c r="D130" s="26">
        <v>20</v>
      </c>
      <c r="E130" s="55">
        <v>5.0000000000000001E-4</v>
      </c>
      <c r="F130" s="24">
        <v>55.27</v>
      </c>
      <c r="G130" s="56">
        <v>4.1900000000000004</v>
      </c>
    </row>
    <row r="131" spans="1:7" x14ac:dyDescent="0.2">
      <c r="A131" s="13" t="s">
        <v>136</v>
      </c>
      <c r="B131" s="18">
        <v>3</v>
      </c>
      <c r="C131" s="17">
        <v>1096.67</v>
      </c>
      <c r="D131" s="18">
        <v>18</v>
      </c>
      <c r="E131" s="50">
        <v>5.0000000000000001E-4</v>
      </c>
      <c r="F131" s="16">
        <v>60.93</v>
      </c>
      <c r="G131" s="51">
        <v>3.83</v>
      </c>
    </row>
    <row r="132" spans="1:7" x14ac:dyDescent="0.2">
      <c r="A132" s="21" t="s">
        <v>137</v>
      </c>
      <c r="B132" s="26">
        <v>1</v>
      </c>
      <c r="C132" s="25">
        <v>1096.1099999999999</v>
      </c>
      <c r="D132" s="26">
        <v>5</v>
      </c>
      <c r="E132" s="55">
        <v>5.0000000000000001E-4</v>
      </c>
      <c r="F132" s="24">
        <v>219.22</v>
      </c>
      <c r="G132" s="56">
        <v>3</v>
      </c>
    </row>
    <row r="133" spans="1:7" x14ac:dyDescent="0.2">
      <c r="A133" s="13" t="s">
        <v>138</v>
      </c>
      <c r="B133" s="18">
        <v>1</v>
      </c>
      <c r="C133" s="17">
        <v>1041.29</v>
      </c>
      <c r="D133" s="18">
        <v>12</v>
      </c>
      <c r="E133" s="50">
        <v>4.0000000000000002E-4</v>
      </c>
      <c r="F133" s="16">
        <v>86.77</v>
      </c>
      <c r="G133" s="51">
        <v>5</v>
      </c>
    </row>
    <row r="134" spans="1:7" x14ac:dyDescent="0.2">
      <c r="A134" s="21" t="s">
        <v>139</v>
      </c>
      <c r="B134" s="26">
        <v>1</v>
      </c>
      <c r="C134" s="25">
        <v>1033.33</v>
      </c>
      <c r="D134" s="26">
        <v>9</v>
      </c>
      <c r="E134" s="55">
        <v>4.0000000000000002E-4</v>
      </c>
      <c r="F134" s="24">
        <v>114.81</v>
      </c>
      <c r="G134" s="56">
        <v>4.2</v>
      </c>
    </row>
    <row r="135" spans="1:7" x14ac:dyDescent="0.2">
      <c r="A135" s="13" t="s">
        <v>140</v>
      </c>
      <c r="B135" s="18">
        <v>17</v>
      </c>
      <c r="C135" s="17">
        <v>1020.45</v>
      </c>
      <c r="D135" s="18">
        <v>4</v>
      </c>
      <c r="E135" s="50">
        <v>4.0000000000000002E-4</v>
      </c>
      <c r="F135" s="16">
        <v>255.11</v>
      </c>
      <c r="G135" s="51">
        <v>2.17</v>
      </c>
    </row>
    <row r="136" spans="1:7" x14ac:dyDescent="0.2">
      <c r="A136" s="21" t="s">
        <v>141</v>
      </c>
      <c r="B136" s="26">
        <v>1</v>
      </c>
      <c r="C136" s="25">
        <v>990.63</v>
      </c>
      <c r="D136" s="26">
        <v>14</v>
      </c>
      <c r="E136" s="55">
        <v>4.0000000000000002E-4</v>
      </c>
      <c r="F136" s="24">
        <v>70.760000000000005</v>
      </c>
      <c r="G136" s="56">
        <v>0</v>
      </c>
    </row>
    <row r="137" spans="1:7" x14ac:dyDescent="0.2">
      <c r="A137" s="13" t="s">
        <v>142</v>
      </c>
      <c r="B137" s="18">
        <v>2</v>
      </c>
      <c r="C137" s="17">
        <v>935.74</v>
      </c>
      <c r="D137" s="18">
        <v>15</v>
      </c>
      <c r="E137" s="50">
        <v>4.0000000000000002E-4</v>
      </c>
      <c r="F137" s="16">
        <v>62.38</v>
      </c>
      <c r="G137" s="51">
        <v>4.2</v>
      </c>
    </row>
    <row r="138" spans="1:7" x14ac:dyDescent="0.2">
      <c r="A138" s="21" t="s">
        <v>143</v>
      </c>
      <c r="B138" s="26">
        <v>1</v>
      </c>
      <c r="C138" s="25">
        <v>893.52</v>
      </c>
      <c r="D138" s="26">
        <v>22</v>
      </c>
      <c r="E138" s="55">
        <v>4.0000000000000002E-4</v>
      </c>
      <c r="F138" s="24">
        <v>40.61</v>
      </c>
      <c r="G138" s="56">
        <v>3.8</v>
      </c>
    </row>
    <row r="139" spans="1:7" x14ac:dyDescent="0.2">
      <c r="A139" s="13" t="s">
        <v>144</v>
      </c>
      <c r="B139" s="18">
        <v>3</v>
      </c>
      <c r="C139" s="17">
        <v>877.79</v>
      </c>
      <c r="D139" s="18">
        <v>49</v>
      </c>
      <c r="E139" s="50">
        <v>4.0000000000000002E-4</v>
      </c>
      <c r="F139" s="16">
        <v>17.91</v>
      </c>
      <c r="G139" s="51">
        <v>4.04</v>
      </c>
    </row>
    <row r="140" spans="1:7" x14ac:dyDescent="0.2">
      <c r="A140" s="21" t="s">
        <v>145</v>
      </c>
      <c r="B140" s="26">
        <v>6</v>
      </c>
      <c r="C140" s="25">
        <v>851.56</v>
      </c>
      <c r="D140" s="26">
        <v>17</v>
      </c>
      <c r="E140" s="55">
        <v>4.0000000000000002E-4</v>
      </c>
      <c r="F140" s="24">
        <v>50.09</v>
      </c>
      <c r="G140" s="56">
        <v>3.84</v>
      </c>
    </row>
    <row r="141" spans="1:7" x14ac:dyDescent="0.2">
      <c r="A141" s="13" t="s">
        <v>146</v>
      </c>
      <c r="B141" s="18">
        <v>1</v>
      </c>
      <c r="C141" s="17">
        <v>836.75</v>
      </c>
      <c r="D141" s="18">
        <v>7</v>
      </c>
      <c r="E141" s="50">
        <v>4.0000000000000002E-4</v>
      </c>
      <c r="F141" s="16">
        <v>119.54</v>
      </c>
      <c r="G141" s="51">
        <v>3.1</v>
      </c>
    </row>
    <row r="142" spans="1:7" x14ac:dyDescent="0.2">
      <c r="A142" s="21" t="s">
        <v>147</v>
      </c>
      <c r="B142" s="26">
        <v>1</v>
      </c>
      <c r="C142" s="25">
        <v>824.4</v>
      </c>
      <c r="D142" s="26">
        <v>55</v>
      </c>
      <c r="E142" s="55">
        <v>2.9999999999999997E-4</v>
      </c>
      <c r="F142" s="24">
        <v>14.99</v>
      </c>
      <c r="G142" s="56">
        <v>3.4</v>
      </c>
    </row>
    <row r="143" spans="1:7" x14ac:dyDescent="0.2">
      <c r="A143" s="13" t="s">
        <v>148</v>
      </c>
      <c r="B143" s="18">
        <v>1</v>
      </c>
      <c r="C143" s="17">
        <v>805.46</v>
      </c>
      <c r="D143" s="18">
        <v>4</v>
      </c>
      <c r="E143" s="50">
        <v>2.9999999999999997E-4</v>
      </c>
      <c r="F143" s="16">
        <v>201.37</v>
      </c>
      <c r="G143" s="51">
        <v>4.2</v>
      </c>
    </row>
    <row r="144" spans="1:7" x14ac:dyDescent="0.2">
      <c r="A144" s="21" t="s">
        <v>149</v>
      </c>
      <c r="B144" s="26">
        <v>2</v>
      </c>
      <c r="C144" s="25">
        <v>798.18</v>
      </c>
      <c r="D144" s="26">
        <v>8</v>
      </c>
      <c r="E144" s="55">
        <v>2.9999999999999997E-4</v>
      </c>
      <c r="F144" s="24">
        <v>99.77</v>
      </c>
      <c r="G144" s="56">
        <v>4.5</v>
      </c>
    </row>
    <row r="145" spans="1:7" x14ac:dyDescent="0.2">
      <c r="A145" s="13" t="s">
        <v>150</v>
      </c>
      <c r="B145" s="18">
        <v>2</v>
      </c>
      <c r="C145" s="17">
        <v>745.25</v>
      </c>
      <c r="D145" s="18">
        <v>3</v>
      </c>
      <c r="E145" s="50">
        <v>2.9999999999999997E-4</v>
      </c>
      <c r="F145" s="16">
        <v>248.42</v>
      </c>
      <c r="G145" s="51">
        <v>0</v>
      </c>
    </row>
    <row r="146" spans="1:7" x14ac:dyDescent="0.2">
      <c r="A146" s="21" t="s">
        <v>151</v>
      </c>
      <c r="B146" s="26">
        <v>21</v>
      </c>
      <c r="C146" s="25">
        <v>732.74</v>
      </c>
      <c r="D146" s="26">
        <v>29</v>
      </c>
      <c r="E146" s="55">
        <v>2.9999999999999997E-4</v>
      </c>
      <c r="F146" s="24">
        <v>25.27</v>
      </c>
      <c r="G146" s="56">
        <v>3.69</v>
      </c>
    </row>
    <row r="147" spans="1:7" x14ac:dyDescent="0.2">
      <c r="A147" s="13" t="s">
        <v>152</v>
      </c>
      <c r="B147" s="18">
        <v>2</v>
      </c>
      <c r="C147" s="17">
        <v>722.73</v>
      </c>
      <c r="D147" s="18">
        <v>3</v>
      </c>
      <c r="E147" s="50">
        <v>2.9999999999999997E-4</v>
      </c>
      <c r="F147" s="16">
        <v>240.91</v>
      </c>
      <c r="G147" s="51">
        <v>3.98</v>
      </c>
    </row>
    <row r="148" spans="1:7" x14ac:dyDescent="0.2">
      <c r="A148" s="21" t="s">
        <v>153</v>
      </c>
      <c r="B148" s="26">
        <v>1</v>
      </c>
      <c r="C148" s="25">
        <v>700.87</v>
      </c>
      <c r="D148" s="26">
        <v>5</v>
      </c>
      <c r="E148" s="55">
        <v>2.9999999999999997E-4</v>
      </c>
      <c r="F148" s="24">
        <v>140.16999999999999</v>
      </c>
      <c r="G148" s="56">
        <v>3.2</v>
      </c>
    </row>
    <row r="149" spans="1:7" x14ac:dyDescent="0.2">
      <c r="A149" s="13" t="s">
        <v>154</v>
      </c>
      <c r="B149" s="18">
        <v>2</v>
      </c>
      <c r="C149" s="17">
        <v>697.99</v>
      </c>
      <c r="D149" s="18">
        <v>7</v>
      </c>
      <c r="E149" s="50">
        <v>2.9999999999999997E-4</v>
      </c>
      <c r="F149" s="16">
        <v>99.71</v>
      </c>
      <c r="G149" s="51">
        <v>3.19</v>
      </c>
    </row>
    <row r="150" spans="1:7" x14ac:dyDescent="0.2">
      <c r="A150" s="21" t="s">
        <v>155</v>
      </c>
      <c r="B150" s="26">
        <v>1</v>
      </c>
      <c r="C150" s="25">
        <v>697.83</v>
      </c>
      <c r="D150" s="26">
        <v>12</v>
      </c>
      <c r="E150" s="55">
        <v>2.9999999999999997E-4</v>
      </c>
      <c r="F150" s="24">
        <v>58.15</v>
      </c>
      <c r="G150" s="56">
        <v>4</v>
      </c>
    </row>
    <row r="151" spans="1:7" x14ac:dyDescent="0.2">
      <c r="A151" s="13" t="s">
        <v>156</v>
      </c>
      <c r="B151" s="18">
        <v>2</v>
      </c>
      <c r="C151" s="17">
        <v>691.65</v>
      </c>
      <c r="D151" s="18">
        <v>13</v>
      </c>
      <c r="E151" s="50">
        <v>2.9999999999999997E-4</v>
      </c>
      <c r="F151" s="16">
        <v>53.2</v>
      </c>
      <c r="G151" s="51">
        <v>4.3099999999999996</v>
      </c>
    </row>
    <row r="152" spans="1:7" x14ac:dyDescent="0.2">
      <c r="A152" s="21" t="s">
        <v>157</v>
      </c>
      <c r="B152" s="26">
        <v>4</v>
      </c>
      <c r="C152" s="25">
        <v>686.9</v>
      </c>
      <c r="D152" s="26">
        <v>18</v>
      </c>
      <c r="E152" s="55">
        <v>2.9999999999999997E-4</v>
      </c>
      <c r="F152" s="24">
        <v>38.159999999999997</v>
      </c>
      <c r="G152" s="56">
        <v>4</v>
      </c>
    </row>
    <row r="153" spans="1:7" x14ac:dyDescent="0.2">
      <c r="A153" s="13" t="s">
        <v>158</v>
      </c>
      <c r="B153" s="18">
        <v>1</v>
      </c>
      <c r="C153" s="17">
        <v>676.75</v>
      </c>
      <c r="D153" s="18">
        <v>16</v>
      </c>
      <c r="E153" s="50">
        <v>2.9999999999999997E-4</v>
      </c>
      <c r="F153" s="16">
        <v>42.3</v>
      </c>
      <c r="G153" s="51">
        <v>4.4000000000000004</v>
      </c>
    </row>
    <row r="154" spans="1:7" x14ac:dyDescent="0.2">
      <c r="A154" s="21" t="s">
        <v>159</v>
      </c>
      <c r="B154" s="26">
        <v>8</v>
      </c>
      <c r="C154" s="25">
        <v>669.27</v>
      </c>
      <c r="D154" s="26">
        <v>8</v>
      </c>
      <c r="E154" s="55">
        <v>2.9999999999999997E-4</v>
      </c>
      <c r="F154" s="24">
        <v>83.66</v>
      </c>
      <c r="G154" s="56">
        <v>3.17</v>
      </c>
    </row>
    <row r="155" spans="1:7" x14ac:dyDescent="0.2">
      <c r="A155" s="13" t="s">
        <v>160</v>
      </c>
      <c r="B155" s="18">
        <v>2</v>
      </c>
      <c r="C155" s="17">
        <v>664.12</v>
      </c>
      <c r="D155" s="18">
        <v>8</v>
      </c>
      <c r="E155" s="50">
        <v>2.9999999999999997E-4</v>
      </c>
      <c r="F155" s="16">
        <v>83.02</v>
      </c>
      <c r="G155" s="51">
        <v>3.98</v>
      </c>
    </row>
    <row r="156" spans="1:7" x14ac:dyDescent="0.2">
      <c r="A156" s="21" t="s">
        <v>161</v>
      </c>
      <c r="B156" s="26">
        <v>1</v>
      </c>
      <c r="C156" s="25">
        <v>657.28</v>
      </c>
      <c r="D156" s="26">
        <v>6</v>
      </c>
      <c r="E156" s="55">
        <v>2.9999999999999997E-4</v>
      </c>
      <c r="F156" s="24">
        <v>109.55</v>
      </c>
      <c r="G156" s="56">
        <v>4</v>
      </c>
    </row>
    <row r="157" spans="1:7" x14ac:dyDescent="0.2">
      <c r="A157" s="13" t="s">
        <v>162</v>
      </c>
      <c r="B157" s="18">
        <v>6</v>
      </c>
      <c r="C157" s="17">
        <v>655.4</v>
      </c>
      <c r="D157" s="18">
        <v>15</v>
      </c>
      <c r="E157" s="50">
        <v>2.9999999999999997E-4</v>
      </c>
      <c r="F157" s="16">
        <v>43.69</v>
      </c>
      <c r="G157" s="51">
        <v>4.34</v>
      </c>
    </row>
    <row r="158" spans="1:7" x14ac:dyDescent="0.2">
      <c r="A158" s="21" t="s">
        <v>163</v>
      </c>
      <c r="B158" s="26">
        <v>1</v>
      </c>
      <c r="C158" s="25">
        <v>650.02</v>
      </c>
      <c r="D158" s="26">
        <v>10</v>
      </c>
      <c r="E158" s="55">
        <v>2.9999999999999997E-4</v>
      </c>
      <c r="F158" s="24">
        <v>65</v>
      </c>
      <c r="G158" s="56">
        <v>4.7</v>
      </c>
    </row>
    <row r="159" spans="1:7" x14ac:dyDescent="0.2">
      <c r="A159" s="13" t="s">
        <v>164</v>
      </c>
      <c r="B159" s="18">
        <v>1</v>
      </c>
      <c r="C159" s="17">
        <v>633.1</v>
      </c>
      <c r="D159" s="18">
        <v>10</v>
      </c>
      <c r="E159" s="50">
        <v>2.9999999999999997E-4</v>
      </c>
      <c r="F159" s="16">
        <v>63.31</v>
      </c>
      <c r="G159" s="51">
        <v>4.3</v>
      </c>
    </row>
    <row r="160" spans="1:7" x14ac:dyDescent="0.2">
      <c r="A160" s="21" t="s">
        <v>165</v>
      </c>
      <c r="B160" s="26">
        <v>3</v>
      </c>
      <c r="C160" s="25">
        <v>612.24</v>
      </c>
      <c r="D160" s="26">
        <v>6</v>
      </c>
      <c r="E160" s="55">
        <v>2.9999999999999997E-4</v>
      </c>
      <c r="F160" s="24">
        <v>102.04</v>
      </c>
      <c r="G160" s="56">
        <v>3.91</v>
      </c>
    </row>
    <row r="161" spans="1:7" x14ac:dyDescent="0.2">
      <c r="A161" s="13" t="s">
        <v>166</v>
      </c>
      <c r="B161" s="18">
        <v>2</v>
      </c>
      <c r="C161" s="17">
        <v>595.16</v>
      </c>
      <c r="D161" s="18">
        <v>5</v>
      </c>
      <c r="E161" s="50">
        <v>2.9999999999999997E-4</v>
      </c>
      <c r="F161" s="16">
        <v>119.03</v>
      </c>
      <c r="G161" s="51">
        <v>4.5</v>
      </c>
    </row>
    <row r="162" spans="1:7" x14ac:dyDescent="0.2">
      <c r="A162" s="21" t="s">
        <v>167</v>
      </c>
      <c r="B162" s="26">
        <v>1</v>
      </c>
      <c r="C162" s="25">
        <v>591.38</v>
      </c>
      <c r="D162" s="26">
        <v>1</v>
      </c>
      <c r="E162" s="55">
        <v>2.0000000000000001E-4</v>
      </c>
      <c r="F162" s="24">
        <v>591.38</v>
      </c>
      <c r="G162" s="56">
        <v>3.7</v>
      </c>
    </row>
    <row r="163" spans="1:7" x14ac:dyDescent="0.2">
      <c r="A163" s="13" t="s">
        <v>168</v>
      </c>
      <c r="B163" s="18">
        <v>1</v>
      </c>
      <c r="C163" s="17">
        <v>586.58000000000004</v>
      </c>
      <c r="D163" s="18">
        <v>9</v>
      </c>
      <c r="E163" s="50">
        <v>2.0000000000000001E-4</v>
      </c>
      <c r="F163" s="16">
        <v>65.180000000000007</v>
      </c>
      <c r="G163" s="51">
        <v>4.3</v>
      </c>
    </row>
    <row r="164" spans="1:7" x14ac:dyDescent="0.2">
      <c r="A164" s="21" t="s">
        <v>169</v>
      </c>
      <c r="B164" s="26">
        <v>1</v>
      </c>
      <c r="C164" s="25">
        <v>582.28</v>
      </c>
      <c r="D164" s="26">
        <v>2</v>
      </c>
      <c r="E164" s="55">
        <v>2.0000000000000001E-4</v>
      </c>
      <c r="F164" s="24">
        <v>291.14</v>
      </c>
      <c r="G164" s="56">
        <v>4</v>
      </c>
    </row>
    <row r="165" spans="1:7" x14ac:dyDescent="0.2">
      <c r="A165" s="13" t="s">
        <v>170</v>
      </c>
      <c r="B165" s="18">
        <v>11</v>
      </c>
      <c r="C165" s="17">
        <v>567.09</v>
      </c>
      <c r="D165" s="18">
        <v>9</v>
      </c>
      <c r="E165" s="50">
        <v>2.0000000000000001E-4</v>
      </c>
      <c r="F165" s="16">
        <v>63.01</v>
      </c>
      <c r="G165" s="51">
        <v>3.19</v>
      </c>
    </row>
    <row r="166" spans="1:7" x14ac:dyDescent="0.2">
      <c r="A166" s="21" t="s">
        <v>171</v>
      </c>
      <c r="B166" s="26">
        <v>2</v>
      </c>
      <c r="C166" s="25">
        <v>530.21</v>
      </c>
      <c r="D166" s="26">
        <v>26</v>
      </c>
      <c r="E166" s="55">
        <v>2.0000000000000001E-4</v>
      </c>
      <c r="F166" s="24">
        <v>20.39</v>
      </c>
      <c r="G166" s="56">
        <v>3.7</v>
      </c>
    </row>
    <row r="167" spans="1:7" x14ac:dyDescent="0.2">
      <c r="A167" s="13" t="s">
        <v>172</v>
      </c>
      <c r="B167" s="18">
        <v>4</v>
      </c>
      <c r="C167" s="17">
        <v>526.94000000000005</v>
      </c>
      <c r="D167" s="18">
        <v>41</v>
      </c>
      <c r="E167" s="50">
        <v>2.0000000000000001E-4</v>
      </c>
      <c r="F167" s="16">
        <v>12.85</v>
      </c>
      <c r="G167" s="51">
        <v>4.32</v>
      </c>
    </row>
    <row r="168" spans="1:7" x14ac:dyDescent="0.2">
      <c r="A168" s="21" t="s">
        <v>173</v>
      </c>
      <c r="B168" s="26">
        <v>1</v>
      </c>
      <c r="C168" s="25">
        <v>506.49</v>
      </c>
      <c r="D168" s="26">
        <v>8</v>
      </c>
      <c r="E168" s="55">
        <v>2.0000000000000001E-4</v>
      </c>
      <c r="F168" s="24">
        <v>63.31</v>
      </c>
      <c r="G168" s="56">
        <v>3.7</v>
      </c>
    </row>
    <row r="169" spans="1:7" x14ac:dyDescent="0.2">
      <c r="A169" s="13" t="s">
        <v>174</v>
      </c>
      <c r="B169" s="18">
        <v>3</v>
      </c>
      <c r="C169" s="17">
        <v>497.29</v>
      </c>
      <c r="D169" s="18">
        <v>9</v>
      </c>
      <c r="E169" s="50">
        <v>2.0000000000000001E-4</v>
      </c>
      <c r="F169" s="16">
        <v>55.25</v>
      </c>
      <c r="G169" s="51">
        <v>3.88</v>
      </c>
    </row>
    <row r="170" spans="1:7" x14ac:dyDescent="0.2">
      <c r="A170" s="21" t="s">
        <v>175</v>
      </c>
      <c r="B170" s="26">
        <v>3</v>
      </c>
      <c r="C170" s="25">
        <v>494.1</v>
      </c>
      <c r="D170" s="26">
        <v>1</v>
      </c>
      <c r="E170" s="55">
        <v>2.0000000000000001E-4</v>
      </c>
      <c r="F170" s="24">
        <v>494.1</v>
      </c>
      <c r="G170" s="56">
        <v>2.5</v>
      </c>
    </row>
    <row r="171" spans="1:7" x14ac:dyDescent="0.2">
      <c r="A171" s="13" t="s">
        <v>176</v>
      </c>
      <c r="B171" s="18">
        <v>2</v>
      </c>
      <c r="C171" s="17">
        <v>486.28</v>
      </c>
      <c r="D171" s="18">
        <v>32</v>
      </c>
      <c r="E171" s="50">
        <v>2.0000000000000001E-4</v>
      </c>
      <c r="F171" s="16">
        <v>15.2</v>
      </c>
      <c r="G171" s="51">
        <v>4</v>
      </c>
    </row>
    <row r="172" spans="1:7" x14ac:dyDescent="0.2">
      <c r="A172" s="21" t="s">
        <v>177</v>
      </c>
      <c r="B172" s="26">
        <v>2</v>
      </c>
      <c r="C172" s="25">
        <v>471.47</v>
      </c>
      <c r="D172" s="26">
        <v>3</v>
      </c>
      <c r="E172" s="55">
        <v>2.0000000000000001E-4</v>
      </c>
      <c r="F172" s="24">
        <v>157.16</v>
      </c>
      <c r="G172" s="56">
        <v>2.5</v>
      </c>
    </row>
    <row r="173" spans="1:7" x14ac:dyDescent="0.2">
      <c r="A173" s="13" t="s">
        <v>178</v>
      </c>
      <c r="B173" s="18">
        <v>1</v>
      </c>
      <c r="C173" s="17">
        <v>469.37</v>
      </c>
      <c r="D173" s="18">
        <v>11</v>
      </c>
      <c r="E173" s="50">
        <v>2.0000000000000001E-4</v>
      </c>
      <c r="F173" s="16">
        <v>42.67</v>
      </c>
      <c r="G173" s="51">
        <v>4.5</v>
      </c>
    </row>
    <row r="174" spans="1:7" x14ac:dyDescent="0.2">
      <c r="A174" s="21" t="s">
        <v>179</v>
      </c>
      <c r="B174" s="26">
        <v>1</v>
      </c>
      <c r="C174" s="25">
        <v>466.02</v>
      </c>
      <c r="D174" s="26">
        <v>4</v>
      </c>
      <c r="E174" s="55">
        <v>2.0000000000000001E-4</v>
      </c>
      <c r="F174" s="24">
        <v>116.5</v>
      </c>
      <c r="G174" s="56">
        <v>5</v>
      </c>
    </row>
    <row r="175" spans="1:7" x14ac:dyDescent="0.2">
      <c r="A175" s="13" t="s">
        <v>180</v>
      </c>
      <c r="B175" s="18">
        <v>1</v>
      </c>
      <c r="C175" s="17">
        <v>453.29</v>
      </c>
      <c r="D175" s="18">
        <v>8</v>
      </c>
      <c r="E175" s="50">
        <v>2.0000000000000001E-4</v>
      </c>
      <c r="F175" s="16">
        <v>56.66</v>
      </c>
      <c r="G175" s="51">
        <v>4.2</v>
      </c>
    </row>
    <row r="176" spans="1:7" x14ac:dyDescent="0.2">
      <c r="A176" s="21" t="s">
        <v>181</v>
      </c>
      <c r="B176" s="26">
        <v>2</v>
      </c>
      <c r="C176" s="25">
        <v>448.65</v>
      </c>
      <c r="D176" s="26">
        <v>2</v>
      </c>
      <c r="E176" s="55">
        <v>2.0000000000000001E-4</v>
      </c>
      <c r="F176" s="24">
        <v>224.32</v>
      </c>
      <c r="G176" s="56">
        <v>3.7</v>
      </c>
    </row>
    <row r="177" spans="1:7" x14ac:dyDescent="0.2">
      <c r="A177" s="13" t="s">
        <v>182</v>
      </c>
      <c r="B177" s="18">
        <v>1</v>
      </c>
      <c r="C177" s="17">
        <v>439.68</v>
      </c>
      <c r="D177" s="18">
        <v>8</v>
      </c>
      <c r="E177" s="50">
        <v>2.0000000000000001E-4</v>
      </c>
      <c r="F177" s="16">
        <v>54.96</v>
      </c>
      <c r="G177" s="51">
        <v>4.2</v>
      </c>
    </row>
    <row r="178" spans="1:7" x14ac:dyDescent="0.2">
      <c r="A178" s="21" t="s">
        <v>183</v>
      </c>
      <c r="B178" s="26">
        <v>1</v>
      </c>
      <c r="C178" s="25">
        <v>439.23</v>
      </c>
      <c r="D178" s="26">
        <v>5</v>
      </c>
      <c r="E178" s="55">
        <v>2.0000000000000001E-4</v>
      </c>
      <c r="F178" s="24">
        <v>87.85</v>
      </c>
      <c r="G178" s="56">
        <v>4</v>
      </c>
    </row>
    <row r="179" spans="1:7" x14ac:dyDescent="0.2">
      <c r="A179" s="13" t="s">
        <v>184</v>
      </c>
      <c r="B179" s="18">
        <v>3</v>
      </c>
      <c r="C179" s="17">
        <v>430.7</v>
      </c>
      <c r="D179" s="18">
        <v>3</v>
      </c>
      <c r="E179" s="50">
        <v>2.0000000000000001E-4</v>
      </c>
      <c r="F179" s="16">
        <v>143.57</v>
      </c>
      <c r="G179" s="51">
        <v>1.67</v>
      </c>
    </row>
    <row r="180" spans="1:7" x14ac:dyDescent="0.2">
      <c r="A180" s="21" t="s">
        <v>185</v>
      </c>
      <c r="B180" s="26">
        <v>1</v>
      </c>
      <c r="C180" s="25">
        <v>420.21</v>
      </c>
      <c r="D180" s="26">
        <v>8</v>
      </c>
      <c r="E180" s="55">
        <v>2.0000000000000001E-4</v>
      </c>
      <c r="F180" s="24">
        <v>52.53</v>
      </c>
      <c r="G180" s="56">
        <v>4.2</v>
      </c>
    </row>
    <row r="181" spans="1:7" x14ac:dyDescent="0.2">
      <c r="A181" s="13" t="s">
        <v>186</v>
      </c>
      <c r="B181" s="18">
        <v>2</v>
      </c>
      <c r="C181" s="17">
        <v>419.29</v>
      </c>
      <c r="D181" s="18">
        <v>9</v>
      </c>
      <c r="E181" s="50">
        <v>2.0000000000000001E-4</v>
      </c>
      <c r="F181" s="16">
        <v>46.59</v>
      </c>
      <c r="G181" s="51">
        <v>4.05</v>
      </c>
    </row>
    <row r="182" spans="1:7" x14ac:dyDescent="0.2">
      <c r="A182" s="21" t="s">
        <v>187</v>
      </c>
      <c r="B182" s="26">
        <v>6</v>
      </c>
      <c r="C182" s="25">
        <v>413.59</v>
      </c>
      <c r="D182" s="26">
        <v>12</v>
      </c>
      <c r="E182" s="55">
        <v>2.0000000000000001E-4</v>
      </c>
      <c r="F182" s="24">
        <v>34.47</v>
      </c>
      <c r="G182" s="56">
        <v>4.58</v>
      </c>
    </row>
    <row r="183" spans="1:7" x14ac:dyDescent="0.2">
      <c r="A183" s="13" t="s">
        <v>188</v>
      </c>
      <c r="B183" s="18">
        <v>1</v>
      </c>
      <c r="C183" s="17">
        <v>409.95</v>
      </c>
      <c r="D183" s="18">
        <v>5</v>
      </c>
      <c r="E183" s="50">
        <v>2.0000000000000001E-4</v>
      </c>
      <c r="F183" s="16">
        <v>81.99</v>
      </c>
      <c r="G183" s="51">
        <v>5</v>
      </c>
    </row>
    <row r="184" spans="1:7" x14ac:dyDescent="0.2">
      <c r="A184" s="21" t="s">
        <v>189</v>
      </c>
      <c r="B184" s="26">
        <v>2</v>
      </c>
      <c r="C184" s="25">
        <v>386.67</v>
      </c>
      <c r="D184" s="26">
        <v>7</v>
      </c>
      <c r="E184" s="55">
        <v>2.0000000000000001E-4</v>
      </c>
      <c r="F184" s="24">
        <v>55.24</v>
      </c>
      <c r="G184" s="56">
        <v>4.1100000000000003</v>
      </c>
    </row>
    <row r="185" spans="1:7" x14ac:dyDescent="0.2">
      <c r="A185" s="13" t="s">
        <v>190</v>
      </c>
      <c r="B185" s="18">
        <v>1</v>
      </c>
      <c r="C185" s="17">
        <v>386.54</v>
      </c>
      <c r="D185" s="18">
        <v>3</v>
      </c>
      <c r="E185" s="50">
        <v>2.0000000000000001E-4</v>
      </c>
      <c r="F185" s="16">
        <v>128.85</v>
      </c>
      <c r="G185" s="51">
        <v>4.5999999999999996</v>
      </c>
    </row>
    <row r="186" spans="1:7" x14ac:dyDescent="0.2">
      <c r="A186" s="21" t="s">
        <v>191</v>
      </c>
      <c r="B186" s="26">
        <v>1</v>
      </c>
      <c r="C186" s="25">
        <v>383.86</v>
      </c>
      <c r="D186" s="26">
        <v>4</v>
      </c>
      <c r="E186" s="55">
        <v>2.0000000000000001E-4</v>
      </c>
      <c r="F186" s="24">
        <v>95.97</v>
      </c>
      <c r="G186" s="56">
        <v>0</v>
      </c>
    </row>
    <row r="187" spans="1:7" x14ac:dyDescent="0.2">
      <c r="A187" s="13" t="s">
        <v>192</v>
      </c>
      <c r="B187" s="18">
        <v>5</v>
      </c>
      <c r="C187" s="17">
        <v>378.16</v>
      </c>
      <c r="D187" s="18">
        <v>10</v>
      </c>
      <c r="E187" s="50">
        <v>2.0000000000000001E-4</v>
      </c>
      <c r="F187" s="16">
        <v>37.82</v>
      </c>
      <c r="G187" s="51">
        <v>3.34</v>
      </c>
    </row>
    <row r="188" spans="1:7" x14ac:dyDescent="0.2">
      <c r="A188" s="21" t="s">
        <v>193</v>
      </c>
      <c r="B188" s="26">
        <v>3</v>
      </c>
      <c r="C188" s="25">
        <v>370.45</v>
      </c>
      <c r="D188" s="26">
        <v>5</v>
      </c>
      <c r="E188" s="55">
        <v>2.0000000000000001E-4</v>
      </c>
      <c r="F188" s="24">
        <v>74.09</v>
      </c>
      <c r="G188" s="56">
        <v>4.1500000000000004</v>
      </c>
    </row>
    <row r="189" spans="1:7" x14ac:dyDescent="0.2">
      <c r="A189" s="13" t="s">
        <v>194</v>
      </c>
      <c r="B189" s="18">
        <v>1</v>
      </c>
      <c r="C189" s="17">
        <v>367.26</v>
      </c>
      <c r="D189" s="18">
        <v>11</v>
      </c>
      <c r="E189" s="50">
        <v>2.0000000000000001E-4</v>
      </c>
      <c r="F189" s="16">
        <v>33.39</v>
      </c>
      <c r="G189" s="51">
        <v>4.5999999999999996</v>
      </c>
    </row>
    <row r="190" spans="1:7" x14ac:dyDescent="0.2">
      <c r="A190" s="21" t="s">
        <v>195</v>
      </c>
      <c r="B190" s="26">
        <v>1</v>
      </c>
      <c r="C190" s="25">
        <v>354.1</v>
      </c>
      <c r="D190" s="26">
        <v>1</v>
      </c>
      <c r="E190" s="55">
        <v>1E-4</v>
      </c>
      <c r="F190" s="24">
        <v>354.1</v>
      </c>
      <c r="G190" s="56">
        <v>0</v>
      </c>
    </row>
    <row r="191" spans="1:7" x14ac:dyDescent="0.2">
      <c r="A191" s="13" t="s">
        <v>196</v>
      </c>
      <c r="B191" s="18">
        <v>2</v>
      </c>
      <c r="C191" s="17">
        <v>342.35</v>
      </c>
      <c r="D191" s="18">
        <v>5</v>
      </c>
      <c r="E191" s="50">
        <v>1E-4</v>
      </c>
      <c r="F191" s="16">
        <v>68.47</v>
      </c>
      <c r="G191" s="51">
        <v>3.8</v>
      </c>
    </row>
    <row r="192" spans="1:7" x14ac:dyDescent="0.2">
      <c r="A192" s="21" t="s">
        <v>197</v>
      </c>
      <c r="B192" s="26">
        <v>1</v>
      </c>
      <c r="C192" s="25">
        <v>327.79</v>
      </c>
      <c r="D192" s="26">
        <v>3</v>
      </c>
      <c r="E192" s="55">
        <v>1E-4</v>
      </c>
      <c r="F192" s="24">
        <v>109.26</v>
      </c>
      <c r="G192" s="56">
        <v>4.0999999999999996</v>
      </c>
    </row>
    <row r="193" spans="1:7" x14ac:dyDescent="0.2">
      <c r="A193" s="13" t="s">
        <v>198</v>
      </c>
      <c r="B193" s="18">
        <v>1</v>
      </c>
      <c r="C193" s="17">
        <v>327.72</v>
      </c>
      <c r="D193" s="18">
        <v>10</v>
      </c>
      <c r="E193" s="50">
        <v>1E-4</v>
      </c>
      <c r="F193" s="16">
        <v>32.770000000000003</v>
      </c>
      <c r="G193" s="51">
        <v>4.3</v>
      </c>
    </row>
    <row r="194" spans="1:7" x14ac:dyDescent="0.2">
      <c r="A194" s="21" t="s">
        <v>199</v>
      </c>
      <c r="B194" s="26">
        <v>1</v>
      </c>
      <c r="C194" s="25">
        <v>319.48</v>
      </c>
      <c r="D194" s="26">
        <v>3</v>
      </c>
      <c r="E194" s="55">
        <v>1E-4</v>
      </c>
      <c r="F194" s="24">
        <v>106.49</v>
      </c>
      <c r="G194" s="56">
        <v>4.3</v>
      </c>
    </row>
    <row r="195" spans="1:7" x14ac:dyDescent="0.2">
      <c r="A195" s="13" t="s">
        <v>200</v>
      </c>
      <c r="B195" s="18">
        <v>2</v>
      </c>
      <c r="C195" s="17">
        <v>319.36</v>
      </c>
      <c r="D195" s="18">
        <v>5</v>
      </c>
      <c r="E195" s="50">
        <v>1E-4</v>
      </c>
      <c r="F195" s="16">
        <v>63.87</v>
      </c>
      <c r="G195" s="51">
        <v>4.04</v>
      </c>
    </row>
    <row r="196" spans="1:7" x14ac:dyDescent="0.2">
      <c r="A196" s="21" t="s">
        <v>201</v>
      </c>
      <c r="B196" s="26">
        <v>1</v>
      </c>
      <c r="C196" s="25">
        <v>316.33</v>
      </c>
      <c r="D196" s="26">
        <v>11</v>
      </c>
      <c r="E196" s="55">
        <v>1E-4</v>
      </c>
      <c r="F196" s="24">
        <v>28.76</v>
      </c>
      <c r="G196" s="56">
        <v>3.8</v>
      </c>
    </row>
    <row r="197" spans="1:7" x14ac:dyDescent="0.2">
      <c r="A197" s="13" t="s">
        <v>202</v>
      </c>
      <c r="B197" s="18">
        <v>20</v>
      </c>
      <c r="C197" s="17">
        <v>311.14999999999998</v>
      </c>
      <c r="D197" s="18">
        <v>9</v>
      </c>
      <c r="E197" s="50">
        <v>1E-4</v>
      </c>
      <c r="F197" s="16">
        <v>34.57</v>
      </c>
      <c r="G197" s="51">
        <v>3.62</v>
      </c>
    </row>
    <row r="198" spans="1:7" x14ac:dyDescent="0.2">
      <c r="A198" s="21" t="s">
        <v>203</v>
      </c>
      <c r="B198" s="26">
        <v>2</v>
      </c>
      <c r="C198" s="25">
        <v>301.38</v>
      </c>
      <c r="D198" s="26">
        <v>5</v>
      </c>
      <c r="E198" s="55">
        <v>1E-4</v>
      </c>
      <c r="F198" s="24">
        <v>60.28</v>
      </c>
      <c r="G198" s="56">
        <v>4.0999999999999996</v>
      </c>
    </row>
    <row r="199" spans="1:7" x14ac:dyDescent="0.2">
      <c r="A199" s="13" t="s">
        <v>204</v>
      </c>
      <c r="B199" s="18">
        <v>1</v>
      </c>
      <c r="C199" s="17">
        <v>293.92</v>
      </c>
      <c r="D199" s="18">
        <v>4</v>
      </c>
      <c r="E199" s="50">
        <v>1E-4</v>
      </c>
      <c r="F199" s="16">
        <v>73.48</v>
      </c>
      <c r="G199" s="51">
        <v>5</v>
      </c>
    </row>
    <row r="200" spans="1:7" x14ac:dyDescent="0.2">
      <c r="A200" s="21" t="s">
        <v>205</v>
      </c>
      <c r="B200" s="26">
        <v>1</v>
      </c>
      <c r="C200" s="25">
        <v>289.77</v>
      </c>
      <c r="D200" s="26">
        <v>24</v>
      </c>
      <c r="E200" s="55">
        <v>1E-4</v>
      </c>
      <c r="F200" s="24">
        <v>12.07</v>
      </c>
      <c r="G200" s="56">
        <v>4.5999999999999996</v>
      </c>
    </row>
    <row r="201" spans="1:7" x14ac:dyDescent="0.2">
      <c r="A201" s="13" t="s">
        <v>206</v>
      </c>
      <c r="B201" s="18">
        <v>1</v>
      </c>
      <c r="C201" s="17">
        <v>270.7</v>
      </c>
      <c r="D201" s="18">
        <v>2</v>
      </c>
      <c r="E201" s="50">
        <v>1E-4</v>
      </c>
      <c r="F201" s="16">
        <v>135.35</v>
      </c>
      <c r="G201" s="51">
        <v>5</v>
      </c>
    </row>
    <row r="202" spans="1:7" x14ac:dyDescent="0.2">
      <c r="A202" s="21" t="s">
        <v>207</v>
      </c>
      <c r="B202" s="26">
        <v>1</v>
      </c>
      <c r="C202" s="25">
        <v>266.05</v>
      </c>
      <c r="D202" s="26">
        <v>7</v>
      </c>
      <c r="E202" s="55">
        <v>1E-4</v>
      </c>
      <c r="F202" s="24">
        <v>38.01</v>
      </c>
      <c r="G202" s="56">
        <v>4.5</v>
      </c>
    </row>
    <row r="203" spans="1:7" x14ac:dyDescent="0.2">
      <c r="A203" s="13" t="s">
        <v>208</v>
      </c>
      <c r="B203" s="18">
        <v>2</v>
      </c>
      <c r="C203" s="17">
        <v>265.97000000000003</v>
      </c>
      <c r="D203" s="18">
        <v>3</v>
      </c>
      <c r="E203" s="50">
        <v>1E-4</v>
      </c>
      <c r="F203" s="16">
        <v>88.66</v>
      </c>
      <c r="G203" s="51">
        <v>4.18</v>
      </c>
    </row>
    <row r="204" spans="1:7" x14ac:dyDescent="0.2">
      <c r="A204" s="21" t="s">
        <v>209</v>
      </c>
      <c r="B204" s="26">
        <v>12</v>
      </c>
      <c r="C204" s="25">
        <v>264.08</v>
      </c>
      <c r="D204" s="26">
        <v>3</v>
      </c>
      <c r="E204" s="55">
        <v>1E-4</v>
      </c>
      <c r="F204" s="24">
        <v>88.03</v>
      </c>
      <c r="G204" s="56">
        <v>2.27</v>
      </c>
    </row>
    <row r="205" spans="1:7" x14ac:dyDescent="0.2">
      <c r="A205" s="13" t="s">
        <v>210</v>
      </c>
      <c r="B205" s="18">
        <v>1</v>
      </c>
      <c r="C205" s="17">
        <v>262.58999999999997</v>
      </c>
      <c r="D205" s="18">
        <v>5</v>
      </c>
      <c r="E205" s="50">
        <v>1E-4</v>
      </c>
      <c r="F205" s="16">
        <v>52.52</v>
      </c>
      <c r="G205" s="51">
        <v>3.8</v>
      </c>
    </row>
    <row r="206" spans="1:7" x14ac:dyDescent="0.2">
      <c r="A206" s="21" t="s">
        <v>211</v>
      </c>
      <c r="B206" s="26">
        <v>6</v>
      </c>
      <c r="C206" s="25">
        <v>262.29000000000002</v>
      </c>
      <c r="D206" s="26">
        <v>2</v>
      </c>
      <c r="E206" s="55">
        <v>1E-4</v>
      </c>
      <c r="F206" s="24">
        <v>131.13999999999999</v>
      </c>
      <c r="G206" s="56">
        <v>1.67</v>
      </c>
    </row>
    <row r="207" spans="1:7" x14ac:dyDescent="0.2">
      <c r="A207" s="13" t="s">
        <v>212</v>
      </c>
      <c r="B207" s="18">
        <v>1</v>
      </c>
      <c r="C207" s="17">
        <v>249.15</v>
      </c>
      <c r="D207" s="18">
        <v>2</v>
      </c>
      <c r="E207" s="50">
        <v>1E-4</v>
      </c>
      <c r="F207" s="16">
        <v>124.58</v>
      </c>
      <c r="G207" s="51">
        <v>3.6</v>
      </c>
    </row>
    <row r="208" spans="1:7" x14ac:dyDescent="0.2">
      <c r="A208" s="21" t="s">
        <v>213</v>
      </c>
      <c r="B208" s="26">
        <v>5</v>
      </c>
      <c r="C208" s="25">
        <v>247.09</v>
      </c>
      <c r="D208" s="26">
        <v>3</v>
      </c>
      <c r="E208" s="55">
        <v>1E-4</v>
      </c>
      <c r="F208" s="24">
        <v>82.36</v>
      </c>
      <c r="G208" s="56">
        <v>2.72</v>
      </c>
    </row>
    <row r="209" spans="1:7" x14ac:dyDescent="0.2">
      <c r="A209" s="13" t="s">
        <v>214</v>
      </c>
      <c r="B209" s="18">
        <v>1</v>
      </c>
      <c r="C209" s="17">
        <v>246.93</v>
      </c>
      <c r="D209" s="18">
        <v>1</v>
      </c>
      <c r="E209" s="50">
        <v>1E-4</v>
      </c>
      <c r="F209" s="16">
        <v>246.93</v>
      </c>
      <c r="G209" s="51">
        <v>3.4</v>
      </c>
    </row>
    <row r="210" spans="1:7" x14ac:dyDescent="0.2">
      <c r="A210" s="21" t="s">
        <v>215</v>
      </c>
      <c r="B210" s="26">
        <v>6</v>
      </c>
      <c r="C210" s="25">
        <v>245.51</v>
      </c>
      <c r="D210" s="26">
        <v>7</v>
      </c>
      <c r="E210" s="55">
        <v>1E-4</v>
      </c>
      <c r="F210" s="24">
        <v>35.07</v>
      </c>
      <c r="G210" s="56">
        <v>4.26</v>
      </c>
    </row>
    <row r="211" spans="1:7" x14ac:dyDescent="0.2">
      <c r="A211" s="13" t="s">
        <v>216</v>
      </c>
      <c r="B211" s="18">
        <v>1</v>
      </c>
      <c r="C211" s="17">
        <v>242.68</v>
      </c>
      <c r="D211" s="18">
        <v>6</v>
      </c>
      <c r="E211" s="50">
        <v>1E-4</v>
      </c>
      <c r="F211" s="16">
        <v>40.450000000000003</v>
      </c>
      <c r="G211" s="51">
        <v>3.7</v>
      </c>
    </row>
    <row r="212" spans="1:7" x14ac:dyDescent="0.2">
      <c r="A212" s="21" t="s">
        <v>217</v>
      </c>
      <c r="B212" s="26">
        <v>1</v>
      </c>
      <c r="C212" s="25">
        <v>242.65</v>
      </c>
      <c r="D212" s="26">
        <v>3</v>
      </c>
      <c r="E212" s="55">
        <v>1E-4</v>
      </c>
      <c r="F212" s="24">
        <v>80.88</v>
      </c>
      <c r="G212" s="56">
        <v>3.5</v>
      </c>
    </row>
    <row r="213" spans="1:7" x14ac:dyDescent="0.2">
      <c r="A213" s="13" t="s">
        <v>218</v>
      </c>
      <c r="B213" s="18">
        <v>1</v>
      </c>
      <c r="C213" s="17">
        <v>237.89</v>
      </c>
      <c r="D213" s="18">
        <v>4</v>
      </c>
      <c r="E213" s="50">
        <v>1E-4</v>
      </c>
      <c r="F213" s="16">
        <v>59.47</v>
      </c>
      <c r="G213" s="51">
        <v>4.5999999999999996</v>
      </c>
    </row>
    <row r="214" spans="1:7" x14ac:dyDescent="0.2">
      <c r="A214" s="21" t="s">
        <v>219</v>
      </c>
      <c r="B214" s="26">
        <v>1</v>
      </c>
      <c r="C214" s="25">
        <v>229.48</v>
      </c>
      <c r="D214" s="26">
        <v>15</v>
      </c>
      <c r="E214" s="55">
        <v>1E-4</v>
      </c>
      <c r="F214" s="24">
        <v>15.3</v>
      </c>
      <c r="G214" s="56">
        <v>3.8</v>
      </c>
    </row>
    <row r="215" spans="1:7" x14ac:dyDescent="0.2">
      <c r="A215" s="13" t="s">
        <v>220</v>
      </c>
      <c r="B215" s="18">
        <v>2</v>
      </c>
      <c r="C215" s="17">
        <v>209.71</v>
      </c>
      <c r="D215" s="18">
        <v>1</v>
      </c>
      <c r="E215" s="50">
        <v>1E-4</v>
      </c>
      <c r="F215" s="16">
        <v>209.71</v>
      </c>
      <c r="G215" s="51">
        <v>3.86</v>
      </c>
    </row>
    <row r="216" spans="1:7" x14ac:dyDescent="0.2">
      <c r="A216" s="21" t="s">
        <v>221</v>
      </c>
      <c r="B216" s="26">
        <v>1</v>
      </c>
      <c r="C216" s="25">
        <v>186.5</v>
      </c>
      <c r="D216" s="26">
        <v>3</v>
      </c>
      <c r="E216" s="55">
        <v>1E-4</v>
      </c>
      <c r="F216" s="24">
        <v>62.17</v>
      </c>
      <c r="G216" s="56">
        <v>4</v>
      </c>
    </row>
    <row r="217" spans="1:7" x14ac:dyDescent="0.2">
      <c r="A217" s="13" t="s">
        <v>222</v>
      </c>
      <c r="B217" s="18">
        <v>1</v>
      </c>
      <c r="C217" s="17">
        <v>183.88</v>
      </c>
      <c r="D217" s="18">
        <v>4</v>
      </c>
      <c r="E217" s="50">
        <v>1E-4</v>
      </c>
      <c r="F217" s="16">
        <v>45.97</v>
      </c>
      <c r="G217" s="51">
        <v>4.0999999999999996</v>
      </c>
    </row>
    <row r="218" spans="1:7" x14ac:dyDescent="0.2">
      <c r="A218" s="21" t="s">
        <v>223</v>
      </c>
      <c r="B218" s="26">
        <v>3</v>
      </c>
      <c r="C218" s="25">
        <v>182.66</v>
      </c>
      <c r="D218" s="26">
        <v>2</v>
      </c>
      <c r="E218" s="55">
        <v>1E-4</v>
      </c>
      <c r="F218" s="24">
        <v>91.33</v>
      </c>
      <c r="G218" s="56">
        <v>4.5999999999999996</v>
      </c>
    </row>
    <row r="219" spans="1:7" x14ac:dyDescent="0.2">
      <c r="A219" s="13" t="s">
        <v>224</v>
      </c>
      <c r="B219" s="18">
        <v>1</v>
      </c>
      <c r="C219" s="17">
        <v>181.97</v>
      </c>
      <c r="D219" s="18">
        <v>2</v>
      </c>
      <c r="E219" s="50">
        <v>1E-4</v>
      </c>
      <c r="F219" s="16">
        <v>90.98</v>
      </c>
      <c r="G219" s="51">
        <v>4.4000000000000004</v>
      </c>
    </row>
    <row r="220" spans="1:7" x14ac:dyDescent="0.2">
      <c r="A220" s="21" t="s">
        <v>225</v>
      </c>
      <c r="B220" s="26">
        <v>1</v>
      </c>
      <c r="C220" s="25">
        <v>176.86</v>
      </c>
      <c r="D220" s="26">
        <v>9</v>
      </c>
      <c r="E220" s="55">
        <v>1E-4</v>
      </c>
      <c r="F220" s="24">
        <v>19.649999999999999</v>
      </c>
      <c r="G220" s="56">
        <v>4.4000000000000004</v>
      </c>
    </row>
    <row r="221" spans="1:7" x14ac:dyDescent="0.2">
      <c r="A221" s="13" t="s">
        <v>226</v>
      </c>
      <c r="B221" s="18">
        <v>1</v>
      </c>
      <c r="C221" s="17">
        <v>176.48</v>
      </c>
      <c r="D221" s="18">
        <v>10</v>
      </c>
      <c r="E221" s="50">
        <v>1E-4</v>
      </c>
      <c r="F221" s="16">
        <v>17.649999999999999</v>
      </c>
      <c r="G221" s="51">
        <v>3.7</v>
      </c>
    </row>
    <row r="222" spans="1:7" x14ac:dyDescent="0.2">
      <c r="A222" s="21" t="s">
        <v>227</v>
      </c>
      <c r="B222" s="26">
        <v>1</v>
      </c>
      <c r="C222" s="25">
        <v>175.04</v>
      </c>
      <c r="D222" s="26">
        <v>4</v>
      </c>
      <c r="E222" s="55">
        <v>1E-4</v>
      </c>
      <c r="F222" s="24">
        <v>43.76</v>
      </c>
      <c r="G222" s="56">
        <v>4.5</v>
      </c>
    </row>
    <row r="223" spans="1:7" x14ac:dyDescent="0.2">
      <c r="A223" s="13" t="s">
        <v>228</v>
      </c>
      <c r="B223" s="18">
        <v>2</v>
      </c>
      <c r="C223" s="17">
        <v>174.63</v>
      </c>
      <c r="D223" s="18">
        <v>1</v>
      </c>
      <c r="E223" s="50">
        <v>1E-4</v>
      </c>
      <c r="F223" s="16">
        <v>174.63</v>
      </c>
      <c r="G223" s="51">
        <v>4.1399999999999997</v>
      </c>
    </row>
    <row r="224" spans="1:7" x14ac:dyDescent="0.2">
      <c r="A224" s="21" t="s">
        <v>229</v>
      </c>
      <c r="B224" s="26">
        <v>1</v>
      </c>
      <c r="C224" s="25">
        <v>174.04</v>
      </c>
      <c r="D224" s="26">
        <v>17</v>
      </c>
      <c r="E224" s="55">
        <v>1E-4</v>
      </c>
      <c r="F224" s="24">
        <v>10.24</v>
      </c>
      <c r="G224" s="56">
        <v>2.1</v>
      </c>
    </row>
    <row r="225" spans="1:7" x14ac:dyDescent="0.2">
      <c r="A225" s="13" t="s">
        <v>230</v>
      </c>
      <c r="B225" s="18">
        <v>1</v>
      </c>
      <c r="C225" s="17">
        <v>172.22</v>
      </c>
      <c r="D225" s="18">
        <v>2</v>
      </c>
      <c r="E225" s="50">
        <v>1E-4</v>
      </c>
      <c r="F225" s="16">
        <v>86.11</v>
      </c>
      <c r="G225" s="51">
        <v>4.7</v>
      </c>
    </row>
    <row r="226" spans="1:7" x14ac:dyDescent="0.2">
      <c r="A226" s="21" t="s">
        <v>231</v>
      </c>
      <c r="B226" s="26">
        <v>1</v>
      </c>
      <c r="C226" s="25">
        <v>169.51</v>
      </c>
      <c r="D226" s="26">
        <v>4</v>
      </c>
      <c r="E226" s="55">
        <v>1E-4</v>
      </c>
      <c r="F226" s="24">
        <v>42.38</v>
      </c>
      <c r="G226" s="56">
        <v>3</v>
      </c>
    </row>
    <row r="227" spans="1:7" x14ac:dyDescent="0.2">
      <c r="A227" s="13" t="s">
        <v>232</v>
      </c>
      <c r="B227" s="18">
        <v>1</v>
      </c>
      <c r="C227" s="17">
        <v>165.43</v>
      </c>
      <c r="D227" s="18">
        <v>2</v>
      </c>
      <c r="E227" s="50">
        <v>1E-4</v>
      </c>
      <c r="F227" s="16">
        <v>82.72</v>
      </c>
      <c r="G227" s="51">
        <v>4.0999999999999996</v>
      </c>
    </row>
    <row r="228" spans="1:7" x14ac:dyDescent="0.2">
      <c r="A228" s="21" t="s">
        <v>233</v>
      </c>
      <c r="B228" s="26">
        <v>1</v>
      </c>
      <c r="C228" s="25">
        <v>161.19</v>
      </c>
      <c r="D228" s="26">
        <v>1</v>
      </c>
      <c r="E228" s="55">
        <v>1E-4</v>
      </c>
      <c r="F228" s="24">
        <v>161.19</v>
      </c>
      <c r="G228" s="56">
        <v>5</v>
      </c>
    </row>
    <row r="229" spans="1:7" x14ac:dyDescent="0.2">
      <c r="A229" s="13" t="s">
        <v>234</v>
      </c>
      <c r="B229" s="18">
        <v>5</v>
      </c>
      <c r="C229" s="17">
        <v>149.6</v>
      </c>
      <c r="D229" s="18">
        <v>5</v>
      </c>
      <c r="E229" s="50">
        <v>1E-4</v>
      </c>
      <c r="F229" s="16">
        <v>29.92</v>
      </c>
      <c r="G229" s="51">
        <v>4.41</v>
      </c>
    </row>
    <row r="230" spans="1:7" x14ac:dyDescent="0.2">
      <c r="A230" s="21" t="s">
        <v>235</v>
      </c>
      <c r="B230" s="26">
        <v>6</v>
      </c>
      <c r="C230" s="25">
        <v>148.86000000000001</v>
      </c>
      <c r="D230" s="26">
        <v>7</v>
      </c>
      <c r="E230" s="55">
        <v>1E-4</v>
      </c>
      <c r="F230" s="24">
        <v>21.27</v>
      </c>
      <c r="G230" s="56">
        <v>1.43</v>
      </c>
    </row>
    <row r="231" spans="1:7" x14ac:dyDescent="0.2">
      <c r="A231" s="13" t="s">
        <v>236</v>
      </c>
      <c r="B231" s="18">
        <v>1</v>
      </c>
      <c r="C231" s="17">
        <v>148.69</v>
      </c>
      <c r="D231" s="18">
        <v>4</v>
      </c>
      <c r="E231" s="50">
        <v>1E-4</v>
      </c>
      <c r="F231" s="16">
        <v>37.17</v>
      </c>
      <c r="G231" s="51">
        <v>4.0999999999999996</v>
      </c>
    </row>
    <row r="232" spans="1:7" x14ac:dyDescent="0.2">
      <c r="A232" s="21" t="s">
        <v>237</v>
      </c>
      <c r="B232" s="26">
        <v>1</v>
      </c>
      <c r="C232" s="25">
        <v>140.44999999999999</v>
      </c>
      <c r="D232" s="26">
        <v>3</v>
      </c>
      <c r="E232" s="55">
        <v>1E-4</v>
      </c>
      <c r="F232" s="24">
        <v>46.82</v>
      </c>
      <c r="G232" s="56">
        <v>0</v>
      </c>
    </row>
    <row r="233" spans="1:7" x14ac:dyDescent="0.2">
      <c r="A233" s="13" t="s">
        <v>238</v>
      </c>
      <c r="B233" s="18">
        <v>1</v>
      </c>
      <c r="C233" s="17">
        <v>137.91</v>
      </c>
      <c r="D233" s="18">
        <v>7</v>
      </c>
      <c r="E233" s="50">
        <v>1E-4</v>
      </c>
      <c r="F233" s="16">
        <v>19.7</v>
      </c>
      <c r="G233" s="51">
        <v>4.2</v>
      </c>
    </row>
    <row r="234" spans="1:7" x14ac:dyDescent="0.2">
      <c r="A234" s="21" t="s">
        <v>239</v>
      </c>
      <c r="B234" s="26">
        <v>1</v>
      </c>
      <c r="C234" s="25">
        <v>132.75</v>
      </c>
      <c r="D234" s="26">
        <v>2</v>
      </c>
      <c r="E234" s="55">
        <v>1E-4</v>
      </c>
      <c r="F234" s="24">
        <v>66.38</v>
      </c>
      <c r="G234" s="56">
        <v>4.5</v>
      </c>
    </row>
    <row r="235" spans="1:7" x14ac:dyDescent="0.2">
      <c r="A235" s="13" t="s">
        <v>240</v>
      </c>
      <c r="B235" s="18">
        <v>1</v>
      </c>
      <c r="C235" s="17">
        <v>131.96</v>
      </c>
      <c r="D235" s="18">
        <v>7</v>
      </c>
      <c r="E235" s="50">
        <v>1E-4</v>
      </c>
      <c r="F235" s="16">
        <v>18.850000000000001</v>
      </c>
      <c r="G235" s="51">
        <v>4</v>
      </c>
    </row>
    <row r="236" spans="1:7" x14ac:dyDescent="0.2">
      <c r="A236" s="21" t="s">
        <v>241</v>
      </c>
      <c r="B236" s="26">
        <v>1</v>
      </c>
      <c r="C236" s="25">
        <v>130.9</v>
      </c>
      <c r="D236" s="26">
        <v>19</v>
      </c>
      <c r="E236" s="55">
        <v>1E-4</v>
      </c>
      <c r="F236" s="24">
        <v>6.89</v>
      </c>
      <c r="G236" s="56">
        <v>2.8</v>
      </c>
    </row>
    <row r="237" spans="1:7" x14ac:dyDescent="0.2">
      <c r="A237" s="13" t="s">
        <v>242</v>
      </c>
      <c r="B237" s="18">
        <v>3</v>
      </c>
      <c r="C237" s="17">
        <v>130.5</v>
      </c>
      <c r="D237" s="18">
        <v>2</v>
      </c>
      <c r="E237" s="50">
        <v>1E-4</v>
      </c>
      <c r="F237" s="16">
        <v>65.25</v>
      </c>
      <c r="G237" s="51">
        <v>3.8</v>
      </c>
    </row>
    <row r="238" spans="1:7" x14ac:dyDescent="0.2">
      <c r="A238" s="21" t="s">
        <v>243</v>
      </c>
      <c r="B238" s="26">
        <v>1</v>
      </c>
      <c r="C238" s="25">
        <v>129.66999999999999</v>
      </c>
      <c r="D238" s="26">
        <v>5</v>
      </c>
      <c r="E238" s="55">
        <v>1E-4</v>
      </c>
      <c r="F238" s="24">
        <v>25.93</v>
      </c>
      <c r="G238" s="56">
        <v>4.4000000000000004</v>
      </c>
    </row>
    <row r="239" spans="1:7" x14ac:dyDescent="0.2">
      <c r="A239" s="13" t="s">
        <v>244</v>
      </c>
      <c r="B239" s="18">
        <v>3</v>
      </c>
      <c r="C239" s="17">
        <v>128.93</v>
      </c>
      <c r="D239" s="18">
        <v>3</v>
      </c>
      <c r="E239" s="50">
        <v>1E-4</v>
      </c>
      <c r="F239" s="16">
        <v>42.98</v>
      </c>
      <c r="G239" s="51">
        <v>3.55</v>
      </c>
    </row>
    <row r="240" spans="1:7" x14ac:dyDescent="0.2">
      <c r="A240" s="21" t="s">
        <v>245</v>
      </c>
      <c r="B240" s="26">
        <v>1</v>
      </c>
      <c r="C240" s="25">
        <v>125.97</v>
      </c>
      <c r="D240" s="26">
        <v>1</v>
      </c>
      <c r="E240" s="55">
        <v>1E-4</v>
      </c>
      <c r="F240" s="24">
        <v>125.97</v>
      </c>
      <c r="G240" s="56">
        <v>5</v>
      </c>
    </row>
    <row r="241" spans="1:7" x14ac:dyDescent="0.2">
      <c r="A241" s="13" t="s">
        <v>246</v>
      </c>
      <c r="B241" s="18">
        <v>12</v>
      </c>
      <c r="C241" s="17">
        <v>125.74</v>
      </c>
      <c r="D241" s="18">
        <v>3</v>
      </c>
      <c r="E241" s="50">
        <v>1E-4</v>
      </c>
      <c r="F241" s="16">
        <v>41.91</v>
      </c>
      <c r="G241" s="51">
        <v>3.58</v>
      </c>
    </row>
    <row r="242" spans="1:7" x14ac:dyDescent="0.2">
      <c r="A242" s="21" t="s">
        <v>247</v>
      </c>
      <c r="B242" s="26">
        <v>3</v>
      </c>
      <c r="C242" s="25">
        <v>124.22</v>
      </c>
      <c r="D242" s="26">
        <v>2</v>
      </c>
      <c r="E242" s="55">
        <v>1E-4</v>
      </c>
      <c r="F242" s="24">
        <v>62.11</v>
      </c>
      <c r="G242" s="56">
        <v>4.2</v>
      </c>
    </row>
    <row r="243" spans="1:7" x14ac:dyDescent="0.2">
      <c r="A243" s="13" t="s">
        <v>248</v>
      </c>
      <c r="B243" s="18">
        <v>1</v>
      </c>
      <c r="C243" s="17">
        <v>122.9</v>
      </c>
      <c r="D243" s="18">
        <v>2</v>
      </c>
      <c r="E243" s="50">
        <v>1E-4</v>
      </c>
      <c r="F243" s="16">
        <v>61.45</v>
      </c>
      <c r="G243" s="51">
        <v>4.2</v>
      </c>
    </row>
    <row r="244" spans="1:7" x14ac:dyDescent="0.2">
      <c r="A244" s="21" t="s">
        <v>249</v>
      </c>
      <c r="B244" s="26">
        <v>1</v>
      </c>
      <c r="C244" s="25">
        <v>111.72</v>
      </c>
      <c r="D244" s="26">
        <v>2</v>
      </c>
      <c r="E244" s="55">
        <v>0</v>
      </c>
      <c r="F244" s="24">
        <v>55.86</v>
      </c>
      <c r="G244" s="56">
        <v>0</v>
      </c>
    </row>
    <row r="245" spans="1:7" x14ac:dyDescent="0.2">
      <c r="A245" s="13" t="s">
        <v>250</v>
      </c>
      <c r="B245" s="18">
        <v>1</v>
      </c>
      <c r="C245" s="17">
        <v>109.49</v>
      </c>
      <c r="D245" s="18">
        <v>10</v>
      </c>
      <c r="E245" s="50">
        <v>0</v>
      </c>
      <c r="F245" s="16">
        <v>10.95</v>
      </c>
      <c r="G245" s="51">
        <v>4.4000000000000004</v>
      </c>
    </row>
    <row r="246" spans="1:7" x14ac:dyDescent="0.2">
      <c r="A246" s="21" t="s">
        <v>251</v>
      </c>
      <c r="B246" s="26">
        <v>2</v>
      </c>
      <c r="C246" s="25">
        <v>107.54</v>
      </c>
      <c r="D246" s="26">
        <v>3</v>
      </c>
      <c r="E246" s="55">
        <v>0</v>
      </c>
      <c r="F246" s="24">
        <v>35.85</v>
      </c>
      <c r="G246" s="56">
        <v>2.78</v>
      </c>
    </row>
    <row r="247" spans="1:7" x14ac:dyDescent="0.2">
      <c r="A247" s="13" t="s">
        <v>252</v>
      </c>
      <c r="B247" s="18">
        <v>6</v>
      </c>
      <c r="C247" s="17">
        <v>103.15</v>
      </c>
      <c r="D247" s="18">
        <v>3</v>
      </c>
      <c r="E247" s="50">
        <v>0</v>
      </c>
      <c r="F247" s="16">
        <v>34.380000000000003</v>
      </c>
      <c r="G247" s="51">
        <v>1.67</v>
      </c>
    </row>
    <row r="248" spans="1:7" x14ac:dyDescent="0.2">
      <c r="A248" s="21" t="s">
        <v>253</v>
      </c>
      <c r="B248" s="26">
        <v>1</v>
      </c>
      <c r="C248" s="25">
        <v>89.97</v>
      </c>
      <c r="D248" s="26">
        <v>1</v>
      </c>
      <c r="E248" s="55">
        <v>0</v>
      </c>
      <c r="F248" s="24">
        <v>89.97</v>
      </c>
      <c r="G248" s="56">
        <v>0</v>
      </c>
    </row>
    <row r="249" spans="1:7" x14ac:dyDescent="0.2">
      <c r="A249" s="13" t="s">
        <v>254</v>
      </c>
      <c r="B249" s="18">
        <v>2</v>
      </c>
      <c r="C249" s="17">
        <v>85.04</v>
      </c>
      <c r="D249" s="18">
        <v>3</v>
      </c>
      <c r="E249" s="50">
        <v>0</v>
      </c>
      <c r="F249" s="16">
        <v>28.35</v>
      </c>
      <c r="G249" s="51">
        <v>0</v>
      </c>
    </row>
    <row r="250" spans="1:7" x14ac:dyDescent="0.2">
      <c r="A250" s="21" t="s">
        <v>255</v>
      </c>
      <c r="B250" s="26">
        <v>1</v>
      </c>
      <c r="C250" s="25">
        <v>82.07</v>
      </c>
      <c r="D250" s="26">
        <v>1</v>
      </c>
      <c r="E250" s="55">
        <v>0</v>
      </c>
      <c r="F250" s="24">
        <v>82.07</v>
      </c>
      <c r="G250" s="56">
        <v>4.3</v>
      </c>
    </row>
    <row r="251" spans="1:7" x14ac:dyDescent="0.2">
      <c r="A251" s="13" t="s">
        <v>256</v>
      </c>
      <c r="B251" s="18">
        <v>1</v>
      </c>
      <c r="C251" s="17">
        <v>80.16</v>
      </c>
      <c r="D251" s="18">
        <v>1</v>
      </c>
      <c r="E251" s="50">
        <v>0</v>
      </c>
      <c r="F251" s="16">
        <v>80.16</v>
      </c>
      <c r="G251" s="51">
        <v>3.9</v>
      </c>
    </row>
    <row r="252" spans="1:7" x14ac:dyDescent="0.2">
      <c r="A252" s="21" t="s">
        <v>257</v>
      </c>
      <c r="B252" s="26">
        <v>3</v>
      </c>
      <c r="C252" s="25">
        <v>75.67</v>
      </c>
      <c r="D252" s="26">
        <v>5</v>
      </c>
      <c r="E252" s="55">
        <v>0</v>
      </c>
      <c r="F252" s="24">
        <v>15.13</v>
      </c>
      <c r="G252" s="56">
        <v>3.99</v>
      </c>
    </row>
    <row r="253" spans="1:7" x14ac:dyDescent="0.2">
      <c r="A253" s="13" t="s">
        <v>258</v>
      </c>
      <c r="B253" s="18">
        <v>1</v>
      </c>
      <c r="C253" s="17">
        <v>73.17</v>
      </c>
      <c r="D253" s="18">
        <v>5</v>
      </c>
      <c r="E253" s="50">
        <v>0</v>
      </c>
      <c r="F253" s="16">
        <v>14.63</v>
      </c>
      <c r="G253" s="51">
        <v>0</v>
      </c>
    </row>
    <row r="254" spans="1:7" x14ac:dyDescent="0.2">
      <c r="A254" s="21" t="s">
        <v>259</v>
      </c>
      <c r="B254" s="26">
        <v>1</v>
      </c>
      <c r="C254" s="25">
        <v>72.08</v>
      </c>
      <c r="D254" s="26">
        <v>1</v>
      </c>
      <c r="E254" s="55">
        <v>0</v>
      </c>
      <c r="F254" s="24">
        <v>72.08</v>
      </c>
      <c r="G254" s="56">
        <v>0</v>
      </c>
    </row>
    <row r="255" spans="1:7" x14ac:dyDescent="0.2">
      <c r="A255" s="13" t="s">
        <v>260</v>
      </c>
      <c r="B255" s="18">
        <v>1</v>
      </c>
      <c r="C255" s="17">
        <v>70.52</v>
      </c>
      <c r="D255" s="18">
        <v>10</v>
      </c>
      <c r="E255" s="50">
        <v>0</v>
      </c>
      <c r="F255" s="16">
        <v>7.05</v>
      </c>
      <c r="G255" s="51">
        <v>3.8</v>
      </c>
    </row>
    <row r="256" spans="1:7" x14ac:dyDescent="0.2">
      <c r="A256" s="21" t="s">
        <v>261</v>
      </c>
      <c r="B256" s="26">
        <v>1</v>
      </c>
      <c r="C256" s="25">
        <v>70.459999999999994</v>
      </c>
      <c r="D256" s="26">
        <v>1</v>
      </c>
      <c r="E256" s="55">
        <v>0</v>
      </c>
      <c r="F256" s="24">
        <v>70.459999999999994</v>
      </c>
      <c r="G256" s="56">
        <v>4.4000000000000004</v>
      </c>
    </row>
    <row r="257" spans="1:7" x14ac:dyDescent="0.2">
      <c r="A257" s="13" t="s">
        <v>262</v>
      </c>
      <c r="B257" s="18">
        <v>1</v>
      </c>
      <c r="C257" s="17">
        <v>69.88</v>
      </c>
      <c r="D257" s="18">
        <v>2</v>
      </c>
      <c r="E257" s="50">
        <v>0</v>
      </c>
      <c r="F257" s="16">
        <v>34.94</v>
      </c>
      <c r="G257" s="51">
        <v>2.9</v>
      </c>
    </row>
    <row r="258" spans="1:7" x14ac:dyDescent="0.2">
      <c r="A258" s="21" t="s">
        <v>263</v>
      </c>
      <c r="B258" s="26">
        <v>1</v>
      </c>
      <c r="C258" s="25">
        <v>66.430000000000007</v>
      </c>
      <c r="D258" s="26">
        <v>2</v>
      </c>
      <c r="E258" s="55">
        <v>0</v>
      </c>
      <c r="F258" s="24">
        <v>33.22</v>
      </c>
      <c r="G258" s="56">
        <v>0</v>
      </c>
    </row>
    <row r="259" spans="1:7" x14ac:dyDescent="0.2">
      <c r="A259" s="13" t="s">
        <v>264</v>
      </c>
      <c r="B259" s="18">
        <v>1</v>
      </c>
      <c r="C259" s="17">
        <v>64.239999999999995</v>
      </c>
      <c r="D259" s="18">
        <v>1</v>
      </c>
      <c r="E259" s="50">
        <v>0</v>
      </c>
      <c r="F259" s="16">
        <v>64.239999999999995</v>
      </c>
      <c r="G259" s="51">
        <v>5</v>
      </c>
    </row>
    <row r="260" spans="1:7" x14ac:dyDescent="0.2">
      <c r="A260" s="21" t="s">
        <v>265</v>
      </c>
      <c r="B260" s="26">
        <v>1</v>
      </c>
      <c r="C260" s="25">
        <v>59.98</v>
      </c>
      <c r="D260" s="26">
        <v>1</v>
      </c>
      <c r="E260" s="55">
        <v>0</v>
      </c>
      <c r="F260" s="24">
        <v>59.98</v>
      </c>
      <c r="G260" s="56">
        <v>4.2</v>
      </c>
    </row>
    <row r="261" spans="1:7" x14ac:dyDescent="0.2">
      <c r="A261" s="13" t="s">
        <v>266</v>
      </c>
      <c r="B261" s="18">
        <v>5</v>
      </c>
      <c r="C261" s="17">
        <v>59.97</v>
      </c>
      <c r="D261" s="18">
        <v>1</v>
      </c>
      <c r="E261" s="50">
        <v>0</v>
      </c>
      <c r="F261" s="16">
        <v>59.97</v>
      </c>
      <c r="G261" s="51">
        <v>3.83</v>
      </c>
    </row>
    <row r="262" spans="1:7" x14ac:dyDescent="0.2">
      <c r="A262" s="21" t="s">
        <v>267</v>
      </c>
      <c r="B262" s="26">
        <v>2</v>
      </c>
      <c r="C262" s="25">
        <v>56.89</v>
      </c>
      <c r="D262" s="26">
        <v>3</v>
      </c>
      <c r="E262" s="55">
        <v>0</v>
      </c>
      <c r="F262" s="24">
        <v>18.96</v>
      </c>
      <c r="G262" s="56">
        <v>4.2699999999999996</v>
      </c>
    </row>
    <row r="263" spans="1:7" x14ac:dyDescent="0.2">
      <c r="A263" s="13" t="s">
        <v>268</v>
      </c>
      <c r="B263" s="18">
        <v>1</v>
      </c>
      <c r="C263" s="17">
        <v>56.03</v>
      </c>
      <c r="D263" s="18">
        <v>1</v>
      </c>
      <c r="E263" s="50">
        <v>0</v>
      </c>
      <c r="F263" s="16">
        <v>56.03</v>
      </c>
      <c r="G263" s="51">
        <v>1</v>
      </c>
    </row>
    <row r="264" spans="1:7" x14ac:dyDescent="0.2">
      <c r="A264" s="21" t="s">
        <v>269</v>
      </c>
      <c r="B264" s="26">
        <v>1</v>
      </c>
      <c r="C264" s="25">
        <v>53.35</v>
      </c>
      <c r="D264" s="26">
        <v>5</v>
      </c>
      <c r="E264" s="55">
        <v>0</v>
      </c>
      <c r="F264" s="24">
        <v>10.67</v>
      </c>
      <c r="G264" s="56">
        <v>3.9</v>
      </c>
    </row>
    <row r="265" spans="1:7" x14ac:dyDescent="0.2">
      <c r="A265" s="13" t="s">
        <v>270</v>
      </c>
      <c r="B265" s="18">
        <v>3</v>
      </c>
      <c r="C265" s="17">
        <v>53.11</v>
      </c>
      <c r="D265" s="18">
        <v>1</v>
      </c>
      <c r="E265" s="50">
        <v>0</v>
      </c>
      <c r="F265" s="16">
        <v>53.11</v>
      </c>
      <c r="G265" s="51">
        <v>3.82</v>
      </c>
    </row>
    <row r="266" spans="1:7" x14ac:dyDescent="0.2">
      <c r="A266" s="21" t="s">
        <v>271</v>
      </c>
      <c r="B266" s="26">
        <v>2</v>
      </c>
      <c r="C266" s="25">
        <v>47.77</v>
      </c>
      <c r="D266" s="26">
        <v>4</v>
      </c>
      <c r="E266" s="55">
        <v>0</v>
      </c>
      <c r="F266" s="24">
        <v>11.94</v>
      </c>
      <c r="G266" s="56">
        <v>0</v>
      </c>
    </row>
    <row r="267" spans="1:7" x14ac:dyDescent="0.2">
      <c r="A267" s="13" t="s">
        <v>272</v>
      </c>
      <c r="B267" s="18">
        <v>1</v>
      </c>
      <c r="C267" s="17">
        <v>47</v>
      </c>
      <c r="D267" s="18">
        <v>1</v>
      </c>
      <c r="E267" s="50">
        <v>0</v>
      </c>
      <c r="F267" s="16">
        <v>47</v>
      </c>
      <c r="G267" s="51">
        <v>5</v>
      </c>
    </row>
    <row r="268" spans="1:7" x14ac:dyDescent="0.2">
      <c r="A268" s="21" t="s">
        <v>273</v>
      </c>
      <c r="B268" s="26">
        <v>2</v>
      </c>
      <c r="C268" s="25">
        <v>46.96</v>
      </c>
      <c r="D268" s="26">
        <v>1</v>
      </c>
      <c r="E268" s="55">
        <v>0</v>
      </c>
      <c r="F268" s="24">
        <v>46.96</v>
      </c>
      <c r="G268" s="56">
        <v>4.2699999999999996</v>
      </c>
    </row>
    <row r="269" spans="1:7" x14ac:dyDescent="0.2">
      <c r="A269" s="13" t="s">
        <v>274</v>
      </c>
      <c r="B269" s="18">
        <v>1</v>
      </c>
      <c r="C269" s="17">
        <v>45.63</v>
      </c>
      <c r="D269" s="18">
        <v>1</v>
      </c>
      <c r="E269" s="50">
        <v>0</v>
      </c>
      <c r="F269" s="16">
        <v>45.63</v>
      </c>
      <c r="G269" s="51">
        <v>4.4000000000000004</v>
      </c>
    </row>
    <row r="270" spans="1:7" x14ac:dyDescent="0.2">
      <c r="A270" s="21" t="s">
        <v>275</v>
      </c>
      <c r="B270" s="26">
        <v>3</v>
      </c>
      <c r="C270" s="25">
        <v>45.37</v>
      </c>
      <c r="D270" s="26">
        <v>2</v>
      </c>
      <c r="E270" s="55">
        <v>0</v>
      </c>
      <c r="F270" s="24">
        <v>22.69</v>
      </c>
      <c r="G270" s="56">
        <v>4</v>
      </c>
    </row>
    <row r="271" spans="1:7" x14ac:dyDescent="0.2">
      <c r="A271" s="13" t="s">
        <v>276</v>
      </c>
      <c r="B271" s="18">
        <v>3</v>
      </c>
      <c r="C271" s="17">
        <v>43.59</v>
      </c>
      <c r="D271" s="18">
        <v>3</v>
      </c>
      <c r="E271" s="50">
        <v>0</v>
      </c>
      <c r="F271" s="16">
        <v>14.53</v>
      </c>
      <c r="G271" s="51">
        <v>3.6</v>
      </c>
    </row>
    <row r="272" spans="1:7" x14ac:dyDescent="0.2">
      <c r="A272" s="21" t="s">
        <v>277</v>
      </c>
      <c r="B272" s="26">
        <v>1</v>
      </c>
      <c r="C272" s="25">
        <v>39.090000000000003</v>
      </c>
      <c r="D272" s="26">
        <v>4</v>
      </c>
      <c r="E272" s="55">
        <v>0</v>
      </c>
      <c r="F272" s="24">
        <v>9.77</v>
      </c>
      <c r="G272" s="56">
        <v>3.9</v>
      </c>
    </row>
    <row r="273" spans="1:7" x14ac:dyDescent="0.2">
      <c r="A273" s="13" t="s">
        <v>278</v>
      </c>
      <c r="B273" s="18">
        <v>1</v>
      </c>
      <c r="C273" s="17">
        <v>38.81</v>
      </c>
      <c r="D273" s="18">
        <v>1</v>
      </c>
      <c r="E273" s="50">
        <v>0</v>
      </c>
      <c r="F273" s="16">
        <v>38.81</v>
      </c>
      <c r="G273" s="51">
        <v>5</v>
      </c>
    </row>
    <row r="274" spans="1:7" x14ac:dyDescent="0.2">
      <c r="A274" s="21" t="s">
        <v>279</v>
      </c>
      <c r="B274" s="26">
        <v>1</v>
      </c>
      <c r="C274" s="25">
        <v>36.659999999999997</v>
      </c>
      <c r="D274" s="26">
        <v>3</v>
      </c>
      <c r="E274" s="55">
        <v>0</v>
      </c>
      <c r="F274" s="24">
        <v>12.22</v>
      </c>
      <c r="G274" s="56">
        <v>4.2</v>
      </c>
    </row>
    <row r="275" spans="1:7" x14ac:dyDescent="0.2">
      <c r="A275" s="13" t="s">
        <v>280</v>
      </c>
      <c r="B275" s="18">
        <v>1</v>
      </c>
      <c r="C275" s="17">
        <v>35.25</v>
      </c>
      <c r="D275" s="18">
        <v>2</v>
      </c>
      <c r="E275" s="50">
        <v>0</v>
      </c>
      <c r="F275" s="16">
        <v>17.63</v>
      </c>
      <c r="G275" s="51">
        <v>5</v>
      </c>
    </row>
    <row r="276" spans="1:7" x14ac:dyDescent="0.2">
      <c r="A276" s="21" t="s">
        <v>281</v>
      </c>
      <c r="B276" s="26">
        <v>1</v>
      </c>
      <c r="C276" s="25">
        <v>34.46</v>
      </c>
      <c r="D276" s="26">
        <v>2</v>
      </c>
      <c r="E276" s="55">
        <v>0</v>
      </c>
      <c r="F276" s="24">
        <v>17.23</v>
      </c>
      <c r="G276" s="56">
        <v>3.6</v>
      </c>
    </row>
    <row r="277" spans="1:7" x14ac:dyDescent="0.2">
      <c r="A277" s="13" t="s">
        <v>282</v>
      </c>
      <c r="B277" s="18">
        <v>1</v>
      </c>
      <c r="C277" s="17">
        <v>23.81</v>
      </c>
      <c r="D277" s="18">
        <v>1</v>
      </c>
      <c r="E277" s="50">
        <v>0</v>
      </c>
      <c r="F277" s="16">
        <v>23.81</v>
      </c>
      <c r="G277" s="51">
        <v>0</v>
      </c>
    </row>
    <row r="278" spans="1:7" x14ac:dyDescent="0.2">
      <c r="A278" s="21" t="s">
        <v>283</v>
      </c>
      <c r="B278" s="26">
        <v>1</v>
      </c>
      <c r="C278" s="25">
        <v>20.57</v>
      </c>
      <c r="D278" s="26">
        <v>2</v>
      </c>
      <c r="E278" s="55">
        <v>0</v>
      </c>
      <c r="F278" s="24">
        <v>10.29</v>
      </c>
      <c r="G278" s="56">
        <v>3.6</v>
      </c>
    </row>
    <row r="279" spans="1:7" x14ac:dyDescent="0.2">
      <c r="A279" s="13" t="s">
        <v>284</v>
      </c>
      <c r="B279" s="18">
        <v>4</v>
      </c>
      <c r="C279" s="17">
        <v>19.579999999999998</v>
      </c>
      <c r="D279" s="18">
        <v>2</v>
      </c>
      <c r="E279" s="50">
        <v>0</v>
      </c>
      <c r="F279" s="16">
        <v>9.7899999999999991</v>
      </c>
      <c r="G279" s="51">
        <v>3.86</v>
      </c>
    </row>
    <row r="280" spans="1:7" x14ac:dyDescent="0.2">
      <c r="A280" s="21" t="s">
        <v>285</v>
      </c>
      <c r="B280" s="26">
        <v>1</v>
      </c>
      <c r="C280" s="25">
        <v>18.54</v>
      </c>
      <c r="D280" s="26">
        <v>1</v>
      </c>
      <c r="E280" s="55">
        <v>0</v>
      </c>
      <c r="F280" s="24">
        <v>18.54</v>
      </c>
      <c r="G280" s="56">
        <v>0</v>
      </c>
    </row>
    <row r="281" spans="1:7" x14ac:dyDescent="0.2">
      <c r="A281" s="13" t="s">
        <v>286</v>
      </c>
      <c r="B281" s="18">
        <v>1</v>
      </c>
      <c r="C281" s="17">
        <v>17.88</v>
      </c>
      <c r="D281" s="18">
        <v>1</v>
      </c>
      <c r="E281" s="50">
        <v>0</v>
      </c>
      <c r="F281" s="16">
        <v>17.88</v>
      </c>
      <c r="G281" s="51">
        <v>0</v>
      </c>
    </row>
    <row r="282" spans="1:7" x14ac:dyDescent="0.2">
      <c r="A282" s="21" t="s">
        <v>287</v>
      </c>
      <c r="B282" s="26">
        <v>2</v>
      </c>
      <c r="C282" s="25">
        <v>14.15</v>
      </c>
      <c r="D282" s="26">
        <v>1</v>
      </c>
      <c r="E282" s="55">
        <v>0</v>
      </c>
      <c r="F282" s="24">
        <v>14.15</v>
      </c>
      <c r="G282" s="56">
        <v>3.74</v>
      </c>
    </row>
    <row r="283" spans="1:7" x14ac:dyDescent="0.2">
      <c r="A283" s="13" t="s">
        <v>288</v>
      </c>
      <c r="B283" s="18">
        <v>3</v>
      </c>
      <c r="C283" s="17">
        <v>12.34</v>
      </c>
      <c r="D283" s="18">
        <v>1</v>
      </c>
      <c r="E283" s="50">
        <v>0</v>
      </c>
      <c r="F283" s="16">
        <v>12.34</v>
      </c>
      <c r="G283" s="51">
        <v>4.29</v>
      </c>
    </row>
    <row r="284" spans="1:7" x14ac:dyDescent="0.2">
      <c r="A284" s="21" t="s">
        <v>289</v>
      </c>
      <c r="B284" s="26">
        <v>12</v>
      </c>
      <c r="C284" s="25">
        <v>8.58</v>
      </c>
      <c r="D284" s="26">
        <v>1</v>
      </c>
      <c r="E284" s="55">
        <v>0</v>
      </c>
      <c r="F284" s="24">
        <v>8.58</v>
      </c>
      <c r="G284" s="56">
        <v>2.15</v>
      </c>
    </row>
    <row r="285" spans="1:7" x14ac:dyDescent="0.2">
      <c r="A285" s="13" t="s">
        <v>290</v>
      </c>
      <c r="B285" s="18">
        <v>1</v>
      </c>
      <c r="C285" s="17">
        <v>0</v>
      </c>
      <c r="D285" s="18">
        <v>0</v>
      </c>
      <c r="E285" s="50">
        <v>0</v>
      </c>
      <c r="F285" s="16">
        <v>0</v>
      </c>
      <c r="G285" s="51">
        <v>5</v>
      </c>
    </row>
    <row r="286" spans="1:7" x14ac:dyDescent="0.2">
      <c r="A286" s="21" t="s">
        <v>291</v>
      </c>
      <c r="B286" s="26">
        <v>1</v>
      </c>
      <c r="C286" s="25">
        <v>0</v>
      </c>
      <c r="D286" s="26">
        <v>0</v>
      </c>
      <c r="E286" s="55">
        <v>0</v>
      </c>
      <c r="F286" s="24">
        <v>0</v>
      </c>
      <c r="G286" s="56">
        <v>5</v>
      </c>
    </row>
    <row r="287" spans="1:7" x14ac:dyDescent="0.2">
      <c r="A287" s="13" t="s">
        <v>292</v>
      </c>
      <c r="B287" s="18">
        <v>1</v>
      </c>
      <c r="C287" s="17">
        <v>0</v>
      </c>
      <c r="D287" s="18">
        <v>0</v>
      </c>
      <c r="E287" s="50">
        <v>0</v>
      </c>
      <c r="F287" s="16">
        <v>0</v>
      </c>
      <c r="G287" s="51">
        <v>5</v>
      </c>
    </row>
    <row r="288" spans="1:7" x14ac:dyDescent="0.2">
      <c r="A288" s="21" t="s">
        <v>293</v>
      </c>
      <c r="B288" s="26">
        <v>1</v>
      </c>
      <c r="C288" s="25">
        <v>0</v>
      </c>
      <c r="D288" s="26">
        <v>0</v>
      </c>
      <c r="E288" s="55">
        <v>0</v>
      </c>
      <c r="F288" s="24">
        <v>0</v>
      </c>
      <c r="G288" s="56">
        <v>2.9</v>
      </c>
    </row>
    <row r="289" spans="1:7" x14ac:dyDescent="0.2">
      <c r="A289" s="13" t="s">
        <v>294</v>
      </c>
      <c r="B289" s="18">
        <v>4</v>
      </c>
      <c r="C289" s="17">
        <v>0</v>
      </c>
      <c r="D289" s="18">
        <v>0</v>
      </c>
      <c r="E289" s="50">
        <v>0</v>
      </c>
      <c r="F289" s="16">
        <v>0</v>
      </c>
      <c r="G289" s="51">
        <v>0</v>
      </c>
    </row>
    <row r="290" spans="1:7" x14ac:dyDescent="0.2">
      <c r="A290" s="21" t="s">
        <v>295</v>
      </c>
      <c r="B290" s="26">
        <v>1</v>
      </c>
      <c r="C290" s="25">
        <v>0</v>
      </c>
      <c r="D290" s="26">
        <v>0</v>
      </c>
      <c r="E290" s="55">
        <v>0</v>
      </c>
      <c r="F290" s="24">
        <v>0</v>
      </c>
      <c r="G290" s="56">
        <v>0</v>
      </c>
    </row>
    <row r="291" spans="1:7" x14ac:dyDescent="0.2">
      <c r="A291" s="13" t="s">
        <v>296</v>
      </c>
      <c r="B291" s="18">
        <v>1</v>
      </c>
      <c r="C291" s="17">
        <v>0</v>
      </c>
      <c r="D291" s="18">
        <v>0</v>
      </c>
      <c r="E291" s="50">
        <v>0</v>
      </c>
      <c r="F291" s="16">
        <v>0</v>
      </c>
      <c r="G291" s="51">
        <v>4.2</v>
      </c>
    </row>
    <row r="292" spans="1:7" x14ac:dyDescent="0.2">
      <c r="A292" s="21" t="s">
        <v>297</v>
      </c>
      <c r="B292" s="26">
        <v>1</v>
      </c>
      <c r="C292" s="25">
        <v>0</v>
      </c>
      <c r="D292" s="26">
        <v>0</v>
      </c>
      <c r="E292" s="55">
        <v>0</v>
      </c>
      <c r="F292" s="24">
        <v>0</v>
      </c>
      <c r="G292" s="56">
        <v>4.2</v>
      </c>
    </row>
    <row r="293" spans="1:7" x14ac:dyDescent="0.2">
      <c r="A293" s="13" t="s">
        <v>298</v>
      </c>
      <c r="B293" s="18">
        <v>7</v>
      </c>
      <c r="C293" s="17">
        <v>0</v>
      </c>
      <c r="D293" s="18">
        <v>0</v>
      </c>
      <c r="E293" s="50">
        <v>0</v>
      </c>
      <c r="F293" s="16">
        <v>0</v>
      </c>
      <c r="G293" s="51">
        <v>4.2</v>
      </c>
    </row>
    <row r="294" spans="1:7" x14ac:dyDescent="0.2">
      <c r="A294" s="21" t="s">
        <v>299</v>
      </c>
      <c r="B294" s="26">
        <v>1</v>
      </c>
      <c r="C294" s="25">
        <v>0</v>
      </c>
      <c r="D294" s="26">
        <v>0</v>
      </c>
      <c r="E294" s="55">
        <v>0</v>
      </c>
      <c r="F294" s="24">
        <v>0</v>
      </c>
      <c r="G294" s="56">
        <v>3.9</v>
      </c>
    </row>
    <row r="295" spans="1:7" x14ac:dyDescent="0.2">
      <c r="A295" s="13" t="s">
        <v>300</v>
      </c>
      <c r="B295" s="18">
        <v>1</v>
      </c>
      <c r="C295" s="17">
        <v>0</v>
      </c>
      <c r="D295" s="18">
        <v>0</v>
      </c>
      <c r="E295" s="50">
        <v>0</v>
      </c>
      <c r="F295" s="16">
        <v>0</v>
      </c>
      <c r="G295" s="51">
        <v>4.4000000000000004</v>
      </c>
    </row>
    <row r="296" spans="1:7" x14ac:dyDescent="0.2">
      <c r="A296" s="21" t="s">
        <v>301</v>
      </c>
      <c r="B296" s="26">
        <v>1</v>
      </c>
      <c r="C296" s="25">
        <v>0</v>
      </c>
      <c r="D296" s="26">
        <v>0</v>
      </c>
      <c r="E296" s="55">
        <v>0</v>
      </c>
      <c r="F296" s="24">
        <v>0</v>
      </c>
      <c r="G296" s="56">
        <v>4.0999999999999996</v>
      </c>
    </row>
    <row r="297" spans="1:7" x14ac:dyDescent="0.2">
      <c r="A297" s="13" t="s">
        <v>302</v>
      </c>
      <c r="B297" s="18">
        <v>1</v>
      </c>
      <c r="C297" s="17">
        <v>0</v>
      </c>
      <c r="D297" s="18">
        <v>0</v>
      </c>
      <c r="E297" s="50">
        <v>0</v>
      </c>
      <c r="F297" s="16">
        <v>0</v>
      </c>
      <c r="G297" s="51">
        <v>0</v>
      </c>
    </row>
    <row r="298" spans="1:7" x14ac:dyDescent="0.2">
      <c r="A298" s="21" t="s">
        <v>303</v>
      </c>
      <c r="B298" s="26">
        <v>1</v>
      </c>
      <c r="C298" s="25">
        <v>0</v>
      </c>
      <c r="D298" s="26">
        <v>0</v>
      </c>
      <c r="E298" s="55">
        <v>0</v>
      </c>
      <c r="F298" s="24">
        <v>0</v>
      </c>
      <c r="G298" s="56">
        <v>4.7</v>
      </c>
    </row>
    <row r="299" spans="1:7" x14ac:dyDescent="0.2">
      <c r="A299" s="13" t="s">
        <v>304</v>
      </c>
      <c r="B299" s="18">
        <v>1</v>
      </c>
      <c r="C299" s="17">
        <v>0</v>
      </c>
      <c r="D299" s="18">
        <v>0</v>
      </c>
      <c r="E299" s="50">
        <v>0</v>
      </c>
      <c r="F299" s="16">
        <v>0</v>
      </c>
      <c r="G299" s="51">
        <v>3.7</v>
      </c>
    </row>
    <row r="300" spans="1:7" x14ac:dyDescent="0.2">
      <c r="A300" s="21" t="s">
        <v>305</v>
      </c>
      <c r="B300" s="26">
        <v>1</v>
      </c>
      <c r="C300" s="25">
        <v>0</v>
      </c>
      <c r="D300" s="26">
        <v>0</v>
      </c>
      <c r="E300" s="55">
        <v>0</v>
      </c>
      <c r="F300" s="24">
        <v>0</v>
      </c>
      <c r="G300" s="56">
        <v>3.7</v>
      </c>
    </row>
    <row r="301" spans="1:7" x14ac:dyDescent="0.2">
      <c r="A301" s="13" t="s">
        <v>306</v>
      </c>
      <c r="B301" s="18">
        <v>1</v>
      </c>
      <c r="C301" s="17">
        <v>0</v>
      </c>
      <c r="D301" s="18">
        <v>0</v>
      </c>
      <c r="E301" s="50">
        <v>0</v>
      </c>
      <c r="F301" s="16">
        <v>0</v>
      </c>
      <c r="G301" s="51">
        <v>4.2</v>
      </c>
    </row>
    <row r="302" spans="1:7" x14ac:dyDescent="0.2">
      <c r="A302" s="21" t="s">
        <v>307</v>
      </c>
      <c r="B302" s="26">
        <v>5</v>
      </c>
      <c r="C302" s="25">
        <v>0</v>
      </c>
      <c r="D302" s="26">
        <v>0</v>
      </c>
      <c r="E302" s="55">
        <v>0</v>
      </c>
      <c r="F302" s="24">
        <v>0</v>
      </c>
      <c r="G302" s="56">
        <v>1</v>
      </c>
    </row>
    <row r="303" spans="1:7" x14ac:dyDescent="0.2">
      <c r="A303" s="13" t="s">
        <v>308</v>
      </c>
      <c r="B303" s="18">
        <v>1</v>
      </c>
      <c r="C303" s="17">
        <v>0</v>
      </c>
      <c r="D303" s="18">
        <v>0</v>
      </c>
      <c r="E303" s="50">
        <v>0</v>
      </c>
      <c r="F303" s="16">
        <v>0</v>
      </c>
      <c r="G303" s="51">
        <v>3.2</v>
      </c>
    </row>
    <row r="304" spans="1:7" x14ac:dyDescent="0.2">
      <c r="A304" s="21" t="s">
        <v>309</v>
      </c>
      <c r="B304" s="26">
        <v>1</v>
      </c>
      <c r="C304" s="25">
        <v>0</v>
      </c>
      <c r="D304" s="26">
        <v>0</v>
      </c>
      <c r="E304" s="55">
        <v>0</v>
      </c>
      <c r="F304" s="24">
        <v>0</v>
      </c>
      <c r="G304" s="56">
        <v>4</v>
      </c>
    </row>
    <row r="305" spans="1:7" x14ac:dyDescent="0.2">
      <c r="A305" s="13" t="s">
        <v>310</v>
      </c>
      <c r="B305" s="18">
        <v>1</v>
      </c>
      <c r="C305" s="17">
        <v>0</v>
      </c>
      <c r="D305" s="18">
        <v>0</v>
      </c>
      <c r="E305" s="50">
        <v>0</v>
      </c>
      <c r="F305" s="16">
        <v>0</v>
      </c>
      <c r="G305" s="51">
        <v>4.7</v>
      </c>
    </row>
    <row r="306" spans="1:7" x14ac:dyDescent="0.2">
      <c r="A306" s="21" t="s">
        <v>311</v>
      </c>
      <c r="B306" s="26">
        <v>4</v>
      </c>
      <c r="C306" s="25">
        <v>0</v>
      </c>
      <c r="D306" s="26">
        <v>0</v>
      </c>
      <c r="E306" s="55">
        <v>0</v>
      </c>
      <c r="F306" s="24">
        <v>0</v>
      </c>
      <c r="G306" s="56">
        <v>4.01</v>
      </c>
    </row>
    <row r="307" spans="1:7" x14ac:dyDescent="0.2">
      <c r="A307" s="13" t="s">
        <v>312</v>
      </c>
      <c r="B307" s="18">
        <v>2</v>
      </c>
      <c r="C307" s="17">
        <v>0</v>
      </c>
      <c r="D307" s="18">
        <v>0</v>
      </c>
      <c r="E307" s="50">
        <v>0</v>
      </c>
      <c r="F307" s="16">
        <v>0</v>
      </c>
      <c r="G307" s="51">
        <v>3.7</v>
      </c>
    </row>
    <row r="308" spans="1:7" x14ac:dyDescent="0.2">
      <c r="A308" s="21" t="s">
        <v>313</v>
      </c>
      <c r="B308" s="26">
        <v>2</v>
      </c>
      <c r="C308" s="25">
        <v>0</v>
      </c>
      <c r="D308" s="26">
        <v>0</v>
      </c>
      <c r="E308" s="55">
        <v>0</v>
      </c>
      <c r="F308" s="24">
        <v>0</v>
      </c>
      <c r="G308" s="56">
        <v>4.0999999999999996</v>
      </c>
    </row>
    <row r="309" spans="1:7" x14ac:dyDescent="0.2">
      <c r="A309" s="13" t="s">
        <v>314</v>
      </c>
      <c r="B309" s="18">
        <v>1</v>
      </c>
      <c r="C309" s="17">
        <v>0</v>
      </c>
      <c r="D309" s="18">
        <v>0</v>
      </c>
      <c r="E309" s="50">
        <v>0</v>
      </c>
      <c r="F309" s="16">
        <v>0</v>
      </c>
      <c r="G309" s="51">
        <v>3.8</v>
      </c>
    </row>
    <row r="310" spans="1:7" x14ac:dyDescent="0.2">
      <c r="A310" s="21" t="s">
        <v>315</v>
      </c>
      <c r="B310" s="26">
        <v>4</v>
      </c>
      <c r="C310" s="25">
        <v>0</v>
      </c>
      <c r="D310" s="26">
        <v>0</v>
      </c>
      <c r="E310" s="55">
        <v>0</v>
      </c>
      <c r="F310" s="24">
        <v>0</v>
      </c>
      <c r="G310" s="56">
        <v>2.75</v>
      </c>
    </row>
    <row r="311" spans="1:7" x14ac:dyDescent="0.2">
      <c r="A311" s="13" t="s">
        <v>316</v>
      </c>
      <c r="B311" s="18">
        <v>4</v>
      </c>
      <c r="C311" s="17">
        <v>0</v>
      </c>
      <c r="D311" s="18">
        <v>0</v>
      </c>
      <c r="E311" s="50">
        <v>0</v>
      </c>
      <c r="F311" s="16">
        <v>0</v>
      </c>
      <c r="G311" s="51">
        <v>4.45</v>
      </c>
    </row>
    <row r="312" spans="1:7" x14ac:dyDescent="0.2">
      <c r="A312" s="21" t="s">
        <v>317</v>
      </c>
      <c r="B312" s="26">
        <v>1</v>
      </c>
      <c r="C312" s="25">
        <v>0</v>
      </c>
      <c r="D312" s="26">
        <v>0</v>
      </c>
      <c r="E312" s="55">
        <v>0</v>
      </c>
      <c r="F312" s="24">
        <v>0</v>
      </c>
      <c r="G312" s="56">
        <v>3.2</v>
      </c>
    </row>
    <row r="313" spans="1:7" x14ac:dyDescent="0.2">
      <c r="A313" s="13" t="s">
        <v>318</v>
      </c>
      <c r="B313" s="18">
        <v>2</v>
      </c>
      <c r="C313" s="17">
        <v>0</v>
      </c>
      <c r="D313" s="18">
        <v>0</v>
      </c>
      <c r="E313" s="50">
        <v>0</v>
      </c>
      <c r="F313" s="16">
        <v>0</v>
      </c>
      <c r="G313" s="51">
        <v>0</v>
      </c>
    </row>
    <row r="314" spans="1:7" x14ac:dyDescent="0.2">
      <c r="A314" s="21" t="s">
        <v>319</v>
      </c>
      <c r="B314" s="26">
        <v>1</v>
      </c>
      <c r="C314" s="25">
        <v>0</v>
      </c>
      <c r="D314" s="26">
        <v>0</v>
      </c>
      <c r="E314" s="55">
        <v>0</v>
      </c>
      <c r="F314" s="24">
        <v>0</v>
      </c>
      <c r="G314" s="56">
        <v>5</v>
      </c>
    </row>
    <row r="315" spans="1:7" x14ac:dyDescent="0.2">
      <c r="A315" s="13" t="s">
        <v>320</v>
      </c>
      <c r="B315" s="18">
        <v>1</v>
      </c>
      <c r="C315" s="17">
        <v>0</v>
      </c>
      <c r="D315" s="18">
        <v>0</v>
      </c>
      <c r="E315" s="50">
        <v>0</v>
      </c>
      <c r="F315" s="16">
        <v>0</v>
      </c>
      <c r="G315" s="51">
        <v>4</v>
      </c>
    </row>
    <row r="316" spans="1:7" x14ac:dyDescent="0.2">
      <c r="A316" s="21" t="s">
        <v>321</v>
      </c>
      <c r="B316" s="26">
        <v>1</v>
      </c>
      <c r="C316" s="25">
        <v>0</v>
      </c>
      <c r="D316" s="26">
        <v>0</v>
      </c>
      <c r="E316" s="55">
        <v>0</v>
      </c>
      <c r="F316" s="24">
        <v>0</v>
      </c>
      <c r="G316" s="56">
        <v>3.5</v>
      </c>
    </row>
    <row r="317" spans="1:7" x14ac:dyDescent="0.2">
      <c r="A317" s="13" t="s">
        <v>322</v>
      </c>
      <c r="B317" s="18">
        <v>1</v>
      </c>
      <c r="C317" s="17">
        <v>0</v>
      </c>
      <c r="D317" s="18">
        <v>0</v>
      </c>
      <c r="E317" s="50">
        <v>0</v>
      </c>
      <c r="F317" s="16">
        <v>0</v>
      </c>
      <c r="G317" s="51">
        <v>5</v>
      </c>
    </row>
    <row r="318" spans="1:7" x14ac:dyDescent="0.2">
      <c r="A318" s="21" t="s">
        <v>323</v>
      </c>
      <c r="B318" s="26">
        <v>1</v>
      </c>
      <c r="C318" s="25">
        <v>0</v>
      </c>
      <c r="D318" s="26">
        <v>0</v>
      </c>
      <c r="E318" s="55">
        <v>0</v>
      </c>
      <c r="F318" s="24">
        <v>0</v>
      </c>
      <c r="G318" s="56">
        <v>0</v>
      </c>
    </row>
    <row r="319" spans="1:7" x14ac:dyDescent="0.2">
      <c r="A319" s="13" t="s">
        <v>324</v>
      </c>
      <c r="B319" s="18">
        <v>1</v>
      </c>
      <c r="C319" s="17">
        <v>0</v>
      </c>
      <c r="D319" s="18">
        <v>0</v>
      </c>
      <c r="E319" s="50">
        <v>0</v>
      </c>
      <c r="F319" s="16">
        <v>0</v>
      </c>
      <c r="G319" s="51">
        <v>3.7</v>
      </c>
    </row>
    <row r="320" spans="1:7" x14ac:dyDescent="0.2">
      <c r="A320" s="21" t="s">
        <v>325</v>
      </c>
      <c r="B320" s="26">
        <v>1</v>
      </c>
      <c r="C320" s="25">
        <v>0</v>
      </c>
      <c r="D320" s="26">
        <v>0</v>
      </c>
      <c r="E320" s="55">
        <v>0</v>
      </c>
      <c r="F320" s="24">
        <v>0</v>
      </c>
      <c r="G320" s="56">
        <v>2.7</v>
      </c>
    </row>
    <row r="321" spans="1:7" x14ac:dyDescent="0.2">
      <c r="A321" s="13" t="s">
        <v>326</v>
      </c>
      <c r="B321" s="18">
        <v>1</v>
      </c>
      <c r="C321" s="17">
        <v>0</v>
      </c>
      <c r="D321" s="18">
        <v>0</v>
      </c>
      <c r="E321" s="50">
        <v>0</v>
      </c>
      <c r="F321" s="16">
        <v>0</v>
      </c>
      <c r="G321" s="51">
        <v>2</v>
      </c>
    </row>
    <row r="322" spans="1:7" x14ac:dyDescent="0.2">
      <c r="A322" s="21" t="s">
        <v>327</v>
      </c>
      <c r="B322" s="26">
        <v>2</v>
      </c>
      <c r="C322" s="25">
        <v>0</v>
      </c>
      <c r="D322" s="26">
        <v>0</v>
      </c>
      <c r="E322" s="55">
        <v>0</v>
      </c>
      <c r="F322" s="24">
        <v>0</v>
      </c>
      <c r="G322" s="56">
        <v>4.0599999999999996</v>
      </c>
    </row>
    <row r="323" spans="1:7" x14ac:dyDescent="0.2">
      <c r="A323" s="13" t="s">
        <v>328</v>
      </c>
      <c r="B323" s="18">
        <v>4</v>
      </c>
      <c r="C323" s="17">
        <v>0</v>
      </c>
      <c r="D323" s="18">
        <v>0</v>
      </c>
      <c r="E323" s="50">
        <v>0</v>
      </c>
      <c r="F323" s="16">
        <v>0</v>
      </c>
      <c r="G323" s="51">
        <v>4.0999999999999996</v>
      </c>
    </row>
    <row r="324" spans="1:7" x14ac:dyDescent="0.2">
      <c r="A324" s="21" t="s">
        <v>329</v>
      </c>
      <c r="B324" s="26">
        <v>1</v>
      </c>
      <c r="C324" s="25">
        <v>0</v>
      </c>
      <c r="D324" s="26">
        <v>0</v>
      </c>
      <c r="E324" s="55">
        <v>0</v>
      </c>
      <c r="F324" s="24">
        <v>0</v>
      </c>
      <c r="G324" s="56">
        <v>5</v>
      </c>
    </row>
    <row r="325" spans="1:7" x14ac:dyDescent="0.2">
      <c r="A325" s="13" t="s">
        <v>330</v>
      </c>
      <c r="B325" s="18">
        <v>2</v>
      </c>
      <c r="C325" s="17">
        <v>0</v>
      </c>
      <c r="D325" s="18">
        <v>0</v>
      </c>
      <c r="E325" s="50">
        <v>0</v>
      </c>
      <c r="F325" s="16">
        <v>0</v>
      </c>
      <c r="G325" s="51">
        <v>4.5199999999999996</v>
      </c>
    </row>
    <row r="326" spans="1:7" x14ac:dyDescent="0.2">
      <c r="A326" s="21" t="s">
        <v>331</v>
      </c>
      <c r="B326" s="26">
        <v>1</v>
      </c>
      <c r="C326" s="25">
        <v>0</v>
      </c>
      <c r="D326" s="26">
        <v>0</v>
      </c>
      <c r="E326" s="55">
        <v>0</v>
      </c>
      <c r="F326" s="24">
        <v>0</v>
      </c>
      <c r="G326" s="56">
        <v>3.6</v>
      </c>
    </row>
    <row r="327" spans="1:7" x14ac:dyDescent="0.2">
      <c r="A327" s="13" t="s">
        <v>332</v>
      </c>
      <c r="B327" s="18">
        <v>1</v>
      </c>
      <c r="C327" s="17">
        <v>0</v>
      </c>
      <c r="D327" s="18">
        <v>0</v>
      </c>
      <c r="E327" s="50">
        <v>0</v>
      </c>
      <c r="F327" s="16">
        <v>0</v>
      </c>
      <c r="G327" s="51">
        <v>3.5</v>
      </c>
    </row>
    <row r="328" spans="1:7" x14ac:dyDescent="0.2">
      <c r="A328" s="21" t="s">
        <v>333</v>
      </c>
      <c r="B328" s="26">
        <v>4</v>
      </c>
      <c r="C328" s="25">
        <v>0</v>
      </c>
      <c r="D328" s="26">
        <v>0</v>
      </c>
      <c r="E328" s="55">
        <v>0</v>
      </c>
      <c r="F328" s="24">
        <v>0</v>
      </c>
      <c r="G328" s="56">
        <v>0</v>
      </c>
    </row>
    <row r="329" spans="1:7" x14ac:dyDescent="0.2">
      <c r="A329" s="13" t="s">
        <v>334</v>
      </c>
      <c r="B329" s="18">
        <v>1</v>
      </c>
      <c r="C329" s="17">
        <v>0</v>
      </c>
      <c r="D329" s="18">
        <v>0</v>
      </c>
      <c r="E329" s="50">
        <v>0</v>
      </c>
      <c r="F329" s="16">
        <v>0</v>
      </c>
      <c r="G329" s="51">
        <v>4</v>
      </c>
    </row>
    <row r="330" spans="1:7" x14ac:dyDescent="0.2">
      <c r="A330" s="21" t="s">
        <v>335</v>
      </c>
      <c r="B330" s="26">
        <v>1</v>
      </c>
      <c r="C330" s="25">
        <v>0</v>
      </c>
      <c r="D330" s="26">
        <v>0</v>
      </c>
      <c r="E330" s="55">
        <v>0</v>
      </c>
      <c r="F330" s="24">
        <v>0</v>
      </c>
      <c r="G330" s="56">
        <v>0</v>
      </c>
    </row>
    <row r="331" spans="1:7" x14ac:dyDescent="0.2">
      <c r="A331" s="13" t="s">
        <v>336</v>
      </c>
      <c r="B331" s="18">
        <v>4</v>
      </c>
      <c r="C331" s="17">
        <v>0</v>
      </c>
      <c r="D331" s="18">
        <v>0</v>
      </c>
      <c r="E331" s="50">
        <v>0</v>
      </c>
      <c r="F331" s="16">
        <v>0</v>
      </c>
      <c r="G331" s="51">
        <v>0</v>
      </c>
    </row>
    <row r="332" spans="1:7" x14ac:dyDescent="0.2">
      <c r="A332" s="21" t="s">
        <v>337</v>
      </c>
      <c r="B332" s="26">
        <v>2</v>
      </c>
      <c r="C332" s="25">
        <v>0</v>
      </c>
      <c r="D332" s="26">
        <v>0</v>
      </c>
      <c r="E332" s="55">
        <v>0</v>
      </c>
      <c r="F332" s="24">
        <v>0</v>
      </c>
      <c r="G332" s="56">
        <v>3.51</v>
      </c>
    </row>
    <row r="333" spans="1:7" x14ac:dyDescent="0.2">
      <c r="A333" s="13" t="s">
        <v>338</v>
      </c>
      <c r="B333" s="18">
        <v>3</v>
      </c>
      <c r="C333" s="17">
        <v>0</v>
      </c>
      <c r="D333" s="18">
        <v>0</v>
      </c>
      <c r="E333" s="50">
        <v>0</v>
      </c>
      <c r="F333" s="16">
        <v>0</v>
      </c>
      <c r="G333" s="51">
        <v>3.5</v>
      </c>
    </row>
    <row r="334" spans="1:7" x14ac:dyDescent="0.2">
      <c r="A334" s="21" t="s">
        <v>339</v>
      </c>
      <c r="B334" s="26">
        <v>1</v>
      </c>
      <c r="C334" s="25">
        <v>0</v>
      </c>
      <c r="D334" s="26">
        <v>0</v>
      </c>
      <c r="E334" s="55">
        <v>0</v>
      </c>
      <c r="F334" s="24">
        <v>0</v>
      </c>
      <c r="G334" s="56">
        <v>4.3</v>
      </c>
    </row>
    <row r="335" spans="1:7" x14ac:dyDescent="0.2">
      <c r="A335" s="13" t="s">
        <v>340</v>
      </c>
      <c r="B335" s="18">
        <v>1</v>
      </c>
      <c r="C335" s="17">
        <v>0</v>
      </c>
      <c r="D335" s="18">
        <v>0</v>
      </c>
      <c r="E335" s="50">
        <v>0</v>
      </c>
      <c r="F335" s="16">
        <v>0</v>
      </c>
      <c r="G335" s="51">
        <v>4.0999999999999996</v>
      </c>
    </row>
    <row r="336" spans="1:7" x14ac:dyDescent="0.2">
      <c r="A336" s="21" t="s">
        <v>341</v>
      </c>
      <c r="B336" s="26">
        <v>5</v>
      </c>
      <c r="C336" s="25">
        <v>0</v>
      </c>
      <c r="D336" s="26">
        <v>0</v>
      </c>
      <c r="E336" s="55">
        <v>0</v>
      </c>
      <c r="F336" s="24">
        <v>0</v>
      </c>
      <c r="G336" s="56">
        <v>2.44</v>
      </c>
    </row>
    <row r="337" spans="1:7" x14ac:dyDescent="0.2">
      <c r="A337" s="13" t="s">
        <v>342</v>
      </c>
      <c r="B337" s="18">
        <v>1</v>
      </c>
      <c r="C337" s="17">
        <v>0</v>
      </c>
      <c r="D337" s="18">
        <v>0</v>
      </c>
      <c r="E337" s="50">
        <v>0</v>
      </c>
      <c r="F337" s="16">
        <v>0</v>
      </c>
      <c r="G337" s="51">
        <v>5</v>
      </c>
    </row>
    <row r="338" spans="1:7" x14ac:dyDescent="0.2">
      <c r="A338" s="21" t="s">
        <v>343</v>
      </c>
      <c r="B338" s="26">
        <v>2</v>
      </c>
      <c r="C338" s="25">
        <v>0</v>
      </c>
      <c r="D338" s="26">
        <v>0</v>
      </c>
      <c r="E338" s="55">
        <v>0</v>
      </c>
      <c r="F338" s="24">
        <v>0</v>
      </c>
      <c r="G338" s="56">
        <v>0</v>
      </c>
    </row>
    <row r="339" spans="1:7" x14ac:dyDescent="0.2">
      <c r="A339" s="13" t="s">
        <v>344</v>
      </c>
      <c r="B339" s="18">
        <v>1</v>
      </c>
      <c r="C339" s="17">
        <v>0</v>
      </c>
      <c r="D339" s="18">
        <v>0</v>
      </c>
      <c r="E339" s="50">
        <v>0</v>
      </c>
      <c r="F339" s="16">
        <v>0</v>
      </c>
      <c r="G339" s="51">
        <v>3.5</v>
      </c>
    </row>
    <row r="340" spans="1:7" x14ac:dyDescent="0.2">
      <c r="A340" s="21" t="s">
        <v>345</v>
      </c>
      <c r="B340" s="26">
        <v>1</v>
      </c>
      <c r="C340" s="25">
        <v>0</v>
      </c>
      <c r="D340" s="26">
        <v>0</v>
      </c>
      <c r="E340" s="55">
        <v>0</v>
      </c>
      <c r="F340" s="24">
        <v>0</v>
      </c>
      <c r="G340" s="56">
        <v>3.4</v>
      </c>
    </row>
    <row r="341" spans="1:7" x14ac:dyDescent="0.2">
      <c r="A341" s="13" t="s">
        <v>346</v>
      </c>
      <c r="B341" s="18">
        <v>2</v>
      </c>
      <c r="C341" s="17">
        <v>0</v>
      </c>
      <c r="D341" s="18">
        <v>0</v>
      </c>
      <c r="E341" s="50">
        <v>0</v>
      </c>
      <c r="F341" s="16">
        <v>0</v>
      </c>
      <c r="G341" s="51">
        <v>2.5</v>
      </c>
    </row>
    <row r="342" spans="1:7" x14ac:dyDescent="0.2">
      <c r="A342" s="21" t="s">
        <v>347</v>
      </c>
      <c r="B342" s="26">
        <v>1</v>
      </c>
      <c r="C342" s="25">
        <v>0</v>
      </c>
      <c r="D342" s="26">
        <v>0</v>
      </c>
      <c r="E342" s="55">
        <v>0</v>
      </c>
      <c r="F342" s="24">
        <v>0</v>
      </c>
      <c r="G342" s="56">
        <v>3.5</v>
      </c>
    </row>
    <row r="343" spans="1:7" x14ac:dyDescent="0.2">
      <c r="A343" s="13" t="s">
        <v>348</v>
      </c>
      <c r="B343" s="18">
        <v>1</v>
      </c>
      <c r="C343" s="17">
        <v>0</v>
      </c>
      <c r="D343" s="18">
        <v>0</v>
      </c>
      <c r="E343" s="50">
        <v>0</v>
      </c>
      <c r="F343" s="16">
        <v>0</v>
      </c>
      <c r="G343" s="51">
        <v>3.3</v>
      </c>
    </row>
    <row r="344" spans="1:7" x14ac:dyDescent="0.2">
      <c r="A344" s="21" t="s">
        <v>349</v>
      </c>
      <c r="B344" s="26">
        <v>1</v>
      </c>
      <c r="C344" s="25">
        <v>0</v>
      </c>
      <c r="D344" s="26">
        <v>0</v>
      </c>
      <c r="E344" s="55">
        <v>0</v>
      </c>
      <c r="F344" s="24">
        <v>0</v>
      </c>
      <c r="G344" s="56">
        <v>0</v>
      </c>
    </row>
    <row r="345" spans="1:7" x14ac:dyDescent="0.2">
      <c r="A345" s="13" t="s">
        <v>350</v>
      </c>
      <c r="B345" s="18">
        <v>1</v>
      </c>
      <c r="C345" s="17">
        <v>0</v>
      </c>
      <c r="D345" s="18">
        <v>0</v>
      </c>
      <c r="E345" s="50">
        <v>0</v>
      </c>
      <c r="F345" s="16">
        <v>0</v>
      </c>
      <c r="G345" s="51">
        <v>4.5999999999999996</v>
      </c>
    </row>
    <row r="346" spans="1:7" x14ac:dyDescent="0.2">
      <c r="A346" s="21" t="s">
        <v>351</v>
      </c>
      <c r="B346" s="26">
        <v>1</v>
      </c>
      <c r="C346" s="25">
        <v>0</v>
      </c>
      <c r="D346" s="26">
        <v>0</v>
      </c>
      <c r="E346" s="55">
        <v>0</v>
      </c>
      <c r="F346" s="24">
        <v>0</v>
      </c>
      <c r="G346" s="56">
        <v>0</v>
      </c>
    </row>
    <row r="347" spans="1:7" x14ac:dyDescent="0.2">
      <c r="A347" s="13" t="s">
        <v>352</v>
      </c>
      <c r="B347" s="18">
        <v>1</v>
      </c>
      <c r="C347" s="17">
        <v>0</v>
      </c>
      <c r="D347" s="18">
        <v>0</v>
      </c>
      <c r="E347" s="50">
        <v>0</v>
      </c>
      <c r="F347" s="16">
        <v>0</v>
      </c>
      <c r="G347" s="51">
        <v>3</v>
      </c>
    </row>
    <row r="348" spans="1:7" x14ac:dyDescent="0.2">
      <c r="A348" s="21" t="s">
        <v>353</v>
      </c>
      <c r="B348" s="26">
        <v>1</v>
      </c>
      <c r="C348" s="25">
        <v>0</v>
      </c>
      <c r="D348" s="26">
        <v>0</v>
      </c>
      <c r="E348" s="55">
        <v>0</v>
      </c>
      <c r="F348" s="24">
        <v>0</v>
      </c>
      <c r="G348" s="56">
        <v>1</v>
      </c>
    </row>
    <row r="349" spans="1:7" x14ac:dyDescent="0.2">
      <c r="A349" s="13" t="s">
        <v>354</v>
      </c>
      <c r="B349" s="18">
        <v>2</v>
      </c>
      <c r="C349" s="17">
        <v>0</v>
      </c>
      <c r="D349" s="18">
        <v>0</v>
      </c>
      <c r="E349" s="50">
        <v>0</v>
      </c>
      <c r="F349" s="16">
        <v>0</v>
      </c>
      <c r="G349" s="51">
        <v>3.33</v>
      </c>
    </row>
    <row r="350" spans="1:7" x14ac:dyDescent="0.2">
      <c r="A350" s="21" t="s">
        <v>355</v>
      </c>
      <c r="B350" s="26">
        <v>2</v>
      </c>
      <c r="C350" s="25">
        <v>0</v>
      </c>
      <c r="D350" s="26">
        <v>0</v>
      </c>
      <c r="E350" s="55">
        <v>0</v>
      </c>
      <c r="F350" s="24">
        <v>0</v>
      </c>
      <c r="G350" s="56">
        <v>2</v>
      </c>
    </row>
    <row r="351" spans="1:7" x14ac:dyDescent="0.2">
      <c r="A351" s="13" t="s">
        <v>356</v>
      </c>
      <c r="B351" s="18">
        <v>1</v>
      </c>
      <c r="C351" s="17">
        <v>0</v>
      </c>
      <c r="D351" s="18">
        <v>0</v>
      </c>
      <c r="E351" s="50">
        <v>0</v>
      </c>
      <c r="F351" s="16">
        <v>0</v>
      </c>
      <c r="G351" s="51">
        <v>3.9</v>
      </c>
    </row>
    <row r="352" spans="1:7" x14ac:dyDescent="0.2">
      <c r="A352" s="21" t="s">
        <v>357</v>
      </c>
      <c r="B352" s="26">
        <v>1</v>
      </c>
      <c r="C352" s="25">
        <v>0</v>
      </c>
      <c r="D352" s="26">
        <v>0</v>
      </c>
      <c r="E352" s="55">
        <v>0</v>
      </c>
      <c r="F352" s="24">
        <v>0</v>
      </c>
      <c r="G352" s="56">
        <v>5</v>
      </c>
    </row>
    <row r="353" spans="1:7" x14ac:dyDescent="0.2">
      <c r="A353" s="13" t="s">
        <v>358</v>
      </c>
      <c r="B353" s="18">
        <v>1</v>
      </c>
      <c r="C353" s="17">
        <v>0</v>
      </c>
      <c r="D353" s="18">
        <v>0</v>
      </c>
      <c r="E353" s="50">
        <v>0</v>
      </c>
      <c r="F353" s="16">
        <v>0</v>
      </c>
      <c r="G353" s="51">
        <v>5</v>
      </c>
    </row>
    <row r="354" spans="1:7" x14ac:dyDescent="0.2">
      <c r="A354" s="21" t="s">
        <v>359</v>
      </c>
      <c r="B354" s="26">
        <v>1</v>
      </c>
      <c r="C354" s="25">
        <v>0</v>
      </c>
      <c r="D354" s="26">
        <v>0</v>
      </c>
      <c r="E354" s="55">
        <v>0</v>
      </c>
      <c r="F354" s="24">
        <v>0</v>
      </c>
      <c r="G354" s="56">
        <v>0</v>
      </c>
    </row>
    <row r="355" spans="1:7" x14ac:dyDescent="0.2">
      <c r="A355" s="13" t="s">
        <v>360</v>
      </c>
      <c r="B355" s="18">
        <v>1</v>
      </c>
      <c r="C355" s="17">
        <v>0</v>
      </c>
      <c r="D355" s="18">
        <v>0</v>
      </c>
      <c r="E355" s="50">
        <v>0</v>
      </c>
      <c r="F355" s="16">
        <v>0</v>
      </c>
      <c r="G355" s="51">
        <v>4.0999999999999996</v>
      </c>
    </row>
    <row r="356" spans="1:7" x14ac:dyDescent="0.2">
      <c r="A356" s="21" t="s">
        <v>361</v>
      </c>
      <c r="B356" s="26">
        <v>1</v>
      </c>
      <c r="C356" s="25">
        <v>0</v>
      </c>
      <c r="D356" s="26">
        <v>0</v>
      </c>
      <c r="E356" s="55">
        <v>0</v>
      </c>
      <c r="F356" s="24">
        <v>0</v>
      </c>
      <c r="G356" s="56">
        <v>0</v>
      </c>
    </row>
    <row r="357" spans="1:7" x14ac:dyDescent="0.2">
      <c r="A357" s="13" t="s">
        <v>362</v>
      </c>
      <c r="B357" s="18">
        <v>2</v>
      </c>
      <c r="C357" s="17">
        <v>0</v>
      </c>
      <c r="D357" s="18">
        <v>0</v>
      </c>
      <c r="E357" s="50">
        <v>0</v>
      </c>
      <c r="F357" s="16">
        <v>0</v>
      </c>
      <c r="G357" s="51">
        <v>0</v>
      </c>
    </row>
    <row r="358" spans="1:7" x14ac:dyDescent="0.2">
      <c r="A358" s="21" t="s">
        <v>363</v>
      </c>
      <c r="B358" s="26">
        <v>6</v>
      </c>
      <c r="C358" s="25">
        <v>0</v>
      </c>
      <c r="D358" s="26">
        <v>0</v>
      </c>
      <c r="E358" s="55">
        <v>0</v>
      </c>
      <c r="F358" s="24">
        <v>0</v>
      </c>
      <c r="G358" s="56">
        <v>0.67</v>
      </c>
    </row>
    <row r="359" spans="1:7" x14ac:dyDescent="0.2">
      <c r="A359" s="13" t="s">
        <v>364</v>
      </c>
      <c r="B359" s="18">
        <v>1</v>
      </c>
      <c r="C359" s="17">
        <v>0</v>
      </c>
      <c r="D359" s="18">
        <v>0</v>
      </c>
      <c r="E359" s="50">
        <v>0</v>
      </c>
      <c r="F359" s="16">
        <v>0</v>
      </c>
      <c r="G359" s="51">
        <v>4.4000000000000004</v>
      </c>
    </row>
    <row r="360" spans="1:7" x14ac:dyDescent="0.2">
      <c r="A360" s="21" t="s">
        <v>365</v>
      </c>
      <c r="B360" s="26">
        <v>1</v>
      </c>
      <c r="C360" s="25">
        <v>0</v>
      </c>
      <c r="D360" s="26">
        <v>0</v>
      </c>
      <c r="E360" s="55">
        <v>0</v>
      </c>
      <c r="F360" s="24">
        <v>0</v>
      </c>
      <c r="G360" s="56">
        <v>4.5</v>
      </c>
    </row>
    <row r="361" spans="1:7" x14ac:dyDescent="0.2">
      <c r="A361" s="13" t="s">
        <v>366</v>
      </c>
      <c r="B361" s="18">
        <v>1</v>
      </c>
      <c r="C361" s="17">
        <v>0</v>
      </c>
      <c r="D361" s="18">
        <v>0</v>
      </c>
      <c r="E361" s="50">
        <v>0</v>
      </c>
      <c r="F361" s="16">
        <v>0</v>
      </c>
      <c r="G361" s="51">
        <v>4.5999999999999996</v>
      </c>
    </row>
    <row r="362" spans="1:7" x14ac:dyDescent="0.2">
      <c r="A362" s="21" t="s">
        <v>367</v>
      </c>
      <c r="B362" s="26">
        <v>2</v>
      </c>
      <c r="C362" s="25">
        <v>0</v>
      </c>
      <c r="D362" s="26">
        <v>0</v>
      </c>
      <c r="E362" s="55">
        <v>0</v>
      </c>
      <c r="F362" s="24">
        <v>0</v>
      </c>
      <c r="G362" s="56">
        <v>4</v>
      </c>
    </row>
    <row r="363" spans="1:7" x14ac:dyDescent="0.2">
      <c r="A363" s="13" t="s">
        <v>368</v>
      </c>
      <c r="B363" s="18">
        <v>3</v>
      </c>
      <c r="C363" s="17">
        <v>0</v>
      </c>
      <c r="D363" s="18">
        <v>0</v>
      </c>
      <c r="E363" s="50">
        <v>0</v>
      </c>
      <c r="F363" s="16">
        <v>0</v>
      </c>
      <c r="G363" s="51">
        <v>1.67</v>
      </c>
    </row>
    <row r="364" spans="1:7" x14ac:dyDescent="0.2">
      <c r="A364" s="21" t="s">
        <v>369</v>
      </c>
      <c r="B364" s="26">
        <v>4</v>
      </c>
      <c r="C364" s="25">
        <v>0</v>
      </c>
      <c r="D364" s="26">
        <v>0</v>
      </c>
      <c r="E364" s="55">
        <v>0</v>
      </c>
      <c r="F364" s="24">
        <v>0</v>
      </c>
      <c r="G364" s="56">
        <v>0</v>
      </c>
    </row>
    <row r="365" spans="1:7" x14ac:dyDescent="0.2">
      <c r="A365" s="13" t="s">
        <v>370</v>
      </c>
      <c r="B365" s="18">
        <v>1</v>
      </c>
      <c r="C365" s="17">
        <v>0</v>
      </c>
      <c r="D365" s="18">
        <v>0</v>
      </c>
      <c r="E365" s="50">
        <v>0</v>
      </c>
      <c r="F365" s="16">
        <v>0</v>
      </c>
      <c r="G365" s="51">
        <v>0</v>
      </c>
    </row>
    <row r="366" spans="1:7" x14ac:dyDescent="0.2">
      <c r="A366" s="21" t="s">
        <v>371</v>
      </c>
      <c r="B366" s="26">
        <v>1</v>
      </c>
      <c r="C366" s="25">
        <v>0</v>
      </c>
      <c r="D366" s="26">
        <v>0</v>
      </c>
      <c r="E366" s="55">
        <v>0</v>
      </c>
      <c r="F366" s="24">
        <v>0</v>
      </c>
      <c r="G366" s="56">
        <v>0</v>
      </c>
    </row>
    <row r="367" spans="1:7" x14ac:dyDescent="0.2">
      <c r="A367" s="13" t="s">
        <v>372</v>
      </c>
      <c r="B367" s="18">
        <v>1</v>
      </c>
      <c r="C367" s="17">
        <v>0</v>
      </c>
      <c r="D367" s="18">
        <v>0</v>
      </c>
      <c r="E367" s="50">
        <v>0</v>
      </c>
      <c r="F367" s="16">
        <v>0</v>
      </c>
      <c r="G367" s="51">
        <v>2.9</v>
      </c>
    </row>
    <row r="368" spans="1:7" x14ac:dyDescent="0.2">
      <c r="A368" s="21" t="s">
        <v>373</v>
      </c>
      <c r="B368" s="26">
        <v>1</v>
      </c>
      <c r="C368" s="25">
        <v>0</v>
      </c>
      <c r="D368" s="26">
        <v>0</v>
      </c>
      <c r="E368" s="55">
        <v>0</v>
      </c>
      <c r="F368" s="24">
        <v>0</v>
      </c>
      <c r="G368" s="56">
        <v>5</v>
      </c>
    </row>
    <row r="369" spans="1:7" x14ac:dyDescent="0.2">
      <c r="A369" s="13" t="s">
        <v>374</v>
      </c>
      <c r="B369" s="18">
        <v>1</v>
      </c>
      <c r="C369" s="17">
        <v>0</v>
      </c>
      <c r="D369" s="18">
        <v>0</v>
      </c>
      <c r="E369" s="50">
        <v>0</v>
      </c>
      <c r="F369" s="16">
        <v>0</v>
      </c>
      <c r="G369" s="51">
        <v>4</v>
      </c>
    </row>
    <row r="370" spans="1:7" x14ac:dyDescent="0.2">
      <c r="A370" s="21" t="s">
        <v>375</v>
      </c>
      <c r="B370" s="26">
        <v>1</v>
      </c>
      <c r="C370" s="25">
        <v>0</v>
      </c>
      <c r="D370" s="26">
        <v>0</v>
      </c>
      <c r="E370" s="55">
        <v>0</v>
      </c>
      <c r="F370" s="24">
        <v>0</v>
      </c>
      <c r="G370" s="56">
        <v>0</v>
      </c>
    </row>
    <row r="371" spans="1:7" x14ac:dyDescent="0.2">
      <c r="A371" s="13" t="s">
        <v>376</v>
      </c>
      <c r="B371" s="18">
        <v>1</v>
      </c>
      <c r="C371" s="17">
        <v>0</v>
      </c>
      <c r="D371" s="18">
        <v>0</v>
      </c>
      <c r="E371" s="50">
        <v>0</v>
      </c>
      <c r="F371" s="16">
        <v>0</v>
      </c>
      <c r="G371" s="51">
        <v>5</v>
      </c>
    </row>
    <row r="372" spans="1:7" x14ac:dyDescent="0.2">
      <c r="A372" s="21" t="s">
        <v>377</v>
      </c>
      <c r="B372" s="26">
        <v>1</v>
      </c>
      <c r="C372" s="25">
        <v>0</v>
      </c>
      <c r="D372" s="26">
        <v>0</v>
      </c>
      <c r="E372" s="55">
        <v>0</v>
      </c>
      <c r="F372" s="24">
        <v>0</v>
      </c>
      <c r="G372" s="56">
        <v>0</v>
      </c>
    </row>
    <row r="373" spans="1:7" x14ac:dyDescent="0.2">
      <c r="A373" s="13" t="s">
        <v>378</v>
      </c>
      <c r="B373" s="18">
        <v>1</v>
      </c>
      <c r="C373" s="17">
        <v>0</v>
      </c>
      <c r="D373" s="18">
        <v>0</v>
      </c>
      <c r="E373" s="50">
        <v>0</v>
      </c>
      <c r="F373" s="16">
        <v>0</v>
      </c>
      <c r="G373" s="51">
        <v>0</v>
      </c>
    </row>
    <row r="374" spans="1:7" x14ac:dyDescent="0.2">
      <c r="A374" s="21" t="s">
        <v>379</v>
      </c>
      <c r="B374" s="26">
        <v>1</v>
      </c>
      <c r="C374" s="25">
        <v>0</v>
      </c>
      <c r="D374" s="26">
        <v>0</v>
      </c>
      <c r="E374" s="55">
        <v>0</v>
      </c>
      <c r="F374" s="24">
        <v>0</v>
      </c>
      <c r="G374" s="56">
        <v>0</v>
      </c>
    </row>
    <row r="375" spans="1:7" x14ac:dyDescent="0.2">
      <c r="A375" s="13" t="s">
        <v>380</v>
      </c>
      <c r="B375" s="18">
        <v>1</v>
      </c>
      <c r="C375" s="17">
        <v>0</v>
      </c>
      <c r="D375" s="18">
        <v>0</v>
      </c>
      <c r="E375" s="50">
        <v>0</v>
      </c>
      <c r="F375" s="16">
        <v>0</v>
      </c>
      <c r="G375" s="51">
        <v>4</v>
      </c>
    </row>
    <row r="376" spans="1:7" x14ac:dyDescent="0.2">
      <c r="A376" s="21" t="s">
        <v>381</v>
      </c>
      <c r="B376" s="26">
        <v>1</v>
      </c>
      <c r="C376" s="25">
        <v>0</v>
      </c>
      <c r="D376" s="26">
        <v>0</v>
      </c>
      <c r="E376" s="55">
        <v>0</v>
      </c>
      <c r="F376" s="24">
        <v>0</v>
      </c>
      <c r="G376" s="56">
        <v>0</v>
      </c>
    </row>
    <row r="377" spans="1:7" x14ac:dyDescent="0.2">
      <c r="A377" s="13" t="s">
        <v>382</v>
      </c>
      <c r="B377" s="18">
        <v>1</v>
      </c>
      <c r="C377" s="17">
        <v>0</v>
      </c>
      <c r="D377" s="18">
        <v>0</v>
      </c>
      <c r="E377" s="50">
        <v>0</v>
      </c>
      <c r="F377" s="16">
        <v>0</v>
      </c>
      <c r="G377" s="51">
        <v>0</v>
      </c>
    </row>
    <row r="378" spans="1:7" x14ac:dyDescent="0.2">
      <c r="A378" s="21" t="s">
        <v>383</v>
      </c>
      <c r="B378" s="26">
        <v>2</v>
      </c>
      <c r="C378" s="25">
        <v>0</v>
      </c>
      <c r="D378" s="26">
        <v>0</v>
      </c>
      <c r="E378" s="55">
        <v>0</v>
      </c>
      <c r="F378" s="24">
        <v>0</v>
      </c>
      <c r="G378" s="56">
        <v>0</v>
      </c>
    </row>
    <row r="379" spans="1:7" x14ac:dyDescent="0.2">
      <c r="A379" s="13" t="s">
        <v>384</v>
      </c>
      <c r="B379" s="18">
        <v>1</v>
      </c>
      <c r="C379" s="17">
        <v>0</v>
      </c>
      <c r="D379" s="18">
        <v>0</v>
      </c>
      <c r="E379" s="50">
        <v>0</v>
      </c>
      <c r="F379" s="16">
        <v>0</v>
      </c>
      <c r="G379" s="51">
        <v>0</v>
      </c>
    </row>
    <row r="380" spans="1:7" x14ac:dyDescent="0.2">
      <c r="A380" s="21" t="s">
        <v>385</v>
      </c>
      <c r="B380" s="26">
        <v>1</v>
      </c>
      <c r="C380" s="25">
        <v>0</v>
      </c>
      <c r="D380" s="26">
        <v>0</v>
      </c>
      <c r="E380" s="55">
        <v>0</v>
      </c>
      <c r="F380" s="24">
        <v>0</v>
      </c>
      <c r="G380" s="56">
        <v>5</v>
      </c>
    </row>
    <row r="381" spans="1:7" x14ac:dyDescent="0.2">
      <c r="A381" s="13" t="s">
        <v>386</v>
      </c>
      <c r="B381" s="18">
        <v>1</v>
      </c>
      <c r="C381" s="17">
        <v>0</v>
      </c>
      <c r="D381" s="18">
        <v>0</v>
      </c>
      <c r="E381" s="50">
        <v>0</v>
      </c>
      <c r="F381" s="16">
        <v>0</v>
      </c>
      <c r="G381" s="51">
        <v>0</v>
      </c>
    </row>
    <row r="382" spans="1:7" x14ac:dyDescent="0.2">
      <c r="A382" s="21" t="s">
        <v>387</v>
      </c>
      <c r="B382" s="26">
        <v>1</v>
      </c>
      <c r="C382" s="25">
        <v>0</v>
      </c>
      <c r="D382" s="26">
        <v>0</v>
      </c>
      <c r="E382" s="55">
        <v>0</v>
      </c>
      <c r="F382" s="24">
        <v>0</v>
      </c>
      <c r="G382" s="56">
        <v>0</v>
      </c>
    </row>
    <row r="383" spans="1:7" x14ac:dyDescent="0.2">
      <c r="A383" s="13" t="s">
        <v>388</v>
      </c>
      <c r="B383" s="18">
        <v>1</v>
      </c>
      <c r="C383" s="17">
        <v>0</v>
      </c>
      <c r="D383" s="18">
        <v>0</v>
      </c>
      <c r="E383" s="50">
        <v>0</v>
      </c>
      <c r="F383" s="16">
        <v>0</v>
      </c>
      <c r="G383" s="51">
        <v>3.8</v>
      </c>
    </row>
    <row r="384" spans="1:7" x14ac:dyDescent="0.2">
      <c r="A384" s="21" t="s">
        <v>389</v>
      </c>
      <c r="B384" s="26">
        <v>2</v>
      </c>
      <c r="C384" s="25">
        <v>0</v>
      </c>
      <c r="D384" s="26">
        <v>0</v>
      </c>
      <c r="E384" s="55">
        <v>0</v>
      </c>
      <c r="F384" s="24">
        <v>0</v>
      </c>
      <c r="G384" s="56">
        <v>3.5</v>
      </c>
    </row>
    <row r="385" spans="1:7" x14ac:dyDescent="0.2">
      <c r="A385" s="13" t="s">
        <v>390</v>
      </c>
      <c r="B385" s="18">
        <v>1</v>
      </c>
      <c r="C385" s="17">
        <v>0</v>
      </c>
      <c r="D385" s="18">
        <v>0</v>
      </c>
      <c r="E385" s="50">
        <v>0</v>
      </c>
      <c r="F385" s="16">
        <v>0</v>
      </c>
      <c r="G385" s="51">
        <v>0</v>
      </c>
    </row>
    <row r="386" spans="1:7" x14ac:dyDescent="0.2">
      <c r="A386" s="21" t="s">
        <v>391</v>
      </c>
      <c r="B386" s="26">
        <v>2</v>
      </c>
      <c r="C386" s="25">
        <v>0</v>
      </c>
      <c r="D386" s="26">
        <v>0</v>
      </c>
      <c r="E386" s="55">
        <v>0</v>
      </c>
      <c r="F386" s="24">
        <v>0</v>
      </c>
      <c r="G386" s="56">
        <v>0</v>
      </c>
    </row>
    <row r="387" spans="1:7" x14ac:dyDescent="0.2">
      <c r="A387" s="13" t="s">
        <v>392</v>
      </c>
      <c r="B387" s="18">
        <v>1</v>
      </c>
      <c r="C387" s="17">
        <v>0</v>
      </c>
      <c r="D387" s="18">
        <v>0</v>
      </c>
      <c r="E387" s="50">
        <v>0</v>
      </c>
      <c r="F387" s="16">
        <v>0</v>
      </c>
      <c r="G387" s="51">
        <v>3.3</v>
      </c>
    </row>
    <row r="388" spans="1:7" x14ac:dyDescent="0.2">
      <c r="A388" s="21" t="s">
        <v>393</v>
      </c>
      <c r="B388" s="26">
        <v>1</v>
      </c>
      <c r="C388" s="25">
        <v>0</v>
      </c>
      <c r="D388" s="26">
        <v>0</v>
      </c>
      <c r="E388" s="55">
        <v>0</v>
      </c>
      <c r="F388" s="24">
        <v>0</v>
      </c>
      <c r="G388" s="56">
        <v>5</v>
      </c>
    </row>
    <row r="389" spans="1:7" x14ac:dyDescent="0.2">
      <c r="A389" s="13" t="s">
        <v>394</v>
      </c>
      <c r="B389" s="18">
        <v>1</v>
      </c>
      <c r="C389" s="17">
        <v>0</v>
      </c>
      <c r="D389" s="18">
        <v>0</v>
      </c>
      <c r="E389" s="50">
        <v>0</v>
      </c>
      <c r="F389" s="16">
        <v>0</v>
      </c>
      <c r="G389" s="51">
        <v>5</v>
      </c>
    </row>
    <row r="390" spans="1:7" x14ac:dyDescent="0.2">
      <c r="A390" s="21" t="s">
        <v>395</v>
      </c>
      <c r="B390" s="26">
        <v>1</v>
      </c>
      <c r="C390" s="25">
        <v>0</v>
      </c>
      <c r="D390" s="26">
        <v>0</v>
      </c>
      <c r="E390" s="55">
        <v>0</v>
      </c>
      <c r="F390" s="24">
        <v>0</v>
      </c>
      <c r="G390" s="56">
        <v>0</v>
      </c>
    </row>
    <row r="391" spans="1:7" x14ac:dyDescent="0.2">
      <c r="A391" s="13" t="s">
        <v>396</v>
      </c>
      <c r="B391" s="18">
        <v>2</v>
      </c>
      <c r="C391" s="17">
        <v>0</v>
      </c>
      <c r="D391" s="18">
        <v>0</v>
      </c>
      <c r="E391" s="50">
        <v>0</v>
      </c>
      <c r="F391" s="16">
        <v>0</v>
      </c>
      <c r="G391" s="51">
        <v>3.33</v>
      </c>
    </row>
    <row r="392" spans="1:7" x14ac:dyDescent="0.2">
      <c r="A392" s="21" t="s">
        <v>397</v>
      </c>
      <c r="B392" s="26">
        <v>1</v>
      </c>
      <c r="C392" s="25">
        <v>0</v>
      </c>
      <c r="D392" s="26">
        <v>0</v>
      </c>
      <c r="E392" s="55">
        <v>0</v>
      </c>
      <c r="F392" s="24">
        <v>0</v>
      </c>
      <c r="G392" s="56">
        <v>0</v>
      </c>
    </row>
    <row r="393" spans="1:7" x14ac:dyDescent="0.2">
      <c r="A393" s="13" t="s">
        <v>398</v>
      </c>
      <c r="B393" s="18">
        <v>2</v>
      </c>
      <c r="C393" s="17">
        <v>0</v>
      </c>
      <c r="D393" s="18">
        <v>0</v>
      </c>
      <c r="E393" s="50">
        <v>0</v>
      </c>
      <c r="F393" s="16">
        <v>0</v>
      </c>
      <c r="G393" s="51">
        <v>1.4</v>
      </c>
    </row>
    <row r="394" spans="1:7" x14ac:dyDescent="0.2">
      <c r="A394" s="21" t="s">
        <v>399</v>
      </c>
      <c r="B394" s="26">
        <v>1</v>
      </c>
      <c r="C394" s="25">
        <v>0</v>
      </c>
      <c r="D394" s="26">
        <v>0</v>
      </c>
      <c r="E394" s="55">
        <v>0</v>
      </c>
      <c r="F394" s="24">
        <v>0</v>
      </c>
      <c r="G394" s="56">
        <v>0</v>
      </c>
    </row>
    <row r="395" spans="1:7" x14ac:dyDescent="0.2">
      <c r="A395" s="13" t="s">
        <v>400</v>
      </c>
      <c r="B395" s="18">
        <v>1</v>
      </c>
      <c r="C395" s="17">
        <v>0</v>
      </c>
      <c r="D395" s="18">
        <v>0</v>
      </c>
      <c r="E395" s="50">
        <v>0</v>
      </c>
      <c r="F395" s="16">
        <v>0</v>
      </c>
      <c r="G395" s="51">
        <v>0</v>
      </c>
    </row>
    <row r="396" spans="1:7" x14ac:dyDescent="0.2">
      <c r="A396" s="21" t="s">
        <v>401</v>
      </c>
      <c r="B396" s="26">
        <v>1</v>
      </c>
      <c r="C396" s="25">
        <v>0</v>
      </c>
      <c r="D396" s="26">
        <v>0</v>
      </c>
      <c r="E396" s="55">
        <v>0</v>
      </c>
      <c r="F396" s="24">
        <v>0</v>
      </c>
      <c r="G396" s="56">
        <v>0</v>
      </c>
    </row>
    <row r="397" spans="1:7" x14ac:dyDescent="0.2">
      <c r="A397" s="13" t="s">
        <v>402</v>
      </c>
      <c r="B397" s="18">
        <v>1</v>
      </c>
      <c r="C397" s="17">
        <v>0</v>
      </c>
      <c r="D397" s="18">
        <v>0</v>
      </c>
      <c r="E397" s="50">
        <v>0</v>
      </c>
      <c r="F397" s="16">
        <v>0</v>
      </c>
      <c r="G397" s="51">
        <v>0</v>
      </c>
    </row>
    <row r="398" spans="1:7" x14ac:dyDescent="0.2">
      <c r="A398" s="21" t="s">
        <v>403</v>
      </c>
      <c r="B398" s="26">
        <v>1</v>
      </c>
      <c r="C398" s="25">
        <v>0</v>
      </c>
      <c r="D398" s="26">
        <v>0</v>
      </c>
      <c r="E398" s="55">
        <v>0</v>
      </c>
      <c r="F398" s="24">
        <v>0</v>
      </c>
      <c r="G398" s="56">
        <v>0</v>
      </c>
    </row>
    <row r="399" spans="1:7" x14ac:dyDescent="0.2">
      <c r="A399" s="13" t="s">
        <v>404</v>
      </c>
      <c r="B399" s="18">
        <v>2</v>
      </c>
      <c r="C399" s="17">
        <v>0</v>
      </c>
      <c r="D399" s="18">
        <v>0</v>
      </c>
      <c r="E399" s="50">
        <v>0</v>
      </c>
      <c r="F399" s="16">
        <v>0</v>
      </c>
      <c r="G399" s="51">
        <v>2.5</v>
      </c>
    </row>
    <row r="400" spans="1:7" x14ac:dyDescent="0.2">
      <c r="A400" s="21" t="s">
        <v>405</v>
      </c>
      <c r="B400" s="26">
        <v>1</v>
      </c>
      <c r="C400" s="25">
        <v>0</v>
      </c>
      <c r="D400" s="26">
        <v>0</v>
      </c>
      <c r="E400" s="55">
        <v>0</v>
      </c>
      <c r="F400" s="24">
        <v>0</v>
      </c>
      <c r="G400" s="56">
        <v>0</v>
      </c>
    </row>
    <row r="401" spans="1:7" x14ac:dyDescent="0.2">
      <c r="A401" s="13" t="s">
        <v>406</v>
      </c>
      <c r="B401" s="18">
        <v>1</v>
      </c>
      <c r="C401" s="17">
        <v>0</v>
      </c>
      <c r="D401" s="18">
        <v>0</v>
      </c>
      <c r="E401" s="50">
        <v>0</v>
      </c>
      <c r="F401" s="16">
        <v>0</v>
      </c>
      <c r="G401" s="51">
        <v>0</v>
      </c>
    </row>
    <row r="402" spans="1:7" x14ac:dyDescent="0.2">
      <c r="A402" s="21" t="s">
        <v>407</v>
      </c>
      <c r="B402" s="26">
        <v>1</v>
      </c>
      <c r="C402" s="25">
        <v>0</v>
      </c>
      <c r="D402" s="26">
        <v>0</v>
      </c>
      <c r="E402" s="55">
        <v>0</v>
      </c>
      <c r="F402" s="24">
        <v>0</v>
      </c>
      <c r="G402" s="56">
        <v>5</v>
      </c>
    </row>
    <row r="403" spans="1:7" x14ac:dyDescent="0.2">
      <c r="A403" s="13" t="s">
        <v>408</v>
      </c>
      <c r="B403" s="18">
        <v>1</v>
      </c>
      <c r="C403" s="17">
        <v>0</v>
      </c>
      <c r="D403" s="18">
        <v>0</v>
      </c>
      <c r="E403" s="50">
        <v>0</v>
      </c>
      <c r="F403" s="16">
        <v>0</v>
      </c>
      <c r="G403" s="51">
        <v>0</v>
      </c>
    </row>
    <row r="404" spans="1:7" x14ac:dyDescent="0.2">
      <c r="A404" s="21" t="s">
        <v>409</v>
      </c>
      <c r="B404" s="26">
        <v>2</v>
      </c>
      <c r="C404" s="25">
        <v>0</v>
      </c>
      <c r="D404" s="26">
        <v>0</v>
      </c>
      <c r="E404" s="55">
        <v>0</v>
      </c>
      <c r="F404" s="24">
        <v>0</v>
      </c>
      <c r="G404" s="56">
        <v>1.4</v>
      </c>
    </row>
    <row r="405" spans="1:7" x14ac:dyDescent="0.2">
      <c r="A405" s="13" t="s">
        <v>410</v>
      </c>
      <c r="B405" s="18">
        <v>2</v>
      </c>
      <c r="C405" s="17">
        <v>0</v>
      </c>
      <c r="D405" s="18">
        <v>0</v>
      </c>
      <c r="E405" s="50">
        <v>0</v>
      </c>
      <c r="F405" s="16">
        <v>0</v>
      </c>
      <c r="G405" s="51">
        <v>0</v>
      </c>
    </row>
    <row r="406" spans="1:7" x14ac:dyDescent="0.2">
      <c r="A406" s="21" t="s">
        <v>411</v>
      </c>
      <c r="B406" s="26">
        <v>1</v>
      </c>
      <c r="C406" s="25">
        <v>0</v>
      </c>
      <c r="D406" s="26">
        <v>0</v>
      </c>
      <c r="E406" s="55">
        <v>0</v>
      </c>
      <c r="F406" s="24">
        <v>0</v>
      </c>
      <c r="G406" s="56">
        <v>0</v>
      </c>
    </row>
    <row r="407" spans="1:7" x14ac:dyDescent="0.2">
      <c r="A407" s="13" t="s">
        <v>412</v>
      </c>
      <c r="B407" s="18">
        <v>1</v>
      </c>
      <c r="C407" s="17">
        <v>0</v>
      </c>
      <c r="D407" s="18">
        <v>0</v>
      </c>
      <c r="E407" s="50">
        <v>0</v>
      </c>
      <c r="F407" s="16">
        <v>0</v>
      </c>
      <c r="G407" s="51">
        <v>0</v>
      </c>
    </row>
    <row r="408" spans="1:7" x14ac:dyDescent="0.2">
      <c r="A408" s="21" t="s">
        <v>413</v>
      </c>
      <c r="B408" s="26">
        <v>1</v>
      </c>
      <c r="C408" s="25">
        <v>0</v>
      </c>
      <c r="D408" s="26">
        <v>0</v>
      </c>
      <c r="E408" s="55">
        <v>0</v>
      </c>
      <c r="F408" s="24">
        <v>0</v>
      </c>
      <c r="G408" s="56">
        <v>4.8</v>
      </c>
    </row>
    <row r="409" spans="1:7" x14ac:dyDescent="0.2">
      <c r="A409" s="13" t="s">
        <v>414</v>
      </c>
      <c r="B409" s="18">
        <v>1</v>
      </c>
      <c r="C409" s="17">
        <v>0</v>
      </c>
      <c r="D409" s="18">
        <v>0</v>
      </c>
      <c r="E409" s="50">
        <v>0</v>
      </c>
      <c r="F409" s="16">
        <v>0</v>
      </c>
      <c r="G409" s="51">
        <v>0</v>
      </c>
    </row>
    <row r="410" spans="1:7" x14ac:dyDescent="0.2">
      <c r="A410" s="21" t="s">
        <v>415</v>
      </c>
      <c r="B410" s="26">
        <v>1</v>
      </c>
      <c r="C410" s="25">
        <v>0</v>
      </c>
      <c r="D410" s="26">
        <v>0</v>
      </c>
      <c r="E410" s="55">
        <v>0</v>
      </c>
      <c r="F410" s="24">
        <v>0</v>
      </c>
      <c r="G410" s="56">
        <v>0</v>
      </c>
    </row>
    <row r="411" spans="1:7" x14ac:dyDescent="0.2">
      <c r="A411" s="13" t="s">
        <v>416</v>
      </c>
      <c r="B411" s="18">
        <v>1</v>
      </c>
      <c r="C411" s="17">
        <v>0</v>
      </c>
      <c r="D411" s="18">
        <v>0</v>
      </c>
      <c r="E411" s="50">
        <v>0</v>
      </c>
      <c r="F411" s="16">
        <v>0</v>
      </c>
      <c r="G411" s="51">
        <v>3.7</v>
      </c>
    </row>
    <row r="412" spans="1:7" x14ac:dyDescent="0.2">
      <c r="A412" s="21" t="s">
        <v>417</v>
      </c>
      <c r="B412" s="26">
        <v>1</v>
      </c>
      <c r="C412" s="25">
        <v>0</v>
      </c>
      <c r="D412" s="26">
        <v>0</v>
      </c>
      <c r="E412" s="55">
        <v>0</v>
      </c>
      <c r="F412" s="24">
        <v>0</v>
      </c>
      <c r="G412" s="56">
        <v>5</v>
      </c>
    </row>
    <row r="413" spans="1:7" x14ac:dyDescent="0.2">
      <c r="A413" s="13" t="s">
        <v>418</v>
      </c>
      <c r="B413" s="18">
        <v>1</v>
      </c>
      <c r="C413" s="17">
        <v>0</v>
      </c>
      <c r="D413" s="18">
        <v>0</v>
      </c>
      <c r="E413" s="50">
        <v>0</v>
      </c>
      <c r="F413" s="16">
        <v>0</v>
      </c>
      <c r="G413" s="51">
        <v>0</v>
      </c>
    </row>
    <row r="414" spans="1:7" x14ac:dyDescent="0.2">
      <c r="A414" s="21" t="s">
        <v>419</v>
      </c>
      <c r="B414" s="26">
        <v>2</v>
      </c>
      <c r="C414" s="25">
        <v>0</v>
      </c>
      <c r="D414" s="26">
        <v>0</v>
      </c>
      <c r="E414" s="55">
        <v>0</v>
      </c>
      <c r="F414" s="24">
        <v>0</v>
      </c>
      <c r="G414" s="56">
        <v>0</v>
      </c>
    </row>
    <row r="415" spans="1:7" x14ac:dyDescent="0.2">
      <c r="A415" s="13" t="s">
        <v>420</v>
      </c>
      <c r="B415" s="18">
        <v>2</v>
      </c>
      <c r="C415" s="17">
        <v>0</v>
      </c>
      <c r="D415" s="18">
        <v>0</v>
      </c>
      <c r="E415" s="50">
        <v>0</v>
      </c>
      <c r="F415" s="16">
        <v>0</v>
      </c>
      <c r="G415" s="51">
        <v>2.5</v>
      </c>
    </row>
    <row r="416" spans="1:7" x14ac:dyDescent="0.2">
      <c r="A416" s="21" t="s">
        <v>421</v>
      </c>
      <c r="B416" s="26">
        <v>1</v>
      </c>
      <c r="C416" s="25">
        <v>0</v>
      </c>
      <c r="D416" s="26">
        <v>0</v>
      </c>
      <c r="E416" s="55">
        <v>0</v>
      </c>
      <c r="F416" s="24">
        <v>0</v>
      </c>
      <c r="G416" s="56">
        <v>4.5</v>
      </c>
    </row>
    <row r="417" spans="1:7" x14ac:dyDescent="0.2">
      <c r="A417" s="13" t="s">
        <v>422</v>
      </c>
      <c r="B417" s="18">
        <v>1</v>
      </c>
      <c r="C417" s="17">
        <v>0</v>
      </c>
      <c r="D417" s="18">
        <v>0</v>
      </c>
      <c r="E417" s="50">
        <v>0</v>
      </c>
      <c r="F417" s="16">
        <v>0</v>
      </c>
      <c r="G417" s="51">
        <v>3</v>
      </c>
    </row>
    <row r="418" spans="1:7" x14ac:dyDescent="0.2">
      <c r="A418" s="21" t="s">
        <v>423</v>
      </c>
      <c r="B418" s="26">
        <v>1</v>
      </c>
      <c r="C418" s="25">
        <v>0</v>
      </c>
      <c r="D418" s="26">
        <v>0</v>
      </c>
      <c r="E418" s="55">
        <v>0</v>
      </c>
      <c r="F418" s="24">
        <v>0</v>
      </c>
      <c r="G418" s="56">
        <v>0</v>
      </c>
    </row>
    <row r="419" spans="1:7" x14ac:dyDescent="0.2">
      <c r="A419" s="13" t="s">
        <v>424</v>
      </c>
      <c r="B419" s="18">
        <v>1</v>
      </c>
      <c r="C419" s="17">
        <v>0</v>
      </c>
      <c r="D419" s="18">
        <v>0</v>
      </c>
      <c r="E419" s="50">
        <v>0</v>
      </c>
      <c r="F419" s="16">
        <v>0</v>
      </c>
      <c r="G419" s="51">
        <v>0</v>
      </c>
    </row>
    <row r="420" spans="1:7" x14ac:dyDescent="0.2">
      <c r="A420" s="21" t="s">
        <v>425</v>
      </c>
      <c r="B420" s="26">
        <v>1</v>
      </c>
      <c r="C420" s="25">
        <v>0</v>
      </c>
      <c r="D420" s="26">
        <v>0</v>
      </c>
      <c r="E420" s="55">
        <v>0</v>
      </c>
      <c r="F420" s="24">
        <v>0</v>
      </c>
      <c r="G420" s="56">
        <v>0</v>
      </c>
    </row>
    <row r="421" spans="1:7" x14ac:dyDescent="0.2">
      <c r="A421" s="13" t="s">
        <v>426</v>
      </c>
      <c r="B421" s="18">
        <v>1</v>
      </c>
      <c r="C421" s="17">
        <v>0</v>
      </c>
      <c r="D421" s="18">
        <v>0</v>
      </c>
      <c r="E421" s="50">
        <v>0</v>
      </c>
      <c r="F421" s="16">
        <v>0</v>
      </c>
      <c r="G421" s="51">
        <v>0</v>
      </c>
    </row>
    <row r="422" spans="1:7" x14ac:dyDescent="0.2">
      <c r="A422" s="21" t="s">
        <v>427</v>
      </c>
      <c r="B422" s="26">
        <v>1</v>
      </c>
      <c r="C422" s="25">
        <v>0</v>
      </c>
      <c r="D422" s="26">
        <v>0</v>
      </c>
      <c r="E422" s="55">
        <v>0</v>
      </c>
      <c r="F422" s="24">
        <v>0</v>
      </c>
      <c r="G422" s="56">
        <v>5</v>
      </c>
    </row>
    <row r="423" spans="1:7" x14ac:dyDescent="0.2">
      <c r="A423" s="13" t="s">
        <v>428</v>
      </c>
      <c r="B423" s="18">
        <v>1</v>
      </c>
      <c r="C423" s="17">
        <v>0</v>
      </c>
      <c r="D423" s="18">
        <v>0</v>
      </c>
      <c r="E423" s="50">
        <v>0</v>
      </c>
      <c r="F423" s="16">
        <v>0</v>
      </c>
      <c r="G423" s="51">
        <v>0</v>
      </c>
    </row>
    <row r="424" spans="1:7" x14ac:dyDescent="0.2">
      <c r="A424" s="21" t="s">
        <v>429</v>
      </c>
      <c r="B424" s="26">
        <v>1</v>
      </c>
      <c r="C424" s="25">
        <v>0</v>
      </c>
      <c r="D424" s="26">
        <v>0</v>
      </c>
      <c r="E424" s="55">
        <v>0</v>
      </c>
      <c r="F424" s="24">
        <v>0</v>
      </c>
      <c r="G424" s="56">
        <v>0</v>
      </c>
    </row>
    <row r="425" spans="1:7" x14ac:dyDescent="0.2">
      <c r="A425" s="13" t="s">
        <v>430</v>
      </c>
      <c r="B425" s="18">
        <v>1</v>
      </c>
      <c r="C425" s="17">
        <v>0</v>
      </c>
      <c r="D425" s="18">
        <v>0</v>
      </c>
      <c r="E425" s="50">
        <v>0</v>
      </c>
      <c r="F425" s="16">
        <v>0</v>
      </c>
      <c r="G425" s="51">
        <v>0</v>
      </c>
    </row>
    <row r="426" spans="1:7" x14ac:dyDescent="0.2">
      <c r="A426" s="21" t="s">
        <v>431</v>
      </c>
      <c r="B426" s="26">
        <v>1</v>
      </c>
      <c r="C426" s="25">
        <v>0</v>
      </c>
      <c r="D426" s="26">
        <v>0</v>
      </c>
      <c r="E426" s="55">
        <v>0</v>
      </c>
      <c r="F426" s="24">
        <v>0</v>
      </c>
      <c r="G426" s="56">
        <v>0</v>
      </c>
    </row>
    <row r="427" spans="1:7" x14ac:dyDescent="0.2">
      <c r="A427" s="13" t="s">
        <v>432</v>
      </c>
      <c r="B427" s="18">
        <v>1</v>
      </c>
      <c r="C427" s="17">
        <v>0</v>
      </c>
      <c r="D427" s="18">
        <v>0</v>
      </c>
      <c r="E427" s="50">
        <v>0</v>
      </c>
      <c r="F427" s="16">
        <v>0</v>
      </c>
      <c r="G427" s="51">
        <v>0</v>
      </c>
    </row>
    <row r="428" spans="1:7" x14ac:dyDescent="0.2">
      <c r="A428" s="21" t="s">
        <v>433</v>
      </c>
      <c r="B428" s="26">
        <v>1</v>
      </c>
      <c r="C428" s="25">
        <v>0</v>
      </c>
      <c r="D428" s="26">
        <v>0</v>
      </c>
      <c r="E428" s="55">
        <v>0</v>
      </c>
      <c r="F428" s="24">
        <v>0</v>
      </c>
      <c r="G428" s="56">
        <v>0</v>
      </c>
    </row>
    <row r="429" spans="1:7" x14ac:dyDescent="0.2">
      <c r="A429" s="13" t="s">
        <v>434</v>
      </c>
      <c r="B429" s="18">
        <v>1</v>
      </c>
      <c r="C429" s="17">
        <v>0</v>
      </c>
      <c r="D429" s="18">
        <v>0</v>
      </c>
      <c r="E429" s="50">
        <v>0</v>
      </c>
      <c r="F429" s="16">
        <v>0</v>
      </c>
      <c r="G429" s="51">
        <v>5</v>
      </c>
    </row>
    <row r="430" spans="1:7" x14ac:dyDescent="0.2">
      <c r="A430" s="21" t="s">
        <v>435</v>
      </c>
      <c r="B430" s="26">
        <v>1</v>
      </c>
      <c r="C430" s="25">
        <v>0</v>
      </c>
      <c r="D430" s="26">
        <v>0</v>
      </c>
      <c r="E430" s="55">
        <v>0</v>
      </c>
      <c r="F430" s="24">
        <v>0</v>
      </c>
      <c r="G430" s="56">
        <v>0</v>
      </c>
    </row>
    <row r="431" spans="1:7" x14ac:dyDescent="0.2">
      <c r="A431" s="13" t="s">
        <v>436</v>
      </c>
      <c r="B431" s="18">
        <v>5</v>
      </c>
      <c r="C431" s="17">
        <v>0</v>
      </c>
      <c r="D431" s="18">
        <v>0</v>
      </c>
      <c r="E431" s="50">
        <v>0</v>
      </c>
      <c r="F431" s="16">
        <v>0</v>
      </c>
      <c r="G431" s="51">
        <v>0</v>
      </c>
    </row>
    <row r="432" spans="1:7" x14ac:dyDescent="0.2">
      <c r="A432" s="21" t="s">
        <v>437</v>
      </c>
      <c r="B432" s="26">
        <v>1</v>
      </c>
      <c r="C432" s="25">
        <v>0</v>
      </c>
      <c r="D432" s="26">
        <v>0</v>
      </c>
      <c r="E432" s="55">
        <v>0</v>
      </c>
      <c r="F432" s="24">
        <v>0</v>
      </c>
      <c r="G432" s="56">
        <v>0</v>
      </c>
    </row>
    <row r="433" spans="1:7" x14ac:dyDescent="0.2">
      <c r="A433" s="13" t="s">
        <v>438</v>
      </c>
      <c r="B433" s="18">
        <v>1</v>
      </c>
      <c r="C433" s="17">
        <v>0</v>
      </c>
      <c r="D433" s="18">
        <v>0</v>
      </c>
      <c r="E433" s="50">
        <v>0</v>
      </c>
      <c r="F433" s="16">
        <v>0</v>
      </c>
      <c r="G433" s="51">
        <v>4.4000000000000004</v>
      </c>
    </row>
    <row r="434" spans="1:7" x14ac:dyDescent="0.2">
      <c r="A434" s="21" t="s">
        <v>439</v>
      </c>
      <c r="B434" s="26">
        <v>1</v>
      </c>
      <c r="C434" s="25">
        <v>0</v>
      </c>
      <c r="D434" s="26">
        <v>0</v>
      </c>
      <c r="E434" s="55">
        <v>0</v>
      </c>
      <c r="F434" s="24">
        <v>0</v>
      </c>
      <c r="G434" s="56">
        <v>0</v>
      </c>
    </row>
    <row r="435" spans="1:7" x14ac:dyDescent="0.2">
      <c r="A435" s="13" t="s">
        <v>440</v>
      </c>
      <c r="B435" s="18">
        <v>1</v>
      </c>
      <c r="C435" s="17">
        <v>0</v>
      </c>
      <c r="D435" s="18">
        <v>0</v>
      </c>
      <c r="E435" s="50">
        <v>0</v>
      </c>
      <c r="F435" s="16">
        <v>0</v>
      </c>
      <c r="G435" s="51">
        <v>0</v>
      </c>
    </row>
    <row r="436" spans="1:7" x14ac:dyDescent="0.2">
      <c r="A436" s="21" t="s">
        <v>441</v>
      </c>
      <c r="B436" s="26">
        <v>1</v>
      </c>
      <c r="C436" s="25">
        <v>0</v>
      </c>
      <c r="D436" s="26">
        <v>0</v>
      </c>
      <c r="E436" s="55">
        <v>0</v>
      </c>
      <c r="F436" s="24">
        <v>0</v>
      </c>
      <c r="G436" s="56">
        <v>0</v>
      </c>
    </row>
    <row r="437" spans="1:7" x14ac:dyDescent="0.2">
      <c r="A437" s="13" t="s">
        <v>442</v>
      </c>
      <c r="B437" s="18">
        <v>2</v>
      </c>
      <c r="C437" s="17">
        <v>0</v>
      </c>
      <c r="D437" s="18">
        <v>0</v>
      </c>
      <c r="E437" s="50">
        <v>0</v>
      </c>
      <c r="F437" s="16">
        <v>0</v>
      </c>
      <c r="G437" s="51">
        <v>0</v>
      </c>
    </row>
    <row r="438" spans="1:7" x14ac:dyDescent="0.2">
      <c r="A438" s="21" t="s">
        <v>443</v>
      </c>
      <c r="B438" s="26">
        <v>1</v>
      </c>
      <c r="C438" s="25">
        <v>0</v>
      </c>
      <c r="D438" s="26">
        <v>0</v>
      </c>
      <c r="E438" s="55">
        <v>0</v>
      </c>
      <c r="F438" s="24">
        <v>0</v>
      </c>
      <c r="G438" s="56">
        <v>1</v>
      </c>
    </row>
    <row r="439" spans="1:7" x14ac:dyDescent="0.2">
      <c r="A439" s="13" t="s">
        <v>444</v>
      </c>
      <c r="B439" s="18">
        <v>1</v>
      </c>
      <c r="C439" s="17">
        <v>0</v>
      </c>
      <c r="D439" s="18">
        <v>0</v>
      </c>
      <c r="E439" s="50">
        <v>0</v>
      </c>
      <c r="F439" s="16">
        <v>0</v>
      </c>
      <c r="G439" s="51">
        <v>0</v>
      </c>
    </row>
    <row r="440" spans="1:7" x14ac:dyDescent="0.2">
      <c r="A440" s="21" t="s">
        <v>445</v>
      </c>
      <c r="B440" s="26">
        <v>1</v>
      </c>
      <c r="C440" s="25">
        <v>0</v>
      </c>
      <c r="D440" s="26">
        <v>0</v>
      </c>
      <c r="E440" s="55">
        <v>0</v>
      </c>
      <c r="F440" s="24">
        <v>0</v>
      </c>
      <c r="G440" s="56">
        <v>4.0999999999999996</v>
      </c>
    </row>
    <row r="441" spans="1:7" x14ac:dyDescent="0.2">
      <c r="A441" s="13" t="s">
        <v>446</v>
      </c>
      <c r="B441" s="18">
        <v>1</v>
      </c>
      <c r="C441" s="17">
        <v>0</v>
      </c>
      <c r="D441" s="18">
        <v>0</v>
      </c>
      <c r="E441" s="50">
        <v>0</v>
      </c>
      <c r="F441" s="16">
        <v>0</v>
      </c>
      <c r="G441" s="51">
        <v>0</v>
      </c>
    </row>
    <row r="442" spans="1:7" x14ac:dyDescent="0.2">
      <c r="A442" s="21" t="s">
        <v>447</v>
      </c>
      <c r="B442" s="26">
        <v>1</v>
      </c>
      <c r="C442" s="25">
        <v>0</v>
      </c>
      <c r="D442" s="26">
        <v>0</v>
      </c>
      <c r="E442" s="55">
        <v>0</v>
      </c>
      <c r="F442" s="24">
        <v>0</v>
      </c>
      <c r="G442" s="56">
        <v>4.4000000000000004</v>
      </c>
    </row>
    <row r="443" spans="1:7" x14ac:dyDescent="0.2">
      <c r="A443" s="29" t="s">
        <v>448</v>
      </c>
      <c r="B443" s="34">
        <v>1126</v>
      </c>
      <c r="C443" s="33">
        <v>2369691.86</v>
      </c>
      <c r="D443" s="34">
        <v>18227</v>
      </c>
      <c r="E443" s="52">
        <v>1</v>
      </c>
      <c r="F443" s="32">
        <v>0</v>
      </c>
      <c r="G443" s="53">
        <v>0</v>
      </c>
    </row>
  </sheetData>
  <conditionalFormatting sqref="C2:C443">
    <cfRule type="cellIs" dxfId="5" priority="1" operator="greaterThan">
      <formula>0</formula>
    </cfRule>
  </conditionalFormatting>
  <conditionalFormatting sqref="C2:C443">
    <cfRule type="cellIs" dxfId="4" priority="2" operator="lessThanOrEqual">
      <formula>0</formula>
    </cfRule>
  </conditionalFormatting>
  <pageMargins left="0.7" right="0.7" top="0.75" bottom="0.75" header="0.3" footer="0.3"/>
  <ignoredErrors>
    <ignoredError sqref="A1:G107 A109:G443 B108:G10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workbookViewId="0">
      <pane ySplit="1" topLeftCell="A2" activePane="bottomLeft" state="frozen"/>
      <selection pane="bottomLeft"/>
    </sheetView>
  </sheetViews>
  <sheetFormatPr baseColWidth="10" defaultRowHeight="16" x14ac:dyDescent="0.2"/>
  <cols>
    <col min="1" max="1" width="18.33203125" customWidth="1"/>
    <col min="2" max="2" width="53.33203125" customWidth="1"/>
    <col min="3" max="3" width="16.6640625" customWidth="1"/>
    <col min="4" max="4" width="26.6640625" customWidth="1"/>
    <col min="5" max="5" width="13.33203125" customWidth="1"/>
    <col min="6" max="6" width="16.6640625" customWidth="1"/>
    <col min="7" max="7" width="15" customWidth="1"/>
    <col min="8" max="8" width="12.5" customWidth="1"/>
    <col min="9" max="9" width="15" customWidth="1"/>
    <col min="10" max="10" width="12.5" customWidth="1"/>
    <col min="11" max="11" width="26.6640625" customWidth="1"/>
    <col min="12" max="12" width="20" customWidth="1"/>
  </cols>
  <sheetData>
    <row r="1" spans="1:12" ht="30" customHeight="1" thickBot="1" x14ac:dyDescent="0.25">
      <c r="A1" s="2" t="s">
        <v>449</v>
      </c>
      <c r="B1" s="3" t="s">
        <v>450</v>
      </c>
      <c r="C1" s="3" t="s">
        <v>0</v>
      </c>
      <c r="D1" s="3" t="s">
        <v>451</v>
      </c>
      <c r="E1" s="3" t="s">
        <v>452</v>
      </c>
      <c r="F1" s="3" t="s">
        <v>2</v>
      </c>
      <c r="G1" s="3" t="s">
        <v>3</v>
      </c>
      <c r="H1" s="3" t="s">
        <v>6</v>
      </c>
      <c r="I1" s="3" t="s">
        <v>453</v>
      </c>
      <c r="J1" s="3" t="s">
        <v>454</v>
      </c>
      <c r="K1" s="3" t="s">
        <v>455</v>
      </c>
      <c r="L1" s="4" t="s">
        <v>456</v>
      </c>
    </row>
    <row r="2" spans="1:12" ht="40" customHeight="1" x14ac:dyDescent="0.2">
      <c r="A2" s="5" t="s">
        <v>457</v>
      </c>
      <c r="B2" s="6" t="s">
        <v>458</v>
      </c>
      <c r="C2" s="7" t="s">
        <v>7</v>
      </c>
      <c r="D2" s="7" t="s">
        <v>459</v>
      </c>
      <c r="E2" s="8">
        <v>409.99</v>
      </c>
      <c r="F2" s="9">
        <v>429870.86</v>
      </c>
      <c r="G2" s="10">
        <v>1058</v>
      </c>
      <c r="H2" s="11">
        <v>4.5</v>
      </c>
      <c r="I2" s="10">
        <v>274</v>
      </c>
      <c r="J2" s="37" t="str">
        <f>HYPERLINK("https://amazon.com/dp/B0D56CNCW1","View on Amazon")</f>
        <v>View on Amazon</v>
      </c>
      <c r="K2" s="7" t="s">
        <v>459</v>
      </c>
      <c r="L2" s="12" t="s">
        <v>460</v>
      </c>
    </row>
    <row r="3" spans="1:12" ht="40" customHeight="1" x14ac:dyDescent="0.2">
      <c r="A3" s="13" t="s">
        <v>461</v>
      </c>
      <c r="B3" s="14" t="s">
        <v>462</v>
      </c>
      <c r="C3" s="15" t="s">
        <v>8</v>
      </c>
      <c r="D3" s="15" t="s">
        <v>463</v>
      </c>
      <c r="E3" s="16">
        <v>89.99</v>
      </c>
      <c r="F3" s="17">
        <v>119782.18</v>
      </c>
      <c r="G3" s="18">
        <v>1331</v>
      </c>
      <c r="H3" s="19">
        <v>4.3</v>
      </c>
      <c r="I3" s="18">
        <v>3133</v>
      </c>
      <c r="J3" s="38" t="str">
        <f>HYPERLINK("https://amazon.com/dp/B0CYYVBXTV","View on Amazon")</f>
        <v>View on Amazon</v>
      </c>
      <c r="K3" s="15" t="s">
        <v>463</v>
      </c>
      <c r="L3" s="20" t="s">
        <v>460</v>
      </c>
    </row>
    <row r="4" spans="1:12" ht="40" customHeight="1" x14ac:dyDescent="0.2">
      <c r="A4" s="21" t="s">
        <v>464</v>
      </c>
      <c r="B4" s="22" t="s">
        <v>465</v>
      </c>
      <c r="C4" s="23" t="s">
        <v>9</v>
      </c>
      <c r="D4" s="23" t="s">
        <v>463</v>
      </c>
      <c r="E4" s="24">
        <v>109.99</v>
      </c>
      <c r="F4" s="25">
        <v>110762.22</v>
      </c>
      <c r="G4" s="26">
        <v>911</v>
      </c>
      <c r="H4" s="27">
        <v>4.4000000000000004</v>
      </c>
      <c r="I4" s="26">
        <v>511</v>
      </c>
      <c r="J4" s="39" t="str">
        <f>HYPERLINK("https://amazon.com/dp/B0D1813KZ3","View on Amazon")</f>
        <v>View on Amazon</v>
      </c>
      <c r="K4" s="23" t="s">
        <v>463</v>
      </c>
      <c r="L4" s="28" t="s">
        <v>460</v>
      </c>
    </row>
    <row r="5" spans="1:12" ht="40" customHeight="1" x14ac:dyDescent="0.2">
      <c r="A5" s="13" t="s">
        <v>466</v>
      </c>
      <c r="B5" s="14" t="s">
        <v>467</v>
      </c>
      <c r="C5" s="15" t="s">
        <v>12</v>
      </c>
      <c r="D5" s="15" t="s">
        <v>459</v>
      </c>
      <c r="E5" s="16">
        <v>899</v>
      </c>
      <c r="F5" s="17">
        <v>83984.66</v>
      </c>
      <c r="G5" s="18">
        <v>93</v>
      </c>
      <c r="H5" s="19">
        <v>4.5</v>
      </c>
      <c r="I5" s="18">
        <v>92</v>
      </c>
      <c r="J5" s="38" t="str">
        <f>HYPERLINK("https://amazon.com/dp/B0D5QXY5JN","View on Amazon")</f>
        <v>View on Amazon</v>
      </c>
      <c r="K5" s="15" t="s">
        <v>459</v>
      </c>
      <c r="L5" s="20" t="s">
        <v>460</v>
      </c>
    </row>
    <row r="6" spans="1:12" ht="40" customHeight="1" x14ac:dyDescent="0.2">
      <c r="A6" s="21" t="s">
        <v>468</v>
      </c>
      <c r="B6" s="22" t="s">
        <v>469</v>
      </c>
      <c r="C6" s="23" t="s">
        <v>8</v>
      </c>
      <c r="D6" s="23" t="s">
        <v>463</v>
      </c>
      <c r="E6" s="24">
        <v>119.99</v>
      </c>
      <c r="F6" s="25">
        <v>72105.990000000005</v>
      </c>
      <c r="G6" s="26">
        <v>601</v>
      </c>
      <c r="H6" s="27">
        <v>4.3</v>
      </c>
      <c r="I6" s="26">
        <v>3133</v>
      </c>
      <c r="J6" s="39" t="str">
        <f>HYPERLINK("https://amazon.com/dp/B0F7H3VFVS","View on Amazon")</f>
        <v>View on Amazon</v>
      </c>
      <c r="K6" s="23" t="s">
        <v>463</v>
      </c>
      <c r="L6" s="28" t="s">
        <v>460</v>
      </c>
    </row>
    <row r="7" spans="1:12" ht="40" customHeight="1" x14ac:dyDescent="0.2">
      <c r="A7" s="13" t="s">
        <v>470</v>
      </c>
      <c r="B7" s="14" t="s">
        <v>471</v>
      </c>
      <c r="C7" s="15" t="s">
        <v>14</v>
      </c>
      <c r="D7" s="15" t="s">
        <v>463</v>
      </c>
      <c r="E7" s="16">
        <v>79.989999999999995</v>
      </c>
      <c r="F7" s="17">
        <v>61046.31</v>
      </c>
      <c r="G7" s="18">
        <v>837</v>
      </c>
      <c r="H7" s="19">
        <v>4.5999999999999996</v>
      </c>
      <c r="I7" s="18">
        <v>242</v>
      </c>
      <c r="J7" s="38" t="str">
        <f>HYPERLINK("https://amazon.com/dp/B0FLF13P1J","View on Amazon")</f>
        <v>View on Amazon</v>
      </c>
      <c r="K7" s="15" t="s">
        <v>463</v>
      </c>
      <c r="L7" s="20" t="s">
        <v>460</v>
      </c>
    </row>
    <row r="8" spans="1:12" ht="40" customHeight="1" x14ac:dyDescent="0.2">
      <c r="A8" s="21" t="s">
        <v>472</v>
      </c>
      <c r="B8" s="22" t="s">
        <v>473</v>
      </c>
      <c r="C8" s="23" t="s">
        <v>8</v>
      </c>
      <c r="D8" s="23" t="s">
        <v>463</v>
      </c>
      <c r="E8" s="24">
        <v>89.99</v>
      </c>
      <c r="F8" s="25">
        <v>56634.06</v>
      </c>
      <c r="G8" s="26">
        <v>629</v>
      </c>
      <c r="H8" s="27">
        <v>4.3</v>
      </c>
      <c r="I8" s="26">
        <v>3133</v>
      </c>
      <c r="J8" s="39" t="str">
        <f>HYPERLINK("https://amazon.com/dp/B0CZ3KQZB1","View on Amazon")</f>
        <v>View on Amazon</v>
      </c>
      <c r="K8" s="23" t="s">
        <v>463</v>
      </c>
      <c r="L8" s="28" t="s">
        <v>460</v>
      </c>
    </row>
    <row r="9" spans="1:12" ht="40" customHeight="1" x14ac:dyDescent="0.2">
      <c r="A9" s="13" t="s">
        <v>474</v>
      </c>
      <c r="B9" s="14" t="s">
        <v>475</v>
      </c>
      <c r="C9" s="15" t="s">
        <v>15</v>
      </c>
      <c r="D9" s="15" t="s">
        <v>463</v>
      </c>
      <c r="E9" s="16">
        <v>49.99</v>
      </c>
      <c r="F9" s="17">
        <v>54106.46</v>
      </c>
      <c r="G9" s="18">
        <v>1022</v>
      </c>
      <c r="H9" s="19">
        <v>4.2</v>
      </c>
      <c r="I9" s="18">
        <v>91</v>
      </c>
      <c r="J9" s="38" t="str">
        <f>HYPERLINK("https://amazon.com/dp/B0G4L9NBJJ","View on Amazon")</f>
        <v>View on Amazon</v>
      </c>
      <c r="K9" s="15" t="s">
        <v>463</v>
      </c>
      <c r="L9" s="20" t="s">
        <v>460</v>
      </c>
    </row>
    <row r="10" spans="1:12" ht="40" customHeight="1" x14ac:dyDescent="0.2">
      <c r="A10" s="21" t="s">
        <v>476</v>
      </c>
      <c r="B10" s="22" t="s">
        <v>477</v>
      </c>
      <c r="C10" s="23" t="s">
        <v>7</v>
      </c>
      <c r="D10" s="23" t="s">
        <v>459</v>
      </c>
      <c r="E10" s="24">
        <v>899</v>
      </c>
      <c r="F10" s="25">
        <v>53340.74</v>
      </c>
      <c r="G10" s="26">
        <v>61</v>
      </c>
      <c r="H10" s="27">
        <v>4.5</v>
      </c>
      <c r="I10" s="26">
        <v>274</v>
      </c>
      <c r="J10" s="39" t="str">
        <f>HYPERLINK("https://amazon.com/dp/B0FW4H9MXB","View on Amazon")</f>
        <v>View on Amazon</v>
      </c>
      <c r="K10" s="23" t="s">
        <v>459</v>
      </c>
      <c r="L10" s="28" t="s">
        <v>460</v>
      </c>
    </row>
    <row r="11" spans="1:12" ht="40" customHeight="1" x14ac:dyDescent="0.2">
      <c r="A11" s="13" t="s">
        <v>478</v>
      </c>
      <c r="B11" s="14" t="s">
        <v>479</v>
      </c>
      <c r="C11" s="15" t="s">
        <v>11</v>
      </c>
      <c r="D11" s="15" t="s">
        <v>463</v>
      </c>
      <c r="E11" s="16">
        <v>59.99</v>
      </c>
      <c r="F11" s="17">
        <v>52688.160000000003</v>
      </c>
      <c r="G11" s="18">
        <v>655</v>
      </c>
      <c r="H11" s="19">
        <v>4.5</v>
      </c>
      <c r="I11" s="18">
        <v>283</v>
      </c>
      <c r="J11" s="38" t="str">
        <f>HYPERLINK("https://amazon.com/dp/B0F8QFCH51","View on Amazon")</f>
        <v>View on Amazon</v>
      </c>
      <c r="K11" s="15" t="s">
        <v>463</v>
      </c>
      <c r="L11" s="20" t="s">
        <v>460</v>
      </c>
    </row>
    <row r="12" spans="1:12" ht="40" customHeight="1" x14ac:dyDescent="0.2">
      <c r="A12" s="21" t="s">
        <v>480</v>
      </c>
      <c r="B12" s="22" t="s">
        <v>481</v>
      </c>
      <c r="C12" s="23" t="s">
        <v>16</v>
      </c>
      <c r="D12" s="23" t="s">
        <v>463</v>
      </c>
      <c r="E12" s="24">
        <v>999.97</v>
      </c>
      <c r="F12" s="25">
        <v>46780.15</v>
      </c>
      <c r="G12" s="26">
        <v>47</v>
      </c>
      <c r="H12" s="27">
        <v>4.7</v>
      </c>
      <c r="I12" s="26">
        <v>113</v>
      </c>
      <c r="J12" s="39" t="str">
        <f>HYPERLINK("https://amazon.com/dp/B0C5MKWHGQ","View on Amazon")</f>
        <v>View on Amazon</v>
      </c>
      <c r="K12" s="23" t="s">
        <v>463</v>
      </c>
      <c r="L12" s="28" t="s">
        <v>460</v>
      </c>
    </row>
    <row r="13" spans="1:12" ht="40" customHeight="1" x14ac:dyDescent="0.2">
      <c r="A13" s="13" t="s">
        <v>482</v>
      </c>
      <c r="B13" s="14" t="s">
        <v>483</v>
      </c>
      <c r="C13" s="15" t="s">
        <v>13</v>
      </c>
      <c r="D13" s="15" t="s">
        <v>463</v>
      </c>
      <c r="E13" s="16">
        <v>199.99</v>
      </c>
      <c r="F13" s="17">
        <v>40421.31</v>
      </c>
      <c r="G13" s="18">
        <v>267</v>
      </c>
      <c r="H13" s="19">
        <v>4.5</v>
      </c>
      <c r="I13" s="18">
        <v>72</v>
      </c>
      <c r="J13" s="38" t="str">
        <f>HYPERLINK("https://amazon.com/dp/B0F8ND9RJ5","View on Amazon")</f>
        <v>View on Amazon</v>
      </c>
      <c r="K13" s="15" t="s">
        <v>463</v>
      </c>
      <c r="L13" s="20" t="s">
        <v>460</v>
      </c>
    </row>
    <row r="14" spans="1:12" ht="40" customHeight="1" x14ac:dyDescent="0.2">
      <c r="A14" s="21" t="s">
        <v>484</v>
      </c>
      <c r="B14" s="22" t="s">
        <v>485</v>
      </c>
      <c r="C14" s="23" t="s">
        <v>18</v>
      </c>
      <c r="D14" s="23" t="s">
        <v>486</v>
      </c>
      <c r="E14" s="24">
        <v>212.49</v>
      </c>
      <c r="F14" s="25">
        <v>38630.67</v>
      </c>
      <c r="G14" s="26">
        <v>165</v>
      </c>
      <c r="H14" s="27">
        <v>4.2</v>
      </c>
      <c r="I14" s="26">
        <v>264</v>
      </c>
      <c r="J14" s="39" t="str">
        <f>HYPERLINK("https://amazon.com/dp/B0CXHQCTHJ","View on Amazon")</f>
        <v>View on Amazon</v>
      </c>
      <c r="K14" s="23" t="s">
        <v>486</v>
      </c>
      <c r="L14" s="28" t="s">
        <v>460</v>
      </c>
    </row>
    <row r="15" spans="1:12" ht="40" customHeight="1" x14ac:dyDescent="0.2">
      <c r="A15" s="13" t="s">
        <v>487</v>
      </c>
      <c r="B15" s="14" t="s">
        <v>488</v>
      </c>
      <c r="C15" s="15" t="s">
        <v>20</v>
      </c>
      <c r="D15" s="15" t="s">
        <v>463</v>
      </c>
      <c r="E15" s="16">
        <v>89.99</v>
      </c>
      <c r="F15" s="17">
        <v>36857.050000000003</v>
      </c>
      <c r="G15" s="18">
        <v>433</v>
      </c>
      <c r="H15" s="19">
        <v>4.4000000000000004</v>
      </c>
      <c r="I15" s="18">
        <v>162</v>
      </c>
      <c r="J15" s="38" t="str">
        <f>HYPERLINK("https://amazon.com/dp/B0FVCTR45Y","View on Amazon")</f>
        <v>View on Amazon</v>
      </c>
      <c r="K15" s="15" t="s">
        <v>463</v>
      </c>
      <c r="L15" s="20" t="s">
        <v>460</v>
      </c>
    </row>
    <row r="16" spans="1:12" ht="40" customHeight="1" x14ac:dyDescent="0.2">
      <c r="A16" s="21" t="s">
        <v>489</v>
      </c>
      <c r="B16" s="22" t="s">
        <v>490</v>
      </c>
      <c r="C16" s="23" t="s">
        <v>10</v>
      </c>
      <c r="D16" s="23" t="s">
        <v>459</v>
      </c>
      <c r="E16" s="24">
        <v>328.99</v>
      </c>
      <c r="F16" s="25">
        <v>34369.61</v>
      </c>
      <c r="G16" s="26">
        <v>100</v>
      </c>
      <c r="H16" s="27">
        <v>4.4000000000000004</v>
      </c>
      <c r="I16" s="26">
        <v>329</v>
      </c>
      <c r="J16" s="39" t="str">
        <f>HYPERLINK("https://amazon.com/dp/B0CNXP8JBV","View on Amazon")</f>
        <v>View on Amazon</v>
      </c>
      <c r="K16" s="23" t="s">
        <v>459</v>
      </c>
      <c r="L16" s="28" t="s">
        <v>460</v>
      </c>
    </row>
    <row r="17" spans="1:12" ht="40" customHeight="1" x14ac:dyDescent="0.2">
      <c r="A17" s="13" t="s">
        <v>491</v>
      </c>
      <c r="B17" s="14" t="s">
        <v>492</v>
      </c>
      <c r="C17" s="15" t="s">
        <v>21</v>
      </c>
      <c r="D17" s="15" t="s">
        <v>463</v>
      </c>
      <c r="E17" s="16">
        <v>59.99</v>
      </c>
      <c r="F17" s="17">
        <v>30110.5</v>
      </c>
      <c r="G17" s="18">
        <v>455</v>
      </c>
      <c r="H17" s="19">
        <v>4.4000000000000004</v>
      </c>
      <c r="I17" s="18">
        <v>431</v>
      </c>
      <c r="J17" s="38" t="str">
        <f>HYPERLINK("https://amazon.com/dp/B0D8YJW635","View on Amazon")</f>
        <v>View on Amazon</v>
      </c>
      <c r="K17" s="15" t="s">
        <v>463</v>
      </c>
      <c r="L17" s="20" t="s">
        <v>460</v>
      </c>
    </row>
    <row r="18" spans="1:12" ht="40" customHeight="1" x14ac:dyDescent="0.2">
      <c r="A18" s="21" t="s">
        <v>493</v>
      </c>
      <c r="B18" s="22" t="s">
        <v>494</v>
      </c>
      <c r="C18" s="23" t="s">
        <v>22</v>
      </c>
      <c r="D18" s="23" t="s">
        <v>459</v>
      </c>
      <c r="E18" s="24">
        <v>99.99</v>
      </c>
      <c r="F18" s="25">
        <v>28255.83</v>
      </c>
      <c r="G18" s="26">
        <v>228</v>
      </c>
      <c r="H18" s="27">
        <v>4.5999999999999996</v>
      </c>
      <c r="I18" s="26">
        <v>337</v>
      </c>
      <c r="J18" s="39" t="str">
        <f>HYPERLINK("https://amazon.com/dp/B0FMDQK4S8","View on Amazon")</f>
        <v>View on Amazon</v>
      </c>
      <c r="K18" s="23" t="s">
        <v>459</v>
      </c>
      <c r="L18" s="28" t="s">
        <v>460</v>
      </c>
    </row>
    <row r="19" spans="1:12" ht="40" customHeight="1" x14ac:dyDescent="0.2">
      <c r="A19" s="13" t="s">
        <v>495</v>
      </c>
      <c r="B19" s="14" t="s">
        <v>496</v>
      </c>
      <c r="C19" s="15" t="s">
        <v>19</v>
      </c>
      <c r="D19" s="15" t="s">
        <v>459</v>
      </c>
      <c r="E19" s="16">
        <v>399.99</v>
      </c>
      <c r="F19" s="17">
        <v>25850.23</v>
      </c>
      <c r="G19" s="18">
        <v>65</v>
      </c>
      <c r="H19" s="19">
        <v>4</v>
      </c>
      <c r="I19" s="18">
        <v>131</v>
      </c>
      <c r="J19" s="38" t="str">
        <f>HYPERLINK("https://amazon.com/dp/B0DW3ZPC1N","View on Amazon")</f>
        <v>View on Amazon</v>
      </c>
      <c r="K19" s="15" t="s">
        <v>459</v>
      </c>
      <c r="L19" s="20" t="s">
        <v>460</v>
      </c>
    </row>
    <row r="20" spans="1:12" ht="40" customHeight="1" x14ac:dyDescent="0.2">
      <c r="A20" s="21" t="s">
        <v>497</v>
      </c>
      <c r="B20" s="22" t="s">
        <v>498</v>
      </c>
      <c r="C20" s="23" t="s">
        <v>11</v>
      </c>
      <c r="D20" s="23" t="s">
        <v>463</v>
      </c>
      <c r="E20" s="24">
        <v>229.99</v>
      </c>
      <c r="F20" s="25">
        <v>24079.21</v>
      </c>
      <c r="G20" s="26">
        <v>105</v>
      </c>
      <c r="H20" s="27">
        <v>4.5</v>
      </c>
      <c r="I20" s="26">
        <v>283</v>
      </c>
      <c r="J20" s="39" t="str">
        <f>HYPERLINK("https://amazon.com/dp/B0F8QJ3VPV","View on Amazon")</f>
        <v>View on Amazon</v>
      </c>
      <c r="K20" s="23" t="s">
        <v>463</v>
      </c>
      <c r="L20" s="28" t="s">
        <v>460</v>
      </c>
    </row>
    <row r="21" spans="1:12" ht="40" customHeight="1" x14ac:dyDescent="0.2">
      <c r="A21" s="13" t="s">
        <v>499</v>
      </c>
      <c r="B21" s="14" t="s">
        <v>500</v>
      </c>
      <c r="C21" s="15" t="s">
        <v>25</v>
      </c>
      <c r="D21" s="15" t="s">
        <v>463</v>
      </c>
      <c r="E21" s="16">
        <v>129.99</v>
      </c>
      <c r="F21" s="17">
        <v>23219.55</v>
      </c>
      <c r="G21" s="18">
        <v>132</v>
      </c>
      <c r="H21" s="19">
        <v>4.2</v>
      </c>
      <c r="I21" s="18">
        <v>507</v>
      </c>
      <c r="J21" s="38" t="str">
        <f>HYPERLINK("https://amazon.com/dp/B0BKZW16RH","View on Amazon")</f>
        <v>View on Amazon</v>
      </c>
      <c r="K21" s="15" t="s">
        <v>463</v>
      </c>
      <c r="L21" s="20" t="s">
        <v>460</v>
      </c>
    </row>
    <row r="22" spans="1:12" ht="40" customHeight="1" x14ac:dyDescent="0.2">
      <c r="A22" s="21" t="s">
        <v>501</v>
      </c>
      <c r="B22" s="22" t="s">
        <v>502</v>
      </c>
      <c r="C22" s="23" t="s">
        <v>17</v>
      </c>
      <c r="D22" s="23" t="s">
        <v>503</v>
      </c>
      <c r="E22" s="24">
        <v>512.6</v>
      </c>
      <c r="F22" s="25">
        <v>23128.32</v>
      </c>
      <c r="G22" s="26">
        <v>45</v>
      </c>
      <c r="H22" s="27">
        <v>4.0999999999999996</v>
      </c>
      <c r="I22" s="26">
        <v>3283</v>
      </c>
      <c r="J22" s="39" t="str">
        <f>HYPERLINK("https://amazon.com/dp/B079JYL16W","View on Amazon")</f>
        <v>View on Amazon</v>
      </c>
      <c r="K22" s="23" t="s">
        <v>503</v>
      </c>
      <c r="L22" s="28" t="s">
        <v>460</v>
      </c>
    </row>
    <row r="23" spans="1:12" ht="40" customHeight="1" x14ac:dyDescent="0.2">
      <c r="A23" s="13" t="s">
        <v>504</v>
      </c>
      <c r="B23" s="14" t="s">
        <v>505</v>
      </c>
      <c r="C23" s="15" t="s">
        <v>28</v>
      </c>
      <c r="D23" s="15" t="s">
        <v>463</v>
      </c>
      <c r="E23" s="16">
        <v>89.99</v>
      </c>
      <c r="F23" s="17">
        <v>20394.09</v>
      </c>
      <c r="G23" s="18">
        <v>316</v>
      </c>
      <c r="H23" s="19">
        <v>4.4000000000000004</v>
      </c>
      <c r="I23" s="18">
        <v>2419</v>
      </c>
      <c r="J23" s="38" t="str">
        <f>HYPERLINK("https://amazon.com/dp/B0DCNJ1G2Y","View on Amazon")</f>
        <v>View on Amazon</v>
      </c>
      <c r="K23" s="15" t="s">
        <v>463</v>
      </c>
      <c r="L23" s="20" t="s">
        <v>460</v>
      </c>
    </row>
    <row r="24" spans="1:12" ht="40" customHeight="1" x14ac:dyDescent="0.2">
      <c r="A24" s="21" t="s">
        <v>506</v>
      </c>
      <c r="B24" s="22" t="s">
        <v>507</v>
      </c>
      <c r="C24" s="23" t="s">
        <v>26</v>
      </c>
      <c r="D24" s="23" t="s">
        <v>463</v>
      </c>
      <c r="E24" s="24">
        <v>58.99</v>
      </c>
      <c r="F24" s="25">
        <v>18168.900000000001</v>
      </c>
      <c r="G24" s="26">
        <v>305</v>
      </c>
      <c r="H24" s="27">
        <v>4.8</v>
      </c>
      <c r="I24" s="26">
        <v>34</v>
      </c>
      <c r="J24" s="39" t="str">
        <f>HYPERLINK("https://amazon.com/dp/B0FJXJMKCL","View on Amazon")</f>
        <v>View on Amazon</v>
      </c>
      <c r="K24" s="23" t="s">
        <v>463</v>
      </c>
      <c r="L24" s="28" t="s">
        <v>460</v>
      </c>
    </row>
    <row r="25" spans="1:12" ht="40" customHeight="1" x14ac:dyDescent="0.2">
      <c r="A25" s="13" t="s">
        <v>508</v>
      </c>
      <c r="B25" s="14" t="s">
        <v>509</v>
      </c>
      <c r="C25" s="15" t="s">
        <v>33</v>
      </c>
      <c r="D25" s="15" t="s">
        <v>463</v>
      </c>
      <c r="E25" s="16">
        <v>219.99</v>
      </c>
      <c r="F25" s="17">
        <v>17212.98</v>
      </c>
      <c r="G25" s="18">
        <v>78</v>
      </c>
      <c r="H25" s="19">
        <v>4.5</v>
      </c>
      <c r="I25" s="18">
        <v>67</v>
      </c>
      <c r="J25" s="38" t="str">
        <f>HYPERLINK("https://amazon.com/dp/B0FG2L5PDY","View on Amazon")</f>
        <v>View on Amazon</v>
      </c>
      <c r="K25" s="15" t="s">
        <v>463</v>
      </c>
      <c r="L25" s="20" t="s">
        <v>460</v>
      </c>
    </row>
    <row r="26" spans="1:12" ht="40" customHeight="1" x14ac:dyDescent="0.2">
      <c r="A26" s="21" t="s">
        <v>510</v>
      </c>
      <c r="B26" s="22" t="s">
        <v>511</v>
      </c>
      <c r="C26" s="23" t="s">
        <v>35</v>
      </c>
      <c r="D26" s="23" t="s">
        <v>512</v>
      </c>
      <c r="E26" s="24">
        <v>399</v>
      </c>
      <c r="F26" s="25">
        <v>15374.81</v>
      </c>
      <c r="G26" s="26">
        <v>39</v>
      </c>
      <c r="H26" s="27">
        <v>4.2</v>
      </c>
      <c r="I26" s="26">
        <v>13</v>
      </c>
      <c r="J26" s="39" t="str">
        <f>HYPERLINK("https://amazon.com/dp/B0DW8SV9B4","View on Amazon")</f>
        <v>View on Amazon</v>
      </c>
      <c r="K26" s="23" t="s">
        <v>512</v>
      </c>
      <c r="L26" s="28" t="s">
        <v>460</v>
      </c>
    </row>
    <row r="27" spans="1:12" ht="40" customHeight="1" x14ac:dyDescent="0.2">
      <c r="A27" s="13" t="s">
        <v>513</v>
      </c>
      <c r="B27" s="14" t="s">
        <v>514</v>
      </c>
      <c r="C27" s="15" t="s">
        <v>37</v>
      </c>
      <c r="D27" s="15" t="s">
        <v>463</v>
      </c>
      <c r="E27" s="16">
        <v>47.49</v>
      </c>
      <c r="F27" s="17">
        <v>14569.46</v>
      </c>
      <c r="G27" s="18">
        <v>293</v>
      </c>
      <c r="H27" s="19">
        <v>4.5</v>
      </c>
      <c r="I27" s="18">
        <v>40</v>
      </c>
      <c r="J27" s="38" t="str">
        <f>HYPERLINK("https://amazon.com/dp/B0FLXCK6D8","View on Amazon")</f>
        <v>View on Amazon</v>
      </c>
      <c r="K27" s="15" t="s">
        <v>463</v>
      </c>
      <c r="L27" s="20" t="s">
        <v>460</v>
      </c>
    </row>
    <row r="28" spans="1:12" ht="40" customHeight="1" x14ac:dyDescent="0.2">
      <c r="A28" s="21" t="s">
        <v>515</v>
      </c>
      <c r="B28" s="22" t="s">
        <v>516</v>
      </c>
      <c r="C28" s="23" t="s">
        <v>24</v>
      </c>
      <c r="D28" s="23" t="s">
        <v>463</v>
      </c>
      <c r="E28" s="24">
        <v>199.99</v>
      </c>
      <c r="F28" s="25">
        <v>14383.87</v>
      </c>
      <c r="G28" s="26">
        <v>72</v>
      </c>
      <c r="H28" s="27">
        <v>3.9</v>
      </c>
      <c r="I28" s="26">
        <v>229</v>
      </c>
      <c r="J28" s="39" t="str">
        <f>HYPERLINK("https://amazon.com/dp/B0CJK26N81","View on Amazon")</f>
        <v>View on Amazon</v>
      </c>
      <c r="K28" s="23" t="s">
        <v>463</v>
      </c>
      <c r="L28" s="28" t="s">
        <v>460</v>
      </c>
    </row>
    <row r="29" spans="1:12" ht="40" customHeight="1" x14ac:dyDescent="0.2">
      <c r="A29" s="13" t="s">
        <v>517</v>
      </c>
      <c r="B29" s="14" t="s">
        <v>518</v>
      </c>
      <c r="C29" s="15" t="s">
        <v>17</v>
      </c>
      <c r="D29" s="15" t="s">
        <v>503</v>
      </c>
      <c r="E29" s="16">
        <v>769.99</v>
      </c>
      <c r="F29" s="17">
        <v>13600.39</v>
      </c>
      <c r="G29" s="18">
        <v>18</v>
      </c>
      <c r="H29" s="19">
        <v>4.0999999999999996</v>
      </c>
      <c r="I29" s="18">
        <v>3283</v>
      </c>
      <c r="J29" s="38" t="str">
        <f>HYPERLINK("https://amazon.com/dp/B079K1797S","View on Amazon")</f>
        <v>View on Amazon</v>
      </c>
      <c r="K29" s="15" t="s">
        <v>503</v>
      </c>
      <c r="L29" s="20" t="s">
        <v>460</v>
      </c>
    </row>
    <row r="30" spans="1:12" ht="40" customHeight="1" x14ac:dyDescent="0.2">
      <c r="A30" s="21" t="s">
        <v>519</v>
      </c>
      <c r="B30" s="22" t="s">
        <v>520</v>
      </c>
      <c r="C30" s="23" t="s">
        <v>10</v>
      </c>
      <c r="D30" s="23" t="s">
        <v>459</v>
      </c>
      <c r="E30" s="24">
        <v>499</v>
      </c>
      <c r="F30" s="25">
        <v>12894.93</v>
      </c>
      <c r="G30" s="26">
        <v>25</v>
      </c>
      <c r="H30" s="27">
        <v>4.4000000000000004</v>
      </c>
      <c r="I30" s="26">
        <v>153</v>
      </c>
      <c r="J30" s="39" t="str">
        <f>HYPERLINK("https://amazon.com/dp/B0FNWKSKYK","View on Amazon")</f>
        <v>View on Amazon</v>
      </c>
      <c r="K30" s="23" t="s">
        <v>459</v>
      </c>
      <c r="L30" s="28" t="s">
        <v>460</v>
      </c>
    </row>
    <row r="31" spans="1:12" ht="40" customHeight="1" x14ac:dyDescent="0.2">
      <c r="A31" s="13" t="s">
        <v>521</v>
      </c>
      <c r="B31" s="14" t="s">
        <v>522</v>
      </c>
      <c r="C31" s="15" t="s">
        <v>38</v>
      </c>
      <c r="D31" s="15" t="s">
        <v>463</v>
      </c>
      <c r="E31" s="16">
        <v>279.99</v>
      </c>
      <c r="F31" s="17">
        <v>12680.25</v>
      </c>
      <c r="G31" s="18">
        <v>45</v>
      </c>
      <c r="H31" s="19">
        <v>4.2</v>
      </c>
      <c r="I31" s="18">
        <v>68</v>
      </c>
      <c r="J31" s="38" t="str">
        <f>HYPERLINK("https://amazon.com/dp/B0DRYFYHW1","View on Amazon")</f>
        <v>View on Amazon</v>
      </c>
      <c r="K31" s="15" t="s">
        <v>463</v>
      </c>
      <c r="L31" s="20" t="s">
        <v>460</v>
      </c>
    </row>
    <row r="32" spans="1:12" ht="40" customHeight="1" x14ac:dyDescent="0.2">
      <c r="A32" s="21" t="s">
        <v>523</v>
      </c>
      <c r="B32" s="22" t="s">
        <v>524</v>
      </c>
      <c r="C32" s="23" t="s">
        <v>42</v>
      </c>
      <c r="D32" s="23" t="s">
        <v>512</v>
      </c>
      <c r="E32" s="24">
        <v>849</v>
      </c>
      <c r="F32" s="25">
        <v>12486.62</v>
      </c>
      <c r="G32" s="26">
        <v>15</v>
      </c>
      <c r="H32" s="27">
        <v>4</v>
      </c>
      <c r="I32" s="26">
        <v>75</v>
      </c>
      <c r="J32" s="39" t="str">
        <f>HYPERLINK("https://amazon.com/dp/B08CHMQ5CC","View on Amazon")</f>
        <v>View on Amazon</v>
      </c>
      <c r="K32" s="23" t="s">
        <v>512</v>
      </c>
      <c r="L32" s="28" t="s">
        <v>460</v>
      </c>
    </row>
    <row r="33" spans="1:12" ht="40" customHeight="1" x14ac:dyDescent="0.2">
      <c r="A33" s="13" t="s">
        <v>525</v>
      </c>
      <c r="B33" s="14" t="s">
        <v>526</v>
      </c>
      <c r="C33" s="15" t="s">
        <v>44</v>
      </c>
      <c r="D33" s="15" t="s">
        <v>486</v>
      </c>
      <c r="E33" s="16">
        <v>39.99</v>
      </c>
      <c r="F33" s="17">
        <v>11885.47</v>
      </c>
      <c r="G33" s="18">
        <v>296</v>
      </c>
      <c r="H33" s="19">
        <v>4.0999999999999996</v>
      </c>
      <c r="I33" s="18">
        <v>379</v>
      </c>
      <c r="J33" s="38" t="str">
        <f>HYPERLINK("https://amazon.com/dp/B0F2FLV2BW","View on Amazon")</f>
        <v>View on Amazon</v>
      </c>
      <c r="K33" s="15" t="s">
        <v>486</v>
      </c>
      <c r="L33" s="20" t="s">
        <v>460</v>
      </c>
    </row>
    <row r="34" spans="1:12" ht="40" customHeight="1" x14ac:dyDescent="0.2">
      <c r="A34" s="21" t="s">
        <v>527</v>
      </c>
      <c r="B34" s="22" t="s">
        <v>528</v>
      </c>
      <c r="C34" s="23" t="s">
        <v>19</v>
      </c>
      <c r="D34" s="23" t="s">
        <v>463</v>
      </c>
      <c r="E34" s="24">
        <v>32.49</v>
      </c>
      <c r="F34" s="25">
        <v>11507.43</v>
      </c>
      <c r="G34" s="26">
        <v>236</v>
      </c>
      <c r="H34" s="27">
        <v>4.0999999999999996</v>
      </c>
      <c r="I34" s="26">
        <v>35</v>
      </c>
      <c r="J34" s="39" t="str">
        <f>HYPERLINK("https://amazon.com/dp/B0FCSD9V6P","View on Amazon")</f>
        <v>View on Amazon</v>
      </c>
      <c r="K34" s="23" t="s">
        <v>463</v>
      </c>
      <c r="L34" s="28" t="s">
        <v>460</v>
      </c>
    </row>
    <row r="35" spans="1:12" ht="40" customHeight="1" x14ac:dyDescent="0.2">
      <c r="A35" s="13" t="s">
        <v>529</v>
      </c>
      <c r="B35" s="14" t="s">
        <v>530</v>
      </c>
      <c r="C35" s="15" t="s">
        <v>46</v>
      </c>
      <c r="D35" s="15" t="s">
        <v>463</v>
      </c>
      <c r="E35" s="16">
        <v>189.99</v>
      </c>
      <c r="F35" s="17">
        <v>11099.92</v>
      </c>
      <c r="G35" s="18">
        <v>58</v>
      </c>
      <c r="H35" s="19">
        <v>3.8</v>
      </c>
      <c r="I35" s="18">
        <v>17</v>
      </c>
      <c r="J35" s="38" t="str">
        <f>HYPERLINK("https://amazon.com/dp/B0FKVY51JC","View on Amazon")</f>
        <v>View on Amazon</v>
      </c>
      <c r="K35" s="15" t="s">
        <v>463</v>
      </c>
      <c r="L35" s="20" t="s">
        <v>460</v>
      </c>
    </row>
    <row r="36" spans="1:12" ht="40" customHeight="1" x14ac:dyDescent="0.2">
      <c r="A36" s="21" t="s">
        <v>531</v>
      </c>
      <c r="B36" s="22" t="s">
        <v>532</v>
      </c>
      <c r="C36" s="23" t="s">
        <v>43</v>
      </c>
      <c r="D36" s="23" t="s">
        <v>459</v>
      </c>
      <c r="E36" s="24">
        <v>329.99</v>
      </c>
      <c r="F36" s="25">
        <v>10511.3</v>
      </c>
      <c r="G36" s="26">
        <v>32</v>
      </c>
      <c r="H36" s="27">
        <v>4</v>
      </c>
      <c r="I36" s="26">
        <v>34</v>
      </c>
      <c r="J36" s="39" t="str">
        <f>HYPERLINK("https://amazon.com/dp/B0DSVFBXZT","View on Amazon")</f>
        <v>View on Amazon</v>
      </c>
      <c r="K36" s="23" t="s">
        <v>459</v>
      </c>
      <c r="L36" s="28" t="s">
        <v>460</v>
      </c>
    </row>
    <row r="37" spans="1:12" ht="40" customHeight="1" x14ac:dyDescent="0.2">
      <c r="A37" s="13" t="s">
        <v>533</v>
      </c>
      <c r="B37" s="14" t="s">
        <v>534</v>
      </c>
      <c r="C37" s="15" t="s">
        <v>10</v>
      </c>
      <c r="D37" s="15" t="s">
        <v>459</v>
      </c>
      <c r="E37" s="16">
        <v>551.64</v>
      </c>
      <c r="F37" s="17">
        <v>10494.24</v>
      </c>
      <c r="G37" s="18">
        <v>17</v>
      </c>
      <c r="H37" s="19">
        <v>4.4000000000000004</v>
      </c>
      <c r="I37" s="18">
        <v>330</v>
      </c>
      <c r="J37" s="38" t="str">
        <f>HYPERLINK("https://amazon.com/dp/B0D1R935KD","View on Amazon")</f>
        <v>View on Amazon</v>
      </c>
      <c r="K37" s="15" t="s">
        <v>459</v>
      </c>
      <c r="L37" s="20" t="s">
        <v>460</v>
      </c>
    </row>
    <row r="38" spans="1:12" ht="40" customHeight="1" x14ac:dyDescent="0.2">
      <c r="A38" s="21" t="s">
        <v>535</v>
      </c>
      <c r="B38" s="22" t="s">
        <v>536</v>
      </c>
      <c r="C38" s="23" t="s">
        <v>23</v>
      </c>
      <c r="D38" s="23" t="s">
        <v>503</v>
      </c>
      <c r="E38" s="24">
        <v>84.99</v>
      </c>
      <c r="F38" s="25">
        <v>9354.66</v>
      </c>
      <c r="G38" s="26">
        <v>110</v>
      </c>
      <c r="H38" s="27">
        <v>4.2</v>
      </c>
      <c r="I38" s="26">
        <v>454</v>
      </c>
      <c r="J38" s="39" t="str">
        <f>HYPERLINK("https://amazon.com/dp/B07PPD42Y1","View on Amazon")</f>
        <v>View on Amazon</v>
      </c>
      <c r="K38" s="23" t="s">
        <v>503</v>
      </c>
      <c r="L38" s="28" t="s">
        <v>460</v>
      </c>
    </row>
    <row r="39" spans="1:12" ht="40" customHeight="1" x14ac:dyDescent="0.2">
      <c r="A39" s="13" t="s">
        <v>537</v>
      </c>
      <c r="B39" s="14" t="s">
        <v>538</v>
      </c>
      <c r="C39" s="15" t="s">
        <v>24</v>
      </c>
      <c r="D39" s="15" t="s">
        <v>463</v>
      </c>
      <c r="E39" s="16">
        <v>159.99</v>
      </c>
      <c r="F39" s="17">
        <v>9251.2199999999993</v>
      </c>
      <c r="G39" s="18">
        <v>58</v>
      </c>
      <c r="H39" s="19">
        <v>4.0999999999999996</v>
      </c>
      <c r="I39" s="18">
        <v>116</v>
      </c>
      <c r="J39" s="38" t="str">
        <f>HYPERLINK("https://amazon.com/dp/B0CJK2MJPV","View on Amazon")</f>
        <v>View on Amazon</v>
      </c>
      <c r="K39" s="15" t="s">
        <v>463</v>
      </c>
      <c r="L39" s="20" t="s">
        <v>460</v>
      </c>
    </row>
    <row r="40" spans="1:12" ht="40" customHeight="1" x14ac:dyDescent="0.2">
      <c r="A40" s="21" t="s">
        <v>539</v>
      </c>
      <c r="B40" s="22" t="s">
        <v>540</v>
      </c>
      <c r="C40" s="23" t="s">
        <v>48</v>
      </c>
      <c r="D40" s="23" t="s">
        <v>463</v>
      </c>
      <c r="E40" s="24">
        <v>99.98</v>
      </c>
      <c r="F40" s="25">
        <v>8836.85</v>
      </c>
      <c r="G40" s="26">
        <v>61</v>
      </c>
      <c r="H40" s="27">
        <v>4.4000000000000004</v>
      </c>
      <c r="I40" s="26">
        <v>31</v>
      </c>
      <c r="J40" s="39" t="str">
        <f>HYPERLINK("https://amazon.com/dp/B0FP8LF1ZL","View on Amazon")</f>
        <v>View on Amazon</v>
      </c>
      <c r="K40" s="23" t="s">
        <v>463</v>
      </c>
      <c r="L40" s="28" t="s">
        <v>460</v>
      </c>
    </row>
    <row r="41" spans="1:12" ht="40" customHeight="1" x14ac:dyDescent="0.2">
      <c r="A41" s="13" t="s">
        <v>541</v>
      </c>
      <c r="B41" s="14" t="s">
        <v>542</v>
      </c>
      <c r="C41" s="15" t="s">
        <v>11</v>
      </c>
      <c r="D41" s="15" t="s">
        <v>463</v>
      </c>
      <c r="E41" s="16">
        <v>69.989999999999995</v>
      </c>
      <c r="F41" s="17">
        <v>8809.93</v>
      </c>
      <c r="G41" s="18">
        <v>97</v>
      </c>
      <c r="H41" s="19">
        <v>4.5</v>
      </c>
      <c r="I41" s="18">
        <v>283</v>
      </c>
      <c r="J41" s="38" t="str">
        <f>HYPERLINK("https://amazon.com/dp/B0G1BYT3JM","View on Amazon")</f>
        <v>View on Amazon</v>
      </c>
      <c r="K41" s="15" t="s">
        <v>463</v>
      </c>
      <c r="L41" s="20" t="s">
        <v>460</v>
      </c>
    </row>
    <row r="42" spans="1:12" ht="40" customHeight="1" x14ac:dyDescent="0.2">
      <c r="A42" s="21" t="s">
        <v>543</v>
      </c>
      <c r="B42" s="22" t="s">
        <v>544</v>
      </c>
      <c r="C42" s="23" t="s">
        <v>23</v>
      </c>
      <c r="D42" s="23" t="s">
        <v>463</v>
      </c>
      <c r="E42" s="24">
        <v>79.989999999999995</v>
      </c>
      <c r="F42" s="25">
        <v>8625.68</v>
      </c>
      <c r="G42" s="26">
        <v>108</v>
      </c>
      <c r="H42" s="27">
        <v>4.2</v>
      </c>
      <c r="I42" s="26">
        <v>454</v>
      </c>
      <c r="J42" s="39" t="str">
        <f>HYPERLINK("https://amazon.com/dp/B07PPDYVGW","View on Amazon")</f>
        <v>View on Amazon</v>
      </c>
      <c r="K42" s="23" t="s">
        <v>463</v>
      </c>
      <c r="L42" s="28" t="s">
        <v>460</v>
      </c>
    </row>
    <row r="43" spans="1:12" ht="40" customHeight="1" x14ac:dyDescent="0.2">
      <c r="A43" s="13" t="s">
        <v>545</v>
      </c>
      <c r="B43" s="14" t="s">
        <v>546</v>
      </c>
      <c r="C43" s="15" t="s">
        <v>51</v>
      </c>
      <c r="D43" s="15" t="s">
        <v>547</v>
      </c>
      <c r="E43" s="16">
        <v>199</v>
      </c>
      <c r="F43" s="17">
        <v>8451.66</v>
      </c>
      <c r="G43" s="18">
        <v>32</v>
      </c>
      <c r="H43" s="19">
        <v>4.5999999999999996</v>
      </c>
      <c r="I43" s="18">
        <v>127</v>
      </c>
      <c r="J43" s="38" t="str">
        <f>HYPERLINK("https://amazon.com/dp/B001IPCUK4","View on Amazon")</f>
        <v>View on Amazon</v>
      </c>
      <c r="K43" s="15" t="s">
        <v>547</v>
      </c>
      <c r="L43" s="20" t="s">
        <v>460</v>
      </c>
    </row>
    <row r="44" spans="1:12" ht="40" customHeight="1" x14ac:dyDescent="0.2">
      <c r="A44" s="21" t="s">
        <v>548</v>
      </c>
      <c r="B44" s="22" t="s">
        <v>549</v>
      </c>
      <c r="C44" s="23" t="s">
        <v>55</v>
      </c>
      <c r="D44" s="23" t="s">
        <v>459</v>
      </c>
      <c r="E44" s="24">
        <v>949.99</v>
      </c>
      <c r="F44" s="25">
        <v>8420.24</v>
      </c>
      <c r="G44" s="26">
        <v>9</v>
      </c>
      <c r="H44" s="27">
        <v>3.8</v>
      </c>
      <c r="I44" s="26">
        <v>1113</v>
      </c>
      <c r="J44" s="39" t="str">
        <f>HYPERLINK("https://amazon.com/dp/B01APT3LF6","View on Amazon")</f>
        <v>View on Amazon</v>
      </c>
      <c r="K44" s="23" t="s">
        <v>459</v>
      </c>
      <c r="L44" s="28" t="s">
        <v>460</v>
      </c>
    </row>
    <row r="45" spans="1:12" ht="40" customHeight="1" x14ac:dyDescent="0.2">
      <c r="A45" s="13" t="s">
        <v>550</v>
      </c>
      <c r="B45" s="14" t="s">
        <v>551</v>
      </c>
      <c r="C45" s="15" t="s">
        <v>56</v>
      </c>
      <c r="D45" s="15" t="s">
        <v>459</v>
      </c>
      <c r="E45" s="16">
        <v>999.99</v>
      </c>
      <c r="F45" s="17">
        <v>8413.99</v>
      </c>
      <c r="G45" s="18">
        <v>8</v>
      </c>
      <c r="H45" s="19">
        <v>0</v>
      </c>
      <c r="I45" s="18">
        <v>0</v>
      </c>
      <c r="J45" s="38" t="str">
        <f>HYPERLINK("https://amazon.com/dp/B0G1MGKX53","View on Amazon")</f>
        <v>View on Amazon</v>
      </c>
      <c r="K45" s="15" t="s">
        <v>459</v>
      </c>
      <c r="L45" s="20" t="s">
        <v>460</v>
      </c>
    </row>
    <row r="46" spans="1:12" ht="40" customHeight="1" x14ac:dyDescent="0.2">
      <c r="A46" s="21" t="s">
        <v>552</v>
      </c>
      <c r="B46" s="22" t="s">
        <v>553</v>
      </c>
      <c r="C46" s="23" t="s">
        <v>10</v>
      </c>
      <c r="D46" s="23" t="s">
        <v>459</v>
      </c>
      <c r="E46" s="24">
        <v>679.15</v>
      </c>
      <c r="F46" s="25">
        <v>8275.83</v>
      </c>
      <c r="G46" s="26">
        <v>11</v>
      </c>
      <c r="H46" s="27">
        <v>4.4000000000000004</v>
      </c>
      <c r="I46" s="26">
        <v>329</v>
      </c>
      <c r="J46" s="39" t="str">
        <f>HYPERLINK("https://amazon.com/dp/B0D1RB6PBJ","View on Amazon")</f>
        <v>View on Amazon</v>
      </c>
      <c r="K46" s="23" t="s">
        <v>459</v>
      </c>
      <c r="L46" s="28" t="s">
        <v>460</v>
      </c>
    </row>
    <row r="47" spans="1:12" ht="40" customHeight="1" x14ac:dyDescent="0.2">
      <c r="A47" s="13" t="s">
        <v>554</v>
      </c>
      <c r="B47" s="14" t="s">
        <v>555</v>
      </c>
      <c r="C47" s="15" t="s">
        <v>29</v>
      </c>
      <c r="D47" s="15" t="s">
        <v>459</v>
      </c>
      <c r="E47" s="16">
        <v>293.55</v>
      </c>
      <c r="F47" s="17">
        <v>8182.08</v>
      </c>
      <c r="G47" s="18">
        <v>26</v>
      </c>
      <c r="H47" s="19">
        <v>3.8</v>
      </c>
      <c r="I47" s="18">
        <v>545</v>
      </c>
      <c r="J47" s="38" t="str">
        <f>HYPERLINK("https://amazon.com/dp/B07C4WS8PZ","View on Amazon")</f>
        <v>View on Amazon</v>
      </c>
      <c r="K47" s="15" t="s">
        <v>459</v>
      </c>
      <c r="L47" s="20" t="s">
        <v>460</v>
      </c>
    </row>
    <row r="48" spans="1:12" ht="40" customHeight="1" x14ac:dyDescent="0.2">
      <c r="A48" s="21" t="s">
        <v>556</v>
      </c>
      <c r="B48" s="22" t="s">
        <v>557</v>
      </c>
      <c r="C48" s="23" t="s">
        <v>27</v>
      </c>
      <c r="D48" s="23" t="s">
        <v>459</v>
      </c>
      <c r="E48" s="24">
        <v>83.99</v>
      </c>
      <c r="F48" s="25">
        <v>8025.56</v>
      </c>
      <c r="G48" s="26">
        <v>96</v>
      </c>
      <c r="H48" s="27">
        <v>4.0999999999999996</v>
      </c>
      <c r="I48" s="26">
        <v>141</v>
      </c>
      <c r="J48" s="39" t="str">
        <f>HYPERLINK("https://amazon.com/dp/B0DMZSBPNT","View on Amazon")</f>
        <v>View on Amazon</v>
      </c>
      <c r="K48" s="23" t="s">
        <v>459</v>
      </c>
      <c r="L48" s="28" t="s">
        <v>460</v>
      </c>
    </row>
    <row r="49" spans="1:12" ht="40" customHeight="1" x14ac:dyDescent="0.2">
      <c r="A49" s="13" t="s">
        <v>558</v>
      </c>
      <c r="B49" s="14" t="s">
        <v>559</v>
      </c>
      <c r="C49" s="15" t="s">
        <v>57</v>
      </c>
      <c r="D49" s="15" t="s">
        <v>463</v>
      </c>
      <c r="E49" s="16">
        <v>59.99</v>
      </c>
      <c r="F49" s="17">
        <v>8025.37</v>
      </c>
      <c r="G49" s="18">
        <v>134</v>
      </c>
      <c r="H49" s="19">
        <v>4.2</v>
      </c>
      <c r="I49" s="18">
        <v>65</v>
      </c>
      <c r="J49" s="38" t="str">
        <f>HYPERLINK("https://amazon.com/dp/B0FNMYC9L5","View on Amazon")</f>
        <v>View on Amazon</v>
      </c>
      <c r="K49" s="15" t="s">
        <v>463</v>
      </c>
      <c r="L49" s="20" t="s">
        <v>460</v>
      </c>
    </row>
    <row r="50" spans="1:12" ht="40" customHeight="1" x14ac:dyDescent="0.2">
      <c r="A50" s="21" t="s">
        <v>560</v>
      </c>
      <c r="B50" s="22" t="s">
        <v>561</v>
      </c>
      <c r="C50" s="23" t="s">
        <v>27</v>
      </c>
      <c r="D50" s="23" t="s">
        <v>459</v>
      </c>
      <c r="E50" s="24">
        <v>56.98</v>
      </c>
      <c r="F50" s="25">
        <v>8020.64</v>
      </c>
      <c r="G50" s="26">
        <v>134</v>
      </c>
      <c r="H50" s="27">
        <v>4</v>
      </c>
      <c r="I50" s="26">
        <v>471</v>
      </c>
      <c r="J50" s="39" t="str">
        <f>HYPERLINK("https://amazon.com/dp/B0BRY2694B","View on Amazon")</f>
        <v>View on Amazon</v>
      </c>
      <c r="K50" s="23" t="s">
        <v>459</v>
      </c>
      <c r="L50" s="28" t="s">
        <v>460</v>
      </c>
    </row>
    <row r="51" spans="1:12" ht="40" customHeight="1" x14ac:dyDescent="0.2">
      <c r="A51" s="29" t="s">
        <v>562</v>
      </c>
      <c r="B51" s="30" t="s">
        <v>563</v>
      </c>
      <c r="C51" s="31" t="s">
        <v>31</v>
      </c>
      <c r="D51" s="31" t="s">
        <v>463</v>
      </c>
      <c r="E51" s="32">
        <v>99.99</v>
      </c>
      <c r="F51" s="33">
        <v>7944.57</v>
      </c>
      <c r="G51" s="34">
        <v>79</v>
      </c>
      <c r="H51" s="35">
        <v>4.3</v>
      </c>
      <c r="I51" s="34">
        <v>414</v>
      </c>
      <c r="J51" s="40" t="str">
        <f>HYPERLINK("https://amazon.com/dp/B0D2WSNMVK","View on Amazon")</f>
        <v>View on Amazon</v>
      </c>
      <c r="K51" s="31" t="s">
        <v>463</v>
      </c>
      <c r="L51" s="36" t="s">
        <v>460</v>
      </c>
    </row>
  </sheetData>
  <conditionalFormatting sqref="F2:F51">
    <cfRule type="cellIs" dxfId="15" priority="1" operator="greaterThan">
      <formula>0</formula>
    </cfRule>
  </conditionalFormatting>
  <conditionalFormatting sqref="F2:F51">
    <cfRule type="cellIs" dxfId="14" priority="2" operator="lessThanOrEqual">
      <formula>0</formula>
    </cfRule>
  </conditionalFormatting>
  <pageMargins left="0.7" right="0.7" top="0.75" bottom="0.75" header="0.3" footer="0.3"/>
  <ignoredErrors>
    <ignoredError sqref="A1:L1 A2:I51 K2:L5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1"/>
  <sheetViews>
    <sheetView workbookViewId="0">
      <pane ySplit="1" topLeftCell="A2" activePane="bottomLeft" state="frozen"/>
      <selection pane="bottomLeft" activeCell="C18" sqref="C18"/>
    </sheetView>
  </sheetViews>
  <sheetFormatPr baseColWidth="10" defaultRowHeight="16" x14ac:dyDescent="0.2"/>
  <cols>
    <col min="1" max="1" width="18.33203125" customWidth="1"/>
    <col min="2" max="2" width="53.33203125" customWidth="1"/>
    <col min="3" max="3" width="16.6640625" customWidth="1"/>
    <col min="4" max="4" width="26.6640625" customWidth="1"/>
    <col min="5" max="5" width="13.33203125" customWidth="1"/>
    <col min="6" max="6" width="16.6640625" customWidth="1"/>
    <col min="7" max="7" width="15" customWidth="1"/>
    <col min="8" max="8" width="12.5" customWidth="1"/>
    <col min="9" max="9" width="15" customWidth="1"/>
    <col min="10" max="10" width="12.5" customWidth="1"/>
    <col min="11" max="11" width="26.6640625" customWidth="1"/>
    <col min="12" max="12" width="20" customWidth="1"/>
  </cols>
  <sheetData>
    <row r="1" spans="1:12" ht="30" customHeight="1" thickBot="1" x14ac:dyDescent="0.25">
      <c r="A1" s="2" t="s">
        <v>449</v>
      </c>
      <c r="B1" s="3" t="s">
        <v>450</v>
      </c>
      <c r="C1" s="3" t="s">
        <v>0</v>
      </c>
      <c r="D1" s="3" t="s">
        <v>451</v>
      </c>
      <c r="E1" s="3" t="s">
        <v>452</v>
      </c>
      <c r="F1" s="3" t="s">
        <v>2</v>
      </c>
      <c r="G1" s="3" t="s">
        <v>3</v>
      </c>
      <c r="H1" s="3" t="s">
        <v>6</v>
      </c>
      <c r="I1" s="3" t="s">
        <v>453</v>
      </c>
      <c r="J1" s="3" t="s">
        <v>454</v>
      </c>
      <c r="K1" s="3" t="s">
        <v>455</v>
      </c>
      <c r="L1" s="4" t="s">
        <v>456</v>
      </c>
    </row>
    <row r="2" spans="1:12" ht="40" customHeight="1" x14ac:dyDescent="0.2">
      <c r="A2" s="5" t="s">
        <v>461</v>
      </c>
      <c r="B2" s="6" t="s">
        <v>462</v>
      </c>
      <c r="C2" s="7" t="s">
        <v>8</v>
      </c>
      <c r="D2" s="7" t="s">
        <v>463</v>
      </c>
      <c r="E2" s="8">
        <v>89.99</v>
      </c>
      <c r="F2" s="9">
        <v>119782.18</v>
      </c>
      <c r="G2" s="10">
        <v>1331</v>
      </c>
      <c r="H2" s="11">
        <v>4.3</v>
      </c>
      <c r="I2" s="10">
        <v>3133</v>
      </c>
      <c r="J2" s="37" t="str">
        <f>HYPERLINK("https://amazon.com/dp/B0CYYVBXTV","View on Amazon")</f>
        <v>View on Amazon</v>
      </c>
      <c r="K2" s="7" t="s">
        <v>463</v>
      </c>
      <c r="L2" s="12" t="s">
        <v>460</v>
      </c>
    </row>
    <row r="3" spans="1:12" ht="40" customHeight="1" x14ac:dyDescent="0.2">
      <c r="A3" s="13" t="s">
        <v>457</v>
      </c>
      <c r="B3" s="14" t="s">
        <v>458</v>
      </c>
      <c r="C3" s="15" t="s">
        <v>7</v>
      </c>
      <c r="D3" s="15" t="s">
        <v>459</v>
      </c>
      <c r="E3" s="16">
        <v>409.99</v>
      </c>
      <c r="F3" s="17">
        <v>429870.86</v>
      </c>
      <c r="G3" s="18">
        <v>1058</v>
      </c>
      <c r="H3" s="19">
        <v>4.5</v>
      </c>
      <c r="I3" s="18">
        <v>274</v>
      </c>
      <c r="J3" s="38" t="str">
        <f>HYPERLINK("https://amazon.com/dp/B0D56CNCW1","View on Amazon")</f>
        <v>View on Amazon</v>
      </c>
      <c r="K3" s="15" t="s">
        <v>459</v>
      </c>
      <c r="L3" s="20" t="s">
        <v>460</v>
      </c>
    </row>
    <row r="4" spans="1:12" ht="40" customHeight="1" x14ac:dyDescent="0.2">
      <c r="A4" s="21" t="s">
        <v>474</v>
      </c>
      <c r="B4" s="22" t="s">
        <v>475</v>
      </c>
      <c r="C4" s="23" t="s">
        <v>15</v>
      </c>
      <c r="D4" s="23" t="s">
        <v>463</v>
      </c>
      <c r="E4" s="24">
        <v>49.99</v>
      </c>
      <c r="F4" s="25">
        <v>54106.46</v>
      </c>
      <c r="G4" s="26">
        <v>1022</v>
      </c>
      <c r="H4" s="27">
        <v>4.2</v>
      </c>
      <c r="I4" s="26">
        <v>91</v>
      </c>
      <c r="J4" s="39" t="str">
        <f>HYPERLINK("https://amazon.com/dp/B0G4L9NBJJ","View on Amazon")</f>
        <v>View on Amazon</v>
      </c>
      <c r="K4" s="23" t="s">
        <v>463</v>
      </c>
      <c r="L4" s="28" t="s">
        <v>460</v>
      </c>
    </row>
    <row r="5" spans="1:12" ht="40" customHeight="1" x14ac:dyDescent="0.2">
      <c r="A5" s="13" t="s">
        <v>464</v>
      </c>
      <c r="B5" s="14" t="s">
        <v>465</v>
      </c>
      <c r="C5" s="15" t="s">
        <v>9</v>
      </c>
      <c r="D5" s="15" t="s">
        <v>463</v>
      </c>
      <c r="E5" s="16">
        <v>109.99</v>
      </c>
      <c r="F5" s="17">
        <v>110762.22</v>
      </c>
      <c r="G5" s="18">
        <v>911</v>
      </c>
      <c r="H5" s="19">
        <v>4.4000000000000004</v>
      </c>
      <c r="I5" s="18">
        <v>511</v>
      </c>
      <c r="J5" s="38" t="str">
        <f>HYPERLINK("https://amazon.com/dp/B0D1813KZ3","View on Amazon")</f>
        <v>View on Amazon</v>
      </c>
      <c r="K5" s="15" t="s">
        <v>463</v>
      </c>
      <c r="L5" s="20" t="s">
        <v>460</v>
      </c>
    </row>
    <row r="6" spans="1:12" ht="40" customHeight="1" x14ac:dyDescent="0.2">
      <c r="A6" s="21" t="s">
        <v>470</v>
      </c>
      <c r="B6" s="22" t="s">
        <v>471</v>
      </c>
      <c r="C6" s="23" t="s">
        <v>14</v>
      </c>
      <c r="D6" s="23" t="s">
        <v>463</v>
      </c>
      <c r="E6" s="24">
        <v>79.989999999999995</v>
      </c>
      <c r="F6" s="25">
        <v>61046.31</v>
      </c>
      <c r="G6" s="26">
        <v>837</v>
      </c>
      <c r="H6" s="27">
        <v>4.5999999999999996</v>
      </c>
      <c r="I6" s="26">
        <v>242</v>
      </c>
      <c r="J6" s="39" t="str">
        <f>HYPERLINK("https://amazon.com/dp/B0FLF13P1J","View on Amazon")</f>
        <v>View on Amazon</v>
      </c>
      <c r="K6" s="23" t="s">
        <v>463</v>
      </c>
      <c r="L6" s="28" t="s">
        <v>460</v>
      </c>
    </row>
    <row r="7" spans="1:12" ht="40" customHeight="1" x14ac:dyDescent="0.2">
      <c r="A7" s="13" t="s">
        <v>478</v>
      </c>
      <c r="B7" s="14" t="s">
        <v>479</v>
      </c>
      <c r="C7" s="15" t="s">
        <v>11</v>
      </c>
      <c r="D7" s="15" t="s">
        <v>463</v>
      </c>
      <c r="E7" s="16">
        <v>59.99</v>
      </c>
      <c r="F7" s="17">
        <v>52688.160000000003</v>
      </c>
      <c r="G7" s="18">
        <v>655</v>
      </c>
      <c r="H7" s="19">
        <v>4.5</v>
      </c>
      <c r="I7" s="18">
        <v>283</v>
      </c>
      <c r="J7" s="38" t="str">
        <f>HYPERLINK("https://amazon.com/dp/B0F8QFCH51","View on Amazon")</f>
        <v>View on Amazon</v>
      </c>
      <c r="K7" s="15" t="s">
        <v>463</v>
      </c>
      <c r="L7" s="20" t="s">
        <v>460</v>
      </c>
    </row>
    <row r="8" spans="1:12" ht="40" customHeight="1" x14ac:dyDescent="0.2">
      <c r="A8" s="21" t="s">
        <v>472</v>
      </c>
      <c r="B8" s="22" t="s">
        <v>473</v>
      </c>
      <c r="C8" s="23" t="s">
        <v>8</v>
      </c>
      <c r="D8" s="23" t="s">
        <v>463</v>
      </c>
      <c r="E8" s="24">
        <v>89.99</v>
      </c>
      <c r="F8" s="25">
        <v>56634.06</v>
      </c>
      <c r="G8" s="26">
        <v>629</v>
      </c>
      <c r="H8" s="27">
        <v>4.3</v>
      </c>
      <c r="I8" s="26">
        <v>3133</v>
      </c>
      <c r="J8" s="39" t="str">
        <f>HYPERLINK("https://amazon.com/dp/B0CZ3KQZB1","View on Amazon")</f>
        <v>View on Amazon</v>
      </c>
      <c r="K8" s="23" t="s">
        <v>463</v>
      </c>
      <c r="L8" s="28" t="s">
        <v>460</v>
      </c>
    </row>
    <row r="9" spans="1:12" ht="40" customHeight="1" x14ac:dyDescent="0.2">
      <c r="A9" s="13" t="s">
        <v>468</v>
      </c>
      <c r="B9" s="14" t="s">
        <v>469</v>
      </c>
      <c r="C9" s="15" t="s">
        <v>8</v>
      </c>
      <c r="D9" s="15" t="s">
        <v>463</v>
      </c>
      <c r="E9" s="16">
        <v>119.99</v>
      </c>
      <c r="F9" s="17">
        <v>72105.990000000005</v>
      </c>
      <c r="G9" s="18">
        <v>601</v>
      </c>
      <c r="H9" s="19">
        <v>4.3</v>
      </c>
      <c r="I9" s="18">
        <v>3133</v>
      </c>
      <c r="J9" s="38" t="str">
        <f>HYPERLINK("https://amazon.com/dp/B0F7H3VFVS","View on Amazon")</f>
        <v>View on Amazon</v>
      </c>
      <c r="K9" s="15" t="s">
        <v>463</v>
      </c>
      <c r="L9" s="20" t="s">
        <v>460</v>
      </c>
    </row>
    <row r="10" spans="1:12" ht="40" customHeight="1" x14ac:dyDescent="0.2">
      <c r="A10" s="21" t="s">
        <v>491</v>
      </c>
      <c r="B10" s="22" t="s">
        <v>492</v>
      </c>
      <c r="C10" s="23" t="s">
        <v>21</v>
      </c>
      <c r="D10" s="23" t="s">
        <v>463</v>
      </c>
      <c r="E10" s="24">
        <v>59.99</v>
      </c>
      <c r="F10" s="25">
        <v>30110.5</v>
      </c>
      <c r="G10" s="26">
        <v>455</v>
      </c>
      <c r="H10" s="27">
        <v>4.4000000000000004</v>
      </c>
      <c r="I10" s="26">
        <v>431</v>
      </c>
      <c r="J10" s="39" t="str">
        <f>HYPERLINK("https://amazon.com/dp/B0D8YJW635","View on Amazon")</f>
        <v>View on Amazon</v>
      </c>
      <c r="K10" s="23" t="s">
        <v>463</v>
      </c>
      <c r="L10" s="28" t="s">
        <v>460</v>
      </c>
    </row>
    <row r="11" spans="1:12" ht="40" customHeight="1" x14ac:dyDescent="0.2">
      <c r="A11" s="13" t="s">
        <v>487</v>
      </c>
      <c r="B11" s="14" t="s">
        <v>488</v>
      </c>
      <c r="C11" s="15" t="s">
        <v>20</v>
      </c>
      <c r="D11" s="15" t="s">
        <v>463</v>
      </c>
      <c r="E11" s="16">
        <v>89.99</v>
      </c>
      <c r="F11" s="17">
        <v>36857.050000000003</v>
      </c>
      <c r="G11" s="18">
        <v>433</v>
      </c>
      <c r="H11" s="19">
        <v>4.4000000000000004</v>
      </c>
      <c r="I11" s="18">
        <v>162</v>
      </c>
      <c r="J11" s="38" t="str">
        <f>HYPERLINK("https://amazon.com/dp/B0FVCTR45Y","View on Amazon")</f>
        <v>View on Amazon</v>
      </c>
      <c r="K11" s="15" t="s">
        <v>463</v>
      </c>
      <c r="L11" s="20" t="s">
        <v>460</v>
      </c>
    </row>
    <row r="12" spans="1:12" ht="40" customHeight="1" x14ac:dyDescent="0.2">
      <c r="A12" s="21" t="s">
        <v>504</v>
      </c>
      <c r="B12" s="22" t="s">
        <v>505</v>
      </c>
      <c r="C12" s="23" t="s">
        <v>28</v>
      </c>
      <c r="D12" s="23" t="s">
        <v>463</v>
      </c>
      <c r="E12" s="24">
        <v>89.99</v>
      </c>
      <c r="F12" s="25">
        <v>20394.09</v>
      </c>
      <c r="G12" s="26">
        <v>316</v>
      </c>
      <c r="H12" s="27">
        <v>4.4000000000000004</v>
      </c>
      <c r="I12" s="26">
        <v>2419</v>
      </c>
      <c r="J12" s="39" t="str">
        <f>HYPERLINK("https://amazon.com/dp/B0DCNJ1G2Y","View on Amazon")</f>
        <v>View on Amazon</v>
      </c>
      <c r="K12" s="23" t="s">
        <v>463</v>
      </c>
      <c r="L12" s="28" t="s">
        <v>460</v>
      </c>
    </row>
    <row r="13" spans="1:12" ht="40" customHeight="1" x14ac:dyDescent="0.2">
      <c r="A13" s="13" t="s">
        <v>506</v>
      </c>
      <c r="B13" s="14" t="s">
        <v>507</v>
      </c>
      <c r="C13" s="15" t="s">
        <v>26</v>
      </c>
      <c r="D13" s="15" t="s">
        <v>463</v>
      </c>
      <c r="E13" s="16">
        <v>58.99</v>
      </c>
      <c r="F13" s="17">
        <v>18168.900000000001</v>
      </c>
      <c r="G13" s="18">
        <v>305</v>
      </c>
      <c r="H13" s="19">
        <v>4.8</v>
      </c>
      <c r="I13" s="18">
        <v>34</v>
      </c>
      <c r="J13" s="38" t="str">
        <f>HYPERLINK("https://amazon.com/dp/B0FJXJMKCL","View on Amazon")</f>
        <v>View on Amazon</v>
      </c>
      <c r="K13" s="15" t="s">
        <v>463</v>
      </c>
      <c r="L13" s="20" t="s">
        <v>460</v>
      </c>
    </row>
    <row r="14" spans="1:12" ht="40" customHeight="1" x14ac:dyDescent="0.2">
      <c r="A14" s="21" t="s">
        <v>525</v>
      </c>
      <c r="B14" s="22" t="s">
        <v>526</v>
      </c>
      <c r="C14" s="23" t="s">
        <v>44</v>
      </c>
      <c r="D14" s="23" t="s">
        <v>486</v>
      </c>
      <c r="E14" s="24">
        <v>39.99</v>
      </c>
      <c r="F14" s="25">
        <v>11885.47</v>
      </c>
      <c r="G14" s="26">
        <v>296</v>
      </c>
      <c r="H14" s="27">
        <v>4.0999999999999996</v>
      </c>
      <c r="I14" s="26">
        <v>379</v>
      </c>
      <c r="J14" s="39" t="str">
        <f>HYPERLINK("https://amazon.com/dp/B0F2FLV2BW","View on Amazon")</f>
        <v>View on Amazon</v>
      </c>
      <c r="K14" s="23" t="s">
        <v>486</v>
      </c>
      <c r="L14" s="28" t="s">
        <v>460</v>
      </c>
    </row>
    <row r="15" spans="1:12" ht="40" customHeight="1" x14ac:dyDescent="0.2">
      <c r="A15" s="13" t="s">
        <v>513</v>
      </c>
      <c r="B15" s="14" t="s">
        <v>514</v>
      </c>
      <c r="C15" s="15" t="s">
        <v>37</v>
      </c>
      <c r="D15" s="15" t="s">
        <v>463</v>
      </c>
      <c r="E15" s="16">
        <v>47.49</v>
      </c>
      <c r="F15" s="17">
        <v>14569.46</v>
      </c>
      <c r="G15" s="18">
        <v>293</v>
      </c>
      <c r="H15" s="19">
        <v>4.5</v>
      </c>
      <c r="I15" s="18">
        <v>40</v>
      </c>
      <c r="J15" s="38" t="str">
        <f>HYPERLINK("https://amazon.com/dp/B0FLXCK6D8","View on Amazon")</f>
        <v>View on Amazon</v>
      </c>
      <c r="K15" s="15" t="s">
        <v>463</v>
      </c>
      <c r="L15" s="20" t="s">
        <v>460</v>
      </c>
    </row>
    <row r="16" spans="1:12" ht="40" customHeight="1" x14ac:dyDescent="0.2">
      <c r="A16" s="21" t="s">
        <v>482</v>
      </c>
      <c r="B16" s="22" t="s">
        <v>483</v>
      </c>
      <c r="C16" s="23" t="s">
        <v>13</v>
      </c>
      <c r="D16" s="23" t="s">
        <v>463</v>
      </c>
      <c r="E16" s="24">
        <v>199.99</v>
      </c>
      <c r="F16" s="25">
        <v>40421.31</v>
      </c>
      <c r="G16" s="26">
        <v>267</v>
      </c>
      <c r="H16" s="27">
        <v>4.5</v>
      </c>
      <c r="I16" s="26">
        <v>72</v>
      </c>
      <c r="J16" s="39" t="str">
        <f>HYPERLINK("https://amazon.com/dp/B0F8ND9RJ5","View on Amazon")</f>
        <v>View on Amazon</v>
      </c>
      <c r="K16" s="23" t="s">
        <v>463</v>
      </c>
      <c r="L16" s="28" t="s">
        <v>460</v>
      </c>
    </row>
    <row r="17" spans="1:12" ht="40" customHeight="1" x14ac:dyDescent="0.2">
      <c r="A17" s="13" t="s">
        <v>527</v>
      </c>
      <c r="B17" s="14" t="s">
        <v>528</v>
      </c>
      <c r="C17" s="15" t="s">
        <v>19</v>
      </c>
      <c r="D17" s="15" t="s">
        <v>463</v>
      </c>
      <c r="E17" s="16">
        <v>32.49</v>
      </c>
      <c r="F17" s="17">
        <v>11507.43</v>
      </c>
      <c r="G17" s="18">
        <v>236</v>
      </c>
      <c r="H17" s="19">
        <v>4.0999999999999996</v>
      </c>
      <c r="I17" s="18">
        <v>35</v>
      </c>
      <c r="J17" s="38" t="str">
        <f>HYPERLINK("https://amazon.com/dp/B0FCSD9V6P","View on Amazon")</f>
        <v>View on Amazon</v>
      </c>
      <c r="K17" s="15" t="s">
        <v>463</v>
      </c>
      <c r="L17" s="20" t="s">
        <v>460</v>
      </c>
    </row>
    <row r="18" spans="1:12" ht="40" customHeight="1" x14ac:dyDescent="0.2">
      <c r="A18" s="21" t="s">
        <v>493</v>
      </c>
      <c r="B18" s="22" t="s">
        <v>494</v>
      </c>
      <c r="C18" s="23" t="s">
        <v>22</v>
      </c>
      <c r="D18" s="23" t="s">
        <v>459</v>
      </c>
      <c r="E18" s="24">
        <v>99.99</v>
      </c>
      <c r="F18" s="25">
        <v>28255.83</v>
      </c>
      <c r="G18" s="26">
        <v>228</v>
      </c>
      <c r="H18" s="27">
        <v>4.5999999999999996</v>
      </c>
      <c r="I18" s="26">
        <v>337</v>
      </c>
      <c r="J18" s="39" t="str">
        <f>HYPERLINK("https://amazon.com/dp/B0FMDQK4S8","View on Amazon")</f>
        <v>View on Amazon</v>
      </c>
      <c r="K18" s="23" t="s">
        <v>459</v>
      </c>
      <c r="L18" s="28" t="s">
        <v>460</v>
      </c>
    </row>
    <row r="19" spans="1:12" ht="40" customHeight="1" x14ac:dyDescent="0.2">
      <c r="A19" s="13" t="s">
        <v>484</v>
      </c>
      <c r="B19" s="14" t="s">
        <v>485</v>
      </c>
      <c r="C19" s="15" t="s">
        <v>18</v>
      </c>
      <c r="D19" s="15" t="s">
        <v>486</v>
      </c>
      <c r="E19" s="16">
        <v>212.49</v>
      </c>
      <c r="F19" s="17">
        <v>38630.67</v>
      </c>
      <c r="G19" s="18">
        <v>165</v>
      </c>
      <c r="H19" s="19">
        <v>4.2</v>
      </c>
      <c r="I19" s="18">
        <v>264</v>
      </c>
      <c r="J19" s="38" t="str">
        <f>HYPERLINK("https://amazon.com/dp/B0CXHQCTHJ","View on Amazon")</f>
        <v>View on Amazon</v>
      </c>
      <c r="K19" s="15" t="s">
        <v>486</v>
      </c>
      <c r="L19" s="20" t="s">
        <v>460</v>
      </c>
    </row>
    <row r="20" spans="1:12" ht="40" customHeight="1" x14ac:dyDescent="0.2">
      <c r="A20" s="21" t="s">
        <v>560</v>
      </c>
      <c r="B20" s="22" t="s">
        <v>561</v>
      </c>
      <c r="C20" s="23" t="s">
        <v>27</v>
      </c>
      <c r="D20" s="23" t="s">
        <v>459</v>
      </c>
      <c r="E20" s="24">
        <v>56.98</v>
      </c>
      <c r="F20" s="25">
        <v>8020.64</v>
      </c>
      <c r="G20" s="26">
        <v>134</v>
      </c>
      <c r="H20" s="27">
        <v>4</v>
      </c>
      <c r="I20" s="26">
        <v>471</v>
      </c>
      <c r="J20" s="39" t="str">
        <f>HYPERLINK("https://amazon.com/dp/B0BRY2694B","View on Amazon")</f>
        <v>View on Amazon</v>
      </c>
      <c r="K20" s="23" t="s">
        <v>459</v>
      </c>
      <c r="L20" s="28" t="s">
        <v>460</v>
      </c>
    </row>
    <row r="21" spans="1:12" ht="40" customHeight="1" x14ac:dyDescent="0.2">
      <c r="A21" s="13" t="s">
        <v>558</v>
      </c>
      <c r="B21" s="14" t="s">
        <v>559</v>
      </c>
      <c r="C21" s="15" t="s">
        <v>57</v>
      </c>
      <c r="D21" s="15" t="s">
        <v>463</v>
      </c>
      <c r="E21" s="16">
        <v>59.99</v>
      </c>
      <c r="F21" s="17">
        <v>8025.37</v>
      </c>
      <c r="G21" s="18">
        <v>134</v>
      </c>
      <c r="H21" s="19">
        <v>4.2</v>
      </c>
      <c r="I21" s="18">
        <v>65</v>
      </c>
      <c r="J21" s="38" t="str">
        <f>HYPERLINK("https://amazon.com/dp/B0FNMYC9L5","View on Amazon")</f>
        <v>View on Amazon</v>
      </c>
      <c r="K21" s="15" t="s">
        <v>463</v>
      </c>
      <c r="L21" s="20" t="s">
        <v>460</v>
      </c>
    </row>
    <row r="22" spans="1:12" ht="40" customHeight="1" x14ac:dyDescent="0.2">
      <c r="A22" s="21" t="s">
        <v>499</v>
      </c>
      <c r="B22" s="22" t="s">
        <v>500</v>
      </c>
      <c r="C22" s="23" t="s">
        <v>25</v>
      </c>
      <c r="D22" s="23" t="s">
        <v>463</v>
      </c>
      <c r="E22" s="24">
        <v>129.99</v>
      </c>
      <c r="F22" s="25">
        <v>23219.55</v>
      </c>
      <c r="G22" s="26">
        <v>132</v>
      </c>
      <c r="H22" s="27">
        <v>4.2</v>
      </c>
      <c r="I22" s="26">
        <v>507</v>
      </c>
      <c r="J22" s="39" t="str">
        <f>HYPERLINK("https://amazon.com/dp/B0BKZW16RH","View on Amazon")</f>
        <v>View on Amazon</v>
      </c>
      <c r="K22" s="23" t="s">
        <v>463</v>
      </c>
      <c r="L22" s="28" t="s">
        <v>460</v>
      </c>
    </row>
    <row r="23" spans="1:12" ht="40" customHeight="1" x14ac:dyDescent="0.2">
      <c r="A23" s="13" t="s">
        <v>535</v>
      </c>
      <c r="B23" s="14" t="s">
        <v>536</v>
      </c>
      <c r="C23" s="15" t="s">
        <v>23</v>
      </c>
      <c r="D23" s="15" t="s">
        <v>503</v>
      </c>
      <c r="E23" s="16">
        <v>84.99</v>
      </c>
      <c r="F23" s="17">
        <v>9354.66</v>
      </c>
      <c r="G23" s="18">
        <v>110</v>
      </c>
      <c r="H23" s="19">
        <v>4.2</v>
      </c>
      <c r="I23" s="18">
        <v>454</v>
      </c>
      <c r="J23" s="38" t="str">
        <f>HYPERLINK("https://amazon.com/dp/B07PPD42Y1","View on Amazon")</f>
        <v>View on Amazon</v>
      </c>
      <c r="K23" s="15" t="s">
        <v>503</v>
      </c>
      <c r="L23" s="20" t="s">
        <v>460</v>
      </c>
    </row>
    <row r="24" spans="1:12" ht="40" customHeight="1" x14ac:dyDescent="0.2">
      <c r="A24" s="21" t="s">
        <v>543</v>
      </c>
      <c r="B24" s="22" t="s">
        <v>544</v>
      </c>
      <c r="C24" s="23" t="s">
        <v>23</v>
      </c>
      <c r="D24" s="23" t="s">
        <v>463</v>
      </c>
      <c r="E24" s="24">
        <v>79.989999999999995</v>
      </c>
      <c r="F24" s="25">
        <v>8625.68</v>
      </c>
      <c r="G24" s="26">
        <v>108</v>
      </c>
      <c r="H24" s="27">
        <v>4.2</v>
      </c>
      <c r="I24" s="26">
        <v>454</v>
      </c>
      <c r="J24" s="39" t="str">
        <f>HYPERLINK("https://amazon.com/dp/B07PPDYVGW","View on Amazon")</f>
        <v>View on Amazon</v>
      </c>
      <c r="K24" s="23" t="s">
        <v>463</v>
      </c>
      <c r="L24" s="28" t="s">
        <v>460</v>
      </c>
    </row>
    <row r="25" spans="1:12" ht="40" customHeight="1" x14ac:dyDescent="0.2">
      <c r="A25" s="13" t="s">
        <v>497</v>
      </c>
      <c r="B25" s="14" t="s">
        <v>498</v>
      </c>
      <c r="C25" s="15" t="s">
        <v>11</v>
      </c>
      <c r="D25" s="15" t="s">
        <v>463</v>
      </c>
      <c r="E25" s="16">
        <v>229.99</v>
      </c>
      <c r="F25" s="17">
        <v>24079.21</v>
      </c>
      <c r="G25" s="18">
        <v>105</v>
      </c>
      <c r="H25" s="19">
        <v>4.5</v>
      </c>
      <c r="I25" s="18">
        <v>283</v>
      </c>
      <c r="J25" s="38" t="str">
        <f>HYPERLINK("https://amazon.com/dp/B0F8QJ3VPV","View on Amazon")</f>
        <v>View on Amazon</v>
      </c>
      <c r="K25" s="15" t="s">
        <v>463</v>
      </c>
      <c r="L25" s="20" t="s">
        <v>460</v>
      </c>
    </row>
    <row r="26" spans="1:12" ht="40" customHeight="1" x14ac:dyDescent="0.2">
      <c r="A26" s="21" t="s">
        <v>564</v>
      </c>
      <c r="B26" s="22" t="s">
        <v>565</v>
      </c>
      <c r="C26" s="23" t="s">
        <v>62</v>
      </c>
      <c r="D26" s="23" t="s">
        <v>463</v>
      </c>
      <c r="E26" s="24">
        <v>59.99</v>
      </c>
      <c r="F26" s="25">
        <v>6161.17</v>
      </c>
      <c r="G26" s="26">
        <v>102</v>
      </c>
      <c r="H26" s="27">
        <v>4.5</v>
      </c>
      <c r="I26" s="26">
        <v>185</v>
      </c>
      <c r="J26" s="39" t="str">
        <f>HYPERLINK("https://amazon.com/dp/B0DHXBM45Y","View on Amazon")</f>
        <v>View on Amazon</v>
      </c>
      <c r="K26" s="23" t="s">
        <v>463</v>
      </c>
      <c r="L26" s="28" t="s">
        <v>460</v>
      </c>
    </row>
    <row r="27" spans="1:12" ht="40" customHeight="1" x14ac:dyDescent="0.2">
      <c r="A27" s="13" t="s">
        <v>489</v>
      </c>
      <c r="B27" s="14" t="s">
        <v>490</v>
      </c>
      <c r="C27" s="15" t="s">
        <v>10</v>
      </c>
      <c r="D27" s="15" t="s">
        <v>459</v>
      </c>
      <c r="E27" s="16">
        <v>328.99</v>
      </c>
      <c r="F27" s="17">
        <v>34369.61</v>
      </c>
      <c r="G27" s="18">
        <v>100</v>
      </c>
      <c r="H27" s="19">
        <v>4.4000000000000004</v>
      </c>
      <c r="I27" s="18">
        <v>329</v>
      </c>
      <c r="J27" s="38" t="str">
        <f>HYPERLINK("https://amazon.com/dp/B0CNXP8JBV","View on Amazon")</f>
        <v>View on Amazon</v>
      </c>
      <c r="K27" s="15" t="s">
        <v>459</v>
      </c>
      <c r="L27" s="20" t="s">
        <v>460</v>
      </c>
    </row>
    <row r="28" spans="1:12" ht="40" customHeight="1" x14ac:dyDescent="0.2">
      <c r="A28" s="21" t="s">
        <v>566</v>
      </c>
      <c r="B28" s="22" t="s">
        <v>507</v>
      </c>
      <c r="C28" s="23" t="s">
        <v>26</v>
      </c>
      <c r="D28" s="23" t="s">
        <v>463</v>
      </c>
      <c r="E28" s="24">
        <v>58.99</v>
      </c>
      <c r="F28" s="25">
        <v>5984.18</v>
      </c>
      <c r="G28" s="26">
        <v>98</v>
      </c>
      <c r="H28" s="27">
        <v>4.7</v>
      </c>
      <c r="I28" s="26">
        <v>37</v>
      </c>
      <c r="J28" s="39" t="str">
        <f>HYPERLINK("https://amazon.com/dp/B0FJXLQJ9L","View on Amazon")</f>
        <v>View on Amazon</v>
      </c>
      <c r="K28" s="23" t="s">
        <v>463</v>
      </c>
      <c r="L28" s="28" t="s">
        <v>460</v>
      </c>
    </row>
    <row r="29" spans="1:12" ht="40" customHeight="1" x14ac:dyDescent="0.2">
      <c r="A29" s="13" t="s">
        <v>541</v>
      </c>
      <c r="B29" s="14" t="s">
        <v>542</v>
      </c>
      <c r="C29" s="15" t="s">
        <v>11</v>
      </c>
      <c r="D29" s="15" t="s">
        <v>463</v>
      </c>
      <c r="E29" s="16">
        <v>69.989999999999995</v>
      </c>
      <c r="F29" s="17">
        <v>8809.93</v>
      </c>
      <c r="G29" s="18">
        <v>97</v>
      </c>
      <c r="H29" s="19">
        <v>4.5</v>
      </c>
      <c r="I29" s="18">
        <v>283</v>
      </c>
      <c r="J29" s="38" t="str">
        <f>HYPERLINK("https://amazon.com/dp/B0G1BYT3JM","View on Amazon")</f>
        <v>View on Amazon</v>
      </c>
      <c r="K29" s="15" t="s">
        <v>463</v>
      </c>
      <c r="L29" s="20" t="s">
        <v>460</v>
      </c>
    </row>
    <row r="30" spans="1:12" ht="40" customHeight="1" x14ac:dyDescent="0.2">
      <c r="A30" s="21" t="s">
        <v>567</v>
      </c>
      <c r="B30" s="22" t="s">
        <v>568</v>
      </c>
      <c r="C30" s="23" t="s">
        <v>31</v>
      </c>
      <c r="D30" s="23" t="s">
        <v>463</v>
      </c>
      <c r="E30" s="24">
        <v>79.989999999999995</v>
      </c>
      <c r="F30" s="25">
        <v>7767.55</v>
      </c>
      <c r="G30" s="26">
        <v>97</v>
      </c>
      <c r="H30" s="27">
        <v>4.4000000000000004</v>
      </c>
      <c r="I30" s="26">
        <v>104</v>
      </c>
      <c r="J30" s="39" t="str">
        <f>HYPERLINK("https://amazon.com/dp/B0DR1XY896","View on Amazon")</f>
        <v>View on Amazon</v>
      </c>
      <c r="K30" s="23" t="s">
        <v>463</v>
      </c>
      <c r="L30" s="28" t="s">
        <v>460</v>
      </c>
    </row>
    <row r="31" spans="1:12" ht="40" customHeight="1" x14ac:dyDescent="0.2">
      <c r="A31" s="13" t="s">
        <v>556</v>
      </c>
      <c r="B31" s="14" t="s">
        <v>557</v>
      </c>
      <c r="C31" s="15" t="s">
        <v>27</v>
      </c>
      <c r="D31" s="15" t="s">
        <v>459</v>
      </c>
      <c r="E31" s="16">
        <v>83.99</v>
      </c>
      <c r="F31" s="17">
        <v>8025.56</v>
      </c>
      <c r="G31" s="18">
        <v>96</v>
      </c>
      <c r="H31" s="19">
        <v>4.0999999999999996</v>
      </c>
      <c r="I31" s="18">
        <v>141</v>
      </c>
      <c r="J31" s="38" t="str">
        <f>HYPERLINK("https://amazon.com/dp/B0DMZSBPNT","View on Amazon")</f>
        <v>View on Amazon</v>
      </c>
      <c r="K31" s="15" t="s">
        <v>459</v>
      </c>
      <c r="L31" s="20" t="s">
        <v>460</v>
      </c>
    </row>
    <row r="32" spans="1:12" ht="40" customHeight="1" x14ac:dyDescent="0.2">
      <c r="A32" s="21" t="s">
        <v>569</v>
      </c>
      <c r="B32" s="22" t="s">
        <v>570</v>
      </c>
      <c r="C32" s="23" t="s">
        <v>10</v>
      </c>
      <c r="D32" s="23" t="s">
        <v>463</v>
      </c>
      <c r="E32" s="24">
        <v>74.69</v>
      </c>
      <c r="F32" s="25">
        <v>7617.9</v>
      </c>
      <c r="G32" s="26">
        <v>95</v>
      </c>
      <c r="H32" s="27">
        <v>4.0999999999999996</v>
      </c>
      <c r="I32" s="26">
        <v>201</v>
      </c>
      <c r="J32" s="39" t="str">
        <f>HYPERLINK("https://amazon.com/dp/B0CSM2KBCR","View on Amazon")</f>
        <v>View on Amazon</v>
      </c>
      <c r="K32" s="23" t="s">
        <v>463</v>
      </c>
      <c r="L32" s="28" t="s">
        <v>460</v>
      </c>
    </row>
    <row r="33" spans="1:12" ht="40" customHeight="1" x14ac:dyDescent="0.2">
      <c r="A33" s="13" t="s">
        <v>571</v>
      </c>
      <c r="B33" s="14" t="s">
        <v>572</v>
      </c>
      <c r="C33" s="15" t="s">
        <v>83</v>
      </c>
      <c r="D33" s="15" t="s">
        <v>463</v>
      </c>
      <c r="E33" s="16">
        <v>42.99</v>
      </c>
      <c r="F33" s="17">
        <v>4046.66</v>
      </c>
      <c r="G33" s="18">
        <v>95</v>
      </c>
      <c r="H33" s="19">
        <v>4.2</v>
      </c>
      <c r="I33" s="18">
        <v>18</v>
      </c>
      <c r="J33" s="38" t="str">
        <f>HYPERLINK("https://amazon.com/dp/B0G2T1SF65","View on Amazon")</f>
        <v>View on Amazon</v>
      </c>
      <c r="K33" s="15" t="s">
        <v>463</v>
      </c>
      <c r="L33" s="20" t="s">
        <v>460</v>
      </c>
    </row>
    <row r="34" spans="1:12" ht="40" customHeight="1" x14ac:dyDescent="0.2">
      <c r="A34" s="21" t="s">
        <v>573</v>
      </c>
      <c r="B34" s="22" t="s">
        <v>574</v>
      </c>
      <c r="C34" s="23" t="s">
        <v>41</v>
      </c>
      <c r="D34" s="23" t="s">
        <v>463</v>
      </c>
      <c r="E34" s="24">
        <v>79.989999999999995</v>
      </c>
      <c r="F34" s="25">
        <v>7543.45</v>
      </c>
      <c r="G34" s="26">
        <v>94</v>
      </c>
      <c r="H34" s="27">
        <v>4.4000000000000004</v>
      </c>
      <c r="I34" s="26">
        <v>515</v>
      </c>
      <c r="J34" s="39" t="str">
        <f>HYPERLINK("https://amazon.com/dp/B0CJ29ZH7V","View on Amazon")</f>
        <v>View on Amazon</v>
      </c>
      <c r="K34" s="23" t="s">
        <v>463</v>
      </c>
      <c r="L34" s="28" t="s">
        <v>460</v>
      </c>
    </row>
    <row r="35" spans="1:12" ht="40" customHeight="1" x14ac:dyDescent="0.2">
      <c r="A35" s="13" t="s">
        <v>466</v>
      </c>
      <c r="B35" s="14" t="s">
        <v>467</v>
      </c>
      <c r="C35" s="15" t="s">
        <v>12</v>
      </c>
      <c r="D35" s="15" t="s">
        <v>459</v>
      </c>
      <c r="E35" s="16">
        <v>899</v>
      </c>
      <c r="F35" s="17">
        <v>83984.66</v>
      </c>
      <c r="G35" s="18">
        <v>93</v>
      </c>
      <c r="H35" s="19">
        <v>4.5</v>
      </c>
      <c r="I35" s="18">
        <v>92</v>
      </c>
      <c r="J35" s="38" t="str">
        <f>HYPERLINK("https://amazon.com/dp/B0D5QXY5JN","View on Amazon")</f>
        <v>View on Amazon</v>
      </c>
      <c r="K35" s="15" t="s">
        <v>459</v>
      </c>
      <c r="L35" s="20" t="s">
        <v>460</v>
      </c>
    </row>
    <row r="36" spans="1:12" ht="40" customHeight="1" x14ac:dyDescent="0.2">
      <c r="A36" s="21" t="s">
        <v>575</v>
      </c>
      <c r="B36" s="22" t="s">
        <v>576</v>
      </c>
      <c r="C36" s="23" t="s">
        <v>40</v>
      </c>
      <c r="D36" s="23" t="s">
        <v>463</v>
      </c>
      <c r="E36" s="24">
        <v>59.99</v>
      </c>
      <c r="F36" s="25">
        <v>5077.2299999999996</v>
      </c>
      <c r="G36" s="26">
        <v>85</v>
      </c>
      <c r="H36" s="27">
        <v>4.0999999999999996</v>
      </c>
      <c r="I36" s="26">
        <v>41</v>
      </c>
      <c r="J36" s="39" t="str">
        <f>HYPERLINK("https://amazon.com/dp/B0FKRS84YF","View on Amazon")</f>
        <v>View on Amazon</v>
      </c>
      <c r="K36" s="23" t="s">
        <v>463</v>
      </c>
      <c r="L36" s="28" t="s">
        <v>460</v>
      </c>
    </row>
    <row r="37" spans="1:12" ht="40" customHeight="1" x14ac:dyDescent="0.2">
      <c r="A37" s="13" t="s">
        <v>562</v>
      </c>
      <c r="B37" s="14" t="s">
        <v>563</v>
      </c>
      <c r="C37" s="15" t="s">
        <v>31</v>
      </c>
      <c r="D37" s="15" t="s">
        <v>463</v>
      </c>
      <c r="E37" s="16">
        <v>99.99</v>
      </c>
      <c r="F37" s="17">
        <v>7944.57</v>
      </c>
      <c r="G37" s="18">
        <v>79</v>
      </c>
      <c r="H37" s="19">
        <v>4.3</v>
      </c>
      <c r="I37" s="18">
        <v>414</v>
      </c>
      <c r="J37" s="38" t="str">
        <f>HYPERLINK("https://amazon.com/dp/B0D2WSNMVK","View on Amazon")</f>
        <v>View on Amazon</v>
      </c>
      <c r="K37" s="15" t="s">
        <v>463</v>
      </c>
      <c r="L37" s="20" t="s">
        <v>460</v>
      </c>
    </row>
    <row r="38" spans="1:12" ht="40" customHeight="1" x14ac:dyDescent="0.2">
      <c r="A38" s="21" t="s">
        <v>577</v>
      </c>
      <c r="B38" s="22" t="s">
        <v>578</v>
      </c>
      <c r="C38" s="23" t="s">
        <v>81</v>
      </c>
      <c r="D38" s="23" t="s">
        <v>463</v>
      </c>
      <c r="E38" s="24">
        <v>39.99</v>
      </c>
      <c r="F38" s="25">
        <v>3121.99</v>
      </c>
      <c r="G38" s="26">
        <v>78</v>
      </c>
      <c r="H38" s="27">
        <v>4.3</v>
      </c>
      <c r="I38" s="26">
        <v>347</v>
      </c>
      <c r="J38" s="39" t="str">
        <f>HYPERLINK("https://amazon.com/dp/B088Z1Y71G","View on Amazon")</f>
        <v>View on Amazon</v>
      </c>
      <c r="K38" s="23" t="s">
        <v>463</v>
      </c>
      <c r="L38" s="28" t="s">
        <v>460</v>
      </c>
    </row>
    <row r="39" spans="1:12" ht="40" customHeight="1" x14ac:dyDescent="0.2">
      <c r="A39" s="13" t="s">
        <v>508</v>
      </c>
      <c r="B39" s="14" t="s">
        <v>509</v>
      </c>
      <c r="C39" s="15" t="s">
        <v>33</v>
      </c>
      <c r="D39" s="15" t="s">
        <v>463</v>
      </c>
      <c r="E39" s="16">
        <v>219.99</v>
      </c>
      <c r="F39" s="17">
        <v>17212.98</v>
      </c>
      <c r="G39" s="18">
        <v>78</v>
      </c>
      <c r="H39" s="19">
        <v>4.5</v>
      </c>
      <c r="I39" s="18">
        <v>67</v>
      </c>
      <c r="J39" s="38" t="str">
        <f>HYPERLINK("https://amazon.com/dp/B0FG2L5PDY","View on Amazon")</f>
        <v>View on Amazon</v>
      </c>
      <c r="K39" s="15" t="s">
        <v>463</v>
      </c>
      <c r="L39" s="20" t="s">
        <v>460</v>
      </c>
    </row>
    <row r="40" spans="1:12" ht="40" customHeight="1" x14ac:dyDescent="0.2">
      <c r="A40" s="21" t="s">
        <v>579</v>
      </c>
      <c r="B40" s="22" t="s">
        <v>580</v>
      </c>
      <c r="C40" s="23" t="s">
        <v>27</v>
      </c>
      <c r="D40" s="23" t="s">
        <v>459</v>
      </c>
      <c r="E40" s="24">
        <v>56.98</v>
      </c>
      <c r="F40" s="25">
        <v>4610.5200000000004</v>
      </c>
      <c r="G40" s="26">
        <v>77</v>
      </c>
      <c r="H40" s="27">
        <v>4</v>
      </c>
      <c r="I40" s="26">
        <v>471</v>
      </c>
      <c r="J40" s="39" t="str">
        <f>HYPERLINK("https://amazon.com/dp/B0BRY25L5X","View on Amazon")</f>
        <v>View on Amazon</v>
      </c>
      <c r="K40" s="23" t="s">
        <v>459</v>
      </c>
      <c r="L40" s="28" t="s">
        <v>460</v>
      </c>
    </row>
    <row r="41" spans="1:12" ht="40" customHeight="1" x14ac:dyDescent="0.2">
      <c r="A41" s="13" t="s">
        <v>581</v>
      </c>
      <c r="B41" s="14" t="s">
        <v>582</v>
      </c>
      <c r="C41" s="15" t="s">
        <v>68</v>
      </c>
      <c r="D41" s="15" t="s">
        <v>463</v>
      </c>
      <c r="E41" s="16">
        <v>33.99</v>
      </c>
      <c r="F41" s="17">
        <v>2592.56</v>
      </c>
      <c r="G41" s="18">
        <v>76</v>
      </c>
      <c r="H41" s="19">
        <v>4.5</v>
      </c>
      <c r="I41" s="18">
        <v>29</v>
      </c>
      <c r="J41" s="38" t="str">
        <f>HYPERLINK("https://amazon.com/dp/B0CSV6W4RY","View on Amazon")</f>
        <v>View on Amazon</v>
      </c>
      <c r="K41" s="15" t="s">
        <v>463</v>
      </c>
      <c r="L41" s="20" t="s">
        <v>460</v>
      </c>
    </row>
    <row r="42" spans="1:12" ht="40" customHeight="1" x14ac:dyDescent="0.2">
      <c r="A42" s="21" t="s">
        <v>583</v>
      </c>
      <c r="B42" s="22" t="s">
        <v>584</v>
      </c>
      <c r="C42" s="23" t="s">
        <v>76</v>
      </c>
      <c r="D42" s="23" t="s">
        <v>463</v>
      </c>
      <c r="E42" s="24">
        <v>35.99</v>
      </c>
      <c r="F42" s="25">
        <v>2692.58</v>
      </c>
      <c r="G42" s="26">
        <v>75</v>
      </c>
      <c r="H42" s="27">
        <v>4.5</v>
      </c>
      <c r="I42" s="26">
        <v>21</v>
      </c>
      <c r="J42" s="39" t="str">
        <f>HYPERLINK("https://amazon.com/dp/B0FWJB8C1H","View on Amazon")</f>
        <v>View on Amazon</v>
      </c>
      <c r="K42" s="23" t="s">
        <v>463</v>
      </c>
      <c r="L42" s="28" t="s">
        <v>460</v>
      </c>
    </row>
    <row r="43" spans="1:12" ht="40" customHeight="1" x14ac:dyDescent="0.2">
      <c r="A43" s="13" t="s">
        <v>515</v>
      </c>
      <c r="B43" s="14" t="s">
        <v>516</v>
      </c>
      <c r="C43" s="15" t="s">
        <v>24</v>
      </c>
      <c r="D43" s="15" t="s">
        <v>463</v>
      </c>
      <c r="E43" s="16">
        <v>199.99</v>
      </c>
      <c r="F43" s="17">
        <v>14383.87</v>
      </c>
      <c r="G43" s="18">
        <v>72</v>
      </c>
      <c r="H43" s="19">
        <v>3.9</v>
      </c>
      <c r="I43" s="18">
        <v>229</v>
      </c>
      <c r="J43" s="38" t="str">
        <f>HYPERLINK("https://amazon.com/dp/B0CJK26N81","View on Amazon")</f>
        <v>View on Amazon</v>
      </c>
      <c r="K43" s="15" t="s">
        <v>463</v>
      </c>
      <c r="L43" s="20" t="s">
        <v>460</v>
      </c>
    </row>
    <row r="44" spans="1:12" ht="40" customHeight="1" x14ac:dyDescent="0.2">
      <c r="A44" s="21" t="s">
        <v>585</v>
      </c>
      <c r="B44" s="22" t="s">
        <v>586</v>
      </c>
      <c r="C44" s="23" t="s">
        <v>60</v>
      </c>
      <c r="D44" s="23" t="s">
        <v>463</v>
      </c>
      <c r="E44" s="24">
        <v>89.99</v>
      </c>
      <c r="F44" s="25">
        <v>6440.44</v>
      </c>
      <c r="G44" s="26">
        <v>72</v>
      </c>
      <c r="H44" s="27">
        <v>4.4000000000000004</v>
      </c>
      <c r="I44" s="26">
        <v>163</v>
      </c>
      <c r="J44" s="39" t="str">
        <f>HYPERLINK("https://amazon.com/dp/B0FNM6ZFGG","View on Amazon")</f>
        <v>View on Amazon</v>
      </c>
      <c r="K44" s="23" t="s">
        <v>463</v>
      </c>
      <c r="L44" s="28" t="s">
        <v>460</v>
      </c>
    </row>
    <row r="45" spans="1:12" ht="40" customHeight="1" x14ac:dyDescent="0.2">
      <c r="A45" s="13" t="s">
        <v>495</v>
      </c>
      <c r="B45" s="14" t="s">
        <v>496</v>
      </c>
      <c r="C45" s="15" t="s">
        <v>19</v>
      </c>
      <c r="D45" s="15" t="s">
        <v>459</v>
      </c>
      <c r="E45" s="16">
        <v>399.99</v>
      </c>
      <c r="F45" s="17">
        <v>25850.23</v>
      </c>
      <c r="G45" s="18">
        <v>65</v>
      </c>
      <c r="H45" s="19">
        <v>4</v>
      </c>
      <c r="I45" s="18">
        <v>131</v>
      </c>
      <c r="J45" s="38" t="str">
        <f>HYPERLINK("https://amazon.com/dp/B0DW3ZPC1N","View on Amazon")</f>
        <v>View on Amazon</v>
      </c>
      <c r="K45" s="15" t="s">
        <v>459</v>
      </c>
      <c r="L45" s="20" t="s">
        <v>460</v>
      </c>
    </row>
    <row r="46" spans="1:12" ht="40" customHeight="1" x14ac:dyDescent="0.2">
      <c r="A46" s="21" t="s">
        <v>587</v>
      </c>
      <c r="B46" s="22" t="s">
        <v>588</v>
      </c>
      <c r="C46" s="23" t="s">
        <v>34</v>
      </c>
      <c r="D46" s="23" t="s">
        <v>463</v>
      </c>
      <c r="E46" s="24">
        <v>69.989999999999995</v>
      </c>
      <c r="F46" s="25">
        <v>4863.32</v>
      </c>
      <c r="G46" s="26">
        <v>64</v>
      </c>
      <c r="H46" s="27">
        <v>5</v>
      </c>
      <c r="I46" s="26">
        <v>6</v>
      </c>
      <c r="J46" s="39" t="str">
        <f>HYPERLINK("https://amazon.com/dp/B0GH69J9RY","View on Amazon")</f>
        <v>View on Amazon</v>
      </c>
      <c r="K46" s="23" t="s">
        <v>463</v>
      </c>
      <c r="L46" s="28" t="s">
        <v>460</v>
      </c>
    </row>
    <row r="47" spans="1:12" ht="40" customHeight="1" x14ac:dyDescent="0.2">
      <c r="A47" s="13" t="s">
        <v>589</v>
      </c>
      <c r="B47" s="14" t="s">
        <v>590</v>
      </c>
      <c r="C47" s="15" t="s">
        <v>52</v>
      </c>
      <c r="D47" s="15" t="s">
        <v>463</v>
      </c>
      <c r="E47" s="16">
        <v>79.98</v>
      </c>
      <c r="F47" s="17">
        <v>5058.18</v>
      </c>
      <c r="G47" s="18">
        <v>63</v>
      </c>
      <c r="H47" s="19">
        <v>4.4000000000000004</v>
      </c>
      <c r="I47" s="18">
        <v>32</v>
      </c>
      <c r="J47" s="38" t="str">
        <f>HYPERLINK("https://amazon.com/dp/B0F82W7TYP","View on Amazon")</f>
        <v>View on Amazon</v>
      </c>
      <c r="K47" s="15" t="s">
        <v>463</v>
      </c>
      <c r="L47" s="20" t="s">
        <v>460</v>
      </c>
    </row>
    <row r="48" spans="1:12" ht="40" customHeight="1" x14ac:dyDescent="0.2">
      <c r="A48" s="21" t="s">
        <v>476</v>
      </c>
      <c r="B48" s="22" t="s">
        <v>477</v>
      </c>
      <c r="C48" s="23" t="s">
        <v>7</v>
      </c>
      <c r="D48" s="23" t="s">
        <v>459</v>
      </c>
      <c r="E48" s="24">
        <v>899</v>
      </c>
      <c r="F48" s="25">
        <v>53340.74</v>
      </c>
      <c r="G48" s="26">
        <v>61</v>
      </c>
      <c r="H48" s="27">
        <v>4.5</v>
      </c>
      <c r="I48" s="26">
        <v>274</v>
      </c>
      <c r="J48" s="39" t="str">
        <f>HYPERLINK("https://amazon.com/dp/B0FW4H9MXB","View on Amazon")</f>
        <v>View on Amazon</v>
      </c>
      <c r="K48" s="23" t="s">
        <v>459</v>
      </c>
      <c r="L48" s="28" t="s">
        <v>460</v>
      </c>
    </row>
    <row r="49" spans="1:12" ht="40" customHeight="1" x14ac:dyDescent="0.2">
      <c r="A49" s="13" t="s">
        <v>539</v>
      </c>
      <c r="B49" s="14" t="s">
        <v>540</v>
      </c>
      <c r="C49" s="15" t="s">
        <v>48</v>
      </c>
      <c r="D49" s="15" t="s">
        <v>463</v>
      </c>
      <c r="E49" s="16">
        <v>99.98</v>
      </c>
      <c r="F49" s="17">
        <v>8836.85</v>
      </c>
      <c r="G49" s="18">
        <v>61</v>
      </c>
      <c r="H49" s="19">
        <v>4.4000000000000004</v>
      </c>
      <c r="I49" s="18">
        <v>31</v>
      </c>
      <c r="J49" s="38" t="str">
        <f>HYPERLINK("https://amazon.com/dp/B0FP8LF1ZL","View on Amazon")</f>
        <v>View on Amazon</v>
      </c>
      <c r="K49" s="15" t="s">
        <v>463</v>
      </c>
      <c r="L49" s="20" t="s">
        <v>460</v>
      </c>
    </row>
    <row r="50" spans="1:12" ht="40" customHeight="1" x14ac:dyDescent="0.2">
      <c r="A50" s="21" t="s">
        <v>591</v>
      </c>
      <c r="B50" s="22" t="s">
        <v>592</v>
      </c>
      <c r="C50" s="23" t="s">
        <v>87</v>
      </c>
      <c r="D50" s="23" t="s">
        <v>459</v>
      </c>
      <c r="E50" s="24">
        <v>59.99</v>
      </c>
      <c r="F50" s="25">
        <v>3660.12</v>
      </c>
      <c r="G50" s="26">
        <v>61</v>
      </c>
      <c r="H50" s="27">
        <v>3</v>
      </c>
      <c r="I50" s="26">
        <v>17</v>
      </c>
      <c r="J50" s="39" t="str">
        <f>HYPERLINK("https://amazon.com/dp/B0GCGY3LBC","View on Amazon")</f>
        <v>View on Amazon</v>
      </c>
      <c r="K50" s="23" t="s">
        <v>459</v>
      </c>
      <c r="L50" s="28" t="s">
        <v>460</v>
      </c>
    </row>
    <row r="51" spans="1:12" ht="40" customHeight="1" x14ac:dyDescent="0.2">
      <c r="A51" s="29" t="s">
        <v>537</v>
      </c>
      <c r="B51" s="30" t="s">
        <v>538</v>
      </c>
      <c r="C51" s="31" t="s">
        <v>24</v>
      </c>
      <c r="D51" s="31" t="s">
        <v>463</v>
      </c>
      <c r="E51" s="32">
        <v>159.99</v>
      </c>
      <c r="F51" s="33">
        <v>9251.2199999999993</v>
      </c>
      <c r="G51" s="34">
        <v>58</v>
      </c>
      <c r="H51" s="35">
        <v>4.0999999999999996</v>
      </c>
      <c r="I51" s="34">
        <v>116</v>
      </c>
      <c r="J51" s="40" t="str">
        <f>HYPERLINK("https://amazon.com/dp/B0CJK2MJPV","View on Amazon")</f>
        <v>View on Amazon</v>
      </c>
      <c r="K51" s="31" t="s">
        <v>463</v>
      </c>
      <c r="L51" s="36" t="s">
        <v>460</v>
      </c>
    </row>
  </sheetData>
  <conditionalFormatting sqref="F2:F51">
    <cfRule type="cellIs" dxfId="13" priority="1" operator="greaterThan">
      <formula>0</formula>
    </cfRule>
  </conditionalFormatting>
  <conditionalFormatting sqref="F2:F51">
    <cfRule type="cellIs" dxfId="12" priority="2" operator="lessThanOrEqual">
      <formula>0</formula>
    </cfRule>
  </conditionalFormatting>
  <pageMargins left="0.7" right="0.7" top="0.75" bottom="0.75" header="0.3" footer="0.3"/>
  <ignoredErrors>
    <ignoredError sqref="A1:L1 A2:I51 K2:L5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pane ySplit="1" topLeftCell="A2" activePane="bottomLeft" state="frozen"/>
      <selection pane="bottomLeft"/>
    </sheetView>
  </sheetViews>
  <sheetFormatPr baseColWidth="10" defaultRowHeight="16" x14ac:dyDescent="0.2"/>
  <cols>
    <col min="1" max="1" width="33.33203125" customWidth="1"/>
    <col min="2" max="2" width="15" customWidth="1"/>
    <col min="3" max="3" width="16.6640625" customWidth="1"/>
    <col min="4" max="4" width="13.33203125" customWidth="1"/>
    <col min="5" max="5" width="18.33203125" customWidth="1"/>
    <col min="6" max="6" width="16.6640625" customWidth="1"/>
  </cols>
  <sheetData>
    <row r="1" spans="1:6" ht="30" customHeight="1" thickBot="1" x14ac:dyDescent="0.25">
      <c r="A1" s="2" t="s">
        <v>451</v>
      </c>
      <c r="B1" s="3" t="s">
        <v>593</v>
      </c>
      <c r="C1" s="3" t="s">
        <v>594</v>
      </c>
      <c r="D1" s="3" t="s">
        <v>595</v>
      </c>
      <c r="E1" s="3" t="s">
        <v>596</v>
      </c>
      <c r="F1" s="4" t="s">
        <v>597</v>
      </c>
    </row>
    <row r="2" spans="1:6" x14ac:dyDescent="0.2">
      <c r="A2" s="5" t="s">
        <v>463</v>
      </c>
      <c r="B2" s="8">
        <v>148.1</v>
      </c>
      <c r="C2" s="10">
        <v>9365</v>
      </c>
      <c r="D2" s="54">
        <v>0.77729999999999999</v>
      </c>
      <c r="E2" s="9">
        <v>900103.67</v>
      </c>
      <c r="F2" s="57">
        <v>0.50800000000000001</v>
      </c>
    </row>
    <row r="3" spans="1:6" x14ac:dyDescent="0.2">
      <c r="A3" s="13" t="s">
        <v>459</v>
      </c>
      <c r="B3" s="16">
        <v>498.75</v>
      </c>
      <c r="C3" s="18">
        <v>1963</v>
      </c>
      <c r="D3" s="50">
        <v>0.16289999999999999</v>
      </c>
      <c r="E3" s="17">
        <v>738910.74</v>
      </c>
      <c r="F3" s="58">
        <v>0.41699999999999998</v>
      </c>
    </row>
    <row r="4" spans="1:6" x14ac:dyDescent="0.2">
      <c r="A4" s="21" t="s">
        <v>486</v>
      </c>
      <c r="B4" s="24">
        <v>126.24</v>
      </c>
      <c r="C4" s="26">
        <v>461</v>
      </c>
      <c r="D4" s="55">
        <v>3.8300000000000001E-2</v>
      </c>
      <c r="E4" s="25">
        <v>50516.14</v>
      </c>
      <c r="F4" s="59">
        <v>2.8500000000000001E-2</v>
      </c>
    </row>
    <row r="5" spans="1:6" x14ac:dyDescent="0.2">
      <c r="A5" s="13" t="s">
        <v>503</v>
      </c>
      <c r="B5" s="16">
        <v>455.86</v>
      </c>
      <c r="C5" s="18">
        <v>173</v>
      </c>
      <c r="D5" s="50">
        <v>1.44E-2</v>
      </c>
      <c r="E5" s="17">
        <v>46083.37</v>
      </c>
      <c r="F5" s="58">
        <v>2.5999999999999999E-2</v>
      </c>
    </row>
    <row r="6" spans="1:6" x14ac:dyDescent="0.2">
      <c r="A6" s="21" t="s">
        <v>512</v>
      </c>
      <c r="B6" s="24">
        <v>624</v>
      </c>
      <c r="C6" s="26">
        <v>54</v>
      </c>
      <c r="D6" s="55">
        <v>4.4999999999999997E-3</v>
      </c>
      <c r="E6" s="25">
        <v>27861.43</v>
      </c>
      <c r="F6" s="59">
        <v>1.5699999999999999E-2</v>
      </c>
    </row>
    <row r="7" spans="1:6" x14ac:dyDescent="0.2">
      <c r="A7" s="29" t="s">
        <v>547</v>
      </c>
      <c r="B7" s="32">
        <v>199</v>
      </c>
      <c r="C7" s="34">
        <v>32</v>
      </c>
      <c r="D7" s="52">
        <v>2.7000000000000001E-3</v>
      </c>
      <c r="E7" s="33">
        <v>8451.66</v>
      </c>
      <c r="F7" s="60">
        <v>4.7999999999999996E-3</v>
      </c>
    </row>
  </sheetData>
  <conditionalFormatting sqref="E2:E7">
    <cfRule type="cellIs" dxfId="3" priority="1" operator="greaterThan">
      <formula>0</formula>
    </cfRule>
  </conditionalFormatting>
  <conditionalFormatting sqref="E2:E7">
    <cfRule type="cellIs" dxfId="2" priority="2" operator="lessThanOrEqual">
      <formula>0</formula>
    </cfRule>
  </conditionalFormatting>
  <pageMargins left="0.7" right="0.7" top="0.75" bottom="0.75" header="0.3" footer="0.3"/>
  <ignoredErrors>
    <ignoredError sqref="A1:F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pane ySplit="1" topLeftCell="A2" activePane="bottomLeft" state="frozen"/>
      <selection pane="bottomLeft"/>
    </sheetView>
  </sheetViews>
  <sheetFormatPr baseColWidth="10" defaultRowHeight="16" x14ac:dyDescent="0.2"/>
  <cols>
    <col min="1" max="1" width="15" customWidth="1"/>
    <col min="2" max="2" width="20" customWidth="1"/>
    <col min="3" max="6" width="15" customWidth="1"/>
  </cols>
  <sheetData>
    <row r="1" spans="1:6" ht="30" customHeight="1" thickBot="1" x14ac:dyDescent="0.25">
      <c r="A1" s="2" t="s">
        <v>598</v>
      </c>
      <c r="B1" s="3" t="s">
        <v>599</v>
      </c>
      <c r="C1" s="3" t="s">
        <v>600</v>
      </c>
      <c r="D1" s="3" t="s">
        <v>601</v>
      </c>
      <c r="E1" s="3" t="s">
        <v>602</v>
      </c>
      <c r="F1" s="4" t="s">
        <v>593</v>
      </c>
    </row>
    <row r="2" spans="1:6" x14ac:dyDescent="0.2">
      <c r="A2" s="5" t="s">
        <v>603</v>
      </c>
      <c r="B2" s="9">
        <v>69162.210000000006</v>
      </c>
      <c r="C2" s="10">
        <v>2065</v>
      </c>
      <c r="D2" s="54">
        <v>2.92E-2</v>
      </c>
      <c r="E2" s="54">
        <v>0.1133</v>
      </c>
      <c r="F2" s="61">
        <v>25.23</v>
      </c>
    </row>
    <row r="3" spans="1:6" x14ac:dyDescent="0.2">
      <c r="A3" s="13" t="s">
        <v>604</v>
      </c>
      <c r="B3" s="17">
        <v>264560.25</v>
      </c>
      <c r="C3" s="18">
        <v>4394</v>
      </c>
      <c r="D3" s="50">
        <v>0.1116</v>
      </c>
      <c r="E3" s="50">
        <v>0.24110000000000001</v>
      </c>
      <c r="F3" s="62">
        <v>52.79</v>
      </c>
    </row>
    <row r="4" spans="1:6" x14ac:dyDescent="0.2">
      <c r="A4" s="21" t="s">
        <v>605</v>
      </c>
      <c r="B4" s="25">
        <v>433757.31</v>
      </c>
      <c r="C4" s="26">
        <v>5292</v>
      </c>
      <c r="D4" s="55">
        <v>0.183</v>
      </c>
      <c r="E4" s="55">
        <v>0.2903</v>
      </c>
      <c r="F4" s="63">
        <v>77.180000000000007</v>
      </c>
    </row>
    <row r="5" spans="1:6" x14ac:dyDescent="0.2">
      <c r="A5" s="29" t="s">
        <v>606</v>
      </c>
      <c r="B5" s="33">
        <v>1602212.09</v>
      </c>
      <c r="C5" s="34">
        <v>6476</v>
      </c>
      <c r="D5" s="52">
        <v>0.67610000000000003</v>
      </c>
      <c r="E5" s="52">
        <v>0.3553</v>
      </c>
      <c r="F5" s="64">
        <v>286.17</v>
      </c>
    </row>
  </sheetData>
  <conditionalFormatting sqref="B2:B5">
    <cfRule type="cellIs" dxfId="1" priority="1" operator="greaterThan">
      <formula>0</formula>
    </cfRule>
  </conditionalFormatting>
  <conditionalFormatting sqref="B2:B5">
    <cfRule type="cellIs" dxfId="0" priority="2" operator="lessThanOrEqual">
      <formula>0</formula>
    </cfRule>
  </conditionalFormatting>
  <pageMargins left="0.7" right="0.7" top="0.75" bottom="0.75" header="0.3" footer="0.3"/>
  <ignoredErrors>
    <ignoredError sqref="A1:F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27"/>
  <sheetViews>
    <sheetView workbookViewId="0">
      <pane ySplit="1" topLeftCell="A2" activePane="bottomLeft" state="frozen"/>
      <selection pane="bottomLeft"/>
    </sheetView>
  </sheetViews>
  <sheetFormatPr baseColWidth="10" defaultRowHeight="16" x14ac:dyDescent="0.2"/>
  <cols>
    <col min="1" max="1" width="18.33203125" customWidth="1"/>
    <col min="2" max="2" width="53.33203125" customWidth="1"/>
    <col min="3" max="3" width="16.6640625" customWidth="1"/>
    <col min="4" max="4" width="26.6640625" customWidth="1"/>
    <col min="5" max="5" width="13.33203125" customWidth="1"/>
    <col min="6" max="6" width="16.6640625" customWidth="1"/>
    <col min="7" max="7" width="15" customWidth="1"/>
    <col min="8" max="8" width="12.5" customWidth="1"/>
    <col min="9" max="9" width="15" customWidth="1"/>
    <col min="10" max="10" width="12.5" customWidth="1"/>
    <col min="11" max="11" width="26.6640625" customWidth="1"/>
    <col min="12" max="12" width="20" customWidth="1"/>
  </cols>
  <sheetData>
    <row r="1" spans="1:12" ht="30" customHeight="1" thickBot="1" x14ac:dyDescent="0.25">
      <c r="A1" s="2" t="s">
        <v>449</v>
      </c>
      <c r="B1" s="3" t="s">
        <v>450</v>
      </c>
      <c r="C1" s="3" t="s">
        <v>0</v>
      </c>
      <c r="D1" s="3" t="s">
        <v>451</v>
      </c>
      <c r="E1" s="3" t="s">
        <v>452</v>
      </c>
      <c r="F1" s="3" t="s">
        <v>2</v>
      </c>
      <c r="G1" s="3" t="s">
        <v>3</v>
      </c>
      <c r="H1" s="3" t="s">
        <v>6</v>
      </c>
      <c r="I1" s="3" t="s">
        <v>453</v>
      </c>
      <c r="J1" s="3" t="s">
        <v>454</v>
      </c>
      <c r="K1" s="3" t="s">
        <v>455</v>
      </c>
      <c r="L1" s="4" t="s">
        <v>456</v>
      </c>
    </row>
    <row r="2" spans="1:12" ht="68" x14ac:dyDescent="0.2">
      <c r="A2" s="5" t="s">
        <v>457</v>
      </c>
      <c r="B2" s="6" t="s">
        <v>458</v>
      </c>
      <c r="C2" s="7" t="s">
        <v>7</v>
      </c>
      <c r="D2" s="7" t="s">
        <v>459</v>
      </c>
      <c r="E2" s="8">
        <v>409.99</v>
      </c>
      <c r="F2" s="9">
        <v>429870.86</v>
      </c>
      <c r="G2" s="10">
        <v>1058</v>
      </c>
      <c r="H2" s="11">
        <v>4.5</v>
      </c>
      <c r="I2" s="10">
        <v>274</v>
      </c>
      <c r="J2" s="37" t="str">
        <f>HYPERLINK("https://amazon.com/dp/B0D56CNCW1","View on Amazon")</f>
        <v>View on Amazon</v>
      </c>
      <c r="K2" s="7" t="s">
        <v>459</v>
      </c>
      <c r="L2" s="12" t="s">
        <v>460</v>
      </c>
    </row>
    <row r="3" spans="1:12" ht="51" x14ac:dyDescent="0.2">
      <c r="A3" s="13" t="s">
        <v>461</v>
      </c>
      <c r="B3" s="14" t="s">
        <v>462</v>
      </c>
      <c r="C3" s="15" t="s">
        <v>8</v>
      </c>
      <c r="D3" s="15" t="s">
        <v>463</v>
      </c>
      <c r="E3" s="16">
        <v>89.99</v>
      </c>
      <c r="F3" s="17">
        <v>119782.18</v>
      </c>
      <c r="G3" s="18">
        <v>1331</v>
      </c>
      <c r="H3" s="19">
        <v>4.3</v>
      </c>
      <c r="I3" s="18">
        <v>3133</v>
      </c>
      <c r="J3" s="38" t="str">
        <f>HYPERLINK("https://amazon.com/dp/B0CYYVBXTV","View on Amazon")</f>
        <v>View on Amazon</v>
      </c>
      <c r="K3" s="15" t="s">
        <v>463</v>
      </c>
      <c r="L3" s="20" t="s">
        <v>460</v>
      </c>
    </row>
    <row r="4" spans="1:12" ht="68" x14ac:dyDescent="0.2">
      <c r="A4" s="21" t="s">
        <v>464</v>
      </c>
      <c r="B4" s="22" t="s">
        <v>465</v>
      </c>
      <c r="C4" s="23" t="s">
        <v>9</v>
      </c>
      <c r="D4" s="23" t="s">
        <v>463</v>
      </c>
      <c r="E4" s="24">
        <v>109.99</v>
      </c>
      <c r="F4" s="25">
        <v>110762.22</v>
      </c>
      <c r="G4" s="26">
        <v>911</v>
      </c>
      <c r="H4" s="27">
        <v>4.4000000000000004</v>
      </c>
      <c r="I4" s="26">
        <v>511</v>
      </c>
      <c r="J4" s="39" t="str">
        <f>HYPERLINK("https://amazon.com/dp/B0D1813KZ3","View on Amazon")</f>
        <v>View on Amazon</v>
      </c>
      <c r="K4" s="23" t="s">
        <v>463</v>
      </c>
      <c r="L4" s="28" t="s">
        <v>460</v>
      </c>
    </row>
    <row r="5" spans="1:12" ht="34" x14ac:dyDescent="0.2">
      <c r="A5" s="13" t="s">
        <v>466</v>
      </c>
      <c r="B5" s="14" t="s">
        <v>467</v>
      </c>
      <c r="C5" s="15" t="s">
        <v>12</v>
      </c>
      <c r="D5" s="15" t="s">
        <v>459</v>
      </c>
      <c r="E5" s="16">
        <v>899</v>
      </c>
      <c r="F5" s="17">
        <v>83984.66</v>
      </c>
      <c r="G5" s="18">
        <v>93</v>
      </c>
      <c r="H5" s="19">
        <v>4.5</v>
      </c>
      <c r="I5" s="18">
        <v>92</v>
      </c>
      <c r="J5" s="38" t="str">
        <f>HYPERLINK("https://amazon.com/dp/B0D5QXY5JN","View on Amazon")</f>
        <v>View on Amazon</v>
      </c>
      <c r="K5" s="15" t="s">
        <v>459</v>
      </c>
      <c r="L5" s="20" t="s">
        <v>460</v>
      </c>
    </row>
    <row r="6" spans="1:12" ht="51" x14ac:dyDescent="0.2">
      <c r="A6" s="21" t="s">
        <v>468</v>
      </c>
      <c r="B6" s="22" t="s">
        <v>469</v>
      </c>
      <c r="C6" s="23" t="s">
        <v>8</v>
      </c>
      <c r="D6" s="23" t="s">
        <v>463</v>
      </c>
      <c r="E6" s="24">
        <v>119.99</v>
      </c>
      <c r="F6" s="25">
        <v>72105.990000000005</v>
      </c>
      <c r="G6" s="26">
        <v>601</v>
      </c>
      <c r="H6" s="27">
        <v>4.3</v>
      </c>
      <c r="I6" s="26">
        <v>3133</v>
      </c>
      <c r="J6" s="39" t="str">
        <f>HYPERLINK("https://amazon.com/dp/B0F7H3VFVS","View on Amazon")</f>
        <v>View on Amazon</v>
      </c>
      <c r="K6" s="23" t="s">
        <v>463</v>
      </c>
      <c r="L6" s="28" t="s">
        <v>460</v>
      </c>
    </row>
    <row r="7" spans="1:12" ht="51" x14ac:dyDescent="0.2">
      <c r="A7" s="13" t="s">
        <v>470</v>
      </c>
      <c r="B7" s="14" t="s">
        <v>471</v>
      </c>
      <c r="C7" s="15" t="s">
        <v>14</v>
      </c>
      <c r="D7" s="15" t="s">
        <v>463</v>
      </c>
      <c r="E7" s="16">
        <v>79.989999999999995</v>
      </c>
      <c r="F7" s="17">
        <v>61046.31</v>
      </c>
      <c r="G7" s="18">
        <v>837</v>
      </c>
      <c r="H7" s="19">
        <v>4.5999999999999996</v>
      </c>
      <c r="I7" s="18">
        <v>242</v>
      </c>
      <c r="J7" s="38" t="str">
        <f>HYPERLINK("https://amazon.com/dp/B0FLF13P1J","View on Amazon")</f>
        <v>View on Amazon</v>
      </c>
      <c r="K7" s="15" t="s">
        <v>463</v>
      </c>
      <c r="L7" s="20" t="s">
        <v>460</v>
      </c>
    </row>
    <row r="8" spans="1:12" ht="51" x14ac:dyDescent="0.2">
      <c r="A8" s="21" t="s">
        <v>472</v>
      </c>
      <c r="B8" s="22" t="s">
        <v>473</v>
      </c>
      <c r="C8" s="23" t="s">
        <v>8</v>
      </c>
      <c r="D8" s="23" t="s">
        <v>463</v>
      </c>
      <c r="E8" s="24">
        <v>89.99</v>
      </c>
      <c r="F8" s="25">
        <v>56634.06</v>
      </c>
      <c r="G8" s="26">
        <v>629</v>
      </c>
      <c r="H8" s="27">
        <v>4.3</v>
      </c>
      <c r="I8" s="26">
        <v>3133</v>
      </c>
      <c r="J8" s="39" t="str">
        <f>HYPERLINK("https://amazon.com/dp/B0CZ3KQZB1","View on Amazon")</f>
        <v>View on Amazon</v>
      </c>
      <c r="K8" s="23" t="s">
        <v>463</v>
      </c>
      <c r="L8" s="28" t="s">
        <v>460</v>
      </c>
    </row>
    <row r="9" spans="1:12" ht="68" x14ac:dyDescent="0.2">
      <c r="A9" s="13" t="s">
        <v>474</v>
      </c>
      <c r="B9" s="14" t="s">
        <v>475</v>
      </c>
      <c r="C9" s="15" t="s">
        <v>15</v>
      </c>
      <c r="D9" s="15" t="s">
        <v>463</v>
      </c>
      <c r="E9" s="16">
        <v>49.99</v>
      </c>
      <c r="F9" s="17">
        <v>54106.46</v>
      </c>
      <c r="G9" s="18">
        <v>1022</v>
      </c>
      <c r="H9" s="19">
        <v>4.2</v>
      </c>
      <c r="I9" s="18">
        <v>91</v>
      </c>
      <c r="J9" s="38" t="str">
        <f>HYPERLINK("https://amazon.com/dp/B0G4L9NBJJ","View on Amazon")</f>
        <v>View on Amazon</v>
      </c>
      <c r="K9" s="15" t="s">
        <v>463</v>
      </c>
      <c r="L9" s="20" t="s">
        <v>460</v>
      </c>
    </row>
    <row r="10" spans="1:12" ht="68" x14ac:dyDescent="0.2">
      <c r="A10" s="21" t="s">
        <v>476</v>
      </c>
      <c r="B10" s="22" t="s">
        <v>477</v>
      </c>
      <c r="C10" s="23" t="s">
        <v>7</v>
      </c>
      <c r="D10" s="23" t="s">
        <v>459</v>
      </c>
      <c r="E10" s="24">
        <v>899</v>
      </c>
      <c r="F10" s="25">
        <v>53340.74</v>
      </c>
      <c r="G10" s="26">
        <v>61</v>
      </c>
      <c r="H10" s="27">
        <v>4.5</v>
      </c>
      <c r="I10" s="26">
        <v>274</v>
      </c>
      <c r="J10" s="39" t="str">
        <f>HYPERLINK("https://amazon.com/dp/B0FW4H9MXB","View on Amazon")</f>
        <v>View on Amazon</v>
      </c>
      <c r="K10" s="23" t="s">
        <v>459</v>
      </c>
      <c r="L10" s="28" t="s">
        <v>460</v>
      </c>
    </row>
    <row r="11" spans="1:12" ht="51" x14ac:dyDescent="0.2">
      <c r="A11" s="13" t="s">
        <v>478</v>
      </c>
      <c r="B11" s="14" t="s">
        <v>479</v>
      </c>
      <c r="C11" s="15" t="s">
        <v>11</v>
      </c>
      <c r="D11" s="15" t="s">
        <v>463</v>
      </c>
      <c r="E11" s="16">
        <v>59.99</v>
      </c>
      <c r="F11" s="17">
        <v>52688.160000000003</v>
      </c>
      <c r="G11" s="18">
        <v>655</v>
      </c>
      <c r="H11" s="19">
        <v>4.5</v>
      </c>
      <c r="I11" s="18">
        <v>283</v>
      </c>
      <c r="J11" s="38" t="str">
        <f>HYPERLINK("https://amazon.com/dp/B0F8QFCH51","View on Amazon")</f>
        <v>View on Amazon</v>
      </c>
      <c r="K11" s="15" t="s">
        <v>463</v>
      </c>
      <c r="L11" s="20" t="s">
        <v>460</v>
      </c>
    </row>
    <row r="12" spans="1:12" ht="51" x14ac:dyDescent="0.2">
      <c r="A12" s="21" t="s">
        <v>480</v>
      </c>
      <c r="B12" s="22" t="s">
        <v>481</v>
      </c>
      <c r="C12" s="23" t="s">
        <v>16</v>
      </c>
      <c r="D12" s="23" t="s">
        <v>463</v>
      </c>
      <c r="E12" s="24">
        <v>999.97</v>
      </c>
      <c r="F12" s="25">
        <v>46780.15</v>
      </c>
      <c r="G12" s="26">
        <v>47</v>
      </c>
      <c r="H12" s="27">
        <v>4.7</v>
      </c>
      <c r="I12" s="26">
        <v>113</v>
      </c>
      <c r="J12" s="39" t="str">
        <f>HYPERLINK("https://amazon.com/dp/B0C5MKWHGQ","View on Amazon")</f>
        <v>View on Amazon</v>
      </c>
      <c r="K12" s="23" t="s">
        <v>463</v>
      </c>
      <c r="L12" s="28" t="s">
        <v>460</v>
      </c>
    </row>
    <row r="13" spans="1:12" ht="51" x14ac:dyDescent="0.2">
      <c r="A13" s="13" t="s">
        <v>482</v>
      </c>
      <c r="B13" s="14" t="s">
        <v>483</v>
      </c>
      <c r="C13" s="15" t="s">
        <v>13</v>
      </c>
      <c r="D13" s="15" t="s">
        <v>463</v>
      </c>
      <c r="E13" s="16">
        <v>199.99</v>
      </c>
      <c r="F13" s="17">
        <v>40421.31</v>
      </c>
      <c r="G13" s="18">
        <v>267</v>
      </c>
      <c r="H13" s="19">
        <v>4.5</v>
      </c>
      <c r="I13" s="18">
        <v>72</v>
      </c>
      <c r="J13" s="38" t="str">
        <f>HYPERLINK("https://amazon.com/dp/B0F8ND9RJ5","View on Amazon")</f>
        <v>View on Amazon</v>
      </c>
      <c r="K13" s="15" t="s">
        <v>463</v>
      </c>
      <c r="L13" s="20" t="s">
        <v>460</v>
      </c>
    </row>
    <row r="14" spans="1:12" ht="68" x14ac:dyDescent="0.2">
      <c r="A14" s="21" t="s">
        <v>484</v>
      </c>
      <c r="B14" s="22" t="s">
        <v>485</v>
      </c>
      <c r="C14" s="23" t="s">
        <v>18</v>
      </c>
      <c r="D14" s="23" t="s">
        <v>486</v>
      </c>
      <c r="E14" s="24">
        <v>212.49</v>
      </c>
      <c r="F14" s="25">
        <v>38630.67</v>
      </c>
      <c r="G14" s="26">
        <v>165</v>
      </c>
      <c r="H14" s="27">
        <v>4.2</v>
      </c>
      <c r="I14" s="26">
        <v>264</v>
      </c>
      <c r="J14" s="39" t="str">
        <f>HYPERLINK("https://amazon.com/dp/B0CXHQCTHJ","View on Amazon")</f>
        <v>View on Amazon</v>
      </c>
      <c r="K14" s="23" t="s">
        <v>486</v>
      </c>
      <c r="L14" s="28" t="s">
        <v>460</v>
      </c>
    </row>
    <row r="15" spans="1:12" ht="68" x14ac:dyDescent="0.2">
      <c r="A15" s="13" t="s">
        <v>487</v>
      </c>
      <c r="B15" s="14" t="s">
        <v>488</v>
      </c>
      <c r="C15" s="15" t="s">
        <v>20</v>
      </c>
      <c r="D15" s="15" t="s">
        <v>463</v>
      </c>
      <c r="E15" s="16">
        <v>89.99</v>
      </c>
      <c r="F15" s="17">
        <v>36857.050000000003</v>
      </c>
      <c r="G15" s="18">
        <v>433</v>
      </c>
      <c r="H15" s="19">
        <v>4.4000000000000004</v>
      </c>
      <c r="I15" s="18">
        <v>162</v>
      </c>
      <c r="J15" s="38" t="str">
        <f>HYPERLINK("https://amazon.com/dp/B0FVCTR45Y","View on Amazon")</f>
        <v>View on Amazon</v>
      </c>
      <c r="K15" s="15" t="s">
        <v>463</v>
      </c>
      <c r="L15" s="20" t="s">
        <v>460</v>
      </c>
    </row>
    <row r="16" spans="1:12" ht="51" x14ac:dyDescent="0.2">
      <c r="A16" s="21" t="s">
        <v>489</v>
      </c>
      <c r="B16" s="22" t="s">
        <v>490</v>
      </c>
      <c r="C16" s="23" t="s">
        <v>10</v>
      </c>
      <c r="D16" s="23" t="s">
        <v>459</v>
      </c>
      <c r="E16" s="24">
        <v>328.99</v>
      </c>
      <c r="F16" s="25">
        <v>34369.61</v>
      </c>
      <c r="G16" s="26">
        <v>100</v>
      </c>
      <c r="H16" s="27">
        <v>4.4000000000000004</v>
      </c>
      <c r="I16" s="26">
        <v>329</v>
      </c>
      <c r="J16" s="39" t="str">
        <f>HYPERLINK("https://amazon.com/dp/B0CNXP8JBV","View on Amazon")</f>
        <v>View on Amazon</v>
      </c>
      <c r="K16" s="23" t="s">
        <v>459</v>
      </c>
      <c r="L16" s="28" t="s">
        <v>460</v>
      </c>
    </row>
    <row r="17" spans="1:12" ht="51" x14ac:dyDescent="0.2">
      <c r="A17" s="13" t="s">
        <v>491</v>
      </c>
      <c r="B17" s="14" t="s">
        <v>492</v>
      </c>
      <c r="C17" s="15" t="s">
        <v>21</v>
      </c>
      <c r="D17" s="15" t="s">
        <v>463</v>
      </c>
      <c r="E17" s="16">
        <v>59.99</v>
      </c>
      <c r="F17" s="17">
        <v>30110.5</v>
      </c>
      <c r="G17" s="18">
        <v>455</v>
      </c>
      <c r="H17" s="19">
        <v>4.4000000000000004</v>
      </c>
      <c r="I17" s="18">
        <v>431</v>
      </c>
      <c r="J17" s="38" t="str">
        <f>HYPERLINK("https://amazon.com/dp/B0D8YJW635","View on Amazon")</f>
        <v>View on Amazon</v>
      </c>
      <c r="K17" s="15" t="s">
        <v>463</v>
      </c>
      <c r="L17" s="20" t="s">
        <v>460</v>
      </c>
    </row>
    <row r="18" spans="1:12" ht="68" x14ac:dyDescent="0.2">
      <c r="A18" s="21" t="s">
        <v>493</v>
      </c>
      <c r="B18" s="22" t="s">
        <v>494</v>
      </c>
      <c r="C18" s="23" t="s">
        <v>22</v>
      </c>
      <c r="D18" s="23" t="s">
        <v>459</v>
      </c>
      <c r="E18" s="24">
        <v>99.99</v>
      </c>
      <c r="F18" s="25">
        <v>28255.83</v>
      </c>
      <c r="G18" s="26">
        <v>228</v>
      </c>
      <c r="H18" s="27">
        <v>4.5999999999999996</v>
      </c>
      <c r="I18" s="26">
        <v>337</v>
      </c>
      <c r="J18" s="39" t="str">
        <f>HYPERLINK("https://amazon.com/dp/B0FMDQK4S8","View on Amazon")</f>
        <v>View on Amazon</v>
      </c>
      <c r="K18" s="23" t="s">
        <v>459</v>
      </c>
      <c r="L18" s="28" t="s">
        <v>460</v>
      </c>
    </row>
    <row r="19" spans="1:12" ht="51" x14ac:dyDescent="0.2">
      <c r="A19" s="13" t="s">
        <v>495</v>
      </c>
      <c r="B19" s="14" t="s">
        <v>496</v>
      </c>
      <c r="C19" s="15" t="s">
        <v>19</v>
      </c>
      <c r="D19" s="15" t="s">
        <v>459</v>
      </c>
      <c r="E19" s="16">
        <v>399.99</v>
      </c>
      <c r="F19" s="17">
        <v>25850.23</v>
      </c>
      <c r="G19" s="18">
        <v>65</v>
      </c>
      <c r="H19" s="19">
        <v>4</v>
      </c>
      <c r="I19" s="18">
        <v>131</v>
      </c>
      <c r="J19" s="38" t="str">
        <f>HYPERLINK("https://amazon.com/dp/B0DW3ZPC1N","View on Amazon")</f>
        <v>View on Amazon</v>
      </c>
      <c r="K19" s="15" t="s">
        <v>459</v>
      </c>
      <c r="L19" s="20" t="s">
        <v>460</v>
      </c>
    </row>
    <row r="20" spans="1:12" ht="68" x14ac:dyDescent="0.2">
      <c r="A20" s="21" t="s">
        <v>497</v>
      </c>
      <c r="B20" s="22" t="s">
        <v>498</v>
      </c>
      <c r="C20" s="23" t="s">
        <v>11</v>
      </c>
      <c r="D20" s="23" t="s">
        <v>463</v>
      </c>
      <c r="E20" s="24">
        <v>229.99</v>
      </c>
      <c r="F20" s="25">
        <v>24079.21</v>
      </c>
      <c r="G20" s="26">
        <v>105</v>
      </c>
      <c r="H20" s="27">
        <v>4.5</v>
      </c>
      <c r="I20" s="26">
        <v>283</v>
      </c>
      <c r="J20" s="39" t="str">
        <f>HYPERLINK("https://amazon.com/dp/B0F8QJ3VPV","View on Amazon")</f>
        <v>View on Amazon</v>
      </c>
      <c r="K20" s="23" t="s">
        <v>463</v>
      </c>
      <c r="L20" s="28" t="s">
        <v>460</v>
      </c>
    </row>
    <row r="21" spans="1:12" ht="68" x14ac:dyDescent="0.2">
      <c r="A21" s="13" t="s">
        <v>499</v>
      </c>
      <c r="B21" s="14" t="s">
        <v>500</v>
      </c>
      <c r="C21" s="15" t="s">
        <v>25</v>
      </c>
      <c r="D21" s="15" t="s">
        <v>463</v>
      </c>
      <c r="E21" s="16">
        <v>129.99</v>
      </c>
      <c r="F21" s="17">
        <v>23219.55</v>
      </c>
      <c r="G21" s="18">
        <v>132</v>
      </c>
      <c r="H21" s="19">
        <v>4.2</v>
      </c>
      <c r="I21" s="18">
        <v>507</v>
      </c>
      <c r="J21" s="38" t="str">
        <f>HYPERLINK("https://amazon.com/dp/B0BKZW16RH","View on Amazon")</f>
        <v>View on Amazon</v>
      </c>
      <c r="K21" s="15" t="s">
        <v>463</v>
      </c>
      <c r="L21" s="20" t="s">
        <v>460</v>
      </c>
    </row>
    <row r="22" spans="1:12" ht="34" x14ac:dyDescent="0.2">
      <c r="A22" s="21" t="s">
        <v>501</v>
      </c>
      <c r="B22" s="22" t="s">
        <v>502</v>
      </c>
      <c r="C22" s="23" t="s">
        <v>17</v>
      </c>
      <c r="D22" s="23" t="s">
        <v>503</v>
      </c>
      <c r="E22" s="24">
        <v>512.6</v>
      </c>
      <c r="F22" s="25">
        <v>23128.32</v>
      </c>
      <c r="G22" s="26">
        <v>45</v>
      </c>
      <c r="H22" s="27">
        <v>4.0999999999999996</v>
      </c>
      <c r="I22" s="26">
        <v>3283</v>
      </c>
      <c r="J22" s="39" t="str">
        <f>HYPERLINK("https://amazon.com/dp/B079JYL16W","View on Amazon")</f>
        <v>View on Amazon</v>
      </c>
      <c r="K22" s="23" t="s">
        <v>503</v>
      </c>
      <c r="L22" s="28" t="s">
        <v>460</v>
      </c>
    </row>
    <row r="23" spans="1:12" ht="51" x14ac:dyDescent="0.2">
      <c r="A23" s="13" t="s">
        <v>504</v>
      </c>
      <c r="B23" s="14" t="s">
        <v>505</v>
      </c>
      <c r="C23" s="15" t="s">
        <v>28</v>
      </c>
      <c r="D23" s="15" t="s">
        <v>463</v>
      </c>
      <c r="E23" s="16">
        <v>89.99</v>
      </c>
      <c r="F23" s="17">
        <v>20394.09</v>
      </c>
      <c r="G23" s="18">
        <v>316</v>
      </c>
      <c r="H23" s="19">
        <v>4.4000000000000004</v>
      </c>
      <c r="I23" s="18">
        <v>2419</v>
      </c>
      <c r="J23" s="38" t="str">
        <f>HYPERLINK("https://amazon.com/dp/B0DCNJ1G2Y","View on Amazon")</f>
        <v>View on Amazon</v>
      </c>
      <c r="K23" s="15" t="s">
        <v>463</v>
      </c>
      <c r="L23" s="20" t="s">
        <v>460</v>
      </c>
    </row>
    <row r="24" spans="1:12" ht="68" x14ac:dyDescent="0.2">
      <c r="A24" s="21" t="s">
        <v>506</v>
      </c>
      <c r="B24" s="22" t="s">
        <v>507</v>
      </c>
      <c r="C24" s="23" t="s">
        <v>26</v>
      </c>
      <c r="D24" s="23" t="s">
        <v>463</v>
      </c>
      <c r="E24" s="24">
        <v>58.99</v>
      </c>
      <c r="F24" s="25">
        <v>18168.900000000001</v>
      </c>
      <c r="G24" s="26">
        <v>305</v>
      </c>
      <c r="H24" s="27">
        <v>4.8</v>
      </c>
      <c r="I24" s="26">
        <v>34</v>
      </c>
      <c r="J24" s="39" t="str">
        <f>HYPERLINK("https://amazon.com/dp/B0FJXJMKCL","View on Amazon")</f>
        <v>View on Amazon</v>
      </c>
      <c r="K24" s="23" t="s">
        <v>463</v>
      </c>
      <c r="L24" s="28" t="s">
        <v>460</v>
      </c>
    </row>
    <row r="25" spans="1:12" ht="51" x14ac:dyDescent="0.2">
      <c r="A25" s="13" t="s">
        <v>508</v>
      </c>
      <c r="B25" s="14" t="s">
        <v>509</v>
      </c>
      <c r="C25" s="15" t="s">
        <v>33</v>
      </c>
      <c r="D25" s="15" t="s">
        <v>463</v>
      </c>
      <c r="E25" s="16">
        <v>219.99</v>
      </c>
      <c r="F25" s="17">
        <v>17212.98</v>
      </c>
      <c r="G25" s="18">
        <v>78</v>
      </c>
      <c r="H25" s="19">
        <v>4.5</v>
      </c>
      <c r="I25" s="18">
        <v>67</v>
      </c>
      <c r="J25" s="38" t="str">
        <f>HYPERLINK("https://amazon.com/dp/B0FG2L5PDY","View on Amazon")</f>
        <v>View on Amazon</v>
      </c>
      <c r="K25" s="15" t="s">
        <v>463</v>
      </c>
      <c r="L25" s="20" t="s">
        <v>460</v>
      </c>
    </row>
    <row r="26" spans="1:12" ht="51" x14ac:dyDescent="0.2">
      <c r="A26" s="21" t="s">
        <v>510</v>
      </c>
      <c r="B26" s="22" t="s">
        <v>511</v>
      </c>
      <c r="C26" s="23" t="s">
        <v>35</v>
      </c>
      <c r="D26" s="23" t="s">
        <v>512</v>
      </c>
      <c r="E26" s="24">
        <v>399</v>
      </c>
      <c r="F26" s="25">
        <v>15374.81</v>
      </c>
      <c r="G26" s="26">
        <v>39</v>
      </c>
      <c r="H26" s="27">
        <v>4.2</v>
      </c>
      <c r="I26" s="26">
        <v>13</v>
      </c>
      <c r="J26" s="39" t="str">
        <f>HYPERLINK("https://amazon.com/dp/B0DW8SV9B4","View on Amazon")</f>
        <v>View on Amazon</v>
      </c>
      <c r="K26" s="23" t="s">
        <v>512</v>
      </c>
      <c r="L26" s="28" t="s">
        <v>460</v>
      </c>
    </row>
    <row r="27" spans="1:12" ht="68" x14ac:dyDescent="0.2">
      <c r="A27" s="13" t="s">
        <v>513</v>
      </c>
      <c r="B27" s="14" t="s">
        <v>514</v>
      </c>
      <c r="C27" s="15" t="s">
        <v>37</v>
      </c>
      <c r="D27" s="15" t="s">
        <v>463</v>
      </c>
      <c r="E27" s="16">
        <v>47.49</v>
      </c>
      <c r="F27" s="17">
        <v>14569.46</v>
      </c>
      <c r="G27" s="18">
        <v>293</v>
      </c>
      <c r="H27" s="19">
        <v>4.5</v>
      </c>
      <c r="I27" s="18">
        <v>40</v>
      </c>
      <c r="J27" s="38" t="str">
        <f>HYPERLINK("https://amazon.com/dp/B0FLXCK6D8","View on Amazon")</f>
        <v>View on Amazon</v>
      </c>
      <c r="K27" s="15" t="s">
        <v>463</v>
      </c>
      <c r="L27" s="20" t="s">
        <v>460</v>
      </c>
    </row>
    <row r="28" spans="1:12" ht="68" x14ac:dyDescent="0.2">
      <c r="A28" s="21" t="s">
        <v>515</v>
      </c>
      <c r="B28" s="22" t="s">
        <v>516</v>
      </c>
      <c r="C28" s="23" t="s">
        <v>24</v>
      </c>
      <c r="D28" s="23" t="s">
        <v>463</v>
      </c>
      <c r="E28" s="24">
        <v>199.99</v>
      </c>
      <c r="F28" s="25">
        <v>14383.87</v>
      </c>
      <c r="G28" s="26">
        <v>72</v>
      </c>
      <c r="H28" s="27">
        <v>3.9</v>
      </c>
      <c r="I28" s="26">
        <v>229</v>
      </c>
      <c r="J28" s="39" t="str">
        <f>HYPERLINK("https://amazon.com/dp/B0CJK26N81","View on Amazon")</f>
        <v>View on Amazon</v>
      </c>
      <c r="K28" s="23" t="s">
        <v>463</v>
      </c>
      <c r="L28" s="28" t="s">
        <v>460</v>
      </c>
    </row>
    <row r="29" spans="1:12" ht="51" x14ac:dyDescent="0.2">
      <c r="A29" s="13" t="s">
        <v>517</v>
      </c>
      <c r="B29" s="14" t="s">
        <v>518</v>
      </c>
      <c r="C29" s="15" t="s">
        <v>17</v>
      </c>
      <c r="D29" s="15" t="s">
        <v>503</v>
      </c>
      <c r="E29" s="16">
        <v>769.99</v>
      </c>
      <c r="F29" s="17">
        <v>13600.39</v>
      </c>
      <c r="G29" s="18">
        <v>18</v>
      </c>
      <c r="H29" s="19">
        <v>4.0999999999999996</v>
      </c>
      <c r="I29" s="18">
        <v>3283</v>
      </c>
      <c r="J29" s="38" t="str">
        <f>HYPERLINK("https://amazon.com/dp/B079K1797S","View on Amazon")</f>
        <v>View on Amazon</v>
      </c>
      <c r="K29" s="15" t="s">
        <v>503</v>
      </c>
      <c r="L29" s="20" t="s">
        <v>460</v>
      </c>
    </row>
    <row r="30" spans="1:12" ht="68" x14ac:dyDescent="0.2">
      <c r="A30" s="21" t="s">
        <v>519</v>
      </c>
      <c r="B30" s="22" t="s">
        <v>520</v>
      </c>
      <c r="C30" s="23" t="s">
        <v>10</v>
      </c>
      <c r="D30" s="23" t="s">
        <v>459</v>
      </c>
      <c r="E30" s="24">
        <v>499</v>
      </c>
      <c r="F30" s="25">
        <v>12894.93</v>
      </c>
      <c r="G30" s="26">
        <v>25</v>
      </c>
      <c r="H30" s="27">
        <v>4.4000000000000004</v>
      </c>
      <c r="I30" s="26">
        <v>153</v>
      </c>
      <c r="J30" s="39" t="str">
        <f>HYPERLINK("https://amazon.com/dp/B0FNWKSKYK","View on Amazon")</f>
        <v>View on Amazon</v>
      </c>
      <c r="K30" s="23" t="s">
        <v>459</v>
      </c>
      <c r="L30" s="28" t="s">
        <v>460</v>
      </c>
    </row>
    <row r="31" spans="1:12" ht="51" x14ac:dyDescent="0.2">
      <c r="A31" s="13" t="s">
        <v>521</v>
      </c>
      <c r="B31" s="14" t="s">
        <v>522</v>
      </c>
      <c r="C31" s="15" t="s">
        <v>38</v>
      </c>
      <c r="D31" s="15" t="s">
        <v>463</v>
      </c>
      <c r="E31" s="16">
        <v>279.99</v>
      </c>
      <c r="F31" s="17">
        <v>12680.25</v>
      </c>
      <c r="G31" s="18">
        <v>45</v>
      </c>
      <c r="H31" s="19">
        <v>4.2</v>
      </c>
      <c r="I31" s="18">
        <v>68</v>
      </c>
      <c r="J31" s="38" t="str">
        <f>HYPERLINK("https://amazon.com/dp/B0DRYFYHW1","View on Amazon")</f>
        <v>View on Amazon</v>
      </c>
      <c r="K31" s="15" t="s">
        <v>463</v>
      </c>
      <c r="L31" s="20" t="s">
        <v>460</v>
      </c>
    </row>
    <row r="32" spans="1:12" ht="51" x14ac:dyDescent="0.2">
      <c r="A32" s="21" t="s">
        <v>523</v>
      </c>
      <c r="B32" s="22" t="s">
        <v>524</v>
      </c>
      <c r="C32" s="23" t="s">
        <v>42</v>
      </c>
      <c r="D32" s="23" t="s">
        <v>512</v>
      </c>
      <c r="E32" s="24">
        <v>849</v>
      </c>
      <c r="F32" s="25">
        <v>12486.62</v>
      </c>
      <c r="G32" s="26">
        <v>15</v>
      </c>
      <c r="H32" s="27">
        <v>4</v>
      </c>
      <c r="I32" s="26">
        <v>75</v>
      </c>
      <c r="J32" s="39" t="str">
        <f>HYPERLINK("https://amazon.com/dp/B08CHMQ5CC","View on Amazon")</f>
        <v>View on Amazon</v>
      </c>
      <c r="K32" s="23" t="s">
        <v>512</v>
      </c>
      <c r="L32" s="28" t="s">
        <v>460</v>
      </c>
    </row>
    <row r="33" spans="1:12" ht="68" x14ac:dyDescent="0.2">
      <c r="A33" s="13" t="s">
        <v>525</v>
      </c>
      <c r="B33" s="14" t="s">
        <v>526</v>
      </c>
      <c r="C33" s="15" t="s">
        <v>44</v>
      </c>
      <c r="D33" s="15" t="s">
        <v>486</v>
      </c>
      <c r="E33" s="16">
        <v>39.99</v>
      </c>
      <c r="F33" s="17">
        <v>11885.47</v>
      </c>
      <c r="G33" s="18">
        <v>296</v>
      </c>
      <c r="H33" s="19">
        <v>4.0999999999999996</v>
      </c>
      <c r="I33" s="18">
        <v>379</v>
      </c>
      <c r="J33" s="38" t="str">
        <f>HYPERLINK("https://amazon.com/dp/B0F2FLV2BW","View on Amazon")</f>
        <v>View on Amazon</v>
      </c>
      <c r="K33" s="15" t="s">
        <v>486</v>
      </c>
      <c r="L33" s="20" t="s">
        <v>460</v>
      </c>
    </row>
    <row r="34" spans="1:12" ht="68" x14ac:dyDescent="0.2">
      <c r="A34" s="21" t="s">
        <v>527</v>
      </c>
      <c r="B34" s="22" t="s">
        <v>528</v>
      </c>
      <c r="C34" s="23" t="s">
        <v>19</v>
      </c>
      <c r="D34" s="23" t="s">
        <v>463</v>
      </c>
      <c r="E34" s="24">
        <v>32.49</v>
      </c>
      <c r="F34" s="25">
        <v>11507.43</v>
      </c>
      <c r="G34" s="26">
        <v>236</v>
      </c>
      <c r="H34" s="27">
        <v>4.0999999999999996</v>
      </c>
      <c r="I34" s="26">
        <v>35</v>
      </c>
      <c r="J34" s="39" t="str">
        <f>HYPERLINK("https://amazon.com/dp/B0FCSD9V6P","View on Amazon")</f>
        <v>View on Amazon</v>
      </c>
      <c r="K34" s="23" t="s">
        <v>463</v>
      </c>
      <c r="L34" s="28" t="s">
        <v>460</v>
      </c>
    </row>
    <row r="35" spans="1:12" ht="17" x14ac:dyDescent="0.2">
      <c r="A35" s="13" t="s">
        <v>529</v>
      </c>
      <c r="B35" s="14" t="s">
        <v>530</v>
      </c>
      <c r="C35" s="15" t="s">
        <v>46</v>
      </c>
      <c r="D35" s="15" t="s">
        <v>463</v>
      </c>
      <c r="E35" s="16">
        <v>189.99</v>
      </c>
      <c r="F35" s="17">
        <v>11099.92</v>
      </c>
      <c r="G35" s="18">
        <v>58</v>
      </c>
      <c r="H35" s="19">
        <v>3.8</v>
      </c>
      <c r="I35" s="18">
        <v>17</v>
      </c>
      <c r="J35" s="38" t="str">
        <f>HYPERLINK("https://amazon.com/dp/B0FKVY51JC","View on Amazon")</f>
        <v>View on Amazon</v>
      </c>
      <c r="K35" s="15" t="s">
        <v>463</v>
      </c>
      <c r="L35" s="20" t="s">
        <v>460</v>
      </c>
    </row>
    <row r="36" spans="1:12" ht="68" x14ac:dyDescent="0.2">
      <c r="A36" s="21" t="s">
        <v>531</v>
      </c>
      <c r="B36" s="22" t="s">
        <v>532</v>
      </c>
      <c r="C36" s="23" t="s">
        <v>43</v>
      </c>
      <c r="D36" s="23" t="s">
        <v>459</v>
      </c>
      <c r="E36" s="24">
        <v>329.99</v>
      </c>
      <c r="F36" s="25">
        <v>10511.3</v>
      </c>
      <c r="G36" s="26">
        <v>32</v>
      </c>
      <c r="H36" s="27">
        <v>4</v>
      </c>
      <c r="I36" s="26">
        <v>34</v>
      </c>
      <c r="J36" s="39" t="str">
        <f>HYPERLINK("https://amazon.com/dp/B0DSVFBXZT","View on Amazon")</f>
        <v>View on Amazon</v>
      </c>
      <c r="K36" s="23" t="s">
        <v>459</v>
      </c>
      <c r="L36" s="28" t="s">
        <v>460</v>
      </c>
    </row>
    <row r="37" spans="1:12" ht="51" x14ac:dyDescent="0.2">
      <c r="A37" s="13" t="s">
        <v>533</v>
      </c>
      <c r="B37" s="14" t="s">
        <v>534</v>
      </c>
      <c r="C37" s="15" t="s">
        <v>10</v>
      </c>
      <c r="D37" s="15" t="s">
        <v>459</v>
      </c>
      <c r="E37" s="16">
        <v>551.64</v>
      </c>
      <c r="F37" s="17">
        <v>10494.24</v>
      </c>
      <c r="G37" s="18">
        <v>17</v>
      </c>
      <c r="H37" s="19">
        <v>4.4000000000000004</v>
      </c>
      <c r="I37" s="18">
        <v>330</v>
      </c>
      <c r="J37" s="38" t="str">
        <f>HYPERLINK("https://amazon.com/dp/B0D1R935KD","View on Amazon")</f>
        <v>View on Amazon</v>
      </c>
      <c r="K37" s="15" t="s">
        <v>459</v>
      </c>
      <c r="L37" s="20" t="s">
        <v>460</v>
      </c>
    </row>
    <row r="38" spans="1:12" ht="34" x14ac:dyDescent="0.2">
      <c r="A38" s="21" t="s">
        <v>535</v>
      </c>
      <c r="B38" s="22" t="s">
        <v>536</v>
      </c>
      <c r="C38" s="23" t="s">
        <v>23</v>
      </c>
      <c r="D38" s="23" t="s">
        <v>503</v>
      </c>
      <c r="E38" s="24">
        <v>84.99</v>
      </c>
      <c r="F38" s="25">
        <v>9354.66</v>
      </c>
      <c r="G38" s="26">
        <v>110</v>
      </c>
      <c r="H38" s="27">
        <v>4.2</v>
      </c>
      <c r="I38" s="26">
        <v>454</v>
      </c>
      <c r="J38" s="39" t="str">
        <f>HYPERLINK("https://amazon.com/dp/B07PPD42Y1","View on Amazon")</f>
        <v>View on Amazon</v>
      </c>
      <c r="K38" s="23" t="s">
        <v>503</v>
      </c>
      <c r="L38" s="28" t="s">
        <v>460</v>
      </c>
    </row>
    <row r="39" spans="1:12" ht="68" x14ac:dyDescent="0.2">
      <c r="A39" s="13" t="s">
        <v>537</v>
      </c>
      <c r="B39" s="14" t="s">
        <v>538</v>
      </c>
      <c r="C39" s="15" t="s">
        <v>24</v>
      </c>
      <c r="D39" s="15" t="s">
        <v>463</v>
      </c>
      <c r="E39" s="16">
        <v>159.99</v>
      </c>
      <c r="F39" s="17">
        <v>9251.2199999999993</v>
      </c>
      <c r="G39" s="18">
        <v>58</v>
      </c>
      <c r="H39" s="19">
        <v>4.0999999999999996</v>
      </c>
      <c r="I39" s="18">
        <v>116</v>
      </c>
      <c r="J39" s="38" t="str">
        <f>HYPERLINK("https://amazon.com/dp/B0CJK2MJPV","View on Amazon")</f>
        <v>View on Amazon</v>
      </c>
      <c r="K39" s="15" t="s">
        <v>463</v>
      </c>
      <c r="L39" s="20" t="s">
        <v>460</v>
      </c>
    </row>
    <row r="40" spans="1:12" ht="68" x14ac:dyDescent="0.2">
      <c r="A40" s="21" t="s">
        <v>539</v>
      </c>
      <c r="B40" s="22" t="s">
        <v>540</v>
      </c>
      <c r="C40" s="23" t="s">
        <v>48</v>
      </c>
      <c r="D40" s="23" t="s">
        <v>463</v>
      </c>
      <c r="E40" s="24">
        <v>99.98</v>
      </c>
      <c r="F40" s="25">
        <v>8836.85</v>
      </c>
      <c r="G40" s="26">
        <v>61</v>
      </c>
      <c r="H40" s="27">
        <v>4.4000000000000004</v>
      </c>
      <c r="I40" s="26">
        <v>31</v>
      </c>
      <c r="J40" s="39" t="str">
        <f>HYPERLINK("https://amazon.com/dp/B0FP8LF1ZL","View on Amazon")</f>
        <v>View on Amazon</v>
      </c>
      <c r="K40" s="23" t="s">
        <v>463</v>
      </c>
      <c r="L40" s="28" t="s">
        <v>460</v>
      </c>
    </row>
    <row r="41" spans="1:12" ht="68" x14ac:dyDescent="0.2">
      <c r="A41" s="13" t="s">
        <v>541</v>
      </c>
      <c r="B41" s="14" t="s">
        <v>542</v>
      </c>
      <c r="C41" s="15" t="s">
        <v>11</v>
      </c>
      <c r="D41" s="15" t="s">
        <v>463</v>
      </c>
      <c r="E41" s="16">
        <v>69.989999999999995</v>
      </c>
      <c r="F41" s="17">
        <v>8809.93</v>
      </c>
      <c r="G41" s="18">
        <v>97</v>
      </c>
      <c r="H41" s="19">
        <v>4.5</v>
      </c>
      <c r="I41" s="18">
        <v>283</v>
      </c>
      <c r="J41" s="38" t="str">
        <f>HYPERLINK("https://amazon.com/dp/B0G1BYT3JM","View on Amazon")</f>
        <v>View on Amazon</v>
      </c>
      <c r="K41" s="15" t="s">
        <v>463</v>
      </c>
      <c r="L41" s="20" t="s">
        <v>460</v>
      </c>
    </row>
    <row r="42" spans="1:12" ht="34" x14ac:dyDescent="0.2">
      <c r="A42" s="21" t="s">
        <v>543</v>
      </c>
      <c r="B42" s="22" t="s">
        <v>544</v>
      </c>
      <c r="C42" s="23" t="s">
        <v>23</v>
      </c>
      <c r="D42" s="23" t="s">
        <v>463</v>
      </c>
      <c r="E42" s="24">
        <v>79.989999999999995</v>
      </c>
      <c r="F42" s="25">
        <v>8625.68</v>
      </c>
      <c r="G42" s="26">
        <v>108</v>
      </c>
      <c r="H42" s="27">
        <v>4.2</v>
      </c>
      <c r="I42" s="26">
        <v>454</v>
      </c>
      <c r="J42" s="39" t="str">
        <f>HYPERLINK("https://amazon.com/dp/B07PPDYVGW","View on Amazon")</f>
        <v>View on Amazon</v>
      </c>
      <c r="K42" s="23" t="s">
        <v>463</v>
      </c>
      <c r="L42" s="28" t="s">
        <v>460</v>
      </c>
    </row>
    <row r="43" spans="1:12" ht="34" x14ac:dyDescent="0.2">
      <c r="A43" s="13" t="s">
        <v>545</v>
      </c>
      <c r="B43" s="14" t="s">
        <v>546</v>
      </c>
      <c r="C43" s="15" t="s">
        <v>51</v>
      </c>
      <c r="D43" s="15" t="s">
        <v>547</v>
      </c>
      <c r="E43" s="16">
        <v>199</v>
      </c>
      <c r="F43" s="17">
        <v>8451.66</v>
      </c>
      <c r="G43" s="18">
        <v>32</v>
      </c>
      <c r="H43" s="19">
        <v>4.5999999999999996</v>
      </c>
      <c r="I43" s="18">
        <v>127</v>
      </c>
      <c r="J43" s="38" t="str">
        <f>HYPERLINK("https://amazon.com/dp/B001IPCUK4","View on Amazon")</f>
        <v>View on Amazon</v>
      </c>
      <c r="K43" s="15" t="s">
        <v>547</v>
      </c>
      <c r="L43" s="20" t="s">
        <v>460</v>
      </c>
    </row>
    <row r="44" spans="1:12" ht="34" x14ac:dyDescent="0.2">
      <c r="A44" s="21" t="s">
        <v>548</v>
      </c>
      <c r="B44" s="22" t="s">
        <v>549</v>
      </c>
      <c r="C44" s="23" t="s">
        <v>55</v>
      </c>
      <c r="D44" s="23" t="s">
        <v>459</v>
      </c>
      <c r="E44" s="24">
        <v>949.99</v>
      </c>
      <c r="F44" s="25">
        <v>8420.24</v>
      </c>
      <c r="G44" s="26">
        <v>9</v>
      </c>
      <c r="H44" s="27">
        <v>3.8</v>
      </c>
      <c r="I44" s="26">
        <v>1113</v>
      </c>
      <c r="J44" s="39" t="str">
        <f>HYPERLINK("https://amazon.com/dp/B01APT3LF6","View on Amazon")</f>
        <v>View on Amazon</v>
      </c>
      <c r="K44" s="23" t="s">
        <v>459</v>
      </c>
      <c r="L44" s="28" t="s">
        <v>460</v>
      </c>
    </row>
    <row r="45" spans="1:12" ht="34" x14ac:dyDescent="0.2">
      <c r="A45" s="13" t="s">
        <v>550</v>
      </c>
      <c r="B45" s="14" t="s">
        <v>551</v>
      </c>
      <c r="C45" s="15" t="s">
        <v>56</v>
      </c>
      <c r="D45" s="15" t="s">
        <v>459</v>
      </c>
      <c r="E45" s="16">
        <v>999.99</v>
      </c>
      <c r="F45" s="17">
        <v>8413.99</v>
      </c>
      <c r="G45" s="18">
        <v>8</v>
      </c>
      <c r="H45" s="19">
        <v>0</v>
      </c>
      <c r="I45" s="18">
        <v>0</v>
      </c>
      <c r="J45" s="38" t="str">
        <f>HYPERLINK("https://amazon.com/dp/B0G1MGKX53","View on Amazon")</f>
        <v>View on Amazon</v>
      </c>
      <c r="K45" s="15" t="s">
        <v>459</v>
      </c>
      <c r="L45" s="20" t="s">
        <v>460</v>
      </c>
    </row>
    <row r="46" spans="1:12" ht="68" x14ac:dyDescent="0.2">
      <c r="A46" s="21" t="s">
        <v>552</v>
      </c>
      <c r="B46" s="22" t="s">
        <v>553</v>
      </c>
      <c r="C46" s="23" t="s">
        <v>10</v>
      </c>
      <c r="D46" s="23" t="s">
        <v>459</v>
      </c>
      <c r="E46" s="24">
        <v>679.15</v>
      </c>
      <c r="F46" s="25">
        <v>8275.83</v>
      </c>
      <c r="G46" s="26">
        <v>11</v>
      </c>
      <c r="H46" s="27">
        <v>4.4000000000000004</v>
      </c>
      <c r="I46" s="26">
        <v>329</v>
      </c>
      <c r="J46" s="39" t="str">
        <f>HYPERLINK("https://amazon.com/dp/B0D1RB6PBJ","View on Amazon")</f>
        <v>View on Amazon</v>
      </c>
      <c r="K46" s="23" t="s">
        <v>459</v>
      </c>
      <c r="L46" s="28" t="s">
        <v>460</v>
      </c>
    </row>
    <row r="47" spans="1:12" ht="17" x14ac:dyDescent="0.2">
      <c r="A47" s="13" t="s">
        <v>554</v>
      </c>
      <c r="B47" s="14" t="s">
        <v>555</v>
      </c>
      <c r="C47" s="15" t="s">
        <v>29</v>
      </c>
      <c r="D47" s="15" t="s">
        <v>459</v>
      </c>
      <c r="E47" s="16">
        <v>293.55</v>
      </c>
      <c r="F47" s="17">
        <v>8182.08</v>
      </c>
      <c r="G47" s="18">
        <v>26</v>
      </c>
      <c r="H47" s="19">
        <v>3.8</v>
      </c>
      <c r="I47" s="18">
        <v>545</v>
      </c>
      <c r="J47" s="38" t="str">
        <f>HYPERLINK("https://amazon.com/dp/B07C4WS8PZ","View on Amazon")</f>
        <v>View on Amazon</v>
      </c>
      <c r="K47" s="15" t="s">
        <v>459</v>
      </c>
      <c r="L47" s="20" t="s">
        <v>460</v>
      </c>
    </row>
    <row r="48" spans="1:12" ht="34" x14ac:dyDescent="0.2">
      <c r="A48" s="21" t="s">
        <v>556</v>
      </c>
      <c r="B48" s="22" t="s">
        <v>557</v>
      </c>
      <c r="C48" s="23" t="s">
        <v>27</v>
      </c>
      <c r="D48" s="23" t="s">
        <v>459</v>
      </c>
      <c r="E48" s="24">
        <v>83.99</v>
      </c>
      <c r="F48" s="25">
        <v>8025.56</v>
      </c>
      <c r="G48" s="26">
        <v>96</v>
      </c>
      <c r="H48" s="27">
        <v>4.0999999999999996</v>
      </c>
      <c r="I48" s="26">
        <v>141</v>
      </c>
      <c r="J48" s="39" t="str">
        <f>HYPERLINK("https://amazon.com/dp/B0DMZSBPNT","View on Amazon")</f>
        <v>View on Amazon</v>
      </c>
      <c r="K48" s="23" t="s">
        <v>459</v>
      </c>
      <c r="L48" s="28" t="s">
        <v>460</v>
      </c>
    </row>
    <row r="49" spans="1:12" ht="68" x14ac:dyDescent="0.2">
      <c r="A49" s="13" t="s">
        <v>558</v>
      </c>
      <c r="B49" s="14" t="s">
        <v>559</v>
      </c>
      <c r="C49" s="15" t="s">
        <v>57</v>
      </c>
      <c r="D49" s="15" t="s">
        <v>463</v>
      </c>
      <c r="E49" s="16">
        <v>59.99</v>
      </c>
      <c r="F49" s="17">
        <v>8025.37</v>
      </c>
      <c r="G49" s="18">
        <v>134</v>
      </c>
      <c r="H49" s="19">
        <v>4.2</v>
      </c>
      <c r="I49" s="18">
        <v>65</v>
      </c>
      <c r="J49" s="38" t="str">
        <f>HYPERLINK("https://amazon.com/dp/B0FNMYC9L5","View on Amazon")</f>
        <v>View on Amazon</v>
      </c>
      <c r="K49" s="15" t="s">
        <v>463</v>
      </c>
      <c r="L49" s="20" t="s">
        <v>460</v>
      </c>
    </row>
    <row r="50" spans="1:12" ht="68" x14ac:dyDescent="0.2">
      <c r="A50" s="21" t="s">
        <v>560</v>
      </c>
      <c r="B50" s="22" t="s">
        <v>561</v>
      </c>
      <c r="C50" s="23" t="s">
        <v>27</v>
      </c>
      <c r="D50" s="23" t="s">
        <v>459</v>
      </c>
      <c r="E50" s="24">
        <v>56.98</v>
      </c>
      <c r="F50" s="25">
        <v>8020.64</v>
      </c>
      <c r="G50" s="26">
        <v>134</v>
      </c>
      <c r="H50" s="27">
        <v>4</v>
      </c>
      <c r="I50" s="26">
        <v>471</v>
      </c>
      <c r="J50" s="39" t="str">
        <f>HYPERLINK("https://amazon.com/dp/B0BRY2694B","View on Amazon")</f>
        <v>View on Amazon</v>
      </c>
      <c r="K50" s="23" t="s">
        <v>459</v>
      </c>
      <c r="L50" s="28" t="s">
        <v>460</v>
      </c>
    </row>
    <row r="51" spans="1:12" ht="68" x14ac:dyDescent="0.2">
      <c r="A51" s="13" t="s">
        <v>562</v>
      </c>
      <c r="B51" s="14" t="s">
        <v>563</v>
      </c>
      <c r="C51" s="15" t="s">
        <v>31</v>
      </c>
      <c r="D51" s="15" t="s">
        <v>463</v>
      </c>
      <c r="E51" s="16">
        <v>99.99</v>
      </c>
      <c r="F51" s="17">
        <v>7944.57</v>
      </c>
      <c r="G51" s="18">
        <v>79</v>
      </c>
      <c r="H51" s="19">
        <v>4.3</v>
      </c>
      <c r="I51" s="18">
        <v>414</v>
      </c>
      <c r="J51" s="38" t="str">
        <f>HYPERLINK("https://amazon.com/dp/B0D2WSNMVK","View on Amazon")</f>
        <v>View on Amazon</v>
      </c>
      <c r="K51" s="15" t="s">
        <v>463</v>
      </c>
      <c r="L51" s="20" t="s">
        <v>460</v>
      </c>
    </row>
    <row r="52" spans="1:12" ht="68" x14ac:dyDescent="0.2">
      <c r="A52" s="21" t="s">
        <v>607</v>
      </c>
      <c r="B52" s="22" t="s">
        <v>608</v>
      </c>
      <c r="C52" s="23" t="s">
        <v>54</v>
      </c>
      <c r="D52" s="23" t="s">
        <v>463</v>
      </c>
      <c r="E52" s="24">
        <v>296.99</v>
      </c>
      <c r="F52" s="25">
        <v>7842.96</v>
      </c>
      <c r="G52" s="26">
        <v>26</v>
      </c>
      <c r="H52" s="27">
        <v>4.3</v>
      </c>
      <c r="I52" s="26">
        <v>59</v>
      </c>
      <c r="J52" s="39" t="str">
        <f>HYPERLINK("https://amazon.com/dp/B0D6N56YCV","View on Amazon")</f>
        <v>View on Amazon</v>
      </c>
      <c r="K52" s="23" t="s">
        <v>463</v>
      </c>
      <c r="L52" s="28" t="s">
        <v>460</v>
      </c>
    </row>
    <row r="53" spans="1:12" ht="34" x14ac:dyDescent="0.2">
      <c r="A53" s="13" t="s">
        <v>609</v>
      </c>
      <c r="B53" s="14" t="s">
        <v>610</v>
      </c>
      <c r="C53" s="15" t="s">
        <v>29</v>
      </c>
      <c r="D53" s="15" t="s">
        <v>459</v>
      </c>
      <c r="E53" s="16">
        <v>143.99</v>
      </c>
      <c r="F53" s="17">
        <v>7834.96</v>
      </c>
      <c r="G53" s="18">
        <v>46</v>
      </c>
      <c r="H53" s="19">
        <v>3.8</v>
      </c>
      <c r="I53" s="18">
        <v>512</v>
      </c>
      <c r="J53" s="38" t="str">
        <f>HYPERLINK("https://amazon.com/dp/B096HD7WYC","View on Amazon")</f>
        <v>View on Amazon</v>
      </c>
      <c r="K53" s="15" t="s">
        <v>459</v>
      </c>
      <c r="L53" s="20" t="s">
        <v>460</v>
      </c>
    </row>
    <row r="54" spans="1:12" ht="68" x14ac:dyDescent="0.2">
      <c r="A54" s="21" t="s">
        <v>567</v>
      </c>
      <c r="B54" s="22" t="s">
        <v>568</v>
      </c>
      <c r="C54" s="23" t="s">
        <v>31</v>
      </c>
      <c r="D54" s="23" t="s">
        <v>463</v>
      </c>
      <c r="E54" s="24">
        <v>79.989999999999995</v>
      </c>
      <c r="F54" s="25">
        <v>7767.55</v>
      </c>
      <c r="G54" s="26">
        <v>97</v>
      </c>
      <c r="H54" s="27">
        <v>4.4000000000000004</v>
      </c>
      <c r="I54" s="26">
        <v>104</v>
      </c>
      <c r="J54" s="39" t="str">
        <f>HYPERLINK("https://amazon.com/dp/B0DR1XY896","View on Amazon")</f>
        <v>View on Amazon</v>
      </c>
      <c r="K54" s="23" t="s">
        <v>463</v>
      </c>
      <c r="L54" s="28" t="s">
        <v>460</v>
      </c>
    </row>
    <row r="55" spans="1:12" ht="51" x14ac:dyDescent="0.2">
      <c r="A55" s="13" t="s">
        <v>611</v>
      </c>
      <c r="B55" s="14" t="s">
        <v>612</v>
      </c>
      <c r="C55" s="15" t="s">
        <v>23</v>
      </c>
      <c r="D55" s="15" t="s">
        <v>463</v>
      </c>
      <c r="E55" s="16">
        <v>159.99</v>
      </c>
      <c r="F55" s="17">
        <v>7688.86</v>
      </c>
      <c r="G55" s="18">
        <v>48</v>
      </c>
      <c r="H55" s="19">
        <v>4.5999999999999996</v>
      </c>
      <c r="I55" s="18">
        <v>51</v>
      </c>
      <c r="J55" s="38" t="str">
        <f>HYPERLINK("https://amazon.com/dp/B0C4XSMPKY","View on Amazon")</f>
        <v>View on Amazon</v>
      </c>
      <c r="K55" s="15" t="s">
        <v>463</v>
      </c>
      <c r="L55" s="20" t="s">
        <v>460</v>
      </c>
    </row>
    <row r="56" spans="1:12" ht="68" x14ac:dyDescent="0.2">
      <c r="A56" s="21" t="s">
        <v>569</v>
      </c>
      <c r="B56" s="22" t="s">
        <v>570</v>
      </c>
      <c r="C56" s="23" t="s">
        <v>10</v>
      </c>
      <c r="D56" s="23" t="s">
        <v>463</v>
      </c>
      <c r="E56" s="24">
        <v>74.69</v>
      </c>
      <c r="F56" s="25">
        <v>7617.9</v>
      </c>
      <c r="G56" s="26">
        <v>95</v>
      </c>
      <c r="H56" s="27">
        <v>4.0999999999999996</v>
      </c>
      <c r="I56" s="26">
        <v>201</v>
      </c>
      <c r="J56" s="39" t="str">
        <f>HYPERLINK("https://amazon.com/dp/B0CSM2KBCR","View on Amazon")</f>
        <v>View on Amazon</v>
      </c>
      <c r="K56" s="23" t="s">
        <v>463</v>
      </c>
      <c r="L56" s="28" t="s">
        <v>460</v>
      </c>
    </row>
    <row r="57" spans="1:12" ht="68" x14ac:dyDescent="0.2">
      <c r="A57" s="13" t="s">
        <v>573</v>
      </c>
      <c r="B57" s="14" t="s">
        <v>574</v>
      </c>
      <c r="C57" s="15" t="s">
        <v>41</v>
      </c>
      <c r="D57" s="15" t="s">
        <v>463</v>
      </c>
      <c r="E57" s="16">
        <v>79.989999999999995</v>
      </c>
      <c r="F57" s="17">
        <v>7543.45</v>
      </c>
      <c r="G57" s="18">
        <v>94</v>
      </c>
      <c r="H57" s="19">
        <v>4.4000000000000004</v>
      </c>
      <c r="I57" s="18">
        <v>515</v>
      </c>
      <c r="J57" s="38" t="str">
        <f>HYPERLINK("https://amazon.com/dp/B0CJ29ZH7V","View on Amazon")</f>
        <v>View on Amazon</v>
      </c>
      <c r="K57" s="15" t="s">
        <v>463</v>
      </c>
      <c r="L57" s="20" t="s">
        <v>460</v>
      </c>
    </row>
    <row r="58" spans="1:12" ht="68" x14ac:dyDescent="0.2">
      <c r="A58" s="21" t="s">
        <v>613</v>
      </c>
      <c r="B58" s="22" t="s">
        <v>614</v>
      </c>
      <c r="C58" s="23" t="s">
        <v>53</v>
      </c>
      <c r="D58" s="23" t="s">
        <v>459</v>
      </c>
      <c r="E58" s="24">
        <v>449.99</v>
      </c>
      <c r="F58" s="25">
        <v>7275.22</v>
      </c>
      <c r="G58" s="26">
        <v>10</v>
      </c>
      <c r="H58" s="27">
        <v>4.3</v>
      </c>
      <c r="I58" s="26">
        <v>875</v>
      </c>
      <c r="J58" s="39" t="str">
        <f>HYPERLINK("https://amazon.com/dp/B09897SNLP","View on Amazon")</f>
        <v>View on Amazon</v>
      </c>
      <c r="K58" s="23" t="s">
        <v>459</v>
      </c>
      <c r="L58" s="28" t="s">
        <v>460</v>
      </c>
    </row>
    <row r="59" spans="1:12" ht="68" x14ac:dyDescent="0.2">
      <c r="A59" s="13" t="s">
        <v>615</v>
      </c>
      <c r="B59" s="14" t="s">
        <v>616</v>
      </c>
      <c r="C59" s="15" t="s">
        <v>58</v>
      </c>
      <c r="D59" s="15" t="s">
        <v>463</v>
      </c>
      <c r="E59" s="16">
        <v>219</v>
      </c>
      <c r="F59" s="17">
        <v>7202.76</v>
      </c>
      <c r="G59" s="18">
        <v>35</v>
      </c>
      <c r="H59" s="19">
        <v>4.4000000000000004</v>
      </c>
      <c r="I59" s="18">
        <v>32</v>
      </c>
      <c r="J59" s="38" t="str">
        <f>HYPERLINK("https://amazon.com/dp/B0CQ2ZGLQT","View on Amazon")</f>
        <v>View on Amazon</v>
      </c>
      <c r="K59" s="15" t="s">
        <v>463</v>
      </c>
      <c r="L59" s="20" t="s">
        <v>460</v>
      </c>
    </row>
    <row r="60" spans="1:12" ht="68" x14ac:dyDescent="0.2">
      <c r="A60" s="21" t="s">
        <v>617</v>
      </c>
      <c r="B60" s="22" t="s">
        <v>618</v>
      </c>
      <c r="C60" s="23" t="s">
        <v>59</v>
      </c>
      <c r="D60" s="23" t="s">
        <v>463</v>
      </c>
      <c r="E60" s="24">
        <v>159.99</v>
      </c>
      <c r="F60" s="25">
        <v>7009.02</v>
      </c>
      <c r="G60" s="26">
        <v>44</v>
      </c>
      <c r="H60" s="27">
        <v>4.8</v>
      </c>
      <c r="I60" s="26">
        <v>9</v>
      </c>
      <c r="J60" s="39" t="str">
        <f>HYPERLINK("https://amazon.com/dp/B0FQ5BRRFW","View on Amazon")</f>
        <v>View on Amazon</v>
      </c>
      <c r="K60" s="23" t="s">
        <v>463</v>
      </c>
      <c r="L60" s="28" t="s">
        <v>460</v>
      </c>
    </row>
    <row r="61" spans="1:12" ht="68" x14ac:dyDescent="0.2">
      <c r="A61" s="13" t="s">
        <v>619</v>
      </c>
      <c r="B61" s="14" t="s">
        <v>620</v>
      </c>
      <c r="C61" s="15" t="s">
        <v>30</v>
      </c>
      <c r="D61" s="15" t="s">
        <v>459</v>
      </c>
      <c r="E61" s="16">
        <v>399.99</v>
      </c>
      <c r="F61" s="17">
        <v>6686.21</v>
      </c>
      <c r="G61" s="18">
        <v>17</v>
      </c>
      <c r="H61" s="19">
        <v>4.3</v>
      </c>
      <c r="I61" s="18">
        <v>185</v>
      </c>
      <c r="J61" s="38" t="str">
        <f>HYPERLINK("https://amazon.com/dp/B09XD65952","View on Amazon")</f>
        <v>View on Amazon</v>
      </c>
      <c r="K61" s="15" t="s">
        <v>459</v>
      </c>
      <c r="L61" s="20" t="s">
        <v>460</v>
      </c>
    </row>
    <row r="62" spans="1:12" ht="51" x14ac:dyDescent="0.2">
      <c r="A62" s="21" t="s">
        <v>621</v>
      </c>
      <c r="B62" s="22" t="s">
        <v>622</v>
      </c>
      <c r="C62" s="23" t="s">
        <v>49</v>
      </c>
      <c r="D62" s="23" t="s">
        <v>463</v>
      </c>
      <c r="E62" s="24">
        <v>118.99</v>
      </c>
      <c r="F62" s="25">
        <v>6657.98</v>
      </c>
      <c r="G62" s="26">
        <v>56</v>
      </c>
      <c r="H62" s="27">
        <v>4.0999999999999996</v>
      </c>
      <c r="I62" s="26">
        <v>29</v>
      </c>
      <c r="J62" s="39" t="str">
        <f>HYPERLINK("https://amazon.com/dp/B08LH447TS","View on Amazon")</f>
        <v>View on Amazon</v>
      </c>
      <c r="K62" s="23" t="s">
        <v>463</v>
      </c>
      <c r="L62" s="28" t="s">
        <v>460</v>
      </c>
    </row>
    <row r="63" spans="1:12" ht="68" x14ac:dyDescent="0.2">
      <c r="A63" s="13" t="s">
        <v>585</v>
      </c>
      <c r="B63" s="14" t="s">
        <v>586</v>
      </c>
      <c r="C63" s="15" t="s">
        <v>60</v>
      </c>
      <c r="D63" s="15" t="s">
        <v>463</v>
      </c>
      <c r="E63" s="16">
        <v>89.99</v>
      </c>
      <c r="F63" s="17">
        <v>6440.44</v>
      </c>
      <c r="G63" s="18">
        <v>72</v>
      </c>
      <c r="H63" s="19">
        <v>4.4000000000000004</v>
      </c>
      <c r="I63" s="18">
        <v>163</v>
      </c>
      <c r="J63" s="38" t="str">
        <f>HYPERLINK("https://amazon.com/dp/B0FNM6ZFGG","View on Amazon")</f>
        <v>View on Amazon</v>
      </c>
      <c r="K63" s="15" t="s">
        <v>463</v>
      </c>
      <c r="L63" s="20" t="s">
        <v>460</v>
      </c>
    </row>
    <row r="64" spans="1:12" ht="68" x14ac:dyDescent="0.2">
      <c r="A64" s="21" t="s">
        <v>623</v>
      </c>
      <c r="B64" s="22" t="s">
        <v>624</v>
      </c>
      <c r="C64" s="23" t="s">
        <v>10</v>
      </c>
      <c r="D64" s="23" t="s">
        <v>459</v>
      </c>
      <c r="E64" s="24">
        <v>189</v>
      </c>
      <c r="F64" s="25">
        <v>6241.95</v>
      </c>
      <c r="G64" s="26">
        <v>30</v>
      </c>
      <c r="H64" s="27">
        <v>4.3</v>
      </c>
      <c r="I64" s="26">
        <v>130</v>
      </c>
      <c r="J64" s="39" t="str">
        <f>HYPERLINK("https://amazon.com/dp/B0CFH7SGZK","View on Amazon")</f>
        <v>View on Amazon</v>
      </c>
      <c r="K64" s="23" t="s">
        <v>459</v>
      </c>
      <c r="L64" s="28" t="s">
        <v>460</v>
      </c>
    </row>
    <row r="65" spans="1:12" ht="68" x14ac:dyDescent="0.2">
      <c r="A65" s="13" t="s">
        <v>625</v>
      </c>
      <c r="B65" s="14" t="s">
        <v>626</v>
      </c>
      <c r="C65" s="15" t="s">
        <v>61</v>
      </c>
      <c r="D65" s="15" t="s">
        <v>463</v>
      </c>
      <c r="E65" s="16">
        <v>175.99</v>
      </c>
      <c r="F65" s="17">
        <v>6199.72</v>
      </c>
      <c r="G65" s="18">
        <v>35</v>
      </c>
      <c r="H65" s="19">
        <v>4.7</v>
      </c>
      <c r="I65" s="18">
        <v>10</v>
      </c>
      <c r="J65" s="38" t="str">
        <f>HYPERLINK("https://amazon.com/dp/B0F4NP4Z3S","View on Amazon")</f>
        <v>View on Amazon</v>
      </c>
      <c r="K65" s="15" t="s">
        <v>463</v>
      </c>
      <c r="L65" s="20" t="s">
        <v>460</v>
      </c>
    </row>
    <row r="66" spans="1:12" ht="68" x14ac:dyDescent="0.2">
      <c r="A66" s="21" t="s">
        <v>564</v>
      </c>
      <c r="B66" s="22" t="s">
        <v>565</v>
      </c>
      <c r="C66" s="23" t="s">
        <v>62</v>
      </c>
      <c r="D66" s="23" t="s">
        <v>463</v>
      </c>
      <c r="E66" s="24">
        <v>59.99</v>
      </c>
      <c r="F66" s="25">
        <v>6161.17</v>
      </c>
      <c r="G66" s="26">
        <v>102</v>
      </c>
      <c r="H66" s="27">
        <v>4.5</v>
      </c>
      <c r="I66" s="26">
        <v>185</v>
      </c>
      <c r="J66" s="39" t="str">
        <f>HYPERLINK("https://amazon.com/dp/B0DHXBM45Y","View on Amazon")</f>
        <v>View on Amazon</v>
      </c>
      <c r="K66" s="23" t="s">
        <v>463</v>
      </c>
      <c r="L66" s="28" t="s">
        <v>460</v>
      </c>
    </row>
    <row r="67" spans="1:12" ht="51" x14ac:dyDescent="0.2">
      <c r="A67" s="13" t="s">
        <v>627</v>
      </c>
      <c r="B67" s="14" t="s">
        <v>628</v>
      </c>
      <c r="C67" s="15" t="s">
        <v>10</v>
      </c>
      <c r="D67" s="15" t="s">
        <v>459</v>
      </c>
      <c r="E67" s="16">
        <v>359</v>
      </c>
      <c r="F67" s="17">
        <v>6134.24</v>
      </c>
      <c r="G67" s="18">
        <v>15</v>
      </c>
      <c r="H67" s="19">
        <v>4.3</v>
      </c>
      <c r="I67" s="18">
        <v>279</v>
      </c>
      <c r="J67" s="38" t="str">
        <f>HYPERLINK("https://amazon.com/dp/B0CTH5MH9G","View on Amazon")</f>
        <v>View on Amazon</v>
      </c>
      <c r="K67" s="15" t="s">
        <v>459</v>
      </c>
      <c r="L67" s="20" t="s">
        <v>460</v>
      </c>
    </row>
    <row r="68" spans="1:12" ht="51" x14ac:dyDescent="0.2">
      <c r="A68" s="21" t="s">
        <v>629</v>
      </c>
      <c r="B68" s="22" t="s">
        <v>630</v>
      </c>
      <c r="C68" s="23" t="s">
        <v>47</v>
      </c>
      <c r="D68" s="23" t="s">
        <v>459</v>
      </c>
      <c r="E68" s="24">
        <v>288.99</v>
      </c>
      <c r="F68" s="25">
        <v>6130.26</v>
      </c>
      <c r="G68" s="26">
        <v>21</v>
      </c>
      <c r="H68" s="27">
        <v>4.3</v>
      </c>
      <c r="I68" s="26">
        <v>46</v>
      </c>
      <c r="J68" s="39" t="str">
        <f>HYPERLINK("https://amazon.com/dp/B0DSQ2QM7Q","View on Amazon")</f>
        <v>View on Amazon</v>
      </c>
      <c r="K68" s="23" t="s">
        <v>459</v>
      </c>
      <c r="L68" s="28" t="s">
        <v>460</v>
      </c>
    </row>
    <row r="69" spans="1:12" ht="68" x14ac:dyDescent="0.2">
      <c r="A69" s="13" t="s">
        <v>566</v>
      </c>
      <c r="B69" s="14" t="s">
        <v>507</v>
      </c>
      <c r="C69" s="15" t="s">
        <v>26</v>
      </c>
      <c r="D69" s="15" t="s">
        <v>463</v>
      </c>
      <c r="E69" s="16">
        <v>58.99</v>
      </c>
      <c r="F69" s="17">
        <v>5984.18</v>
      </c>
      <c r="G69" s="18">
        <v>98</v>
      </c>
      <c r="H69" s="19">
        <v>4.7</v>
      </c>
      <c r="I69" s="18">
        <v>37</v>
      </c>
      <c r="J69" s="38" t="str">
        <f>HYPERLINK("https://amazon.com/dp/B0FJXLQJ9L","View on Amazon")</f>
        <v>View on Amazon</v>
      </c>
      <c r="K69" s="15" t="s">
        <v>463</v>
      </c>
      <c r="L69" s="20" t="s">
        <v>460</v>
      </c>
    </row>
    <row r="70" spans="1:12" ht="68" x14ac:dyDescent="0.2">
      <c r="A70" s="21" t="s">
        <v>631</v>
      </c>
      <c r="B70" s="22" t="s">
        <v>632</v>
      </c>
      <c r="C70" s="23" t="s">
        <v>65</v>
      </c>
      <c r="D70" s="23" t="s">
        <v>463</v>
      </c>
      <c r="E70" s="24">
        <v>142.4</v>
      </c>
      <c r="F70" s="25">
        <v>5943.41</v>
      </c>
      <c r="G70" s="26">
        <v>35</v>
      </c>
      <c r="H70" s="27">
        <v>4.2</v>
      </c>
      <c r="I70" s="26">
        <v>232</v>
      </c>
      <c r="J70" s="39" t="str">
        <f>HYPERLINK("https://amazon.com/dp/B0BYZ9LKJF","View on Amazon")</f>
        <v>View on Amazon</v>
      </c>
      <c r="K70" s="23" t="s">
        <v>463</v>
      </c>
      <c r="L70" s="28" t="s">
        <v>460</v>
      </c>
    </row>
    <row r="71" spans="1:12" ht="68" x14ac:dyDescent="0.2">
      <c r="A71" s="13" t="s">
        <v>633</v>
      </c>
      <c r="B71" s="14" t="s">
        <v>634</v>
      </c>
      <c r="C71" s="15" t="s">
        <v>13</v>
      </c>
      <c r="D71" s="15" t="s">
        <v>463</v>
      </c>
      <c r="E71" s="16">
        <v>199.99</v>
      </c>
      <c r="F71" s="17">
        <v>5876.18</v>
      </c>
      <c r="G71" s="18">
        <v>36</v>
      </c>
      <c r="H71" s="19">
        <v>4.5</v>
      </c>
      <c r="I71" s="18">
        <v>72</v>
      </c>
      <c r="J71" s="38" t="str">
        <f>HYPERLINK("https://amazon.com/dp/B0F8N9Q8K5","View on Amazon")</f>
        <v>View on Amazon</v>
      </c>
      <c r="K71" s="15" t="s">
        <v>463</v>
      </c>
      <c r="L71" s="20" t="s">
        <v>460</v>
      </c>
    </row>
    <row r="72" spans="1:12" ht="68" x14ac:dyDescent="0.2">
      <c r="A72" s="21" t="s">
        <v>635</v>
      </c>
      <c r="B72" s="22" t="s">
        <v>636</v>
      </c>
      <c r="C72" s="23" t="s">
        <v>63</v>
      </c>
      <c r="D72" s="23" t="s">
        <v>503</v>
      </c>
      <c r="E72" s="24">
        <v>104.93</v>
      </c>
      <c r="F72" s="25">
        <v>5875.46</v>
      </c>
      <c r="G72" s="26">
        <v>56</v>
      </c>
      <c r="H72" s="27">
        <v>3.8</v>
      </c>
      <c r="I72" s="26">
        <v>1200</v>
      </c>
      <c r="J72" s="39" t="str">
        <f>HYPERLINK("https://amazon.com/dp/B06XJ1M846","View on Amazon")</f>
        <v>View on Amazon</v>
      </c>
      <c r="K72" s="23" t="s">
        <v>503</v>
      </c>
      <c r="L72" s="28" t="s">
        <v>460</v>
      </c>
    </row>
    <row r="73" spans="1:12" ht="68" x14ac:dyDescent="0.2">
      <c r="A73" s="13" t="s">
        <v>637</v>
      </c>
      <c r="B73" s="14" t="s">
        <v>638</v>
      </c>
      <c r="C73" s="15" t="s">
        <v>40</v>
      </c>
      <c r="D73" s="15" t="s">
        <v>463</v>
      </c>
      <c r="E73" s="16">
        <v>169.99</v>
      </c>
      <c r="F73" s="17">
        <v>5824.35</v>
      </c>
      <c r="G73" s="18">
        <v>30</v>
      </c>
      <c r="H73" s="19">
        <v>5</v>
      </c>
      <c r="I73" s="18">
        <v>14</v>
      </c>
      <c r="J73" s="38" t="str">
        <f>HYPERLINK("https://amazon.com/dp/B0GDD4LQB3","View on Amazon")</f>
        <v>View on Amazon</v>
      </c>
      <c r="K73" s="15" t="s">
        <v>463</v>
      </c>
      <c r="L73" s="20" t="s">
        <v>460</v>
      </c>
    </row>
    <row r="74" spans="1:12" ht="68" x14ac:dyDescent="0.2">
      <c r="A74" s="21" t="s">
        <v>639</v>
      </c>
      <c r="B74" s="22" t="s">
        <v>640</v>
      </c>
      <c r="C74" s="23" t="s">
        <v>30</v>
      </c>
      <c r="D74" s="23" t="s">
        <v>459</v>
      </c>
      <c r="E74" s="24">
        <v>999.99</v>
      </c>
      <c r="F74" s="25">
        <v>5487.81</v>
      </c>
      <c r="G74" s="26">
        <v>6</v>
      </c>
      <c r="H74" s="27">
        <v>4.3</v>
      </c>
      <c r="I74" s="26">
        <v>185</v>
      </c>
      <c r="J74" s="39" t="str">
        <f>HYPERLINK("https://amazon.com/dp/B0D78TNSWZ","View on Amazon")</f>
        <v>View on Amazon</v>
      </c>
      <c r="K74" s="23" t="s">
        <v>459</v>
      </c>
      <c r="L74" s="28" t="s">
        <v>460</v>
      </c>
    </row>
    <row r="75" spans="1:12" ht="68" x14ac:dyDescent="0.2">
      <c r="A75" s="13" t="s">
        <v>641</v>
      </c>
      <c r="B75" s="14" t="s">
        <v>642</v>
      </c>
      <c r="C75" s="15" t="s">
        <v>36</v>
      </c>
      <c r="D75" s="15" t="s">
        <v>459</v>
      </c>
      <c r="E75" s="16">
        <v>999.98</v>
      </c>
      <c r="F75" s="17">
        <v>5336.49</v>
      </c>
      <c r="G75" s="18">
        <v>5</v>
      </c>
      <c r="H75" s="19">
        <v>5</v>
      </c>
      <c r="I75" s="18">
        <v>1</v>
      </c>
      <c r="J75" s="38" t="str">
        <f>HYPERLINK("https://amazon.com/dp/B0G64CYC8B","View on Amazon")</f>
        <v>View on Amazon</v>
      </c>
      <c r="K75" s="15" t="s">
        <v>459</v>
      </c>
      <c r="L75" s="20" t="s">
        <v>460</v>
      </c>
    </row>
    <row r="76" spans="1:12" ht="68" x14ac:dyDescent="0.2">
      <c r="A76" s="21" t="s">
        <v>643</v>
      </c>
      <c r="B76" s="22" t="s">
        <v>644</v>
      </c>
      <c r="C76" s="23" t="s">
        <v>45</v>
      </c>
      <c r="D76" s="23" t="s">
        <v>463</v>
      </c>
      <c r="E76" s="24">
        <v>189.95</v>
      </c>
      <c r="F76" s="25">
        <v>5115.6899999999996</v>
      </c>
      <c r="G76" s="26">
        <v>27</v>
      </c>
      <c r="H76" s="27">
        <v>3.9</v>
      </c>
      <c r="I76" s="26">
        <v>71</v>
      </c>
      <c r="J76" s="39" t="str">
        <f>HYPERLINK("https://amazon.com/dp/B0CZMP6Q71","View on Amazon")</f>
        <v>View on Amazon</v>
      </c>
      <c r="K76" s="23" t="s">
        <v>463</v>
      </c>
      <c r="L76" s="28" t="s">
        <v>460</v>
      </c>
    </row>
    <row r="77" spans="1:12" ht="68" x14ac:dyDescent="0.2">
      <c r="A77" s="13" t="s">
        <v>575</v>
      </c>
      <c r="B77" s="14" t="s">
        <v>576</v>
      </c>
      <c r="C77" s="15" t="s">
        <v>40</v>
      </c>
      <c r="D77" s="15" t="s">
        <v>463</v>
      </c>
      <c r="E77" s="16">
        <v>59.99</v>
      </c>
      <c r="F77" s="17">
        <v>5077.2299999999996</v>
      </c>
      <c r="G77" s="18">
        <v>85</v>
      </c>
      <c r="H77" s="19">
        <v>4.0999999999999996</v>
      </c>
      <c r="I77" s="18">
        <v>41</v>
      </c>
      <c r="J77" s="38" t="str">
        <f>HYPERLINK("https://amazon.com/dp/B0FKRS84YF","View on Amazon")</f>
        <v>View on Amazon</v>
      </c>
      <c r="K77" s="15" t="s">
        <v>463</v>
      </c>
      <c r="L77" s="20" t="s">
        <v>460</v>
      </c>
    </row>
    <row r="78" spans="1:12" ht="34" x14ac:dyDescent="0.2">
      <c r="A78" s="21" t="s">
        <v>589</v>
      </c>
      <c r="B78" s="22" t="s">
        <v>590</v>
      </c>
      <c r="C78" s="23" t="s">
        <v>52</v>
      </c>
      <c r="D78" s="23" t="s">
        <v>463</v>
      </c>
      <c r="E78" s="24">
        <v>79.98</v>
      </c>
      <c r="F78" s="25">
        <v>5058.18</v>
      </c>
      <c r="G78" s="26">
        <v>63</v>
      </c>
      <c r="H78" s="27">
        <v>4.4000000000000004</v>
      </c>
      <c r="I78" s="26">
        <v>32</v>
      </c>
      <c r="J78" s="39" t="str">
        <f>HYPERLINK("https://amazon.com/dp/B0F82W7TYP","View on Amazon")</f>
        <v>View on Amazon</v>
      </c>
      <c r="K78" s="23" t="s">
        <v>463</v>
      </c>
      <c r="L78" s="28" t="s">
        <v>460</v>
      </c>
    </row>
    <row r="79" spans="1:12" ht="68" x14ac:dyDescent="0.2">
      <c r="A79" s="13" t="s">
        <v>645</v>
      </c>
      <c r="B79" s="14" t="s">
        <v>646</v>
      </c>
      <c r="C79" s="15" t="s">
        <v>10</v>
      </c>
      <c r="D79" s="15" t="s">
        <v>459</v>
      </c>
      <c r="E79" s="16">
        <v>404.09</v>
      </c>
      <c r="F79" s="17">
        <v>5036.74</v>
      </c>
      <c r="G79" s="18">
        <v>11</v>
      </c>
      <c r="H79" s="19">
        <v>4.4000000000000004</v>
      </c>
      <c r="I79" s="18">
        <v>330</v>
      </c>
      <c r="J79" s="38" t="str">
        <f>HYPERLINK("https://amazon.com/dp/B0CNXPDG7R","View on Amazon")</f>
        <v>View on Amazon</v>
      </c>
      <c r="K79" s="15" t="s">
        <v>459</v>
      </c>
      <c r="L79" s="20" t="s">
        <v>460</v>
      </c>
    </row>
    <row r="80" spans="1:12" ht="68" x14ac:dyDescent="0.2">
      <c r="A80" s="21" t="s">
        <v>647</v>
      </c>
      <c r="B80" s="22" t="s">
        <v>648</v>
      </c>
      <c r="C80" s="23" t="s">
        <v>72</v>
      </c>
      <c r="D80" s="23" t="s">
        <v>463</v>
      </c>
      <c r="E80" s="24">
        <v>108.88</v>
      </c>
      <c r="F80" s="25">
        <v>5034.8900000000003</v>
      </c>
      <c r="G80" s="26">
        <v>45</v>
      </c>
      <c r="H80" s="27">
        <v>5</v>
      </c>
      <c r="I80" s="26">
        <v>23</v>
      </c>
      <c r="J80" s="39" t="str">
        <f>HYPERLINK("https://amazon.com/dp/B0GF253WXY","View on Amazon")</f>
        <v>View on Amazon</v>
      </c>
      <c r="K80" s="23" t="s">
        <v>463</v>
      </c>
      <c r="L80" s="28" t="s">
        <v>460</v>
      </c>
    </row>
    <row r="81" spans="1:12" ht="68" x14ac:dyDescent="0.2">
      <c r="A81" s="13" t="s">
        <v>587</v>
      </c>
      <c r="B81" s="14" t="s">
        <v>588</v>
      </c>
      <c r="C81" s="15" t="s">
        <v>34</v>
      </c>
      <c r="D81" s="15" t="s">
        <v>463</v>
      </c>
      <c r="E81" s="16">
        <v>69.989999999999995</v>
      </c>
      <c r="F81" s="17">
        <v>4863.32</v>
      </c>
      <c r="G81" s="18">
        <v>64</v>
      </c>
      <c r="H81" s="19">
        <v>5</v>
      </c>
      <c r="I81" s="18">
        <v>6</v>
      </c>
      <c r="J81" s="38" t="str">
        <f>HYPERLINK("https://amazon.com/dp/B0GH69J9RY","View on Amazon")</f>
        <v>View on Amazon</v>
      </c>
      <c r="K81" s="15" t="s">
        <v>463</v>
      </c>
      <c r="L81" s="20" t="s">
        <v>460</v>
      </c>
    </row>
    <row r="82" spans="1:12" ht="51" x14ac:dyDescent="0.2">
      <c r="A82" s="21" t="s">
        <v>649</v>
      </c>
      <c r="B82" s="22" t="s">
        <v>650</v>
      </c>
      <c r="C82" s="23" t="s">
        <v>50</v>
      </c>
      <c r="D82" s="23" t="s">
        <v>459</v>
      </c>
      <c r="E82" s="24">
        <v>95.99</v>
      </c>
      <c r="F82" s="25">
        <v>4723.58</v>
      </c>
      <c r="G82" s="26">
        <v>49</v>
      </c>
      <c r="H82" s="27">
        <v>3.4</v>
      </c>
      <c r="I82" s="26">
        <v>62</v>
      </c>
      <c r="J82" s="39" t="str">
        <f>HYPERLINK("https://amazon.com/dp/B0DLKCCBBT","View on Amazon")</f>
        <v>View on Amazon</v>
      </c>
      <c r="K82" s="23" t="s">
        <v>459</v>
      </c>
      <c r="L82" s="28" t="s">
        <v>460</v>
      </c>
    </row>
    <row r="83" spans="1:12" ht="68" x14ac:dyDescent="0.2">
      <c r="A83" s="13" t="s">
        <v>579</v>
      </c>
      <c r="B83" s="14" t="s">
        <v>580</v>
      </c>
      <c r="C83" s="15" t="s">
        <v>27</v>
      </c>
      <c r="D83" s="15" t="s">
        <v>459</v>
      </c>
      <c r="E83" s="16">
        <v>56.98</v>
      </c>
      <c r="F83" s="17">
        <v>4610.5200000000004</v>
      </c>
      <c r="G83" s="18">
        <v>77</v>
      </c>
      <c r="H83" s="19">
        <v>4</v>
      </c>
      <c r="I83" s="18">
        <v>471</v>
      </c>
      <c r="J83" s="38" t="str">
        <f>HYPERLINK("https://amazon.com/dp/B0BRY25L5X","View on Amazon")</f>
        <v>View on Amazon</v>
      </c>
      <c r="K83" s="15" t="s">
        <v>459</v>
      </c>
      <c r="L83" s="20" t="s">
        <v>460</v>
      </c>
    </row>
    <row r="84" spans="1:12" ht="17" x14ac:dyDescent="0.2">
      <c r="A84" s="21" t="s">
        <v>651</v>
      </c>
      <c r="B84" s="22" t="s">
        <v>652</v>
      </c>
      <c r="C84" s="23" t="s">
        <v>45</v>
      </c>
      <c r="D84" s="23" t="s">
        <v>459</v>
      </c>
      <c r="E84" s="24">
        <v>650</v>
      </c>
      <c r="F84" s="25">
        <v>4601.79</v>
      </c>
      <c r="G84" s="26">
        <v>7</v>
      </c>
      <c r="H84" s="27">
        <v>0</v>
      </c>
      <c r="I84" s="26">
        <v>0</v>
      </c>
      <c r="J84" s="39" t="str">
        <f>HYPERLINK("https://amazon.com/dp/B0G8FC49K1","View on Amazon")</f>
        <v>View on Amazon</v>
      </c>
      <c r="K84" s="23" t="s">
        <v>459</v>
      </c>
      <c r="L84" s="28" t="s">
        <v>460</v>
      </c>
    </row>
    <row r="85" spans="1:12" ht="68" x14ac:dyDescent="0.2">
      <c r="A85" s="13" t="s">
        <v>653</v>
      </c>
      <c r="B85" s="14" t="s">
        <v>654</v>
      </c>
      <c r="C85" s="15" t="s">
        <v>74</v>
      </c>
      <c r="D85" s="15" t="s">
        <v>459</v>
      </c>
      <c r="E85" s="16">
        <v>369</v>
      </c>
      <c r="F85" s="17">
        <v>4523.76</v>
      </c>
      <c r="G85" s="18">
        <v>12</v>
      </c>
      <c r="H85" s="19">
        <v>5</v>
      </c>
      <c r="I85" s="18">
        <v>3</v>
      </c>
      <c r="J85" s="38" t="str">
        <f>HYPERLINK("https://amazon.com/dp/B0FM8HD86N","View on Amazon")</f>
        <v>View on Amazon</v>
      </c>
      <c r="K85" s="15" t="s">
        <v>459</v>
      </c>
      <c r="L85" s="20" t="s">
        <v>460</v>
      </c>
    </row>
    <row r="86" spans="1:12" ht="68" x14ac:dyDescent="0.2">
      <c r="A86" s="21" t="s">
        <v>655</v>
      </c>
      <c r="B86" s="22" t="s">
        <v>656</v>
      </c>
      <c r="C86" s="23" t="s">
        <v>30</v>
      </c>
      <c r="D86" s="23" t="s">
        <v>459</v>
      </c>
      <c r="E86" s="24">
        <v>569.99</v>
      </c>
      <c r="F86" s="25">
        <v>4453.82</v>
      </c>
      <c r="G86" s="26">
        <v>8</v>
      </c>
      <c r="H86" s="27">
        <v>4.4000000000000004</v>
      </c>
      <c r="I86" s="26">
        <v>21</v>
      </c>
      <c r="J86" s="39" t="str">
        <f>HYPERLINK("https://amazon.com/dp/B0CLXH4P58","View on Amazon")</f>
        <v>View on Amazon</v>
      </c>
      <c r="K86" s="23" t="s">
        <v>459</v>
      </c>
      <c r="L86" s="28" t="s">
        <v>460</v>
      </c>
    </row>
    <row r="87" spans="1:12" ht="68" x14ac:dyDescent="0.2">
      <c r="A87" s="13" t="s">
        <v>657</v>
      </c>
      <c r="B87" s="14" t="s">
        <v>658</v>
      </c>
      <c r="C87" s="15" t="s">
        <v>34</v>
      </c>
      <c r="D87" s="15" t="s">
        <v>463</v>
      </c>
      <c r="E87" s="16">
        <v>69.989999999999995</v>
      </c>
      <c r="F87" s="17">
        <v>4414.1899999999996</v>
      </c>
      <c r="G87" s="18">
        <v>50</v>
      </c>
      <c r="H87" s="19">
        <v>4.4000000000000004</v>
      </c>
      <c r="I87" s="18">
        <v>203</v>
      </c>
      <c r="J87" s="38" t="str">
        <f>HYPERLINK("https://amazon.com/dp/B0F5WCSL4H","View on Amazon")</f>
        <v>View on Amazon</v>
      </c>
      <c r="K87" s="15" t="s">
        <v>463</v>
      </c>
      <c r="L87" s="20" t="s">
        <v>460</v>
      </c>
    </row>
    <row r="88" spans="1:12" ht="51" x14ac:dyDescent="0.2">
      <c r="A88" s="21" t="s">
        <v>659</v>
      </c>
      <c r="B88" s="22" t="s">
        <v>660</v>
      </c>
      <c r="C88" s="23" t="s">
        <v>13</v>
      </c>
      <c r="D88" s="23" t="s">
        <v>463</v>
      </c>
      <c r="E88" s="24">
        <v>199.99</v>
      </c>
      <c r="F88" s="25">
        <v>4309.18</v>
      </c>
      <c r="G88" s="26">
        <v>22</v>
      </c>
      <c r="H88" s="27">
        <v>5</v>
      </c>
      <c r="I88" s="26">
        <v>2</v>
      </c>
      <c r="J88" s="39" t="str">
        <f>HYPERLINK("https://amazon.com/dp/B0GJJZQN67","View on Amazon")</f>
        <v>View on Amazon</v>
      </c>
      <c r="K88" s="23" t="s">
        <v>463</v>
      </c>
      <c r="L88" s="28" t="s">
        <v>460</v>
      </c>
    </row>
    <row r="89" spans="1:12" ht="51" x14ac:dyDescent="0.2">
      <c r="A89" s="13" t="s">
        <v>661</v>
      </c>
      <c r="B89" s="14" t="s">
        <v>483</v>
      </c>
      <c r="C89" s="15" t="s">
        <v>13</v>
      </c>
      <c r="D89" s="15" t="s">
        <v>463</v>
      </c>
      <c r="E89" s="16">
        <v>116.99</v>
      </c>
      <c r="F89" s="17">
        <v>4150.05</v>
      </c>
      <c r="G89" s="18">
        <v>31</v>
      </c>
      <c r="H89" s="19">
        <v>4.0999999999999996</v>
      </c>
      <c r="I89" s="18">
        <v>131</v>
      </c>
      <c r="J89" s="38" t="str">
        <f>HYPERLINK("https://amazon.com/dp/B0F8NGC8XG","View on Amazon")</f>
        <v>View on Amazon</v>
      </c>
      <c r="K89" s="15" t="s">
        <v>463</v>
      </c>
      <c r="L89" s="20" t="s">
        <v>460</v>
      </c>
    </row>
    <row r="90" spans="1:12" ht="68" x14ac:dyDescent="0.2">
      <c r="A90" s="21" t="s">
        <v>571</v>
      </c>
      <c r="B90" s="22" t="s">
        <v>572</v>
      </c>
      <c r="C90" s="23" t="s">
        <v>83</v>
      </c>
      <c r="D90" s="23" t="s">
        <v>463</v>
      </c>
      <c r="E90" s="24">
        <v>42.99</v>
      </c>
      <c r="F90" s="25">
        <v>4046.66</v>
      </c>
      <c r="G90" s="26">
        <v>95</v>
      </c>
      <c r="H90" s="27">
        <v>4.2</v>
      </c>
      <c r="I90" s="26">
        <v>18</v>
      </c>
      <c r="J90" s="39" t="str">
        <f>HYPERLINK("https://amazon.com/dp/B0G2T1SF65","View on Amazon")</f>
        <v>View on Amazon</v>
      </c>
      <c r="K90" s="23" t="s">
        <v>463</v>
      </c>
      <c r="L90" s="28" t="s">
        <v>460</v>
      </c>
    </row>
    <row r="91" spans="1:12" ht="68" x14ac:dyDescent="0.2">
      <c r="A91" s="13" t="s">
        <v>662</v>
      </c>
      <c r="B91" s="14" t="s">
        <v>663</v>
      </c>
      <c r="C91" s="15" t="s">
        <v>78</v>
      </c>
      <c r="D91" s="15" t="s">
        <v>459</v>
      </c>
      <c r="E91" s="16">
        <v>129.99</v>
      </c>
      <c r="F91" s="17">
        <v>3947.56</v>
      </c>
      <c r="G91" s="18">
        <v>30</v>
      </c>
      <c r="H91" s="19">
        <v>4.4000000000000004</v>
      </c>
      <c r="I91" s="18">
        <v>19</v>
      </c>
      <c r="J91" s="38" t="str">
        <f>HYPERLINK("https://amazon.com/dp/B0G346YNMS","View on Amazon")</f>
        <v>View on Amazon</v>
      </c>
      <c r="K91" s="15" t="s">
        <v>459</v>
      </c>
      <c r="L91" s="20" t="s">
        <v>460</v>
      </c>
    </row>
    <row r="92" spans="1:12" ht="68" x14ac:dyDescent="0.2">
      <c r="A92" s="21" t="s">
        <v>664</v>
      </c>
      <c r="B92" s="22" t="s">
        <v>665</v>
      </c>
      <c r="C92" s="23" t="s">
        <v>85</v>
      </c>
      <c r="D92" s="23" t="s">
        <v>463</v>
      </c>
      <c r="E92" s="24">
        <v>89.99</v>
      </c>
      <c r="F92" s="25">
        <v>3903.24</v>
      </c>
      <c r="G92" s="26">
        <v>43</v>
      </c>
      <c r="H92" s="27">
        <v>4.2</v>
      </c>
      <c r="I92" s="26">
        <v>50</v>
      </c>
      <c r="J92" s="39" t="str">
        <f>HYPERLINK("https://amazon.com/dp/B0DHXL2ZVS","View on Amazon")</f>
        <v>View on Amazon</v>
      </c>
      <c r="K92" s="23" t="s">
        <v>463</v>
      </c>
      <c r="L92" s="28" t="s">
        <v>460</v>
      </c>
    </row>
    <row r="93" spans="1:12" ht="68" x14ac:dyDescent="0.2">
      <c r="A93" s="13" t="s">
        <v>666</v>
      </c>
      <c r="B93" s="14" t="s">
        <v>667</v>
      </c>
      <c r="C93" s="15" t="s">
        <v>82</v>
      </c>
      <c r="D93" s="15" t="s">
        <v>463</v>
      </c>
      <c r="E93" s="16">
        <v>89.99</v>
      </c>
      <c r="F93" s="17">
        <v>3825.3</v>
      </c>
      <c r="G93" s="18">
        <v>44</v>
      </c>
      <c r="H93" s="19">
        <v>4.5</v>
      </c>
      <c r="I93" s="18">
        <v>121</v>
      </c>
      <c r="J93" s="38" t="str">
        <f>HYPERLINK("https://amazon.com/dp/B0DK327KNZ","View on Amazon")</f>
        <v>View on Amazon</v>
      </c>
      <c r="K93" s="15" t="s">
        <v>463</v>
      </c>
      <c r="L93" s="20" t="s">
        <v>460</v>
      </c>
    </row>
    <row r="94" spans="1:12" ht="68" x14ac:dyDescent="0.2">
      <c r="A94" s="21" t="s">
        <v>591</v>
      </c>
      <c r="B94" s="22" t="s">
        <v>592</v>
      </c>
      <c r="C94" s="23" t="s">
        <v>87</v>
      </c>
      <c r="D94" s="23" t="s">
        <v>459</v>
      </c>
      <c r="E94" s="24">
        <v>59.99</v>
      </c>
      <c r="F94" s="25">
        <v>3660.12</v>
      </c>
      <c r="G94" s="26">
        <v>61</v>
      </c>
      <c r="H94" s="27">
        <v>3</v>
      </c>
      <c r="I94" s="26">
        <v>17</v>
      </c>
      <c r="J94" s="39" t="str">
        <f>HYPERLINK("https://amazon.com/dp/B0GCGY3LBC","View on Amazon")</f>
        <v>View on Amazon</v>
      </c>
      <c r="K94" s="23" t="s">
        <v>459</v>
      </c>
      <c r="L94" s="28" t="s">
        <v>460</v>
      </c>
    </row>
    <row r="95" spans="1:12" ht="68" x14ac:dyDescent="0.2">
      <c r="A95" s="13" t="s">
        <v>668</v>
      </c>
      <c r="B95" s="14" t="s">
        <v>669</v>
      </c>
      <c r="C95" s="15" t="s">
        <v>32</v>
      </c>
      <c r="D95" s="15" t="s">
        <v>670</v>
      </c>
      <c r="E95" s="16">
        <v>499</v>
      </c>
      <c r="F95" s="17">
        <v>3596.26</v>
      </c>
      <c r="G95" s="18">
        <v>7</v>
      </c>
      <c r="H95" s="19">
        <v>3.7</v>
      </c>
      <c r="I95" s="18">
        <v>6</v>
      </c>
      <c r="J95" s="38" t="str">
        <f>HYPERLINK("https://amazon.com/dp/B0BXWBQM5T","View on Amazon")</f>
        <v>View on Amazon</v>
      </c>
      <c r="K95" s="15" t="s">
        <v>670</v>
      </c>
      <c r="L95" s="20" t="s">
        <v>460</v>
      </c>
    </row>
    <row r="96" spans="1:12" ht="68" x14ac:dyDescent="0.2">
      <c r="A96" s="21" t="s">
        <v>671</v>
      </c>
      <c r="B96" s="22" t="s">
        <v>672</v>
      </c>
      <c r="C96" s="23" t="s">
        <v>13</v>
      </c>
      <c r="D96" s="23" t="s">
        <v>463</v>
      </c>
      <c r="E96" s="24">
        <v>129.97</v>
      </c>
      <c r="F96" s="25">
        <v>3581.9</v>
      </c>
      <c r="G96" s="26">
        <v>18</v>
      </c>
      <c r="H96" s="27">
        <v>4.4000000000000004</v>
      </c>
      <c r="I96" s="26">
        <v>51</v>
      </c>
      <c r="J96" s="39" t="str">
        <f>HYPERLINK("https://amazon.com/dp/B0FDPZSJ4F","View on Amazon")</f>
        <v>View on Amazon</v>
      </c>
      <c r="K96" s="23" t="s">
        <v>463</v>
      </c>
      <c r="L96" s="28" t="s">
        <v>460</v>
      </c>
    </row>
    <row r="97" spans="1:12" ht="51" x14ac:dyDescent="0.2">
      <c r="A97" s="13" t="s">
        <v>673</v>
      </c>
      <c r="B97" s="14" t="s">
        <v>674</v>
      </c>
      <c r="C97" s="15" t="s">
        <v>73</v>
      </c>
      <c r="D97" s="15" t="s">
        <v>459</v>
      </c>
      <c r="E97" s="16">
        <v>139.97999999999999</v>
      </c>
      <c r="F97" s="17">
        <v>3578.54</v>
      </c>
      <c r="G97" s="18">
        <v>26</v>
      </c>
      <c r="H97" s="19">
        <v>3.9</v>
      </c>
      <c r="I97" s="18">
        <v>14</v>
      </c>
      <c r="J97" s="38" t="str">
        <f>HYPERLINK("https://amazon.com/dp/B0FMK3PKNQ","View on Amazon")</f>
        <v>View on Amazon</v>
      </c>
      <c r="K97" s="15" t="s">
        <v>459</v>
      </c>
      <c r="L97" s="20" t="s">
        <v>460</v>
      </c>
    </row>
    <row r="98" spans="1:12" ht="68" x14ac:dyDescent="0.2">
      <c r="A98" s="21" t="s">
        <v>675</v>
      </c>
      <c r="B98" s="22" t="s">
        <v>676</v>
      </c>
      <c r="C98" s="23" t="s">
        <v>89</v>
      </c>
      <c r="D98" s="23" t="s">
        <v>463</v>
      </c>
      <c r="E98" s="24">
        <v>45</v>
      </c>
      <c r="F98" s="25">
        <v>3533.47</v>
      </c>
      <c r="G98" s="26">
        <v>45</v>
      </c>
      <c r="H98" s="27">
        <v>4.3</v>
      </c>
      <c r="I98" s="26">
        <v>18</v>
      </c>
      <c r="J98" s="39" t="str">
        <f>HYPERLINK("https://amazon.com/dp/B0FM3GT89T","View on Amazon")</f>
        <v>View on Amazon</v>
      </c>
      <c r="K98" s="23" t="s">
        <v>463</v>
      </c>
      <c r="L98" s="28" t="s">
        <v>460</v>
      </c>
    </row>
    <row r="99" spans="1:12" ht="51" x14ac:dyDescent="0.2">
      <c r="A99" s="13" t="s">
        <v>677</v>
      </c>
      <c r="B99" s="14" t="s">
        <v>678</v>
      </c>
      <c r="C99" s="15" t="s">
        <v>39</v>
      </c>
      <c r="D99" s="15" t="s">
        <v>463</v>
      </c>
      <c r="E99" s="16">
        <v>129.99</v>
      </c>
      <c r="F99" s="17">
        <v>3500.13</v>
      </c>
      <c r="G99" s="18">
        <v>27</v>
      </c>
      <c r="H99" s="19">
        <v>4.0999999999999996</v>
      </c>
      <c r="I99" s="18">
        <v>59</v>
      </c>
      <c r="J99" s="38" t="str">
        <f>HYPERLINK("https://amazon.com/dp/B0B9R54KCZ","View on Amazon")</f>
        <v>View on Amazon</v>
      </c>
      <c r="K99" s="15" t="s">
        <v>463</v>
      </c>
      <c r="L99" s="20" t="s">
        <v>460</v>
      </c>
    </row>
    <row r="100" spans="1:12" ht="68" x14ac:dyDescent="0.2">
      <c r="A100" s="21" t="s">
        <v>679</v>
      </c>
      <c r="B100" s="22" t="s">
        <v>680</v>
      </c>
      <c r="C100" s="23" t="s">
        <v>32</v>
      </c>
      <c r="D100" s="23" t="s">
        <v>459</v>
      </c>
      <c r="E100" s="24">
        <v>616.54999999999995</v>
      </c>
      <c r="F100" s="25">
        <v>3419.16</v>
      </c>
      <c r="G100" s="26">
        <v>5</v>
      </c>
      <c r="H100" s="27">
        <v>4.2</v>
      </c>
      <c r="I100" s="26">
        <v>61</v>
      </c>
      <c r="J100" s="39" t="str">
        <f>HYPERLINK("https://amazon.com/dp/B0BS17LGLG","View on Amazon")</f>
        <v>View on Amazon</v>
      </c>
      <c r="K100" s="23" t="s">
        <v>459</v>
      </c>
      <c r="L100" s="28" t="s">
        <v>460</v>
      </c>
    </row>
    <row r="101" spans="1:12" ht="51" x14ac:dyDescent="0.2">
      <c r="A101" s="13" t="s">
        <v>681</v>
      </c>
      <c r="B101" s="14" t="s">
        <v>682</v>
      </c>
      <c r="C101" s="15" t="s">
        <v>67</v>
      </c>
      <c r="D101" s="15" t="s">
        <v>463</v>
      </c>
      <c r="E101" s="16">
        <v>139.97</v>
      </c>
      <c r="F101" s="17">
        <v>3384.4</v>
      </c>
      <c r="G101" s="18">
        <v>22</v>
      </c>
      <c r="H101" s="19">
        <v>4.3</v>
      </c>
      <c r="I101" s="18">
        <v>114</v>
      </c>
      <c r="J101" s="38" t="str">
        <f>HYPERLINK("https://amazon.com/dp/B0DKXWFSC4","View on Amazon")</f>
        <v>View on Amazon</v>
      </c>
      <c r="K101" s="15" t="s">
        <v>463</v>
      </c>
      <c r="L101" s="20" t="s">
        <v>460</v>
      </c>
    </row>
    <row r="102" spans="1:12" ht="51" x14ac:dyDescent="0.2">
      <c r="A102" s="21" t="s">
        <v>683</v>
      </c>
      <c r="B102" s="22" t="s">
        <v>684</v>
      </c>
      <c r="C102" s="23" t="s">
        <v>29</v>
      </c>
      <c r="D102" s="23" t="s">
        <v>459</v>
      </c>
      <c r="E102" s="24">
        <v>251.88</v>
      </c>
      <c r="F102" s="25">
        <v>3306.05</v>
      </c>
      <c r="G102" s="26">
        <v>13</v>
      </c>
      <c r="H102" s="27">
        <v>3.8</v>
      </c>
      <c r="I102" s="26">
        <v>545</v>
      </c>
      <c r="J102" s="39" t="str">
        <f>HYPERLINK("https://amazon.com/dp/B07C4YY2LV","View on Amazon")</f>
        <v>View on Amazon</v>
      </c>
      <c r="K102" s="23" t="s">
        <v>459</v>
      </c>
      <c r="L102" s="28" t="s">
        <v>460</v>
      </c>
    </row>
    <row r="103" spans="1:12" ht="68" x14ac:dyDescent="0.2">
      <c r="A103" s="13" t="s">
        <v>685</v>
      </c>
      <c r="B103" s="14" t="s">
        <v>686</v>
      </c>
      <c r="C103" s="15" t="s">
        <v>34</v>
      </c>
      <c r="D103" s="15" t="s">
        <v>463</v>
      </c>
      <c r="E103" s="16">
        <v>48.98</v>
      </c>
      <c r="F103" s="17">
        <v>3265.24</v>
      </c>
      <c r="G103" s="18">
        <v>47</v>
      </c>
      <c r="H103" s="19">
        <v>4.4000000000000004</v>
      </c>
      <c r="I103" s="18">
        <v>369</v>
      </c>
      <c r="J103" s="38" t="str">
        <f>HYPERLINK("https://amazon.com/dp/B0FJM2TBJZ","View on Amazon")</f>
        <v>View on Amazon</v>
      </c>
      <c r="K103" s="15" t="s">
        <v>463</v>
      </c>
      <c r="L103" s="20" t="s">
        <v>460</v>
      </c>
    </row>
    <row r="104" spans="1:12" ht="51" x14ac:dyDescent="0.2">
      <c r="A104" s="21" t="s">
        <v>687</v>
      </c>
      <c r="B104" s="22" t="s">
        <v>688</v>
      </c>
      <c r="C104" s="23" t="s">
        <v>32</v>
      </c>
      <c r="D104" s="23" t="s">
        <v>459</v>
      </c>
      <c r="E104" s="24">
        <v>339</v>
      </c>
      <c r="F104" s="25">
        <v>3223.75</v>
      </c>
      <c r="G104" s="26">
        <v>10</v>
      </c>
      <c r="H104" s="27">
        <v>4</v>
      </c>
      <c r="I104" s="26">
        <v>127</v>
      </c>
      <c r="J104" s="39" t="str">
        <f>HYPERLINK("https://amazon.com/dp/B07V3X99D4","View on Amazon")</f>
        <v>View on Amazon</v>
      </c>
      <c r="K104" s="23" t="s">
        <v>459</v>
      </c>
      <c r="L104" s="28" t="s">
        <v>460</v>
      </c>
    </row>
    <row r="105" spans="1:12" ht="51" x14ac:dyDescent="0.2">
      <c r="A105" s="13" t="s">
        <v>689</v>
      </c>
      <c r="B105" s="14" t="s">
        <v>690</v>
      </c>
      <c r="C105" s="15" t="s">
        <v>36</v>
      </c>
      <c r="D105" s="15" t="s">
        <v>503</v>
      </c>
      <c r="E105" s="16">
        <v>699.98</v>
      </c>
      <c r="F105" s="17">
        <v>3213.25</v>
      </c>
      <c r="G105" s="18">
        <v>5</v>
      </c>
      <c r="H105" s="19">
        <v>5</v>
      </c>
      <c r="I105" s="18">
        <v>3</v>
      </c>
      <c r="J105" s="38" t="str">
        <f>HYPERLINK("https://amazon.com/dp/B0G2M4H4MR","View on Amazon")</f>
        <v>View on Amazon</v>
      </c>
      <c r="K105" s="15" t="s">
        <v>503</v>
      </c>
      <c r="L105" s="20" t="s">
        <v>460</v>
      </c>
    </row>
    <row r="106" spans="1:12" ht="68" x14ac:dyDescent="0.2">
      <c r="A106" s="21" t="s">
        <v>691</v>
      </c>
      <c r="B106" s="22" t="s">
        <v>692</v>
      </c>
      <c r="C106" s="23" t="s">
        <v>93</v>
      </c>
      <c r="D106" s="23" t="s">
        <v>459</v>
      </c>
      <c r="E106" s="24">
        <v>58.8</v>
      </c>
      <c r="F106" s="25">
        <v>3133.19</v>
      </c>
      <c r="G106" s="26">
        <v>53</v>
      </c>
      <c r="H106" s="27">
        <v>5</v>
      </c>
      <c r="I106" s="26">
        <v>26</v>
      </c>
      <c r="J106" s="39" t="str">
        <f>HYPERLINK("https://amazon.com/dp/B0GDZYX8KT","View on Amazon")</f>
        <v>View on Amazon</v>
      </c>
      <c r="K106" s="23" t="s">
        <v>459</v>
      </c>
      <c r="L106" s="28" t="s">
        <v>460</v>
      </c>
    </row>
    <row r="107" spans="1:12" ht="34" x14ac:dyDescent="0.2">
      <c r="A107" s="13" t="s">
        <v>577</v>
      </c>
      <c r="B107" s="14" t="s">
        <v>578</v>
      </c>
      <c r="C107" s="15" t="s">
        <v>81</v>
      </c>
      <c r="D107" s="15" t="s">
        <v>463</v>
      </c>
      <c r="E107" s="16">
        <v>39.99</v>
      </c>
      <c r="F107" s="17">
        <v>3121.99</v>
      </c>
      <c r="G107" s="18">
        <v>78</v>
      </c>
      <c r="H107" s="19">
        <v>4.3</v>
      </c>
      <c r="I107" s="18">
        <v>347</v>
      </c>
      <c r="J107" s="38" t="str">
        <f>HYPERLINK("https://amazon.com/dp/B088Z1Y71G","View on Amazon")</f>
        <v>View on Amazon</v>
      </c>
      <c r="K107" s="15" t="s">
        <v>463</v>
      </c>
      <c r="L107" s="20" t="s">
        <v>460</v>
      </c>
    </row>
    <row r="108" spans="1:12" ht="51" x14ac:dyDescent="0.2">
      <c r="A108" s="21" t="s">
        <v>693</v>
      </c>
      <c r="B108" s="22" t="s">
        <v>694</v>
      </c>
      <c r="C108" s="23" t="s">
        <v>32</v>
      </c>
      <c r="D108" s="23" t="s">
        <v>459</v>
      </c>
      <c r="E108" s="24">
        <v>339</v>
      </c>
      <c r="F108" s="25">
        <v>3090.6</v>
      </c>
      <c r="G108" s="26">
        <v>9</v>
      </c>
      <c r="H108" s="27">
        <v>4.0999999999999996</v>
      </c>
      <c r="I108" s="26">
        <v>125</v>
      </c>
      <c r="J108" s="39" t="str">
        <f>HYPERLINK("https://amazon.com/dp/B08DFQSHPG","View on Amazon")</f>
        <v>View on Amazon</v>
      </c>
      <c r="K108" s="23" t="s">
        <v>459</v>
      </c>
      <c r="L108" s="28" t="s">
        <v>460</v>
      </c>
    </row>
    <row r="109" spans="1:12" ht="68" x14ac:dyDescent="0.2">
      <c r="A109" s="13" t="s">
        <v>695</v>
      </c>
      <c r="B109" s="14" t="s">
        <v>696</v>
      </c>
      <c r="C109" s="15" t="s">
        <v>94</v>
      </c>
      <c r="D109" s="15" t="s">
        <v>463</v>
      </c>
      <c r="E109" s="16">
        <v>69.88</v>
      </c>
      <c r="F109" s="17">
        <v>3088.31</v>
      </c>
      <c r="G109" s="18">
        <v>44</v>
      </c>
      <c r="H109" s="19">
        <v>5</v>
      </c>
      <c r="I109" s="18">
        <v>10</v>
      </c>
      <c r="J109" s="38" t="str">
        <f>HYPERLINK("https://amazon.com/dp/B0FMK4P37W","View on Amazon")</f>
        <v>View on Amazon</v>
      </c>
      <c r="K109" s="15" t="s">
        <v>463</v>
      </c>
      <c r="L109" s="20" t="s">
        <v>460</v>
      </c>
    </row>
    <row r="110" spans="1:12" ht="68" x14ac:dyDescent="0.2">
      <c r="A110" s="21" t="s">
        <v>697</v>
      </c>
      <c r="B110" s="22" t="s">
        <v>698</v>
      </c>
      <c r="C110" s="23" t="s">
        <v>95</v>
      </c>
      <c r="D110" s="23" t="s">
        <v>503</v>
      </c>
      <c r="E110" s="24">
        <v>499</v>
      </c>
      <c r="F110" s="25">
        <v>3043.58</v>
      </c>
      <c r="G110" s="26">
        <v>6</v>
      </c>
      <c r="H110" s="27">
        <v>3.9</v>
      </c>
      <c r="I110" s="26">
        <v>12</v>
      </c>
      <c r="J110" s="39" t="str">
        <f>HYPERLINK("https://amazon.com/dp/B0DQW66NC9","View on Amazon")</f>
        <v>View on Amazon</v>
      </c>
      <c r="K110" s="23" t="s">
        <v>503</v>
      </c>
      <c r="L110" s="28" t="s">
        <v>460</v>
      </c>
    </row>
    <row r="111" spans="1:12" ht="51" x14ac:dyDescent="0.2">
      <c r="A111" s="13" t="s">
        <v>699</v>
      </c>
      <c r="B111" s="14" t="s">
        <v>700</v>
      </c>
      <c r="C111" s="15" t="s">
        <v>50</v>
      </c>
      <c r="D111" s="15" t="s">
        <v>459</v>
      </c>
      <c r="E111" s="16">
        <v>99.98</v>
      </c>
      <c r="F111" s="17">
        <v>2970.45</v>
      </c>
      <c r="G111" s="18">
        <v>30</v>
      </c>
      <c r="H111" s="19">
        <v>3.6</v>
      </c>
      <c r="I111" s="18">
        <v>31</v>
      </c>
      <c r="J111" s="38" t="str">
        <f>HYPERLINK("https://amazon.com/dp/B0DSBXKFJD","View on Amazon")</f>
        <v>View on Amazon</v>
      </c>
      <c r="K111" s="15" t="s">
        <v>459</v>
      </c>
      <c r="L111" s="20" t="s">
        <v>460</v>
      </c>
    </row>
    <row r="112" spans="1:12" ht="17" x14ac:dyDescent="0.2">
      <c r="A112" s="21" t="s">
        <v>701</v>
      </c>
      <c r="B112" s="22" t="s">
        <v>702</v>
      </c>
      <c r="C112" s="23" t="s">
        <v>79</v>
      </c>
      <c r="D112" s="23" t="s">
        <v>503</v>
      </c>
      <c r="E112" s="24">
        <v>849</v>
      </c>
      <c r="F112" s="25">
        <v>2967.07</v>
      </c>
      <c r="G112" s="26">
        <v>3</v>
      </c>
      <c r="H112" s="27">
        <v>4.7</v>
      </c>
      <c r="I112" s="26">
        <v>7</v>
      </c>
      <c r="J112" s="39" t="str">
        <f>HYPERLINK("https://amazon.com/dp/B01BWU1BP4","View on Amazon")</f>
        <v>View on Amazon</v>
      </c>
      <c r="K112" s="23" t="s">
        <v>503</v>
      </c>
      <c r="L112" s="28" t="s">
        <v>220</v>
      </c>
    </row>
    <row r="113" spans="1:12" ht="51" x14ac:dyDescent="0.2">
      <c r="A113" s="13" t="s">
        <v>703</v>
      </c>
      <c r="B113" s="14" t="s">
        <v>704</v>
      </c>
      <c r="C113" s="15" t="s">
        <v>39</v>
      </c>
      <c r="D113" s="15" t="s">
        <v>463</v>
      </c>
      <c r="E113" s="16">
        <v>94.99</v>
      </c>
      <c r="F113" s="17">
        <v>2962.67</v>
      </c>
      <c r="G113" s="18">
        <v>33</v>
      </c>
      <c r="H113" s="19">
        <v>4.2</v>
      </c>
      <c r="I113" s="18">
        <v>41</v>
      </c>
      <c r="J113" s="38" t="str">
        <f>HYPERLINK("https://amazon.com/dp/B09VGLNPS9","View on Amazon")</f>
        <v>View on Amazon</v>
      </c>
      <c r="K113" s="15" t="s">
        <v>463</v>
      </c>
      <c r="L113" s="20" t="s">
        <v>460</v>
      </c>
    </row>
    <row r="114" spans="1:12" ht="34" x14ac:dyDescent="0.2">
      <c r="A114" s="21" t="s">
        <v>705</v>
      </c>
      <c r="B114" s="22" t="s">
        <v>706</v>
      </c>
      <c r="C114" s="23" t="s">
        <v>47</v>
      </c>
      <c r="D114" s="23" t="s">
        <v>463</v>
      </c>
      <c r="E114" s="24">
        <v>599.99</v>
      </c>
      <c r="F114" s="25">
        <v>2828.78</v>
      </c>
      <c r="G114" s="26">
        <v>5</v>
      </c>
      <c r="H114" s="27">
        <v>4.7</v>
      </c>
      <c r="I114" s="26">
        <v>5</v>
      </c>
      <c r="J114" s="39" t="str">
        <f>HYPERLINK("https://amazon.com/dp/B0C5DD963Y","View on Amazon")</f>
        <v>View on Amazon</v>
      </c>
      <c r="K114" s="23" t="s">
        <v>463</v>
      </c>
      <c r="L114" s="28" t="s">
        <v>460</v>
      </c>
    </row>
    <row r="115" spans="1:12" ht="51" x14ac:dyDescent="0.2">
      <c r="A115" s="13" t="s">
        <v>707</v>
      </c>
      <c r="B115" s="14" t="s">
        <v>708</v>
      </c>
      <c r="C115" s="15" t="s">
        <v>66</v>
      </c>
      <c r="D115" s="15" t="s">
        <v>463</v>
      </c>
      <c r="E115" s="16">
        <v>129.99</v>
      </c>
      <c r="F115" s="17">
        <v>2799.05</v>
      </c>
      <c r="G115" s="18">
        <v>16</v>
      </c>
      <c r="H115" s="19">
        <v>4.2</v>
      </c>
      <c r="I115" s="18">
        <v>219</v>
      </c>
      <c r="J115" s="38" t="str">
        <f>HYPERLINK("https://amazon.com/dp/B0DGX4BG33","View on Amazon")</f>
        <v>View on Amazon</v>
      </c>
      <c r="K115" s="15" t="s">
        <v>463</v>
      </c>
      <c r="L115" s="20" t="s">
        <v>460</v>
      </c>
    </row>
    <row r="116" spans="1:12" ht="51" x14ac:dyDescent="0.2">
      <c r="A116" s="21" t="s">
        <v>709</v>
      </c>
      <c r="B116" s="22" t="s">
        <v>710</v>
      </c>
      <c r="C116" s="23" t="s">
        <v>92</v>
      </c>
      <c r="D116" s="23" t="s">
        <v>463</v>
      </c>
      <c r="E116" s="24">
        <v>158.97999999999999</v>
      </c>
      <c r="F116" s="25">
        <v>2754.06</v>
      </c>
      <c r="G116" s="26">
        <v>17</v>
      </c>
      <c r="H116" s="27">
        <v>4.2</v>
      </c>
      <c r="I116" s="26">
        <v>17</v>
      </c>
      <c r="J116" s="39" t="str">
        <f>HYPERLINK("https://amazon.com/dp/B0D8SB24WM","View on Amazon")</f>
        <v>View on Amazon</v>
      </c>
      <c r="K116" s="23" t="s">
        <v>463</v>
      </c>
      <c r="L116" s="28" t="s">
        <v>460</v>
      </c>
    </row>
    <row r="117" spans="1:12" ht="51" x14ac:dyDescent="0.2">
      <c r="A117" s="13" t="s">
        <v>711</v>
      </c>
      <c r="B117" s="14" t="s">
        <v>712</v>
      </c>
      <c r="C117" s="15" t="s">
        <v>13</v>
      </c>
      <c r="D117" s="15" t="s">
        <v>463</v>
      </c>
      <c r="E117" s="16">
        <v>199.99</v>
      </c>
      <c r="F117" s="17">
        <v>2733.74</v>
      </c>
      <c r="G117" s="18">
        <v>14</v>
      </c>
      <c r="H117" s="19">
        <v>5</v>
      </c>
      <c r="I117" s="18">
        <v>1</v>
      </c>
      <c r="J117" s="38" t="str">
        <f>HYPERLINK("https://amazon.com/dp/B0FWR7VYMX","View on Amazon")</f>
        <v>View on Amazon</v>
      </c>
      <c r="K117" s="15" t="s">
        <v>463</v>
      </c>
      <c r="L117" s="20" t="s">
        <v>460</v>
      </c>
    </row>
    <row r="118" spans="1:12" ht="68" x14ac:dyDescent="0.2">
      <c r="A118" s="21" t="s">
        <v>583</v>
      </c>
      <c r="B118" s="22" t="s">
        <v>584</v>
      </c>
      <c r="C118" s="23" t="s">
        <v>76</v>
      </c>
      <c r="D118" s="23" t="s">
        <v>463</v>
      </c>
      <c r="E118" s="24">
        <v>35.99</v>
      </c>
      <c r="F118" s="25">
        <v>2692.58</v>
      </c>
      <c r="G118" s="26">
        <v>75</v>
      </c>
      <c r="H118" s="27">
        <v>4.5</v>
      </c>
      <c r="I118" s="26">
        <v>21</v>
      </c>
      <c r="J118" s="39" t="str">
        <f>HYPERLINK("https://amazon.com/dp/B0FWJB8C1H","View on Amazon")</f>
        <v>View on Amazon</v>
      </c>
      <c r="K118" s="23" t="s">
        <v>463</v>
      </c>
      <c r="L118" s="28" t="s">
        <v>460</v>
      </c>
    </row>
    <row r="119" spans="1:12" ht="68" x14ac:dyDescent="0.2">
      <c r="A119" s="13" t="s">
        <v>713</v>
      </c>
      <c r="B119" s="14" t="s">
        <v>714</v>
      </c>
      <c r="C119" s="15" t="s">
        <v>99</v>
      </c>
      <c r="D119" s="15" t="s">
        <v>463</v>
      </c>
      <c r="E119" s="16">
        <v>39.99</v>
      </c>
      <c r="F119" s="17">
        <v>2668.08</v>
      </c>
      <c r="G119" s="18">
        <v>56</v>
      </c>
      <c r="H119" s="19">
        <v>4</v>
      </c>
      <c r="I119" s="18">
        <v>37</v>
      </c>
      <c r="J119" s="38" t="str">
        <f>HYPERLINK("https://amazon.com/dp/B0F331K8HJ","View on Amazon")</f>
        <v>View on Amazon</v>
      </c>
      <c r="K119" s="15" t="s">
        <v>463</v>
      </c>
      <c r="L119" s="20" t="s">
        <v>460</v>
      </c>
    </row>
    <row r="120" spans="1:12" ht="68" x14ac:dyDescent="0.2">
      <c r="A120" s="21" t="s">
        <v>715</v>
      </c>
      <c r="B120" s="22" t="s">
        <v>716</v>
      </c>
      <c r="C120" s="23" t="s">
        <v>30</v>
      </c>
      <c r="D120" s="23" t="s">
        <v>463</v>
      </c>
      <c r="E120" s="24">
        <v>89.99</v>
      </c>
      <c r="F120" s="25">
        <v>2647.53</v>
      </c>
      <c r="G120" s="26">
        <v>29</v>
      </c>
      <c r="H120" s="27">
        <v>3.8</v>
      </c>
      <c r="I120" s="26">
        <v>32</v>
      </c>
      <c r="J120" s="39" t="str">
        <f>HYPERLINK("https://amazon.com/dp/B0FHW43QZL","View on Amazon")</f>
        <v>View on Amazon</v>
      </c>
      <c r="K120" s="23" t="s">
        <v>463</v>
      </c>
      <c r="L120" s="28" t="s">
        <v>460</v>
      </c>
    </row>
    <row r="121" spans="1:12" ht="68" x14ac:dyDescent="0.2">
      <c r="A121" s="13" t="s">
        <v>717</v>
      </c>
      <c r="B121" s="14" t="s">
        <v>718</v>
      </c>
      <c r="C121" s="15" t="s">
        <v>66</v>
      </c>
      <c r="D121" s="15" t="s">
        <v>463</v>
      </c>
      <c r="E121" s="16">
        <v>129.99</v>
      </c>
      <c r="F121" s="17">
        <v>2637.04</v>
      </c>
      <c r="G121" s="18">
        <v>15</v>
      </c>
      <c r="H121" s="19">
        <v>4.2</v>
      </c>
      <c r="I121" s="18">
        <v>167</v>
      </c>
      <c r="J121" s="38" t="str">
        <f>HYPERLINK("https://amazon.com/dp/B0BX2G16DK","View on Amazon")</f>
        <v>View on Amazon</v>
      </c>
      <c r="K121" s="15" t="s">
        <v>463</v>
      </c>
      <c r="L121" s="20" t="s">
        <v>460</v>
      </c>
    </row>
    <row r="122" spans="1:12" ht="68" x14ac:dyDescent="0.2">
      <c r="A122" s="21" t="s">
        <v>719</v>
      </c>
      <c r="B122" s="22" t="s">
        <v>720</v>
      </c>
      <c r="C122" s="23" t="s">
        <v>34</v>
      </c>
      <c r="D122" s="23" t="s">
        <v>463</v>
      </c>
      <c r="E122" s="24">
        <v>119.99</v>
      </c>
      <c r="F122" s="25">
        <v>2615.73</v>
      </c>
      <c r="G122" s="26">
        <v>24</v>
      </c>
      <c r="H122" s="27">
        <v>5</v>
      </c>
      <c r="I122" s="26">
        <v>12</v>
      </c>
      <c r="J122" s="39" t="str">
        <f>HYPERLINK("https://amazon.com/dp/B0GH5RWH12","View on Amazon")</f>
        <v>View on Amazon</v>
      </c>
      <c r="K122" s="23" t="s">
        <v>463</v>
      </c>
      <c r="L122" s="28" t="s">
        <v>460</v>
      </c>
    </row>
    <row r="123" spans="1:12" ht="51" x14ac:dyDescent="0.2">
      <c r="A123" s="13" t="s">
        <v>581</v>
      </c>
      <c r="B123" s="14" t="s">
        <v>582</v>
      </c>
      <c r="C123" s="15" t="s">
        <v>68</v>
      </c>
      <c r="D123" s="15" t="s">
        <v>463</v>
      </c>
      <c r="E123" s="16">
        <v>33.99</v>
      </c>
      <c r="F123" s="17">
        <v>2592.56</v>
      </c>
      <c r="G123" s="18">
        <v>76</v>
      </c>
      <c r="H123" s="19">
        <v>4.5</v>
      </c>
      <c r="I123" s="18">
        <v>29</v>
      </c>
      <c r="J123" s="38" t="str">
        <f>HYPERLINK("https://amazon.com/dp/B0CSV6W4RY","View on Amazon")</f>
        <v>View on Amazon</v>
      </c>
      <c r="K123" s="15" t="s">
        <v>463</v>
      </c>
      <c r="L123" s="20" t="s">
        <v>460</v>
      </c>
    </row>
    <row r="124" spans="1:12" ht="68" x14ac:dyDescent="0.2">
      <c r="A124" s="21" t="s">
        <v>721</v>
      </c>
      <c r="B124" s="22" t="s">
        <v>722</v>
      </c>
      <c r="C124" s="23" t="s">
        <v>101</v>
      </c>
      <c r="D124" s="23" t="s">
        <v>460</v>
      </c>
      <c r="E124" s="24">
        <v>47.99</v>
      </c>
      <c r="F124" s="25">
        <v>2589.04</v>
      </c>
      <c r="G124" s="26">
        <v>49</v>
      </c>
      <c r="H124" s="27">
        <v>4.0999999999999996</v>
      </c>
      <c r="I124" s="26">
        <v>562</v>
      </c>
      <c r="J124" s="39" t="str">
        <f>HYPERLINK("https://amazon.com/dp/B004RDP2I6","View on Amazon")</f>
        <v>View on Amazon</v>
      </c>
      <c r="K124" s="23" t="s">
        <v>723</v>
      </c>
      <c r="L124" s="28" t="s">
        <v>460</v>
      </c>
    </row>
    <row r="125" spans="1:12" ht="34" x14ac:dyDescent="0.2">
      <c r="A125" s="13" t="s">
        <v>724</v>
      </c>
      <c r="B125" s="14" t="s">
        <v>725</v>
      </c>
      <c r="C125" s="15" t="s">
        <v>39</v>
      </c>
      <c r="D125" s="15" t="s">
        <v>463</v>
      </c>
      <c r="E125" s="16">
        <v>98.99</v>
      </c>
      <c r="F125" s="17">
        <v>2576.9499999999998</v>
      </c>
      <c r="G125" s="18">
        <v>27</v>
      </c>
      <c r="H125" s="19">
        <v>4.5</v>
      </c>
      <c r="I125" s="18">
        <v>19</v>
      </c>
      <c r="J125" s="38" t="str">
        <f>HYPERLINK("https://amazon.com/dp/B0D6YPL8XH","View on Amazon")</f>
        <v>View on Amazon</v>
      </c>
      <c r="K125" s="15" t="s">
        <v>463</v>
      </c>
      <c r="L125" s="20" t="s">
        <v>460</v>
      </c>
    </row>
    <row r="126" spans="1:12" ht="68" x14ac:dyDescent="0.2">
      <c r="A126" s="21" t="s">
        <v>726</v>
      </c>
      <c r="B126" s="22" t="s">
        <v>727</v>
      </c>
      <c r="C126" s="23" t="s">
        <v>13</v>
      </c>
      <c r="D126" s="23" t="s">
        <v>463</v>
      </c>
      <c r="E126" s="24">
        <v>123.49</v>
      </c>
      <c r="F126" s="25">
        <v>2544.9299999999998</v>
      </c>
      <c r="G126" s="26">
        <v>13</v>
      </c>
      <c r="H126" s="27">
        <v>4.0999999999999996</v>
      </c>
      <c r="I126" s="26">
        <v>131</v>
      </c>
      <c r="J126" s="39" t="str">
        <f>HYPERLINK("https://amazon.com/dp/B0FH9Y3TJT","View on Amazon")</f>
        <v>View on Amazon</v>
      </c>
      <c r="K126" s="23" t="s">
        <v>463</v>
      </c>
      <c r="L126" s="28" t="s">
        <v>460</v>
      </c>
    </row>
    <row r="127" spans="1:12" ht="68" x14ac:dyDescent="0.2">
      <c r="A127" s="13" t="s">
        <v>728</v>
      </c>
      <c r="B127" s="14" t="s">
        <v>729</v>
      </c>
      <c r="C127" s="15" t="s">
        <v>70</v>
      </c>
      <c r="D127" s="15" t="s">
        <v>459</v>
      </c>
      <c r="E127" s="16">
        <v>755.99</v>
      </c>
      <c r="F127" s="17">
        <v>2449.15</v>
      </c>
      <c r="G127" s="18">
        <v>3</v>
      </c>
      <c r="H127" s="19">
        <v>5</v>
      </c>
      <c r="I127" s="18">
        <v>2</v>
      </c>
      <c r="J127" s="38" t="str">
        <f>HYPERLINK("https://amazon.com/dp/B0DRNW682M","View on Amazon")</f>
        <v>View on Amazon</v>
      </c>
      <c r="K127" s="15" t="s">
        <v>459</v>
      </c>
      <c r="L127" s="20" t="s">
        <v>460</v>
      </c>
    </row>
    <row r="128" spans="1:12" ht="17" x14ac:dyDescent="0.2">
      <c r="A128" s="21" t="s">
        <v>730</v>
      </c>
      <c r="B128" s="22" t="s">
        <v>731</v>
      </c>
      <c r="C128" s="23" t="s">
        <v>17</v>
      </c>
      <c r="D128" s="23" t="s">
        <v>512</v>
      </c>
      <c r="E128" s="24">
        <v>599</v>
      </c>
      <c r="F128" s="25">
        <v>2436.02</v>
      </c>
      <c r="G128" s="26">
        <v>4</v>
      </c>
      <c r="H128" s="27">
        <v>4.0999999999999996</v>
      </c>
      <c r="I128" s="26">
        <v>239</v>
      </c>
      <c r="J128" s="39" t="str">
        <f>HYPERLINK("https://amazon.com/dp/B09HGZV9VS","View on Amazon")</f>
        <v>View on Amazon</v>
      </c>
      <c r="K128" s="23" t="s">
        <v>512</v>
      </c>
      <c r="L128" s="28" t="s">
        <v>460</v>
      </c>
    </row>
    <row r="129" spans="1:12" ht="51" x14ac:dyDescent="0.2">
      <c r="A129" s="13" t="s">
        <v>732</v>
      </c>
      <c r="B129" s="14" t="s">
        <v>733</v>
      </c>
      <c r="C129" s="15" t="s">
        <v>10</v>
      </c>
      <c r="D129" s="15" t="s">
        <v>459</v>
      </c>
      <c r="E129" s="16">
        <v>206.1</v>
      </c>
      <c r="F129" s="17">
        <v>2419</v>
      </c>
      <c r="G129" s="18">
        <v>12</v>
      </c>
      <c r="H129" s="19">
        <v>4.3</v>
      </c>
      <c r="I129" s="18">
        <v>279</v>
      </c>
      <c r="J129" s="38" t="str">
        <f>HYPERLINK("https://amazon.com/dp/B0BZSBGQTW","View on Amazon")</f>
        <v>View on Amazon</v>
      </c>
      <c r="K129" s="15" t="s">
        <v>459</v>
      </c>
      <c r="L129" s="20" t="s">
        <v>460</v>
      </c>
    </row>
    <row r="130" spans="1:12" ht="68" x14ac:dyDescent="0.2">
      <c r="A130" s="21" t="s">
        <v>734</v>
      </c>
      <c r="B130" s="22" t="s">
        <v>735</v>
      </c>
      <c r="C130" s="23" t="s">
        <v>77</v>
      </c>
      <c r="D130" s="23" t="s">
        <v>463</v>
      </c>
      <c r="E130" s="24">
        <v>69.989999999999995</v>
      </c>
      <c r="F130" s="25">
        <v>2270.31</v>
      </c>
      <c r="G130" s="26">
        <v>51</v>
      </c>
      <c r="H130" s="27">
        <v>4.4000000000000004</v>
      </c>
      <c r="I130" s="26">
        <v>96</v>
      </c>
      <c r="J130" s="39" t="str">
        <f>HYPERLINK("https://amazon.com/dp/B0DG5SRPBD","View on Amazon")</f>
        <v>View on Amazon</v>
      </c>
      <c r="K130" s="23" t="s">
        <v>463</v>
      </c>
      <c r="L130" s="28" t="s">
        <v>460</v>
      </c>
    </row>
    <row r="131" spans="1:12" ht="51" x14ac:dyDescent="0.2">
      <c r="A131" s="13" t="s">
        <v>736</v>
      </c>
      <c r="B131" s="14" t="s">
        <v>737</v>
      </c>
      <c r="C131" s="15" t="s">
        <v>64</v>
      </c>
      <c r="D131" s="15" t="s">
        <v>463</v>
      </c>
      <c r="E131" s="16">
        <v>139.99</v>
      </c>
      <c r="F131" s="17">
        <v>2225.44</v>
      </c>
      <c r="G131" s="18">
        <v>33</v>
      </c>
      <c r="H131" s="19">
        <v>3</v>
      </c>
      <c r="I131" s="18">
        <v>1</v>
      </c>
      <c r="J131" s="38" t="str">
        <f>HYPERLINK("https://amazon.com/dp/B0F7RGYKC3","View on Amazon")</f>
        <v>View on Amazon</v>
      </c>
      <c r="K131" s="15" t="s">
        <v>463</v>
      </c>
      <c r="L131" s="20" t="s">
        <v>460</v>
      </c>
    </row>
    <row r="132" spans="1:12" ht="68" x14ac:dyDescent="0.2">
      <c r="A132" s="21" t="s">
        <v>738</v>
      </c>
      <c r="B132" s="22" t="s">
        <v>739</v>
      </c>
      <c r="C132" s="23" t="s">
        <v>107</v>
      </c>
      <c r="D132" s="23" t="s">
        <v>459</v>
      </c>
      <c r="E132" s="24">
        <v>359</v>
      </c>
      <c r="F132" s="25">
        <v>2185.33</v>
      </c>
      <c r="G132" s="26">
        <v>6</v>
      </c>
      <c r="H132" s="27">
        <v>3.9</v>
      </c>
      <c r="I132" s="26">
        <v>32</v>
      </c>
      <c r="J132" s="39" t="str">
        <f>HYPERLINK("https://amazon.com/dp/B0CW366L4F","View on Amazon")</f>
        <v>View on Amazon</v>
      </c>
      <c r="K132" s="23" t="s">
        <v>459</v>
      </c>
      <c r="L132" s="28" t="s">
        <v>460</v>
      </c>
    </row>
    <row r="133" spans="1:12" ht="68" x14ac:dyDescent="0.2">
      <c r="A133" s="13" t="s">
        <v>740</v>
      </c>
      <c r="B133" s="14" t="s">
        <v>741</v>
      </c>
      <c r="C133" s="15" t="s">
        <v>36</v>
      </c>
      <c r="D133" s="15" t="s">
        <v>459</v>
      </c>
      <c r="E133" s="16">
        <v>439.89</v>
      </c>
      <c r="F133" s="17">
        <v>2184.2600000000002</v>
      </c>
      <c r="G133" s="18">
        <v>5</v>
      </c>
      <c r="H133" s="19">
        <v>3.8</v>
      </c>
      <c r="I133" s="18">
        <v>2</v>
      </c>
      <c r="J133" s="38" t="str">
        <f>HYPERLINK("https://amazon.com/dp/B0C69HZ8RM","View on Amazon")</f>
        <v>View on Amazon</v>
      </c>
      <c r="K133" s="15" t="s">
        <v>459</v>
      </c>
      <c r="L133" s="20" t="s">
        <v>460</v>
      </c>
    </row>
    <row r="134" spans="1:12" ht="68" x14ac:dyDescent="0.2">
      <c r="A134" s="21" t="s">
        <v>742</v>
      </c>
      <c r="B134" s="22" t="s">
        <v>743</v>
      </c>
      <c r="C134" s="23" t="s">
        <v>32</v>
      </c>
      <c r="D134" s="23" t="s">
        <v>459</v>
      </c>
      <c r="E134" s="24">
        <v>787.79</v>
      </c>
      <c r="F134" s="25">
        <v>2135.52</v>
      </c>
      <c r="G134" s="26">
        <v>3</v>
      </c>
      <c r="H134" s="27">
        <v>4.2</v>
      </c>
      <c r="I134" s="26">
        <v>62</v>
      </c>
      <c r="J134" s="39" t="str">
        <f>HYPERLINK("https://amazon.com/dp/B0BS1C374Y","View on Amazon")</f>
        <v>View on Amazon</v>
      </c>
      <c r="K134" s="23" t="s">
        <v>459</v>
      </c>
      <c r="L134" s="28" t="s">
        <v>460</v>
      </c>
    </row>
    <row r="135" spans="1:12" ht="51" x14ac:dyDescent="0.2">
      <c r="A135" s="13" t="s">
        <v>744</v>
      </c>
      <c r="B135" s="14" t="s">
        <v>745</v>
      </c>
      <c r="C135" s="15" t="s">
        <v>103</v>
      </c>
      <c r="D135" s="15" t="s">
        <v>459</v>
      </c>
      <c r="E135" s="16">
        <v>99.59</v>
      </c>
      <c r="F135" s="17">
        <v>2107.35</v>
      </c>
      <c r="G135" s="18">
        <v>21</v>
      </c>
      <c r="H135" s="19">
        <v>3.7</v>
      </c>
      <c r="I135" s="18">
        <v>82</v>
      </c>
      <c r="J135" s="38" t="str">
        <f>HYPERLINK("https://amazon.com/dp/B0CKT5QG85","View on Amazon")</f>
        <v>View on Amazon</v>
      </c>
      <c r="K135" s="15" t="s">
        <v>459</v>
      </c>
      <c r="L135" s="20" t="s">
        <v>460</v>
      </c>
    </row>
    <row r="136" spans="1:12" ht="68" x14ac:dyDescent="0.2">
      <c r="A136" s="21" t="s">
        <v>746</v>
      </c>
      <c r="B136" s="22" t="s">
        <v>747</v>
      </c>
      <c r="C136" s="23" t="s">
        <v>69</v>
      </c>
      <c r="D136" s="23" t="s">
        <v>463</v>
      </c>
      <c r="E136" s="24">
        <v>159.99</v>
      </c>
      <c r="F136" s="25">
        <v>2106.2800000000002</v>
      </c>
      <c r="G136" s="26">
        <v>15</v>
      </c>
      <c r="H136" s="27">
        <v>4.3</v>
      </c>
      <c r="I136" s="26">
        <v>1082</v>
      </c>
      <c r="J136" s="39" t="str">
        <f>HYPERLINK("https://amazon.com/dp/B0C9PG7R71","View on Amazon")</f>
        <v>View on Amazon</v>
      </c>
      <c r="K136" s="23" t="s">
        <v>463</v>
      </c>
      <c r="L136" s="28" t="s">
        <v>460</v>
      </c>
    </row>
    <row r="137" spans="1:12" ht="51" x14ac:dyDescent="0.2">
      <c r="A137" s="13" t="s">
        <v>748</v>
      </c>
      <c r="B137" s="14" t="s">
        <v>749</v>
      </c>
      <c r="C137" s="15" t="s">
        <v>77</v>
      </c>
      <c r="D137" s="15" t="s">
        <v>463</v>
      </c>
      <c r="E137" s="16">
        <v>69.989999999999995</v>
      </c>
      <c r="F137" s="17">
        <v>2078.9499999999998</v>
      </c>
      <c r="G137" s="18">
        <v>33</v>
      </c>
      <c r="H137" s="19">
        <v>4.4000000000000004</v>
      </c>
      <c r="I137" s="18">
        <v>96</v>
      </c>
      <c r="J137" s="38" t="str">
        <f>HYPERLINK("https://amazon.com/dp/B0DM9691DW","View on Amazon")</f>
        <v>View on Amazon</v>
      </c>
      <c r="K137" s="15" t="s">
        <v>463</v>
      </c>
      <c r="L137" s="20" t="s">
        <v>460</v>
      </c>
    </row>
    <row r="138" spans="1:12" ht="68" x14ac:dyDescent="0.2">
      <c r="A138" s="21" t="s">
        <v>750</v>
      </c>
      <c r="B138" s="22" t="s">
        <v>751</v>
      </c>
      <c r="C138" s="23" t="s">
        <v>52</v>
      </c>
      <c r="D138" s="23" t="s">
        <v>463</v>
      </c>
      <c r="E138" s="24">
        <v>79.98</v>
      </c>
      <c r="F138" s="25">
        <v>2053.9299999999998</v>
      </c>
      <c r="G138" s="26">
        <v>26</v>
      </c>
      <c r="H138" s="27">
        <v>4.4000000000000004</v>
      </c>
      <c r="I138" s="26">
        <v>32</v>
      </c>
      <c r="J138" s="39" t="str">
        <f>HYPERLINK("https://amazon.com/dp/B0F835LQ72","View on Amazon")</f>
        <v>View on Amazon</v>
      </c>
      <c r="K138" s="23" t="s">
        <v>463</v>
      </c>
      <c r="L138" s="28" t="s">
        <v>460</v>
      </c>
    </row>
    <row r="139" spans="1:12" ht="51" x14ac:dyDescent="0.2">
      <c r="A139" s="13" t="s">
        <v>752</v>
      </c>
      <c r="B139" s="14" t="s">
        <v>753</v>
      </c>
      <c r="C139" s="15" t="s">
        <v>52</v>
      </c>
      <c r="D139" s="15" t="s">
        <v>463</v>
      </c>
      <c r="E139" s="16">
        <v>79.98</v>
      </c>
      <c r="F139" s="17">
        <v>2051.62</v>
      </c>
      <c r="G139" s="18">
        <v>26</v>
      </c>
      <c r="H139" s="19">
        <v>4.4000000000000004</v>
      </c>
      <c r="I139" s="18">
        <v>32</v>
      </c>
      <c r="J139" s="38" t="str">
        <f>HYPERLINK("https://amazon.com/dp/B0F82Q6C82","View on Amazon")</f>
        <v>View on Amazon</v>
      </c>
      <c r="K139" s="15" t="s">
        <v>463</v>
      </c>
      <c r="L139" s="20" t="s">
        <v>460</v>
      </c>
    </row>
    <row r="140" spans="1:12" ht="34" x14ac:dyDescent="0.2">
      <c r="A140" s="21" t="s">
        <v>754</v>
      </c>
      <c r="B140" s="22" t="s">
        <v>755</v>
      </c>
      <c r="C140" s="23" t="s">
        <v>39</v>
      </c>
      <c r="D140" s="23" t="s">
        <v>463</v>
      </c>
      <c r="E140" s="24">
        <v>70.989999999999995</v>
      </c>
      <c r="F140" s="25">
        <v>2032.44</v>
      </c>
      <c r="G140" s="26">
        <v>30</v>
      </c>
      <c r="H140" s="27">
        <v>4.2</v>
      </c>
      <c r="I140" s="26">
        <v>142</v>
      </c>
      <c r="J140" s="39" t="str">
        <f>HYPERLINK("https://amazon.com/dp/B091T3YVNV","View on Amazon")</f>
        <v>View on Amazon</v>
      </c>
      <c r="K140" s="23" t="s">
        <v>463</v>
      </c>
      <c r="L140" s="28" t="s">
        <v>460</v>
      </c>
    </row>
    <row r="141" spans="1:12" ht="68" x14ac:dyDescent="0.2">
      <c r="A141" s="13" t="s">
        <v>756</v>
      </c>
      <c r="B141" s="14" t="s">
        <v>757</v>
      </c>
      <c r="C141" s="15" t="s">
        <v>111</v>
      </c>
      <c r="D141" s="15" t="s">
        <v>463</v>
      </c>
      <c r="E141" s="16">
        <v>43.89</v>
      </c>
      <c r="F141" s="17">
        <v>2000.08</v>
      </c>
      <c r="G141" s="18">
        <v>46</v>
      </c>
      <c r="H141" s="19">
        <v>3.5</v>
      </c>
      <c r="I141" s="18">
        <v>61</v>
      </c>
      <c r="J141" s="38" t="str">
        <f>HYPERLINK("https://amazon.com/dp/B0F93LBQC5","View on Amazon")</f>
        <v>View on Amazon</v>
      </c>
      <c r="K141" s="15" t="s">
        <v>463</v>
      </c>
      <c r="L141" s="20" t="s">
        <v>460</v>
      </c>
    </row>
    <row r="142" spans="1:12" ht="17" x14ac:dyDescent="0.2">
      <c r="A142" s="21" t="s">
        <v>758</v>
      </c>
      <c r="B142" s="22" t="s">
        <v>759</v>
      </c>
      <c r="C142" s="23" t="s">
        <v>112</v>
      </c>
      <c r="D142" s="23" t="s">
        <v>459</v>
      </c>
      <c r="E142" s="24">
        <v>129.97</v>
      </c>
      <c r="F142" s="25">
        <v>1990.56</v>
      </c>
      <c r="G142" s="26">
        <v>15</v>
      </c>
      <c r="H142" s="27">
        <v>4.4000000000000004</v>
      </c>
      <c r="I142" s="26">
        <v>7</v>
      </c>
      <c r="J142" s="39" t="str">
        <f>HYPERLINK("https://amazon.com/dp/B002Q6UG3W","View on Amazon")</f>
        <v>View on Amazon</v>
      </c>
      <c r="K142" s="23" t="s">
        <v>459</v>
      </c>
      <c r="L142" s="28" t="s">
        <v>460</v>
      </c>
    </row>
    <row r="143" spans="1:12" ht="68" x14ac:dyDescent="0.2">
      <c r="A143" s="13" t="s">
        <v>760</v>
      </c>
      <c r="B143" s="14" t="s">
        <v>761</v>
      </c>
      <c r="C143" s="15" t="s">
        <v>113</v>
      </c>
      <c r="D143" s="15" t="s">
        <v>459</v>
      </c>
      <c r="E143" s="16">
        <v>519</v>
      </c>
      <c r="F143" s="17">
        <v>1988.44</v>
      </c>
      <c r="G143" s="18">
        <v>4</v>
      </c>
      <c r="H143" s="19">
        <v>0</v>
      </c>
      <c r="I143" s="18">
        <v>0</v>
      </c>
      <c r="J143" s="38" t="str">
        <f>HYPERLINK("https://amazon.com/dp/B0FDH7FLVK","View on Amazon")</f>
        <v>View on Amazon</v>
      </c>
      <c r="K143" s="15" t="s">
        <v>459</v>
      </c>
      <c r="L143" s="20" t="s">
        <v>460</v>
      </c>
    </row>
    <row r="144" spans="1:12" ht="51" x14ac:dyDescent="0.2">
      <c r="A144" s="21" t="s">
        <v>762</v>
      </c>
      <c r="B144" s="22" t="s">
        <v>763</v>
      </c>
      <c r="C144" s="23" t="s">
        <v>32</v>
      </c>
      <c r="D144" s="23" t="s">
        <v>459</v>
      </c>
      <c r="E144" s="24">
        <v>499</v>
      </c>
      <c r="F144" s="25">
        <v>1949.24</v>
      </c>
      <c r="G144" s="26">
        <v>4</v>
      </c>
      <c r="H144" s="27">
        <v>4</v>
      </c>
      <c r="I144" s="26">
        <v>18</v>
      </c>
      <c r="J144" s="39" t="str">
        <f>HYPERLINK("https://amazon.com/dp/B09XMWF89J","View on Amazon")</f>
        <v>View on Amazon</v>
      </c>
      <c r="K144" s="23" t="s">
        <v>459</v>
      </c>
      <c r="L144" s="28" t="s">
        <v>460</v>
      </c>
    </row>
    <row r="145" spans="1:12" ht="68" x14ac:dyDescent="0.2">
      <c r="A145" s="13" t="s">
        <v>764</v>
      </c>
      <c r="B145" s="14" t="s">
        <v>765</v>
      </c>
      <c r="C145" s="15" t="s">
        <v>45</v>
      </c>
      <c r="D145" s="15" t="s">
        <v>463</v>
      </c>
      <c r="E145" s="16">
        <v>499</v>
      </c>
      <c r="F145" s="17">
        <v>1892.74</v>
      </c>
      <c r="G145" s="18">
        <v>4</v>
      </c>
      <c r="H145" s="19">
        <v>3.6</v>
      </c>
      <c r="I145" s="18">
        <v>25</v>
      </c>
      <c r="J145" s="38" t="str">
        <f>HYPERLINK("https://amazon.com/dp/B0D8V9ZFF9","View on Amazon")</f>
        <v>View on Amazon</v>
      </c>
      <c r="K145" s="15" t="s">
        <v>463</v>
      </c>
      <c r="L145" s="20" t="s">
        <v>460</v>
      </c>
    </row>
    <row r="146" spans="1:12" ht="51" x14ac:dyDescent="0.2">
      <c r="A146" s="21" t="s">
        <v>766</v>
      </c>
      <c r="B146" s="22" t="s">
        <v>767</v>
      </c>
      <c r="C146" s="23" t="s">
        <v>75</v>
      </c>
      <c r="D146" s="23" t="s">
        <v>463</v>
      </c>
      <c r="E146" s="24">
        <v>139.99</v>
      </c>
      <c r="F146" s="25">
        <v>1857.45</v>
      </c>
      <c r="G146" s="26">
        <v>13</v>
      </c>
      <c r="H146" s="27">
        <v>3.8</v>
      </c>
      <c r="I146" s="26">
        <v>8</v>
      </c>
      <c r="J146" s="39" t="str">
        <f>HYPERLINK("https://amazon.com/dp/B0G29G61NQ","View on Amazon")</f>
        <v>View on Amazon</v>
      </c>
      <c r="K146" s="23" t="s">
        <v>463</v>
      </c>
      <c r="L146" s="28" t="s">
        <v>460</v>
      </c>
    </row>
    <row r="147" spans="1:12" ht="68" x14ac:dyDescent="0.2">
      <c r="A147" s="13" t="s">
        <v>768</v>
      </c>
      <c r="B147" s="14" t="s">
        <v>769</v>
      </c>
      <c r="C147" s="15" t="s">
        <v>64</v>
      </c>
      <c r="D147" s="15" t="s">
        <v>463</v>
      </c>
      <c r="E147" s="16">
        <v>108.99</v>
      </c>
      <c r="F147" s="17">
        <v>1839.29</v>
      </c>
      <c r="G147" s="18">
        <v>17</v>
      </c>
      <c r="H147" s="19">
        <v>4.2</v>
      </c>
      <c r="I147" s="18">
        <v>3242</v>
      </c>
      <c r="J147" s="38" t="str">
        <f>HYPERLINK("https://amazon.com/dp/B081PLDXSG","View on Amazon")</f>
        <v>View on Amazon</v>
      </c>
      <c r="K147" s="15" t="s">
        <v>463</v>
      </c>
      <c r="L147" s="20" t="s">
        <v>460</v>
      </c>
    </row>
    <row r="148" spans="1:12" ht="34" x14ac:dyDescent="0.2">
      <c r="A148" s="21" t="s">
        <v>770</v>
      </c>
      <c r="B148" s="22" t="s">
        <v>771</v>
      </c>
      <c r="C148" s="23" t="s">
        <v>97</v>
      </c>
      <c r="D148" s="23" t="s">
        <v>463</v>
      </c>
      <c r="E148" s="24">
        <v>56.99</v>
      </c>
      <c r="F148" s="25">
        <v>1833.02</v>
      </c>
      <c r="G148" s="26">
        <v>32</v>
      </c>
      <c r="H148" s="27">
        <v>3.2</v>
      </c>
      <c r="I148" s="26">
        <v>8</v>
      </c>
      <c r="J148" s="39" t="str">
        <f>HYPERLINK("https://amazon.com/dp/B0CLXWY681","View on Amazon")</f>
        <v>View on Amazon</v>
      </c>
      <c r="K148" s="23" t="s">
        <v>463</v>
      </c>
      <c r="L148" s="28" t="s">
        <v>460</v>
      </c>
    </row>
    <row r="149" spans="1:12" ht="68" x14ac:dyDescent="0.2">
      <c r="A149" s="13" t="s">
        <v>772</v>
      </c>
      <c r="B149" s="14" t="s">
        <v>773</v>
      </c>
      <c r="C149" s="15" t="s">
        <v>114</v>
      </c>
      <c r="D149" s="15" t="s">
        <v>459</v>
      </c>
      <c r="E149" s="16">
        <v>399.99</v>
      </c>
      <c r="F149" s="17">
        <v>1808.84</v>
      </c>
      <c r="G149" s="18">
        <v>5</v>
      </c>
      <c r="H149" s="19">
        <v>5</v>
      </c>
      <c r="I149" s="18">
        <v>5</v>
      </c>
      <c r="J149" s="38" t="str">
        <f>HYPERLINK("https://amazon.com/dp/B0FFGVHSMK","View on Amazon")</f>
        <v>View on Amazon</v>
      </c>
      <c r="K149" s="15" t="s">
        <v>459</v>
      </c>
      <c r="L149" s="20" t="s">
        <v>460</v>
      </c>
    </row>
    <row r="150" spans="1:12" ht="68" x14ac:dyDescent="0.2">
      <c r="A150" s="21" t="s">
        <v>774</v>
      </c>
      <c r="B150" s="22" t="s">
        <v>775</v>
      </c>
      <c r="C150" s="23" t="s">
        <v>13</v>
      </c>
      <c r="D150" s="23" t="s">
        <v>463</v>
      </c>
      <c r="E150" s="24">
        <v>199.99</v>
      </c>
      <c r="F150" s="25">
        <v>1801.88</v>
      </c>
      <c r="G150" s="26">
        <v>10</v>
      </c>
      <c r="H150" s="27">
        <v>4.3</v>
      </c>
      <c r="I150" s="26">
        <v>88</v>
      </c>
      <c r="J150" s="39" t="str">
        <f>HYPERLINK("https://amazon.com/dp/B0G52GMGN1","View on Amazon")</f>
        <v>View on Amazon</v>
      </c>
      <c r="K150" s="23" t="s">
        <v>463</v>
      </c>
      <c r="L150" s="28" t="s">
        <v>460</v>
      </c>
    </row>
    <row r="151" spans="1:12" ht="68" x14ac:dyDescent="0.2">
      <c r="A151" s="13" t="s">
        <v>776</v>
      </c>
      <c r="B151" s="14" t="s">
        <v>777</v>
      </c>
      <c r="C151" s="15" t="s">
        <v>96</v>
      </c>
      <c r="D151" s="15" t="s">
        <v>459</v>
      </c>
      <c r="E151" s="16">
        <v>119.98</v>
      </c>
      <c r="F151" s="17">
        <v>1799.71</v>
      </c>
      <c r="G151" s="18">
        <v>15</v>
      </c>
      <c r="H151" s="19">
        <v>3.7</v>
      </c>
      <c r="I151" s="18">
        <v>27</v>
      </c>
      <c r="J151" s="38" t="str">
        <f>HYPERLINK("https://amazon.com/dp/B0DZTCYBFQ","View on Amazon")</f>
        <v>View on Amazon</v>
      </c>
      <c r="K151" s="15" t="s">
        <v>459</v>
      </c>
      <c r="L151" s="20" t="s">
        <v>460</v>
      </c>
    </row>
    <row r="152" spans="1:12" ht="34" x14ac:dyDescent="0.2">
      <c r="A152" s="21" t="s">
        <v>778</v>
      </c>
      <c r="B152" s="22" t="s">
        <v>779</v>
      </c>
      <c r="C152" s="23" t="s">
        <v>115</v>
      </c>
      <c r="D152" s="23" t="s">
        <v>463</v>
      </c>
      <c r="E152" s="24">
        <v>177</v>
      </c>
      <c r="F152" s="25">
        <v>1794.94</v>
      </c>
      <c r="G152" s="26">
        <v>10</v>
      </c>
      <c r="H152" s="27">
        <v>4.0999999999999996</v>
      </c>
      <c r="I152" s="26">
        <v>251</v>
      </c>
      <c r="J152" s="39" t="str">
        <f>HYPERLINK("https://amazon.com/dp/B093DVYDGY","View on Amazon")</f>
        <v>View on Amazon</v>
      </c>
      <c r="K152" s="23" t="s">
        <v>463</v>
      </c>
      <c r="L152" s="28" t="s">
        <v>460</v>
      </c>
    </row>
    <row r="153" spans="1:12" ht="68" x14ac:dyDescent="0.2">
      <c r="A153" s="13" t="s">
        <v>780</v>
      </c>
      <c r="B153" s="14" t="s">
        <v>781</v>
      </c>
      <c r="C153" s="15" t="s">
        <v>116</v>
      </c>
      <c r="D153" s="15" t="s">
        <v>459</v>
      </c>
      <c r="E153" s="16">
        <v>32.99</v>
      </c>
      <c r="F153" s="17">
        <v>1757.02</v>
      </c>
      <c r="G153" s="18">
        <v>45</v>
      </c>
      <c r="H153" s="19">
        <v>4.2</v>
      </c>
      <c r="I153" s="18">
        <v>534</v>
      </c>
      <c r="J153" s="38" t="str">
        <f>HYPERLINK("https://amazon.com/dp/B0DRJL7PLM","View on Amazon")</f>
        <v>View on Amazon</v>
      </c>
      <c r="K153" s="15" t="s">
        <v>459</v>
      </c>
      <c r="L153" s="20" t="s">
        <v>460</v>
      </c>
    </row>
    <row r="154" spans="1:12" ht="68" x14ac:dyDescent="0.2">
      <c r="A154" s="21" t="s">
        <v>782</v>
      </c>
      <c r="B154" s="22" t="s">
        <v>783</v>
      </c>
      <c r="C154" s="23" t="s">
        <v>80</v>
      </c>
      <c r="D154" s="23" t="s">
        <v>463</v>
      </c>
      <c r="E154" s="24">
        <v>47.99</v>
      </c>
      <c r="F154" s="25">
        <v>1756.33</v>
      </c>
      <c r="G154" s="26">
        <v>34</v>
      </c>
      <c r="H154" s="27">
        <v>4.3</v>
      </c>
      <c r="I154" s="26">
        <v>140</v>
      </c>
      <c r="J154" s="39" t="str">
        <f>HYPERLINK("https://amazon.com/dp/B0F3HRPRJM","View on Amazon")</f>
        <v>View on Amazon</v>
      </c>
      <c r="K154" s="23" t="s">
        <v>463</v>
      </c>
      <c r="L154" s="28" t="s">
        <v>460</v>
      </c>
    </row>
    <row r="155" spans="1:12" ht="68" x14ac:dyDescent="0.2">
      <c r="A155" s="13" t="s">
        <v>784</v>
      </c>
      <c r="B155" s="14" t="s">
        <v>785</v>
      </c>
      <c r="C155" s="15" t="s">
        <v>90</v>
      </c>
      <c r="D155" s="15" t="s">
        <v>463</v>
      </c>
      <c r="E155" s="16">
        <v>79.989999999999995</v>
      </c>
      <c r="F155" s="17">
        <v>1743.8</v>
      </c>
      <c r="G155" s="18">
        <v>22</v>
      </c>
      <c r="H155" s="19">
        <v>4.4000000000000004</v>
      </c>
      <c r="I155" s="18">
        <v>87</v>
      </c>
      <c r="J155" s="38" t="str">
        <f>HYPERLINK("https://amazon.com/dp/B0FMY4H9FL","View on Amazon")</f>
        <v>View on Amazon</v>
      </c>
      <c r="K155" s="15" t="s">
        <v>463</v>
      </c>
      <c r="L155" s="20" t="s">
        <v>460</v>
      </c>
    </row>
    <row r="156" spans="1:12" ht="68" x14ac:dyDescent="0.2">
      <c r="A156" s="21" t="s">
        <v>786</v>
      </c>
      <c r="B156" s="22" t="s">
        <v>672</v>
      </c>
      <c r="C156" s="23" t="s">
        <v>13</v>
      </c>
      <c r="D156" s="23" t="s">
        <v>463</v>
      </c>
      <c r="E156" s="24">
        <v>199.99</v>
      </c>
      <c r="F156" s="25">
        <v>1724.24</v>
      </c>
      <c r="G156" s="26">
        <v>9</v>
      </c>
      <c r="H156" s="27">
        <v>4.4000000000000004</v>
      </c>
      <c r="I156" s="26">
        <v>51</v>
      </c>
      <c r="J156" s="39" t="str">
        <f>HYPERLINK("https://amazon.com/dp/B0G6ZSG872","View on Amazon")</f>
        <v>View on Amazon</v>
      </c>
      <c r="K156" s="23" t="s">
        <v>463</v>
      </c>
      <c r="L156" s="28" t="s">
        <v>460</v>
      </c>
    </row>
    <row r="157" spans="1:12" ht="68" x14ac:dyDescent="0.2">
      <c r="A157" s="13" t="s">
        <v>787</v>
      </c>
      <c r="B157" s="14" t="s">
        <v>788</v>
      </c>
      <c r="C157" s="15" t="s">
        <v>80</v>
      </c>
      <c r="D157" s="15" t="s">
        <v>463</v>
      </c>
      <c r="E157" s="16">
        <v>65.989999999999995</v>
      </c>
      <c r="F157" s="17">
        <v>1722.64</v>
      </c>
      <c r="G157" s="18">
        <v>26</v>
      </c>
      <c r="H157" s="19">
        <v>4.5999999999999996</v>
      </c>
      <c r="I157" s="18">
        <v>16</v>
      </c>
      <c r="J157" s="38" t="str">
        <f>HYPERLINK("https://amazon.com/dp/B0FR4FL6T1","View on Amazon")</f>
        <v>View on Amazon</v>
      </c>
      <c r="K157" s="15" t="s">
        <v>463</v>
      </c>
      <c r="L157" s="20" t="s">
        <v>460</v>
      </c>
    </row>
    <row r="158" spans="1:12" ht="68" x14ac:dyDescent="0.2">
      <c r="A158" s="21" t="s">
        <v>789</v>
      </c>
      <c r="B158" s="22" t="s">
        <v>790</v>
      </c>
      <c r="C158" s="23" t="s">
        <v>41</v>
      </c>
      <c r="D158" s="23" t="s">
        <v>463</v>
      </c>
      <c r="E158" s="24">
        <v>79.989999999999995</v>
      </c>
      <c r="F158" s="25">
        <v>1721.97</v>
      </c>
      <c r="G158" s="26">
        <v>22</v>
      </c>
      <c r="H158" s="27">
        <v>4.3</v>
      </c>
      <c r="I158" s="26">
        <v>33</v>
      </c>
      <c r="J158" s="39" t="str">
        <f>HYPERLINK("https://amazon.com/dp/B0F9414W64","View on Amazon")</f>
        <v>View on Amazon</v>
      </c>
      <c r="K158" s="23" t="s">
        <v>463</v>
      </c>
      <c r="L158" s="28" t="s">
        <v>460</v>
      </c>
    </row>
    <row r="159" spans="1:12" ht="51" x14ac:dyDescent="0.2">
      <c r="A159" s="13" t="s">
        <v>791</v>
      </c>
      <c r="B159" s="14" t="s">
        <v>792</v>
      </c>
      <c r="C159" s="15" t="s">
        <v>100</v>
      </c>
      <c r="D159" s="15" t="s">
        <v>463</v>
      </c>
      <c r="E159" s="16">
        <v>95.99</v>
      </c>
      <c r="F159" s="17">
        <v>1720.61</v>
      </c>
      <c r="G159" s="18">
        <v>17</v>
      </c>
      <c r="H159" s="19">
        <v>4.0999999999999996</v>
      </c>
      <c r="I159" s="18">
        <v>64</v>
      </c>
      <c r="J159" s="38" t="str">
        <f>HYPERLINK("https://amazon.com/dp/B0D8W2R6NM","View on Amazon")</f>
        <v>View on Amazon</v>
      </c>
      <c r="K159" s="15" t="s">
        <v>463</v>
      </c>
      <c r="L159" s="20" t="s">
        <v>460</v>
      </c>
    </row>
    <row r="160" spans="1:12" ht="17" x14ac:dyDescent="0.2">
      <c r="A160" s="21" t="s">
        <v>793</v>
      </c>
      <c r="B160" s="22" t="s">
        <v>794</v>
      </c>
      <c r="C160" s="23" t="s">
        <v>71</v>
      </c>
      <c r="D160" s="23" t="s">
        <v>463</v>
      </c>
      <c r="E160" s="24">
        <v>325</v>
      </c>
      <c r="F160" s="25">
        <v>1685.3</v>
      </c>
      <c r="G160" s="26">
        <v>3</v>
      </c>
      <c r="H160" s="27">
        <v>4.5999999999999996</v>
      </c>
      <c r="I160" s="26">
        <v>549</v>
      </c>
      <c r="J160" s="39" t="str">
        <f>HYPERLINK("https://amazon.com/dp/B098RC63Y1","View on Amazon")</f>
        <v>View on Amazon</v>
      </c>
      <c r="K160" s="23" t="s">
        <v>463</v>
      </c>
      <c r="L160" s="28" t="s">
        <v>460</v>
      </c>
    </row>
    <row r="161" spans="1:12" ht="17" x14ac:dyDescent="0.2">
      <c r="A161" s="13" t="s">
        <v>795</v>
      </c>
      <c r="B161" s="14" t="s">
        <v>796</v>
      </c>
      <c r="C161" s="15" t="s">
        <v>71</v>
      </c>
      <c r="D161" s="15" t="s">
        <v>463</v>
      </c>
      <c r="E161" s="16">
        <v>349</v>
      </c>
      <c r="F161" s="17">
        <v>1683.52</v>
      </c>
      <c r="G161" s="18">
        <v>4</v>
      </c>
      <c r="H161" s="19">
        <v>4.5999999999999996</v>
      </c>
      <c r="I161" s="18">
        <v>549</v>
      </c>
      <c r="J161" s="38" t="str">
        <f>HYPERLINK("https://amazon.com/dp/B098RBB5PD","View on Amazon")</f>
        <v>View on Amazon</v>
      </c>
      <c r="K161" s="15" t="s">
        <v>463</v>
      </c>
      <c r="L161" s="20" t="s">
        <v>460</v>
      </c>
    </row>
    <row r="162" spans="1:12" ht="34" x14ac:dyDescent="0.2">
      <c r="A162" s="21" t="s">
        <v>797</v>
      </c>
      <c r="B162" s="22" t="s">
        <v>798</v>
      </c>
      <c r="C162" s="23" t="s">
        <v>71</v>
      </c>
      <c r="D162" s="23" t="s">
        <v>463</v>
      </c>
      <c r="E162" s="24">
        <v>749</v>
      </c>
      <c r="F162" s="25">
        <v>1669.8</v>
      </c>
      <c r="G162" s="26">
        <v>2</v>
      </c>
      <c r="H162" s="27">
        <v>4.5999999999999996</v>
      </c>
      <c r="I162" s="26">
        <v>549</v>
      </c>
      <c r="J162" s="39" t="str">
        <f>HYPERLINK("https://amazon.com/dp/B098RBTMH3","View on Amazon")</f>
        <v>View on Amazon</v>
      </c>
      <c r="K162" s="23" t="s">
        <v>463</v>
      </c>
      <c r="L162" s="28" t="s">
        <v>460</v>
      </c>
    </row>
    <row r="163" spans="1:12" ht="68" x14ac:dyDescent="0.2">
      <c r="A163" s="13" t="s">
        <v>799</v>
      </c>
      <c r="B163" s="14" t="s">
        <v>800</v>
      </c>
      <c r="C163" s="15" t="s">
        <v>68</v>
      </c>
      <c r="D163" s="15" t="s">
        <v>463</v>
      </c>
      <c r="E163" s="16">
        <v>39.99</v>
      </c>
      <c r="F163" s="17">
        <v>1665.3</v>
      </c>
      <c r="G163" s="18">
        <v>43</v>
      </c>
      <c r="H163" s="19">
        <v>4.5</v>
      </c>
      <c r="I163" s="18">
        <v>29</v>
      </c>
      <c r="J163" s="38" t="str">
        <f>HYPERLINK("https://amazon.com/dp/B0FQ9MMTBJ","View on Amazon")</f>
        <v>View on Amazon</v>
      </c>
      <c r="K163" s="15" t="s">
        <v>463</v>
      </c>
      <c r="L163" s="20" t="s">
        <v>460</v>
      </c>
    </row>
    <row r="164" spans="1:12" ht="68" x14ac:dyDescent="0.2">
      <c r="A164" s="21" t="s">
        <v>801</v>
      </c>
      <c r="B164" s="22" t="s">
        <v>802</v>
      </c>
      <c r="C164" s="23" t="s">
        <v>76</v>
      </c>
      <c r="D164" s="23" t="s">
        <v>463</v>
      </c>
      <c r="E164" s="24">
        <v>31.99</v>
      </c>
      <c r="F164" s="25">
        <v>1664.51</v>
      </c>
      <c r="G164" s="26">
        <v>55</v>
      </c>
      <c r="H164" s="27">
        <v>4.0999999999999996</v>
      </c>
      <c r="I164" s="26">
        <v>29</v>
      </c>
      <c r="J164" s="39" t="str">
        <f>HYPERLINK("https://amazon.com/dp/B0FWJVLGLX","View on Amazon")</f>
        <v>View on Amazon</v>
      </c>
      <c r="K164" s="23" t="s">
        <v>463</v>
      </c>
      <c r="L164" s="28" t="s">
        <v>460</v>
      </c>
    </row>
    <row r="165" spans="1:12" ht="51" x14ac:dyDescent="0.2">
      <c r="A165" s="13" t="s">
        <v>803</v>
      </c>
      <c r="B165" s="14" t="s">
        <v>804</v>
      </c>
      <c r="C165" s="15" t="s">
        <v>49</v>
      </c>
      <c r="D165" s="15" t="s">
        <v>463</v>
      </c>
      <c r="E165" s="16">
        <v>89</v>
      </c>
      <c r="F165" s="17">
        <v>1631.52</v>
      </c>
      <c r="G165" s="18">
        <v>18</v>
      </c>
      <c r="H165" s="19">
        <v>4.5</v>
      </c>
      <c r="I165" s="18">
        <v>111</v>
      </c>
      <c r="J165" s="38" t="str">
        <f>HYPERLINK("https://amazon.com/dp/B0D8Q1V6X2","View on Amazon")</f>
        <v>View on Amazon</v>
      </c>
      <c r="K165" s="15" t="s">
        <v>463</v>
      </c>
      <c r="L165" s="20" t="s">
        <v>460</v>
      </c>
    </row>
    <row r="166" spans="1:12" ht="68" x14ac:dyDescent="0.2">
      <c r="A166" s="21" t="s">
        <v>805</v>
      </c>
      <c r="B166" s="22" t="s">
        <v>806</v>
      </c>
      <c r="C166" s="23" t="s">
        <v>53</v>
      </c>
      <c r="D166" s="23" t="s">
        <v>459</v>
      </c>
      <c r="E166" s="24">
        <v>525.08000000000004</v>
      </c>
      <c r="F166" s="25">
        <v>1601.87</v>
      </c>
      <c r="G166" s="26">
        <v>3</v>
      </c>
      <c r="H166" s="27">
        <v>3.9</v>
      </c>
      <c r="I166" s="26">
        <v>3</v>
      </c>
      <c r="J166" s="39" t="str">
        <f>HYPERLINK("https://amazon.com/dp/B0CLPCMW88","View on Amazon")</f>
        <v>View on Amazon</v>
      </c>
      <c r="K166" s="23" t="s">
        <v>459</v>
      </c>
      <c r="L166" s="28" t="s">
        <v>460</v>
      </c>
    </row>
    <row r="167" spans="1:12" ht="68" x14ac:dyDescent="0.2">
      <c r="A167" s="13" t="s">
        <v>807</v>
      </c>
      <c r="B167" s="14" t="s">
        <v>775</v>
      </c>
      <c r="C167" s="15" t="s">
        <v>13</v>
      </c>
      <c r="D167" s="15" t="s">
        <v>463</v>
      </c>
      <c r="E167" s="16">
        <v>199.99</v>
      </c>
      <c r="F167" s="17">
        <v>1601.49</v>
      </c>
      <c r="G167" s="18">
        <v>10</v>
      </c>
      <c r="H167" s="19">
        <v>4.3</v>
      </c>
      <c r="I167" s="18">
        <v>88</v>
      </c>
      <c r="J167" s="38" t="str">
        <f>HYPERLINK("https://amazon.com/dp/B0FNN335BT","View on Amazon")</f>
        <v>View on Amazon</v>
      </c>
      <c r="K167" s="15" t="s">
        <v>463</v>
      </c>
      <c r="L167" s="20" t="s">
        <v>460</v>
      </c>
    </row>
    <row r="168" spans="1:12" ht="68" x14ac:dyDescent="0.2">
      <c r="A168" s="21" t="s">
        <v>808</v>
      </c>
      <c r="B168" s="22" t="s">
        <v>809</v>
      </c>
      <c r="C168" s="23" t="s">
        <v>69</v>
      </c>
      <c r="D168" s="23" t="s">
        <v>463</v>
      </c>
      <c r="E168" s="24">
        <v>159.99</v>
      </c>
      <c r="F168" s="25">
        <v>1599.75</v>
      </c>
      <c r="G168" s="26">
        <v>11</v>
      </c>
      <c r="H168" s="27">
        <v>4.3</v>
      </c>
      <c r="I168" s="26">
        <v>1082</v>
      </c>
      <c r="J168" s="39" t="str">
        <f>HYPERLINK("https://amazon.com/dp/B0C9PHNMX4","View on Amazon")</f>
        <v>View on Amazon</v>
      </c>
      <c r="K168" s="23" t="s">
        <v>463</v>
      </c>
      <c r="L168" s="28" t="s">
        <v>460</v>
      </c>
    </row>
    <row r="169" spans="1:12" ht="51" x14ac:dyDescent="0.2">
      <c r="A169" s="13" t="s">
        <v>810</v>
      </c>
      <c r="B169" s="14" t="s">
        <v>811</v>
      </c>
      <c r="C169" s="15" t="s">
        <v>120</v>
      </c>
      <c r="D169" s="15" t="s">
        <v>463</v>
      </c>
      <c r="E169" s="16">
        <v>79.97</v>
      </c>
      <c r="F169" s="17">
        <v>1554.73</v>
      </c>
      <c r="G169" s="18">
        <v>24</v>
      </c>
      <c r="H169" s="19">
        <v>4.2</v>
      </c>
      <c r="I169" s="18">
        <v>154</v>
      </c>
      <c r="J169" s="38" t="str">
        <f>HYPERLINK("https://amazon.com/dp/B0F3CHJ27X","View on Amazon")</f>
        <v>View on Amazon</v>
      </c>
      <c r="K169" s="15" t="s">
        <v>463</v>
      </c>
      <c r="L169" s="20" t="s">
        <v>460</v>
      </c>
    </row>
    <row r="170" spans="1:12" ht="68" x14ac:dyDescent="0.2">
      <c r="A170" s="21" t="s">
        <v>812</v>
      </c>
      <c r="B170" s="22" t="s">
        <v>813</v>
      </c>
      <c r="C170" s="23" t="s">
        <v>49</v>
      </c>
      <c r="D170" s="23" t="s">
        <v>463</v>
      </c>
      <c r="E170" s="24">
        <v>118</v>
      </c>
      <c r="F170" s="25">
        <v>1553.46</v>
      </c>
      <c r="G170" s="26">
        <v>13</v>
      </c>
      <c r="H170" s="27">
        <v>4.4000000000000004</v>
      </c>
      <c r="I170" s="26">
        <v>34</v>
      </c>
      <c r="J170" s="39" t="str">
        <f>HYPERLINK("https://amazon.com/dp/B0DWK4T9MX","View on Amazon")</f>
        <v>View on Amazon</v>
      </c>
      <c r="K170" s="23" t="s">
        <v>463</v>
      </c>
      <c r="L170" s="28" t="s">
        <v>460</v>
      </c>
    </row>
    <row r="171" spans="1:12" ht="34" x14ac:dyDescent="0.2">
      <c r="A171" s="13" t="s">
        <v>814</v>
      </c>
      <c r="B171" s="14" t="s">
        <v>815</v>
      </c>
      <c r="C171" s="15" t="s">
        <v>64</v>
      </c>
      <c r="D171" s="15" t="s">
        <v>463</v>
      </c>
      <c r="E171" s="16">
        <v>129.99</v>
      </c>
      <c r="F171" s="17">
        <v>1552.04</v>
      </c>
      <c r="G171" s="18">
        <v>20</v>
      </c>
      <c r="H171" s="19">
        <v>3.3</v>
      </c>
      <c r="I171" s="18">
        <v>31</v>
      </c>
      <c r="J171" s="38" t="str">
        <f>HYPERLINK("https://amazon.com/dp/B0D45KH5LN","View on Amazon")</f>
        <v>View on Amazon</v>
      </c>
      <c r="K171" s="15" t="s">
        <v>463</v>
      </c>
      <c r="L171" s="20" t="s">
        <v>460</v>
      </c>
    </row>
    <row r="172" spans="1:12" ht="68" x14ac:dyDescent="0.2">
      <c r="A172" s="21" t="s">
        <v>816</v>
      </c>
      <c r="B172" s="22" t="s">
        <v>817</v>
      </c>
      <c r="C172" s="23" t="s">
        <v>13</v>
      </c>
      <c r="D172" s="23" t="s">
        <v>463</v>
      </c>
      <c r="E172" s="24">
        <v>199.99</v>
      </c>
      <c r="F172" s="25">
        <v>1549.55</v>
      </c>
      <c r="G172" s="26">
        <v>8</v>
      </c>
      <c r="H172" s="27">
        <v>4.3</v>
      </c>
      <c r="I172" s="26">
        <v>50</v>
      </c>
      <c r="J172" s="39" t="str">
        <f>HYPERLINK("https://amazon.com/dp/B0FNQ38XSC","View on Amazon")</f>
        <v>View on Amazon</v>
      </c>
      <c r="K172" s="23" t="s">
        <v>463</v>
      </c>
      <c r="L172" s="28" t="s">
        <v>460</v>
      </c>
    </row>
    <row r="173" spans="1:12" ht="68" x14ac:dyDescent="0.2">
      <c r="A173" s="13" t="s">
        <v>818</v>
      </c>
      <c r="B173" s="14" t="s">
        <v>819</v>
      </c>
      <c r="C173" s="15" t="s">
        <v>43</v>
      </c>
      <c r="D173" s="15" t="s">
        <v>459</v>
      </c>
      <c r="E173" s="16">
        <v>699.99</v>
      </c>
      <c r="F173" s="17">
        <v>1532.4</v>
      </c>
      <c r="G173" s="18">
        <v>2</v>
      </c>
      <c r="H173" s="19">
        <v>3.6</v>
      </c>
      <c r="I173" s="18">
        <v>25</v>
      </c>
      <c r="J173" s="38" t="str">
        <f>HYPERLINK("https://amazon.com/dp/B0DDXKVLGG","View on Amazon")</f>
        <v>View on Amazon</v>
      </c>
      <c r="K173" s="15" t="s">
        <v>459</v>
      </c>
      <c r="L173" s="20" t="s">
        <v>460</v>
      </c>
    </row>
    <row r="174" spans="1:12" ht="51" x14ac:dyDescent="0.2">
      <c r="A174" s="21" t="s">
        <v>820</v>
      </c>
      <c r="B174" s="22" t="s">
        <v>821</v>
      </c>
      <c r="C174" s="23" t="s">
        <v>36</v>
      </c>
      <c r="D174" s="23" t="s">
        <v>503</v>
      </c>
      <c r="E174" s="24">
        <v>699.89</v>
      </c>
      <c r="F174" s="25">
        <v>1527.57</v>
      </c>
      <c r="G174" s="26">
        <v>2</v>
      </c>
      <c r="H174" s="27">
        <v>5</v>
      </c>
      <c r="I174" s="26">
        <v>3</v>
      </c>
      <c r="J174" s="39" t="str">
        <f>HYPERLINK("https://amazon.com/dp/B0G2M4NRP7","View on Amazon")</f>
        <v>View on Amazon</v>
      </c>
      <c r="K174" s="23" t="s">
        <v>503</v>
      </c>
      <c r="L174" s="28" t="s">
        <v>460</v>
      </c>
    </row>
    <row r="175" spans="1:12" ht="51" x14ac:dyDescent="0.2">
      <c r="A175" s="13" t="s">
        <v>822</v>
      </c>
      <c r="B175" s="14" t="s">
        <v>823</v>
      </c>
      <c r="C175" s="15" t="s">
        <v>11</v>
      </c>
      <c r="D175" s="15" t="s">
        <v>463</v>
      </c>
      <c r="E175" s="16">
        <v>79.989999999999995</v>
      </c>
      <c r="F175" s="17">
        <v>1522.6</v>
      </c>
      <c r="G175" s="18">
        <v>24</v>
      </c>
      <c r="H175" s="19">
        <v>4.5</v>
      </c>
      <c r="I175" s="18">
        <v>85</v>
      </c>
      <c r="J175" s="38" t="str">
        <f>HYPERLINK("https://amazon.com/dp/B0DD3Z4TQ8","View on Amazon")</f>
        <v>View on Amazon</v>
      </c>
      <c r="K175" s="15" t="s">
        <v>463</v>
      </c>
      <c r="L175" s="20" t="s">
        <v>460</v>
      </c>
    </row>
    <row r="176" spans="1:12" ht="68" x14ac:dyDescent="0.2">
      <c r="A176" s="21" t="s">
        <v>824</v>
      </c>
      <c r="B176" s="22" t="s">
        <v>825</v>
      </c>
      <c r="C176" s="23" t="s">
        <v>122</v>
      </c>
      <c r="D176" s="23" t="s">
        <v>463</v>
      </c>
      <c r="E176" s="24">
        <v>129</v>
      </c>
      <c r="F176" s="25">
        <v>1520.45</v>
      </c>
      <c r="G176" s="26">
        <v>11</v>
      </c>
      <c r="H176" s="27">
        <v>4.2</v>
      </c>
      <c r="I176" s="26">
        <v>184</v>
      </c>
      <c r="J176" s="39" t="str">
        <f>HYPERLINK("https://amazon.com/dp/B0C93HF5NM","View on Amazon")</f>
        <v>View on Amazon</v>
      </c>
      <c r="K176" s="23" t="s">
        <v>463</v>
      </c>
      <c r="L176" s="28" t="s">
        <v>460</v>
      </c>
    </row>
    <row r="177" spans="1:12" ht="68" x14ac:dyDescent="0.2">
      <c r="A177" s="13" t="s">
        <v>826</v>
      </c>
      <c r="B177" s="14" t="s">
        <v>827</v>
      </c>
      <c r="C177" s="15" t="s">
        <v>123</v>
      </c>
      <c r="D177" s="15" t="s">
        <v>463</v>
      </c>
      <c r="E177" s="16">
        <v>63.99</v>
      </c>
      <c r="F177" s="17">
        <v>1511.87</v>
      </c>
      <c r="G177" s="18">
        <v>24</v>
      </c>
      <c r="H177" s="19">
        <v>4.4000000000000004</v>
      </c>
      <c r="I177" s="18">
        <v>41</v>
      </c>
      <c r="J177" s="38" t="str">
        <f>HYPERLINK("https://amazon.com/dp/B0DJ14BTCV","View on Amazon")</f>
        <v>View on Amazon</v>
      </c>
      <c r="K177" s="15" t="s">
        <v>463</v>
      </c>
      <c r="L177" s="20" t="s">
        <v>460</v>
      </c>
    </row>
    <row r="178" spans="1:12" ht="68" x14ac:dyDescent="0.2">
      <c r="A178" s="21" t="s">
        <v>828</v>
      </c>
      <c r="B178" s="22" t="s">
        <v>829</v>
      </c>
      <c r="C178" s="23" t="s">
        <v>124</v>
      </c>
      <c r="D178" s="23" t="s">
        <v>463</v>
      </c>
      <c r="E178" s="24">
        <v>150.99</v>
      </c>
      <c r="F178" s="25">
        <v>1507.73</v>
      </c>
      <c r="G178" s="26">
        <v>10</v>
      </c>
      <c r="H178" s="27">
        <v>4.2</v>
      </c>
      <c r="I178" s="26">
        <v>2</v>
      </c>
      <c r="J178" s="39" t="str">
        <f>HYPERLINK("https://amazon.com/dp/B0FDW2RLBC","View on Amazon")</f>
        <v>View on Amazon</v>
      </c>
      <c r="K178" s="23" t="s">
        <v>463</v>
      </c>
      <c r="L178" s="28" t="s">
        <v>460</v>
      </c>
    </row>
    <row r="179" spans="1:12" ht="68" x14ac:dyDescent="0.2">
      <c r="A179" s="13" t="s">
        <v>830</v>
      </c>
      <c r="B179" s="14" t="s">
        <v>831</v>
      </c>
      <c r="C179" s="15" t="s">
        <v>86</v>
      </c>
      <c r="D179" s="15" t="s">
        <v>463</v>
      </c>
      <c r="E179" s="16">
        <v>54.99</v>
      </c>
      <c r="F179" s="17">
        <v>1495.55</v>
      </c>
      <c r="G179" s="18">
        <v>15</v>
      </c>
      <c r="H179" s="19">
        <v>4.3</v>
      </c>
      <c r="I179" s="18">
        <v>107</v>
      </c>
      <c r="J179" s="38" t="str">
        <f>HYPERLINK("https://amazon.com/dp/B0DH2KRBS8","View on Amazon")</f>
        <v>View on Amazon</v>
      </c>
      <c r="K179" s="15" t="s">
        <v>463</v>
      </c>
      <c r="L179" s="20" t="s">
        <v>460</v>
      </c>
    </row>
    <row r="180" spans="1:12" ht="68" x14ac:dyDescent="0.2">
      <c r="A180" s="21" t="s">
        <v>832</v>
      </c>
      <c r="B180" s="22" t="s">
        <v>833</v>
      </c>
      <c r="C180" s="23" t="s">
        <v>48</v>
      </c>
      <c r="D180" s="23" t="s">
        <v>463</v>
      </c>
      <c r="E180" s="24">
        <v>99.99</v>
      </c>
      <c r="F180" s="25">
        <v>1474.8</v>
      </c>
      <c r="G180" s="26">
        <v>10</v>
      </c>
      <c r="H180" s="27">
        <v>4.4000000000000004</v>
      </c>
      <c r="I180" s="26">
        <v>31</v>
      </c>
      <c r="J180" s="39" t="str">
        <f>HYPERLINK("https://amazon.com/dp/B0FP8LXL2T","View on Amazon")</f>
        <v>View on Amazon</v>
      </c>
      <c r="K180" s="23" t="s">
        <v>463</v>
      </c>
      <c r="L180" s="28" t="s">
        <v>460</v>
      </c>
    </row>
    <row r="181" spans="1:12" ht="68" x14ac:dyDescent="0.2">
      <c r="A181" s="13" t="s">
        <v>834</v>
      </c>
      <c r="B181" s="14" t="s">
        <v>835</v>
      </c>
      <c r="C181" s="15" t="s">
        <v>86</v>
      </c>
      <c r="D181" s="15" t="s">
        <v>463</v>
      </c>
      <c r="E181" s="16">
        <v>69.989999999999995</v>
      </c>
      <c r="F181" s="17">
        <v>1468.82</v>
      </c>
      <c r="G181" s="18">
        <v>13</v>
      </c>
      <c r="H181" s="19">
        <v>4.2</v>
      </c>
      <c r="I181" s="18">
        <v>304</v>
      </c>
      <c r="J181" s="38" t="str">
        <f>HYPERLINK("https://amazon.com/dp/B0D5HX8BKQ","View on Amazon")</f>
        <v>View on Amazon</v>
      </c>
      <c r="K181" s="15" t="s">
        <v>463</v>
      </c>
      <c r="L181" s="20" t="s">
        <v>460</v>
      </c>
    </row>
    <row r="182" spans="1:12" ht="68" x14ac:dyDescent="0.2">
      <c r="A182" s="21" t="s">
        <v>836</v>
      </c>
      <c r="B182" s="22" t="s">
        <v>837</v>
      </c>
      <c r="C182" s="23" t="s">
        <v>50</v>
      </c>
      <c r="D182" s="23" t="s">
        <v>459</v>
      </c>
      <c r="E182" s="24">
        <v>99.96</v>
      </c>
      <c r="F182" s="25">
        <v>1468.61</v>
      </c>
      <c r="G182" s="26">
        <v>15</v>
      </c>
      <c r="H182" s="27">
        <v>3</v>
      </c>
      <c r="I182" s="26">
        <v>7</v>
      </c>
      <c r="J182" s="39" t="str">
        <f>HYPERLINK("https://amazon.com/dp/B0F3XP638J","View on Amazon")</f>
        <v>View on Amazon</v>
      </c>
      <c r="K182" s="23" t="s">
        <v>459</v>
      </c>
      <c r="L182" s="28" t="s">
        <v>460</v>
      </c>
    </row>
    <row r="183" spans="1:12" ht="68" x14ac:dyDescent="0.2">
      <c r="A183" s="13" t="s">
        <v>838</v>
      </c>
      <c r="B183" s="14" t="s">
        <v>839</v>
      </c>
      <c r="C183" s="15" t="s">
        <v>125</v>
      </c>
      <c r="D183" s="15" t="s">
        <v>463</v>
      </c>
      <c r="E183" s="16">
        <v>129.99</v>
      </c>
      <c r="F183" s="17">
        <v>1441.15</v>
      </c>
      <c r="G183" s="18">
        <v>12</v>
      </c>
      <c r="H183" s="19">
        <v>5</v>
      </c>
      <c r="I183" s="18">
        <v>3</v>
      </c>
      <c r="J183" s="38" t="str">
        <f>HYPERLINK("https://amazon.com/dp/B0FQBMNPMM","View on Amazon")</f>
        <v>View on Amazon</v>
      </c>
      <c r="K183" s="15" t="s">
        <v>463</v>
      </c>
      <c r="L183" s="20" t="s">
        <v>460</v>
      </c>
    </row>
    <row r="184" spans="1:12" ht="68" x14ac:dyDescent="0.2">
      <c r="A184" s="21" t="s">
        <v>840</v>
      </c>
      <c r="B184" s="22" t="s">
        <v>790</v>
      </c>
      <c r="C184" s="23" t="s">
        <v>41</v>
      </c>
      <c r="D184" s="23" t="s">
        <v>463</v>
      </c>
      <c r="E184" s="24">
        <v>79.989999999999995</v>
      </c>
      <c r="F184" s="25">
        <v>1440.55</v>
      </c>
      <c r="G184" s="26">
        <v>18</v>
      </c>
      <c r="H184" s="27">
        <v>4.3</v>
      </c>
      <c r="I184" s="26">
        <v>84</v>
      </c>
      <c r="J184" s="39" t="str">
        <f>HYPERLINK("https://amazon.com/dp/B0D5HX54MZ","View on Amazon")</f>
        <v>View on Amazon</v>
      </c>
      <c r="K184" s="23" t="s">
        <v>463</v>
      </c>
      <c r="L184" s="28" t="s">
        <v>460</v>
      </c>
    </row>
    <row r="185" spans="1:12" ht="34" x14ac:dyDescent="0.2">
      <c r="A185" s="13" t="s">
        <v>841</v>
      </c>
      <c r="B185" s="14" t="s">
        <v>842</v>
      </c>
      <c r="C185" s="15" t="s">
        <v>39</v>
      </c>
      <c r="D185" s="15" t="s">
        <v>463</v>
      </c>
      <c r="E185" s="16">
        <v>70.989999999999995</v>
      </c>
      <c r="F185" s="17">
        <v>1431.55</v>
      </c>
      <c r="G185" s="18">
        <v>21</v>
      </c>
      <c r="H185" s="19">
        <v>4.2</v>
      </c>
      <c r="I185" s="18">
        <v>142</v>
      </c>
      <c r="J185" s="38" t="str">
        <f>HYPERLINK("https://amazon.com/dp/B08Z374R2R","View on Amazon")</f>
        <v>View on Amazon</v>
      </c>
      <c r="K185" s="15" t="s">
        <v>463</v>
      </c>
      <c r="L185" s="20" t="s">
        <v>460</v>
      </c>
    </row>
    <row r="186" spans="1:12" ht="68" x14ac:dyDescent="0.2">
      <c r="A186" s="21" t="s">
        <v>843</v>
      </c>
      <c r="B186" s="22" t="s">
        <v>844</v>
      </c>
      <c r="C186" s="23" t="s">
        <v>36</v>
      </c>
      <c r="D186" s="23" t="s">
        <v>459</v>
      </c>
      <c r="E186" s="24">
        <v>199.98</v>
      </c>
      <c r="F186" s="25">
        <v>1430.85</v>
      </c>
      <c r="G186" s="26">
        <v>6</v>
      </c>
      <c r="H186" s="27">
        <v>3.8</v>
      </c>
      <c r="I186" s="26">
        <v>43</v>
      </c>
      <c r="J186" s="39" t="str">
        <f>HYPERLINK("https://amazon.com/dp/B09RZS74XM","View on Amazon")</f>
        <v>View on Amazon</v>
      </c>
      <c r="K186" s="23" t="s">
        <v>459</v>
      </c>
      <c r="L186" s="28" t="s">
        <v>460</v>
      </c>
    </row>
    <row r="187" spans="1:12" ht="68" x14ac:dyDescent="0.2">
      <c r="A187" s="13" t="s">
        <v>845</v>
      </c>
      <c r="B187" s="14" t="s">
        <v>846</v>
      </c>
      <c r="C187" s="15" t="s">
        <v>67</v>
      </c>
      <c r="D187" s="15" t="s">
        <v>463</v>
      </c>
      <c r="E187" s="16">
        <v>99.95</v>
      </c>
      <c r="F187" s="17">
        <v>1428.26</v>
      </c>
      <c r="G187" s="18">
        <v>14</v>
      </c>
      <c r="H187" s="19">
        <v>4.3</v>
      </c>
      <c r="I187" s="18">
        <v>92</v>
      </c>
      <c r="J187" s="38" t="str">
        <f>HYPERLINK("https://amazon.com/dp/B0FJS75JSX","View on Amazon")</f>
        <v>View on Amazon</v>
      </c>
      <c r="K187" s="15" t="s">
        <v>463</v>
      </c>
      <c r="L187" s="20" t="s">
        <v>460</v>
      </c>
    </row>
    <row r="188" spans="1:12" ht="17" x14ac:dyDescent="0.2">
      <c r="A188" s="21" t="s">
        <v>847</v>
      </c>
      <c r="B188" s="22" t="s">
        <v>848</v>
      </c>
      <c r="C188" s="23" t="s">
        <v>121</v>
      </c>
      <c r="D188" s="23" t="s">
        <v>463</v>
      </c>
      <c r="E188" s="24">
        <v>39.99</v>
      </c>
      <c r="F188" s="25">
        <v>1425.57</v>
      </c>
      <c r="G188" s="26">
        <v>36</v>
      </c>
      <c r="H188" s="27">
        <v>4.5</v>
      </c>
      <c r="I188" s="26">
        <v>99</v>
      </c>
      <c r="J188" s="39" t="str">
        <f>HYPERLINK("https://amazon.com/dp/B01K8TUHO6","View on Amazon")</f>
        <v>View on Amazon</v>
      </c>
      <c r="K188" s="23" t="s">
        <v>463</v>
      </c>
      <c r="L188" s="28" t="s">
        <v>460</v>
      </c>
    </row>
    <row r="189" spans="1:12" ht="68" x14ac:dyDescent="0.2">
      <c r="A189" s="13" t="s">
        <v>849</v>
      </c>
      <c r="B189" s="14" t="s">
        <v>574</v>
      </c>
      <c r="C189" s="15" t="s">
        <v>41</v>
      </c>
      <c r="D189" s="15" t="s">
        <v>463</v>
      </c>
      <c r="E189" s="16">
        <v>79.989999999999995</v>
      </c>
      <c r="F189" s="17">
        <v>1357.81</v>
      </c>
      <c r="G189" s="18">
        <v>17</v>
      </c>
      <c r="H189" s="19">
        <v>4.4000000000000004</v>
      </c>
      <c r="I189" s="18">
        <v>515</v>
      </c>
      <c r="J189" s="38" t="str">
        <f>HYPERLINK("https://amazon.com/dp/B0CQZQ28PM","View on Amazon")</f>
        <v>View on Amazon</v>
      </c>
      <c r="K189" s="15" t="s">
        <v>463</v>
      </c>
      <c r="L189" s="20" t="s">
        <v>460</v>
      </c>
    </row>
    <row r="190" spans="1:12" ht="68" x14ac:dyDescent="0.2">
      <c r="A190" s="21" t="s">
        <v>850</v>
      </c>
      <c r="B190" s="22" t="s">
        <v>851</v>
      </c>
      <c r="C190" s="23" t="s">
        <v>25</v>
      </c>
      <c r="D190" s="23" t="s">
        <v>463</v>
      </c>
      <c r="E190" s="24">
        <v>269.99</v>
      </c>
      <c r="F190" s="25">
        <v>1349.88</v>
      </c>
      <c r="G190" s="26">
        <v>5</v>
      </c>
      <c r="H190" s="27">
        <v>0</v>
      </c>
      <c r="I190" s="26">
        <v>0</v>
      </c>
      <c r="J190" s="39" t="str">
        <f>HYPERLINK("https://amazon.com/dp/B0GK5SQCBM","View on Amazon")</f>
        <v>View on Amazon</v>
      </c>
      <c r="K190" s="23" t="s">
        <v>463</v>
      </c>
      <c r="L190" s="28" t="s">
        <v>460</v>
      </c>
    </row>
    <row r="191" spans="1:12" ht="51" x14ac:dyDescent="0.2">
      <c r="A191" s="13" t="s">
        <v>852</v>
      </c>
      <c r="B191" s="14" t="s">
        <v>853</v>
      </c>
      <c r="C191" s="15" t="s">
        <v>31</v>
      </c>
      <c r="D191" s="15" t="s">
        <v>463</v>
      </c>
      <c r="E191" s="16">
        <v>99.99</v>
      </c>
      <c r="F191" s="17">
        <v>1343.04</v>
      </c>
      <c r="G191" s="18">
        <v>13</v>
      </c>
      <c r="H191" s="19">
        <v>4.3</v>
      </c>
      <c r="I191" s="18">
        <v>410</v>
      </c>
      <c r="J191" s="38" t="str">
        <f>HYPERLINK("https://amazon.com/dp/B0D5Y4YCDP","View on Amazon")</f>
        <v>View on Amazon</v>
      </c>
      <c r="K191" s="15" t="s">
        <v>463</v>
      </c>
      <c r="L191" s="20" t="s">
        <v>460</v>
      </c>
    </row>
    <row r="192" spans="1:12" ht="51" x14ac:dyDescent="0.2">
      <c r="A192" s="21" t="s">
        <v>854</v>
      </c>
      <c r="B192" s="22" t="s">
        <v>855</v>
      </c>
      <c r="C192" s="23" t="s">
        <v>104</v>
      </c>
      <c r="D192" s="23" t="s">
        <v>459</v>
      </c>
      <c r="E192" s="24">
        <v>369.54</v>
      </c>
      <c r="F192" s="25">
        <v>1323.92</v>
      </c>
      <c r="G192" s="26">
        <v>4</v>
      </c>
      <c r="H192" s="27">
        <v>5</v>
      </c>
      <c r="I192" s="26">
        <v>1</v>
      </c>
      <c r="J192" s="39" t="str">
        <f>HYPERLINK("https://amazon.com/dp/B0FW3CS5TL","View on Amazon")</f>
        <v>View on Amazon</v>
      </c>
      <c r="K192" s="23" t="s">
        <v>459</v>
      </c>
      <c r="L192" s="28" t="s">
        <v>460</v>
      </c>
    </row>
    <row r="193" spans="1:12" ht="68" x14ac:dyDescent="0.2">
      <c r="A193" s="13" t="s">
        <v>856</v>
      </c>
      <c r="B193" s="14" t="s">
        <v>857</v>
      </c>
      <c r="C193" s="15" t="s">
        <v>13</v>
      </c>
      <c r="D193" s="15" t="s">
        <v>463</v>
      </c>
      <c r="E193" s="16">
        <v>199.99</v>
      </c>
      <c r="F193" s="17">
        <v>1321.31</v>
      </c>
      <c r="G193" s="18">
        <v>8</v>
      </c>
      <c r="H193" s="19">
        <v>4.3</v>
      </c>
      <c r="I193" s="18">
        <v>88</v>
      </c>
      <c r="J193" s="38" t="str">
        <f>HYPERLINK("https://amazon.com/dp/B0FVLMCGWQ","View on Amazon")</f>
        <v>View on Amazon</v>
      </c>
      <c r="K193" s="15" t="s">
        <v>463</v>
      </c>
      <c r="L193" s="20" t="s">
        <v>460</v>
      </c>
    </row>
    <row r="194" spans="1:12" ht="51" x14ac:dyDescent="0.2">
      <c r="A194" s="21" t="s">
        <v>858</v>
      </c>
      <c r="B194" s="22" t="s">
        <v>859</v>
      </c>
      <c r="C194" s="23" t="s">
        <v>51</v>
      </c>
      <c r="D194" s="23" t="s">
        <v>459</v>
      </c>
      <c r="E194" s="24">
        <v>654.49</v>
      </c>
      <c r="F194" s="25">
        <v>1308.95</v>
      </c>
      <c r="G194" s="26">
        <v>2</v>
      </c>
      <c r="H194" s="27">
        <v>0</v>
      </c>
      <c r="I194" s="26">
        <v>0</v>
      </c>
      <c r="J194" s="39" t="str">
        <f>HYPERLINK("https://amazon.com/dp/B0CMFMGSHW","View on Amazon")</f>
        <v>View on Amazon</v>
      </c>
      <c r="K194" s="23" t="s">
        <v>459</v>
      </c>
      <c r="L194" s="28" t="s">
        <v>460</v>
      </c>
    </row>
    <row r="195" spans="1:12" ht="51" x14ac:dyDescent="0.2">
      <c r="A195" s="13" t="s">
        <v>860</v>
      </c>
      <c r="B195" s="14" t="s">
        <v>861</v>
      </c>
      <c r="C195" s="15" t="s">
        <v>88</v>
      </c>
      <c r="D195" s="15" t="s">
        <v>459</v>
      </c>
      <c r="E195" s="16">
        <v>200</v>
      </c>
      <c r="F195" s="17">
        <v>1302.82</v>
      </c>
      <c r="G195" s="18">
        <v>6</v>
      </c>
      <c r="H195" s="19">
        <v>5</v>
      </c>
      <c r="I195" s="18">
        <v>1</v>
      </c>
      <c r="J195" s="38" t="str">
        <f>HYPERLINK("https://amazon.com/dp/B0DD6H5M32","View on Amazon")</f>
        <v>View on Amazon</v>
      </c>
      <c r="K195" s="15" t="s">
        <v>459</v>
      </c>
      <c r="L195" s="20" t="s">
        <v>460</v>
      </c>
    </row>
    <row r="196" spans="1:12" ht="51" x14ac:dyDescent="0.2">
      <c r="A196" s="21" t="s">
        <v>862</v>
      </c>
      <c r="B196" s="22" t="s">
        <v>863</v>
      </c>
      <c r="C196" s="23" t="s">
        <v>119</v>
      </c>
      <c r="D196" s="23" t="s">
        <v>459</v>
      </c>
      <c r="E196" s="24">
        <v>109.99</v>
      </c>
      <c r="F196" s="25">
        <v>1243.8399999999999</v>
      </c>
      <c r="G196" s="26">
        <v>11</v>
      </c>
      <c r="H196" s="27">
        <v>4.2</v>
      </c>
      <c r="I196" s="26">
        <v>7</v>
      </c>
      <c r="J196" s="39" t="str">
        <f>HYPERLINK("https://amazon.com/dp/B0F1NT1NLK","View on Amazon")</f>
        <v>View on Amazon</v>
      </c>
      <c r="K196" s="23" t="s">
        <v>459</v>
      </c>
      <c r="L196" s="28" t="s">
        <v>460</v>
      </c>
    </row>
    <row r="197" spans="1:12" ht="51" x14ac:dyDescent="0.2">
      <c r="A197" s="13" t="s">
        <v>864</v>
      </c>
      <c r="B197" s="14" t="s">
        <v>865</v>
      </c>
      <c r="C197" s="15" t="s">
        <v>110</v>
      </c>
      <c r="D197" s="15" t="s">
        <v>463</v>
      </c>
      <c r="E197" s="16">
        <v>54.99</v>
      </c>
      <c r="F197" s="17">
        <v>1195.54</v>
      </c>
      <c r="G197" s="18">
        <v>22</v>
      </c>
      <c r="H197" s="19">
        <v>4.4000000000000004</v>
      </c>
      <c r="I197" s="18">
        <v>205</v>
      </c>
      <c r="J197" s="38" t="str">
        <f>HYPERLINK("https://amazon.com/dp/B0DF4TZBFG","View on Amazon")</f>
        <v>View on Amazon</v>
      </c>
      <c r="K197" s="15" t="s">
        <v>463</v>
      </c>
      <c r="L197" s="20" t="s">
        <v>460</v>
      </c>
    </row>
    <row r="198" spans="1:12" ht="68" x14ac:dyDescent="0.2">
      <c r="A198" s="21" t="s">
        <v>866</v>
      </c>
      <c r="B198" s="22" t="s">
        <v>867</v>
      </c>
      <c r="C198" s="23" t="s">
        <v>96</v>
      </c>
      <c r="D198" s="23" t="s">
        <v>459</v>
      </c>
      <c r="E198" s="24">
        <v>499.98</v>
      </c>
      <c r="F198" s="25">
        <v>1194.69</v>
      </c>
      <c r="G198" s="26">
        <v>2</v>
      </c>
      <c r="H198" s="27">
        <v>2</v>
      </c>
      <c r="I198" s="26">
        <v>4</v>
      </c>
      <c r="J198" s="39" t="str">
        <f>HYPERLINK("https://amazon.com/dp/B0FR79XKZV","View on Amazon")</f>
        <v>View on Amazon</v>
      </c>
      <c r="K198" s="23" t="s">
        <v>459</v>
      </c>
      <c r="L198" s="28" t="s">
        <v>460</v>
      </c>
    </row>
    <row r="199" spans="1:12" ht="34" x14ac:dyDescent="0.2">
      <c r="A199" s="13" t="s">
        <v>868</v>
      </c>
      <c r="B199" s="14" t="s">
        <v>869</v>
      </c>
      <c r="C199" s="15" t="s">
        <v>47</v>
      </c>
      <c r="D199" s="15" t="s">
        <v>463</v>
      </c>
      <c r="E199" s="16">
        <v>678</v>
      </c>
      <c r="F199" s="17">
        <v>1176.44</v>
      </c>
      <c r="G199" s="18">
        <v>2</v>
      </c>
      <c r="H199" s="19">
        <v>4</v>
      </c>
      <c r="I199" s="18">
        <v>1</v>
      </c>
      <c r="J199" s="38" t="str">
        <f>HYPERLINK("https://amazon.com/dp/B0CS6VY946","View on Amazon")</f>
        <v>View on Amazon</v>
      </c>
      <c r="K199" s="15" t="s">
        <v>463</v>
      </c>
      <c r="L199" s="20" t="s">
        <v>460</v>
      </c>
    </row>
    <row r="200" spans="1:12" ht="51" x14ac:dyDescent="0.2">
      <c r="A200" s="21" t="s">
        <v>870</v>
      </c>
      <c r="B200" s="22" t="s">
        <v>871</v>
      </c>
      <c r="C200" s="23" t="s">
        <v>104</v>
      </c>
      <c r="D200" s="23" t="s">
        <v>459</v>
      </c>
      <c r="E200" s="24">
        <v>205</v>
      </c>
      <c r="F200" s="25">
        <v>1170.49</v>
      </c>
      <c r="G200" s="26">
        <v>6</v>
      </c>
      <c r="H200" s="27">
        <v>3.9</v>
      </c>
      <c r="I200" s="26">
        <v>7</v>
      </c>
      <c r="J200" s="39" t="str">
        <f>HYPERLINK("https://amazon.com/dp/B0FQNXBQM2","View on Amazon")</f>
        <v>View on Amazon</v>
      </c>
      <c r="K200" s="23" t="s">
        <v>459</v>
      </c>
      <c r="L200" s="28" t="s">
        <v>460</v>
      </c>
    </row>
    <row r="201" spans="1:12" ht="17" x14ac:dyDescent="0.2">
      <c r="A201" s="13" t="s">
        <v>872</v>
      </c>
      <c r="B201" s="14" t="s">
        <v>873</v>
      </c>
      <c r="C201" s="15" t="s">
        <v>133</v>
      </c>
      <c r="D201" s="15" t="s">
        <v>459</v>
      </c>
      <c r="E201" s="16">
        <v>896</v>
      </c>
      <c r="F201" s="17">
        <v>1150.8399999999999</v>
      </c>
      <c r="G201" s="18">
        <v>1</v>
      </c>
      <c r="H201" s="19">
        <v>0</v>
      </c>
      <c r="I201" s="18">
        <v>0</v>
      </c>
      <c r="J201" s="38" t="str">
        <f>HYPERLINK("https://amazon.com/dp/B0FSVWQ9XQ","View on Amazon")</f>
        <v>View on Amazon</v>
      </c>
      <c r="K201" s="15" t="s">
        <v>459</v>
      </c>
      <c r="L201" s="20" t="s">
        <v>220</v>
      </c>
    </row>
    <row r="202" spans="1:12" ht="51" x14ac:dyDescent="0.2">
      <c r="A202" s="21" t="s">
        <v>874</v>
      </c>
      <c r="B202" s="22" t="s">
        <v>875</v>
      </c>
      <c r="C202" s="23" t="s">
        <v>118</v>
      </c>
      <c r="D202" s="23" t="s">
        <v>463</v>
      </c>
      <c r="E202" s="24">
        <v>34.99</v>
      </c>
      <c r="F202" s="25">
        <v>1122.27</v>
      </c>
      <c r="G202" s="26">
        <v>32</v>
      </c>
      <c r="H202" s="27">
        <v>4.3</v>
      </c>
      <c r="I202" s="26">
        <v>89</v>
      </c>
      <c r="J202" s="39" t="str">
        <f>HYPERLINK("https://amazon.com/dp/B0CJRWKY9F","View on Amazon")</f>
        <v>View on Amazon</v>
      </c>
      <c r="K202" s="23" t="s">
        <v>463</v>
      </c>
      <c r="L202" s="28" t="s">
        <v>460</v>
      </c>
    </row>
    <row r="203" spans="1:12" ht="68" x14ac:dyDescent="0.2">
      <c r="A203" s="13" t="s">
        <v>876</v>
      </c>
      <c r="B203" s="14" t="s">
        <v>877</v>
      </c>
      <c r="C203" s="15" t="s">
        <v>34</v>
      </c>
      <c r="D203" s="15" t="s">
        <v>463</v>
      </c>
      <c r="E203" s="16">
        <v>109.99</v>
      </c>
      <c r="F203" s="17">
        <v>1108.06</v>
      </c>
      <c r="G203" s="18">
        <v>10</v>
      </c>
      <c r="H203" s="19">
        <v>5</v>
      </c>
      <c r="I203" s="18">
        <v>14</v>
      </c>
      <c r="J203" s="38" t="str">
        <f>HYPERLINK("https://amazon.com/dp/B0GJ3DDJWS","View on Amazon")</f>
        <v>View on Amazon</v>
      </c>
      <c r="K203" s="15" t="s">
        <v>463</v>
      </c>
      <c r="L203" s="20" t="s">
        <v>460</v>
      </c>
    </row>
    <row r="204" spans="1:12" ht="51" x14ac:dyDescent="0.2">
      <c r="A204" s="21" t="s">
        <v>878</v>
      </c>
      <c r="B204" s="22" t="s">
        <v>879</v>
      </c>
      <c r="C204" s="23" t="s">
        <v>91</v>
      </c>
      <c r="D204" s="23" t="s">
        <v>463</v>
      </c>
      <c r="E204" s="24">
        <v>49.99</v>
      </c>
      <c r="F204" s="25">
        <v>1107.05</v>
      </c>
      <c r="G204" s="26">
        <v>22</v>
      </c>
      <c r="H204" s="27">
        <v>4.3</v>
      </c>
      <c r="I204" s="26">
        <v>25</v>
      </c>
      <c r="J204" s="39" t="str">
        <f>HYPERLINK("https://amazon.com/dp/B0DYDXRH8S","View on Amazon")</f>
        <v>View on Amazon</v>
      </c>
      <c r="K204" s="23" t="s">
        <v>463</v>
      </c>
      <c r="L204" s="28" t="s">
        <v>460</v>
      </c>
    </row>
    <row r="205" spans="1:12" ht="34" x14ac:dyDescent="0.2">
      <c r="A205" s="13" t="s">
        <v>880</v>
      </c>
      <c r="B205" s="14" t="s">
        <v>881</v>
      </c>
      <c r="C205" s="15" t="s">
        <v>137</v>
      </c>
      <c r="D205" s="15" t="s">
        <v>459</v>
      </c>
      <c r="E205" s="16">
        <v>241.88</v>
      </c>
      <c r="F205" s="17">
        <v>1096.1099999999999</v>
      </c>
      <c r="G205" s="18">
        <v>5</v>
      </c>
      <c r="H205" s="19">
        <v>3</v>
      </c>
      <c r="I205" s="18">
        <v>7</v>
      </c>
      <c r="J205" s="38" t="str">
        <f>HYPERLINK("https://amazon.com/dp/B0CB7KRG4L","View on Amazon")</f>
        <v>View on Amazon</v>
      </c>
      <c r="K205" s="15" t="s">
        <v>459</v>
      </c>
      <c r="L205" s="20" t="s">
        <v>460</v>
      </c>
    </row>
    <row r="206" spans="1:12" ht="68" x14ac:dyDescent="0.2">
      <c r="A206" s="21" t="s">
        <v>882</v>
      </c>
      <c r="B206" s="22" t="s">
        <v>883</v>
      </c>
      <c r="C206" s="23" t="s">
        <v>70</v>
      </c>
      <c r="D206" s="23" t="s">
        <v>459</v>
      </c>
      <c r="E206" s="24">
        <v>848.99</v>
      </c>
      <c r="F206" s="25">
        <v>1087.3900000000001</v>
      </c>
      <c r="G206" s="26">
        <v>1</v>
      </c>
      <c r="H206" s="27">
        <v>5</v>
      </c>
      <c r="I206" s="26">
        <v>2</v>
      </c>
      <c r="J206" s="39" t="str">
        <f>HYPERLINK("https://amazon.com/dp/B0DRNWD23X","View on Amazon")</f>
        <v>View on Amazon</v>
      </c>
      <c r="K206" s="23" t="s">
        <v>459</v>
      </c>
      <c r="L206" s="28" t="s">
        <v>460</v>
      </c>
    </row>
    <row r="207" spans="1:12" ht="68" x14ac:dyDescent="0.2">
      <c r="A207" s="13" t="s">
        <v>884</v>
      </c>
      <c r="B207" s="14" t="s">
        <v>885</v>
      </c>
      <c r="C207" s="15" t="s">
        <v>90</v>
      </c>
      <c r="D207" s="15" t="s">
        <v>463</v>
      </c>
      <c r="E207" s="16">
        <v>89.99</v>
      </c>
      <c r="F207" s="17">
        <v>1086.3900000000001</v>
      </c>
      <c r="G207" s="18">
        <v>12</v>
      </c>
      <c r="H207" s="19">
        <v>4.5</v>
      </c>
      <c r="I207" s="18">
        <v>2</v>
      </c>
      <c r="J207" s="38" t="str">
        <f>HYPERLINK("https://amazon.com/dp/B0FMY5SGV1","View on Amazon")</f>
        <v>View on Amazon</v>
      </c>
      <c r="K207" s="15" t="s">
        <v>463</v>
      </c>
      <c r="L207" s="20" t="s">
        <v>460</v>
      </c>
    </row>
    <row r="208" spans="1:12" ht="68" x14ac:dyDescent="0.2">
      <c r="A208" s="21" t="s">
        <v>886</v>
      </c>
      <c r="B208" s="22" t="s">
        <v>887</v>
      </c>
      <c r="C208" s="23" t="s">
        <v>24</v>
      </c>
      <c r="D208" s="23" t="s">
        <v>463</v>
      </c>
      <c r="E208" s="24">
        <v>149.99</v>
      </c>
      <c r="F208" s="25">
        <v>1057.18</v>
      </c>
      <c r="G208" s="26">
        <v>7</v>
      </c>
      <c r="H208" s="27">
        <v>4.5</v>
      </c>
      <c r="I208" s="26">
        <v>6</v>
      </c>
      <c r="J208" s="39" t="str">
        <f>HYPERLINK("https://amazon.com/dp/B0DS699L9S","View on Amazon")</f>
        <v>View on Amazon</v>
      </c>
      <c r="K208" s="23" t="s">
        <v>463</v>
      </c>
      <c r="L208" s="28" t="s">
        <v>460</v>
      </c>
    </row>
    <row r="209" spans="1:12" ht="51" x14ac:dyDescent="0.2">
      <c r="A209" s="13" t="s">
        <v>888</v>
      </c>
      <c r="B209" s="14" t="s">
        <v>889</v>
      </c>
      <c r="C209" s="15" t="s">
        <v>68</v>
      </c>
      <c r="D209" s="15" t="s">
        <v>463</v>
      </c>
      <c r="E209" s="16">
        <v>37.99</v>
      </c>
      <c r="F209" s="17">
        <v>1047.24</v>
      </c>
      <c r="G209" s="18">
        <v>19</v>
      </c>
      <c r="H209" s="19">
        <v>4.4000000000000004</v>
      </c>
      <c r="I209" s="18">
        <v>49</v>
      </c>
      <c r="J209" s="38" t="str">
        <f>HYPERLINK("https://amazon.com/dp/B0FX3J9R23","View on Amazon")</f>
        <v>View on Amazon</v>
      </c>
      <c r="K209" s="15" t="s">
        <v>463</v>
      </c>
      <c r="L209" s="20" t="s">
        <v>460</v>
      </c>
    </row>
    <row r="210" spans="1:12" ht="51" x14ac:dyDescent="0.2">
      <c r="A210" s="21" t="s">
        <v>890</v>
      </c>
      <c r="B210" s="22" t="s">
        <v>891</v>
      </c>
      <c r="C210" s="23" t="s">
        <v>138</v>
      </c>
      <c r="D210" s="23" t="s">
        <v>459</v>
      </c>
      <c r="E210" s="24">
        <v>90.99</v>
      </c>
      <c r="F210" s="25">
        <v>1041.29</v>
      </c>
      <c r="G210" s="26">
        <v>12</v>
      </c>
      <c r="H210" s="27">
        <v>5</v>
      </c>
      <c r="I210" s="26">
        <v>3</v>
      </c>
      <c r="J210" s="39" t="str">
        <f>HYPERLINK("https://amazon.com/dp/B0FQBV5QXN","View on Amazon")</f>
        <v>View on Amazon</v>
      </c>
      <c r="K210" s="23" t="s">
        <v>459</v>
      </c>
      <c r="L210" s="28" t="s">
        <v>460</v>
      </c>
    </row>
    <row r="211" spans="1:12" ht="51" x14ac:dyDescent="0.2">
      <c r="A211" s="13" t="s">
        <v>892</v>
      </c>
      <c r="B211" s="14" t="s">
        <v>893</v>
      </c>
      <c r="C211" s="15" t="s">
        <v>139</v>
      </c>
      <c r="D211" s="15" t="s">
        <v>463</v>
      </c>
      <c r="E211" s="16">
        <v>109.99</v>
      </c>
      <c r="F211" s="17">
        <v>1033.33</v>
      </c>
      <c r="G211" s="18">
        <v>9</v>
      </c>
      <c r="H211" s="19">
        <v>4.2</v>
      </c>
      <c r="I211" s="18">
        <v>43</v>
      </c>
      <c r="J211" s="38" t="str">
        <f>HYPERLINK("https://amazon.com/dp/B0DCZ2TCZ7","View on Amazon")</f>
        <v>View on Amazon</v>
      </c>
      <c r="K211" s="15" t="s">
        <v>463</v>
      </c>
      <c r="L211" s="20" t="s">
        <v>460</v>
      </c>
    </row>
    <row r="212" spans="1:12" ht="34" x14ac:dyDescent="0.2">
      <c r="A212" s="21" t="s">
        <v>894</v>
      </c>
      <c r="B212" s="22" t="s">
        <v>895</v>
      </c>
      <c r="C212" s="23" t="s">
        <v>98</v>
      </c>
      <c r="D212" s="23" t="s">
        <v>463</v>
      </c>
      <c r="E212" s="24">
        <v>35.99</v>
      </c>
      <c r="F212" s="25">
        <v>1030.6400000000001</v>
      </c>
      <c r="G212" s="26">
        <v>29</v>
      </c>
      <c r="H212" s="27">
        <v>3.9</v>
      </c>
      <c r="I212" s="26">
        <v>75</v>
      </c>
      <c r="J212" s="39" t="str">
        <f>HYPERLINK("https://amazon.com/dp/B0D2ZQWD58","View on Amazon")</f>
        <v>View on Amazon</v>
      </c>
      <c r="K212" s="23" t="s">
        <v>463</v>
      </c>
      <c r="L212" s="28" t="s">
        <v>460</v>
      </c>
    </row>
    <row r="213" spans="1:12" ht="17" x14ac:dyDescent="0.2">
      <c r="A213" s="13" t="s">
        <v>896</v>
      </c>
      <c r="B213" s="14" t="s">
        <v>897</v>
      </c>
      <c r="C213" s="15" t="s">
        <v>79</v>
      </c>
      <c r="D213" s="15" t="s">
        <v>503</v>
      </c>
      <c r="E213" s="16">
        <v>899</v>
      </c>
      <c r="F213" s="17">
        <v>1017.51</v>
      </c>
      <c r="G213" s="18">
        <v>1</v>
      </c>
      <c r="H213" s="19">
        <v>0</v>
      </c>
      <c r="I213" s="18">
        <v>0</v>
      </c>
      <c r="J213" s="38" t="str">
        <f>HYPERLINK("https://amazon.com/dp/B01BWUGT9W","View on Amazon")</f>
        <v>View on Amazon</v>
      </c>
      <c r="K213" s="15" t="s">
        <v>503</v>
      </c>
      <c r="L213" s="20" t="s">
        <v>220</v>
      </c>
    </row>
    <row r="214" spans="1:12" ht="68" x14ac:dyDescent="0.2">
      <c r="A214" s="21" t="s">
        <v>898</v>
      </c>
      <c r="B214" s="22" t="s">
        <v>899</v>
      </c>
      <c r="C214" s="23" t="s">
        <v>54</v>
      </c>
      <c r="D214" s="23" t="s">
        <v>463</v>
      </c>
      <c r="E214" s="24">
        <v>359.99</v>
      </c>
      <c r="F214" s="25">
        <v>999.42</v>
      </c>
      <c r="G214" s="26">
        <v>3</v>
      </c>
      <c r="H214" s="27">
        <v>5</v>
      </c>
      <c r="I214" s="26">
        <v>1</v>
      </c>
      <c r="J214" s="39" t="str">
        <f>HYPERLINK("https://amazon.com/dp/B0FNM6GZTV","View on Amazon")</f>
        <v>View on Amazon</v>
      </c>
      <c r="K214" s="23" t="s">
        <v>463</v>
      </c>
      <c r="L214" s="28" t="s">
        <v>460</v>
      </c>
    </row>
    <row r="215" spans="1:12" ht="51" x14ac:dyDescent="0.2">
      <c r="A215" s="13" t="s">
        <v>900</v>
      </c>
      <c r="B215" s="14" t="s">
        <v>901</v>
      </c>
      <c r="C215" s="15" t="s">
        <v>84</v>
      </c>
      <c r="D215" s="15" t="s">
        <v>463</v>
      </c>
      <c r="E215" s="16">
        <v>46.99</v>
      </c>
      <c r="F215" s="17">
        <v>998.92</v>
      </c>
      <c r="G215" s="18">
        <v>23</v>
      </c>
      <c r="H215" s="19">
        <v>4.0999999999999996</v>
      </c>
      <c r="I215" s="18">
        <v>11</v>
      </c>
      <c r="J215" s="38" t="str">
        <f>HYPERLINK("https://amazon.com/dp/B0CYH3KR73","View on Amazon")</f>
        <v>View on Amazon</v>
      </c>
      <c r="K215" s="15" t="s">
        <v>463</v>
      </c>
      <c r="L215" s="20" t="s">
        <v>460</v>
      </c>
    </row>
    <row r="216" spans="1:12" ht="68" x14ac:dyDescent="0.2">
      <c r="A216" s="21" t="s">
        <v>902</v>
      </c>
      <c r="B216" s="22" t="s">
        <v>903</v>
      </c>
      <c r="C216" s="23" t="s">
        <v>102</v>
      </c>
      <c r="D216" s="23" t="s">
        <v>463</v>
      </c>
      <c r="E216" s="24">
        <v>269</v>
      </c>
      <c r="F216" s="25">
        <v>993.91</v>
      </c>
      <c r="G216" s="26">
        <v>4</v>
      </c>
      <c r="H216" s="27">
        <v>3.8</v>
      </c>
      <c r="I216" s="26">
        <v>13</v>
      </c>
      <c r="J216" s="39" t="str">
        <f>HYPERLINK("https://amazon.com/dp/B0D9G947NF","View on Amazon")</f>
        <v>View on Amazon</v>
      </c>
      <c r="K216" s="23" t="s">
        <v>463</v>
      </c>
      <c r="L216" s="28" t="s">
        <v>460</v>
      </c>
    </row>
    <row r="217" spans="1:12" ht="68" x14ac:dyDescent="0.2">
      <c r="A217" s="13" t="s">
        <v>904</v>
      </c>
      <c r="B217" s="14" t="s">
        <v>905</v>
      </c>
      <c r="C217" s="15" t="s">
        <v>141</v>
      </c>
      <c r="D217" s="15" t="s">
        <v>459</v>
      </c>
      <c r="E217" s="16">
        <v>69.98</v>
      </c>
      <c r="F217" s="17">
        <v>990.63</v>
      </c>
      <c r="G217" s="18">
        <v>14</v>
      </c>
      <c r="H217" s="19">
        <v>0</v>
      </c>
      <c r="I217" s="18">
        <v>0</v>
      </c>
      <c r="J217" s="38" t="str">
        <f>HYPERLINK("https://amazon.com/dp/B0FM3LCP89","View on Amazon")</f>
        <v>View on Amazon</v>
      </c>
      <c r="K217" s="15" t="s">
        <v>459</v>
      </c>
      <c r="L217" s="20" t="s">
        <v>460</v>
      </c>
    </row>
    <row r="218" spans="1:12" ht="51" x14ac:dyDescent="0.2">
      <c r="A218" s="21" t="s">
        <v>906</v>
      </c>
      <c r="B218" s="22" t="s">
        <v>907</v>
      </c>
      <c r="C218" s="23" t="s">
        <v>75</v>
      </c>
      <c r="D218" s="23" t="s">
        <v>463</v>
      </c>
      <c r="E218" s="24">
        <v>128.99</v>
      </c>
      <c r="F218" s="25">
        <v>980.44</v>
      </c>
      <c r="G218" s="26">
        <v>8</v>
      </c>
      <c r="H218" s="27">
        <v>4.5</v>
      </c>
      <c r="I218" s="26">
        <v>38</v>
      </c>
      <c r="J218" s="39" t="str">
        <f>HYPERLINK("https://amazon.com/dp/B0FJ8F9G31","View on Amazon")</f>
        <v>View on Amazon</v>
      </c>
      <c r="K218" s="23" t="s">
        <v>463</v>
      </c>
      <c r="L218" s="28" t="s">
        <v>460</v>
      </c>
    </row>
    <row r="219" spans="1:12" ht="68" x14ac:dyDescent="0.2">
      <c r="A219" s="13" t="s">
        <v>908</v>
      </c>
      <c r="B219" s="14" t="s">
        <v>909</v>
      </c>
      <c r="C219" s="15" t="s">
        <v>126</v>
      </c>
      <c r="D219" s="15" t="s">
        <v>463</v>
      </c>
      <c r="E219" s="16">
        <v>31.99</v>
      </c>
      <c r="F219" s="17">
        <v>973.36</v>
      </c>
      <c r="G219" s="18">
        <v>30</v>
      </c>
      <c r="H219" s="19">
        <v>4.3</v>
      </c>
      <c r="I219" s="18">
        <v>18</v>
      </c>
      <c r="J219" s="38" t="str">
        <f>HYPERLINK("https://amazon.com/dp/B0DSJ3FXDR","View on Amazon")</f>
        <v>View on Amazon</v>
      </c>
      <c r="K219" s="15" t="s">
        <v>463</v>
      </c>
      <c r="L219" s="20" t="s">
        <v>460</v>
      </c>
    </row>
    <row r="220" spans="1:12" ht="51" x14ac:dyDescent="0.2">
      <c r="A220" s="21" t="s">
        <v>910</v>
      </c>
      <c r="B220" s="22" t="s">
        <v>911</v>
      </c>
      <c r="C220" s="23" t="s">
        <v>33</v>
      </c>
      <c r="D220" s="23" t="s">
        <v>463</v>
      </c>
      <c r="E220" s="24">
        <v>89.99</v>
      </c>
      <c r="F220" s="25">
        <v>962.9</v>
      </c>
      <c r="G220" s="26">
        <v>11</v>
      </c>
      <c r="H220" s="27">
        <v>0</v>
      </c>
      <c r="I220" s="26">
        <v>0</v>
      </c>
      <c r="J220" s="39" t="str">
        <f>HYPERLINK("https://amazon.com/dp/B0GG9HT9C6","View on Amazon")</f>
        <v>View on Amazon</v>
      </c>
      <c r="K220" s="23" t="s">
        <v>463</v>
      </c>
      <c r="L220" s="28" t="s">
        <v>460</v>
      </c>
    </row>
    <row r="221" spans="1:12" ht="51" x14ac:dyDescent="0.2">
      <c r="A221" s="13" t="s">
        <v>912</v>
      </c>
      <c r="B221" s="14" t="s">
        <v>913</v>
      </c>
      <c r="C221" s="15" t="s">
        <v>106</v>
      </c>
      <c r="D221" s="15" t="s">
        <v>463</v>
      </c>
      <c r="E221" s="16">
        <v>72.19</v>
      </c>
      <c r="F221" s="17">
        <v>936.84</v>
      </c>
      <c r="G221" s="18">
        <v>12</v>
      </c>
      <c r="H221" s="19">
        <v>4.2</v>
      </c>
      <c r="I221" s="18">
        <v>51</v>
      </c>
      <c r="J221" s="38" t="str">
        <f>HYPERLINK("https://amazon.com/dp/B0F48H68JS","View on Amazon")</f>
        <v>View on Amazon</v>
      </c>
      <c r="K221" s="15" t="s">
        <v>463</v>
      </c>
      <c r="L221" s="20" t="s">
        <v>460</v>
      </c>
    </row>
    <row r="222" spans="1:12" ht="68" x14ac:dyDescent="0.2">
      <c r="A222" s="21" t="s">
        <v>914</v>
      </c>
      <c r="B222" s="22" t="s">
        <v>915</v>
      </c>
      <c r="C222" s="23" t="s">
        <v>142</v>
      </c>
      <c r="D222" s="23" t="s">
        <v>463</v>
      </c>
      <c r="E222" s="24">
        <v>59.93</v>
      </c>
      <c r="F222" s="25">
        <v>935.74</v>
      </c>
      <c r="G222" s="26">
        <v>15</v>
      </c>
      <c r="H222" s="27">
        <v>4.2</v>
      </c>
      <c r="I222" s="26">
        <v>18</v>
      </c>
      <c r="J222" s="39" t="str">
        <f>HYPERLINK("https://amazon.com/dp/B0DWZNN8X2","View on Amazon")</f>
        <v>View on Amazon</v>
      </c>
      <c r="K222" s="23" t="s">
        <v>463</v>
      </c>
      <c r="L222" s="28" t="s">
        <v>460</v>
      </c>
    </row>
    <row r="223" spans="1:12" ht="34" x14ac:dyDescent="0.2">
      <c r="A223" s="13" t="s">
        <v>916</v>
      </c>
      <c r="B223" s="14" t="s">
        <v>895</v>
      </c>
      <c r="C223" s="15" t="s">
        <v>98</v>
      </c>
      <c r="D223" s="15" t="s">
        <v>463</v>
      </c>
      <c r="E223" s="16">
        <v>35.99</v>
      </c>
      <c r="F223" s="17">
        <v>919.96</v>
      </c>
      <c r="G223" s="18">
        <v>26</v>
      </c>
      <c r="H223" s="19">
        <v>3.9</v>
      </c>
      <c r="I223" s="18">
        <v>75</v>
      </c>
      <c r="J223" s="38" t="str">
        <f>HYPERLINK("https://amazon.com/dp/B0D2ZRPXBJ","View on Amazon")</f>
        <v>View on Amazon</v>
      </c>
      <c r="K223" s="15" t="s">
        <v>463</v>
      </c>
      <c r="L223" s="20" t="s">
        <v>460</v>
      </c>
    </row>
    <row r="224" spans="1:12" ht="51" x14ac:dyDescent="0.2">
      <c r="A224" s="21" t="s">
        <v>917</v>
      </c>
      <c r="B224" s="22" t="s">
        <v>918</v>
      </c>
      <c r="C224" s="23" t="s">
        <v>100</v>
      </c>
      <c r="D224" s="23" t="s">
        <v>463</v>
      </c>
      <c r="E224" s="24">
        <v>139.99</v>
      </c>
      <c r="F224" s="25">
        <v>895.35</v>
      </c>
      <c r="G224" s="26">
        <v>6</v>
      </c>
      <c r="H224" s="27">
        <v>4.0999999999999996</v>
      </c>
      <c r="I224" s="26">
        <v>64</v>
      </c>
      <c r="J224" s="39" t="str">
        <f>HYPERLINK("https://amazon.com/dp/B0FB33S31B","View on Amazon")</f>
        <v>View on Amazon</v>
      </c>
      <c r="K224" s="23" t="s">
        <v>463</v>
      </c>
      <c r="L224" s="28" t="s">
        <v>460</v>
      </c>
    </row>
    <row r="225" spans="1:12" ht="68" x14ac:dyDescent="0.2">
      <c r="A225" s="13" t="s">
        <v>919</v>
      </c>
      <c r="B225" s="14" t="s">
        <v>920</v>
      </c>
      <c r="C225" s="15" t="s">
        <v>143</v>
      </c>
      <c r="D225" s="15" t="s">
        <v>459</v>
      </c>
      <c r="E225" s="16">
        <v>39.99</v>
      </c>
      <c r="F225" s="17">
        <v>893.52</v>
      </c>
      <c r="G225" s="18">
        <v>22</v>
      </c>
      <c r="H225" s="19">
        <v>3.8</v>
      </c>
      <c r="I225" s="18">
        <v>25</v>
      </c>
      <c r="J225" s="38" t="str">
        <f>HYPERLINK("https://amazon.com/dp/B0CQCSRFS5","View on Amazon")</f>
        <v>View on Amazon</v>
      </c>
      <c r="K225" s="15" t="s">
        <v>459</v>
      </c>
      <c r="L225" s="20" t="s">
        <v>460</v>
      </c>
    </row>
    <row r="226" spans="1:12" ht="51" x14ac:dyDescent="0.2">
      <c r="A226" s="21" t="s">
        <v>921</v>
      </c>
      <c r="B226" s="22" t="s">
        <v>922</v>
      </c>
      <c r="C226" s="23" t="s">
        <v>84</v>
      </c>
      <c r="D226" s="23" t="s">
        <v>463</v>
      </c>
      <c r="E226" s="24">
        <v>200</v>
      </c>
      <c r="F226" s="25">
        <v>885.34</v>
      </c>
      <c r="G226" s="26">
        <v>4</v>
      </c>
      <c r="H226" s="27">
        <v>3.3</v>
      </c>
      <c r="I226" s="26">
        <v>3</v>
      </c>
      <c r="J226" s="39" t="str">
        <f>HYPERLINK("https://amazon.com/dp/B0D1XS3PKJ","View on Amazon")</f>
        <v>View on Amazon</v>
      </c>
      <c r="K226" s="23" t="s">
        <v>463</v>
      </c>
      <c r="L226" s="28" t="s">
        <v>460</v>
      </c>
    </row>
    <row r="227" spans="1:12" ht="34" x14ac:dyDescent="0.2">
      <c r="A227" s="13" t="s">
        <v>923</v>
      </c>
      <c r="B227" s="14" t="s">
        <v>924</v>
      </c>
      <c r="C227" s="15" t="s">
        <v>144</v>
      </c>
      <c r="D227" s="15" t="s">
        <v>486</v>
      </c>
      <c r="E227" s="16">
        <v>17.989999999999998</v>
      </c>
      <c r="F227" s="17">
        <v>877.79</v>
      </c>
      <c r="G227" s="18">
        <v>49</v>
      </c>
      <c r="H227" s="19">
        <v>4.0999999999999996</v>
      </c>
      <c r="I227" s="18">
        <v>193</v>
      </c>
      <c r="J227" s="38" t="str">
        <f>HYPERLINK("https://amazon.com/dp/B06XY6PQNV","View on Amazon")</f>
        <v>View on Amazon</v>
      </c>
      <c r="K227" s="15" t="s">
        <v>486</v>
      </c>
      <c r="L227" s="20" t="s">
        <v>460</v>
      </c>
    </row>
    <row r="228" spans="1:12" ht="68" x14ac:dyDescent="0.2">
      <c r="A228" s="21" t="s">
        <v>925</v>
      </c>
      <c r="B228" s="22" t="s">
        <v>926</v>
      </c>
      <c r="C228" s="23" t="s">
        <v>49</v>
      </c>
      <c r="D228" s="23" t="s">
        <v>463</v>
      </c>
      <c r="E228" s="24">
        <v>112.09</v>
      </c>
      <c r="F228" s="25">
        <v>854.34</v>
      </c>
      <c r="G228" s="26">
        <v>7</v>
      </c>
      <c r="H228" s="27">
        <v>4.5</v>
      </c>
      <c r="I228" s="26">
        <v>111</v>
      </c>
      <c r="J228" s="39" t="str">
        <f>HYPERLINK("https://amazon.com/dp/B0D8VR6TXD","View on Amazon")</f>
        <v>View on Amazon</v>
      </c>
      <c r="K228" s="23" t="s">
        <v>463</v>
      </c>
      <c r="L228" s="28" t="s">
        <v>460</v>
      </c>
    </row>
    <row r="229" spans="1:12" ht="51" x14ac:dyDescent="0.2">
      <c r="A229" s="13" t="s">
        <v>927</v>
      </c>
      <c r="B229" s="14" t="s">
        <v>928</v>
      </c>
      <c r="C229" s="15" t="s">
        <v>40</v>
      </c>
      <c r="D229" s="15" t="s">
        <v>463</v>
      </c>
      <c r="E229" s="16">
        <v>89.99</v>
      </c>
      <c r="F229" s="17">
        <v>852.96</v>
      </c>
      <c r="G229" s="18">
        <v>9</v>
      </c>
      <c r="H229" s="19">
        <v>4.4000000000000004</v>
      </c>
      <c r="I229" s="18">
        <v>123</v>
      </c>
      <c r="J229" s="38" t="str">
        <f>HYPERLINK("https://amazon.com/dp/B0FL1NCFBS","View on Amazon")</f>
        <v>View on Amazon</v>
      </c>
      <c r="K229" s="15" t="s">
        <v>463</v>
      </c>
      <c r="L229" s="20" t="s">
        <v>460</v>
      </c>
    </row>
    <row r="230" spans="1:12" ht="68" x14ac:dyDescent="0.2">
      <c r="A230" s="21" t="s">
        <v>929</v>
      </c>
      <c r="B230" s="22" t="s">
        <v>930</v>
      </c>
      <c r="C230" s="23" t="s">
        <v>10</v>
      </c>
      <c r="D230" s="23" t="s">
        <v>463</v>
      </c>
      <c r="E230" s="24">
        <v>239</v>
      </c>
      <c r="F230" s="25">
        <v>846.24</v>
      </c>
      <c r="G230" s="26">
        <v>4</v>
      </c>
      <c r="H230" s="27">
        <v>0</v>
      </c>
      <c r="I230" s="26">
        <v>0</v>
      </c>
      <c r="J230" s="39" t="str">
        <f>HYPERLINK("https://amazon.com/dp/B0FX4CQLKD","View on Amazon")</f>
        <v>View on Amazon</v>
      </c>
      <c r="K230" s="23" t="s">
        <v>463</v>
      </c>
      <c r="L230" s="28" t="s">
        <v>220</v>
      </c>
    </row>
    <row r="231" spans="1:12" ht="51" x14ac:dyDescent="0.2">
      <c r="A231" s="13" t="s">
        <v>931</v>
      </c>
      <c r="B231" s="14" t="s">
        <v>932</v>
      </c>
      <c r="C231" s="15" t="s">
        <v>31</v>
      </c>
      <c r="D231" s="15" t="s">
        <v>463</v>
      </c>
      <c r="E231" s="16">
        <v>159.99</v>
      </c>
      <c r="F231" s="17">
        <v>840.55</v>
      </c>
      <c r="G231" s="18">
        <v>5</v>
      </c>
      <c r="H231" s="19">
        <v>4.3</v>
      </c>
      <c r="I231" s="18">
        <v>414</v>
      </c>
      <c r="J231" s="38" t="str">
        <f>HYPERLINK("https://amazon.com/dp/B0CP27M2S6","View on Amazon")</f>
        <v>View on Amazon</v>
      </c>
      <c r="K231" s="15" t="s">
        <v>463</v>
      </c>
      <c r="L231" s="20" t="s">
        <v>460</v>
      </c>
    </row>
    <row r="232" spans="1:12" ht="51" x14ac:dyDescent="0.2">
      <c r="A232" s="21" t="s">
        <v>933</v>
      </c>
      <c r="B232" s="22" t="s">
        <v>934</v>
      </c>
      <c r="C232" s="23" t="s">
        <v>36</v>
      </c>
      <c r="D232" s="23" t="s">
        <v>459</v>
      </c>
      <c r="E232" s="24">
        <v>235.98</v>
      </c>
      <c r="F232" s="25">
        <v>839.37</v>
      </c>
      <c r="G232" s="26">
        <v>4</v>
      </c>
      <c r="H232" s="27">
        <v>4.2</v>
      </c>
      <c r="I232" s="26">
        <v>11</v>
      </c>
      <c r="J232" s="39" t="str">
        <f>HYPERLINK("https://amazon.com/dp/B0C61J5G7H","View on Amazon")</f>
        <v>View on Amazon</v>
      </c>
      <c r="K232" s="23" t="s">
        <v>459</v>
      </c>
      <c r="L232" s="28" t="s">
        <v>460</v>
      </c>
    </row>
    <row r="233" spans="1:12" ht="68" x14ac:dyDescent="0.2">
      <c r="A233" s="13" t="s">
        <v>935</v>
      </c>
      <c r="B233" s="14" t="s">
        <v>936</v>
      </c>
      <c r="C233" s="15" t="s">
        <v>86</v>
      </c>
      <c r="D233" s="15" t="s">
        <v>463</v>
      </c>
      <c r="E233" s="16">
        <v>54.99</v>
      </c>
      <c r="F233" s="17">
        <v>837.85</v>
      </c>
      <c r="G233" s="18">
        <v>11</v>
      </c>
      <c r="H233" s="19">
        <v>4.3</v>
      </c>
      <c r="I233" s="18">
        <v>107</v>
      </c>
      <c r="J233" s="38" t="str">
        <f>HYPERLINK("https://amazon.com/dp/B0DH2N8LYJ","View on Amazon")</f>
        <v>View on Amazon</v>
      </c>
      <c r="K233" s="15" t="s">
        <v>463</v>
      </c>
      <c r="L233" s="20" t="s">
        <v>460</v>
      </c>
    </row>
    <row r="234" spans="1:12" ht="17" x14ac:dyDescent="0.2">
      <c r="A234" s="21" t="s">
        <v>937</v>
      </c>
      <c r="B234" s="22" t="s">
        <v>938</v>
      </c>
      <c r="C234" s="23" t="s">
        <v>146</v>
      </c>
      <c r="D234" s="23" t="s">
        <v>486</v>
      </c>
      <c r="E234" s="24">
        <v>119.69</v>
      </c>
      <c r="F234" s="25">
        <v>836.75</v>
      </c>
      <c r="G234" s="26">
        <v>7</v>
      </c>
      <c r="H234" s="27">
        <v>3.1</v>
      </c>
      <c r="I234" s="26">
        <v>16</v>
      </c>
      <c r="J234" s="39" t="str">
        <f>HYPERLINK("https://amazon.com/dp/B003DQWWZ4","View on Amazon")</f>
        <v>View on Amazon</v>
      </c>
      <c r="K234" s="23" t="s">
        <v>486</v>
      </c>
      <c r="L234" s="28" t="s">
        <v>460</v>
      </c>
    </row>
    <row r="235" spans="1:12" ht="51" x14ac:dyDescent="0.2">
      <c r="A235" s="13" t="s">
        <v>939</v>
      </c>
      <c r="B235" s="14" t="s">
        <v>940</v>
      </c>
      <c r="C235" s="15" t="s">
        <v>129</v>
      </c>
      <c r="D235" s="15" t="s">
        <v>463</v>
      </c>
      <c r="E235" s="16">
        <v>26.99</v>
      </c>
      <c r="F235" s="17">
        <v>835.71</v>
      </c>
      <c r="G235" s="18">
        <v>31</v>
      </c>
      <c r="H235" s="19">
        <v>4.0999999999999996</v>
      </c>
      <c r="I235" s="18">
        <v>23</v>
      </c>
      <c r="J235" s="38" t="str">
        <f>HYPERLINK("https://amazon.com/dp/B0DK4ZWK1H","View on Amazon")</f>
        <v>View on Amazon</v>
      </c>
      <c r="K235" s="15" t="s">
        <v>463</v>
      </c>
      <c r="L235" s="20" t="s">
        <v>460</v>
      </c>
    </row>
    <row r="236" spans="1:12" ht="34" x14ac:dyDescent="0.2">
      <c r="A236" s="21" t="s">
        <v>941</v>
      </c>
      <c r="B236" s="22" t="s">
        <v>942</v>
      </c>
      <c r="C236" s="23" t="s">
        <v>147</v>
      </c>
      <c r="D236" s="23" t="s">
        <v>463</v>
      </c>
      <c r="E236" s="24">
        <v>14.99</v>
      </c>
      <c r="F236" s="25">
        <v>824.4</v>
      </c>
      <c r="G236" s="26">
        <v>55</v>
      </c>
      <c r="H236" s="27">
        <v>3.4</v>
      </c>
      <c r="I236" s="26">
        <v>19</v>
      </c>
      <c r="J236" s="39" t="str">
        <f>HYPERLINK("https://amazon.com/dp/B0FY5T87SY","View on Amazon")</f>
        <v>View on Amazon</v>
      </c>
      <c r="K236" s="23" t="s">
        <v>463</v>
      </c>
      <c r="L236" s="28" t="s">
        <v>460</v>
      </c>
    </row>
    <row r="237" spans="1:12" ht="68" x14ac:dyDescent="0.2">
      <c r="A237" s="13" t="s">
        <v>943</v>
      </c>
      <c r="B237" s="14" t="s">
        <v>944</v>
      </c>
      <c r="C237" s="15" t="s">
        <v>11</v>
      </c>
      <c r="D237" s="15" t="s">
        <v>463</v>
      </c>
      <c r="E237" s="16">
        <v>99</v>
      </c>
      <c r="F237" s="17">
        <v>821.89</v>
      </c>
      <c r="G237" s="18">
        <v>8</v>
      </c>
      <c r="H237" s="19">
        <v>4.4000000000000004</v>
      </c>
      <c r="I237" s="18">
        <v>146</v>
      </c>
      <c r="J237" s="38" t="str">
        <f>HYPERLINK("https://amazon.com/dp/B0DDCL3QRF","View on Amazon")</f>
        <v>View on Amazon</v>
      </c>
      <c r="K237" s="15" t="s">
        <v>463</v>
      </c>
      <c r="L237" s="20" t="s">
        <v>460</v>
      </c>
    </row>
    <row r="238" spans="1:12" ht="17" x14ac:dyDescent="0.2">
      <c r="A238" s="21" t="s">
        <v>945</v>
      </c>
      <c r="B238" s="22" t="s">
        <v>946</v>
      </c>
      <c r="C238" s="23" t="s">
        <v>130</v>
      </c>
      <c r="D238" s="23" t="s">
        <v>486</v>
      </c>
      <c r="E238" s="24">
        <v>183.5</v>
      </c>
      <c r="F238" s="25">
        <v>819.2</v>
      </c>
      <c r="G238" s="26">
        <v>4</v>
      </c>
      <c r="H238" s="27">
        <v>4.5999999999999996</v>
      </c>
      <c r="I238" s="26">
        <v>5</v>
      </c>
      <c r="J238" s="39" t="str">
        <f>HYPERLINK("https://amazon.com/dp/B0CP2YPFLJ","View on Amazon")</f>
        <v>View on Amazon</v>
      </c>
      <c r="K238" s="23" t="s">
        <v>486</v>
      </c>
      <c r="L238" s="28" t="s">
        <v>460</v>
      </c>
    </row>
    <row r="239" spans="1:12" ht="68" x14ac:dyDescent="0.2">
      <c r="A239" s="13" t="s">
        <v>947</v>
      </c>
      <c r="B239" s="14" t="s">
        <v>948</v>
      </c>
      <c r="C239" s="15" t="s">
        <v>108</v>
      </c>
      <c r="D239" s="15" t="s">
        <v>463</v>
      </c>
      <c r="E239" s="16">
        <v>50.99</v>
      </c>
      <c r="F239" s="17">
        <v>814.15</v>
      </c>
      <c r="G239" s="18">
        <v>14</v>
      </c>
      <c r="H239" s="19">
        <v>4.2</v>
      </c>
      <c r="I239" s="18">
        <v>48</v>
      </c>
      <c r="J239" s="38" t="str">
        <f>HYPERLINK("https://amazon.com/dp/B0DQ4QPCMC","View on Amazon")</f>
        <v>View on Amazon</v>
      </c>
      <c r="K239" s="15" t="s">
        <v>463</v>
      </c>
      <c r="L239" s="20" t="s">
        <v>460</v>
      </c>
    </row>
    <row r="240" spans="1:12" ht="68" x14ac:dyDescent="0.2">
      <c r="A240" s="21" t="s">
        <v>949</v>
      </c>
      <c r="B240" s="22" t="s">
        <v>950</v>
      </c>
      <c r="C240" s="23" t="s">
        <v>69</v>
      </c>
      <c r="D240" s="23" t="s">
        <v>463</v>
      </c>
      <c r="E240" s="24">
        <v>179.99</v>
      </c>
      <c r="F240" s="25">
        <v>810.58</v>
      </c>
      <c r="G240" s="26">
        <v>5</v>
      </c>
      <c r="H240" s="27">
        <v>4.3</v>
      </c>
      <c r="I240" s="26">
        <v>1082</v>
      </c>
      <c r="J240" s="39" t="str">
        <f>HYPERLINK("https://amazon.com/dp/B0CQNZDNT8","View on Amazon")</f>
        <v>View on Amazon</v>
      </c>
      <c r="K240" s="23" t="s">
        <v>463</v>
      </c>
      <c r="L240" s="28" t="s">
        <v>460</v>
      </c>
    </row>
    <row r="241" spans="1:12" ht="17" x14ac:dyDescent="0.2">
      <c r="A241" s="13" t="s">
        <v>951</v>
      </c>
      <c r="B241" s="14" t="s">
        <v>952</v>
      </c>
      <c r="C241" s="15" t="s">
        <v>148</v>
      </c>
      <c r="D241" s="15" t="s">
        <v>463</v>
      </c>
      <c r="E241" s="16">
        <v>189</v>
      </c>
      <c r="F241" s="17">
        <v>805.46</v>
      </c>
      <c r="G241" s="18">
        <v>4</v>
      </c>
      <c r="H241" s="19">
        <v>4.2</v>
      </c>
      <c r="I241" s="18">
        <v>23</v>
      </c>
      <c r="J241" s="38" t="str">
        <f>HYPERLINK("https://amazon.com/dp/B07L8JW9MP","View on Amazon")</f>
        <v>View on Amazon</v>
      </c>
      <c r="K241" s="15" t="s">
        <v>463</v>
      </c>
      <c r="L241" s="20" t="s">
        <v>460</v>
      </c>
    </row>
    <row r="242" spans="1:12" ht="51" x14ac:dyDescent="0.2">
      <c r="A242" s="21" t="s">
        <v>953</v>
      </c>
      <c r="B242" s="22" t="s">
        <v>954</v>
      </c>
      <c r="C242" s="23" t="s">
        <v>149</v>
      </c>
      <c r="D242" s="23" t="s">
        <v>463</v>
      </c>
      <c r="E242" s="24">
        <v>99.99</v>
      </c>
      <c r="F242" s="25">
        <v>798.18</v>
      </c>
      <c r="G242" s="26">
        <v>8</v>
      </c>
      <c r="H242" s="27">
        <v>5</v>
      </c>
      <c r="I242" s="26">
        <v>4</v>
      </c>
      <c r="J242" s="39" t="str">
        <f>HYPERLINK("https://amazon.com/dp/B0FN3BWHDS","View on Amazon")</f>
        <v>View on Amazon</v>
      </c>
      <c r="K242" s="23" t="s">
        <v>463</v>
      </c>
      <c r="L242" s="28" t="s">
        <v>460</v>
      </c>
    </row>
    <row r="243" spans="1:12" ht="51" x14ac:dyDescent="0.2">
      <c r="A243" s="13" t="s">
        <v>955</v>
      </c>
      <c r="B243" s="14" t="s">
        <v>956</v>
      </c>
      <c r="C243" s="15" t="s">
        <v>88</v>
      </c>
      <c r="D243" s="15" t="s">
        <v>463</v>
      </c>
      <c r="E243" s="16">
        <v>79.989999999999995</v>
      </c>
      <c r="F243" s="17">
        <v>793.2</v>
      </c>
      <c r="G243" s="18">
        <v>10</v>
      </c>
      <c r="H243" s="19">
        <v>4.7</v>
      </c>
      <c r="I243" s="18">
        <v>5</v>
      </c>
      <c r="J243" s="38" t="str">
        <f>HYPERLINK("https://amazon.com/dp/B0D2CY72Z4","View on Amazon")</f>
        <v>View on Amazon</v>
      </c>
      <c r="K243" s="15" t="s">
        <v>463</v>
      </c>
      <c r="L243" s="20" t="s">
        <v>460</v>
      </c>
    </row>
    <row r="244" spans="1:12" ht="68" x14ac:dyDescent="0.2">
      <c r="A244" s="21" t="s">
        <v>957</v>
      </c>
      <c r="B244" s="22" t="s">
        <v>958</v>
      </c>
      <c r="C244" s="23" t="s">
        <v>70</v>
      </c>
      <c r="D244" s="23" t="s">
        <v>459</v>
      </c>
      <c r="E244" s="24">
        <v>948.99</v>
      </c>
      <c r="F244" s="25">
        <v>792.95</v>
      </c>
      <c r="G244" s="26">
        <v>1</v>
      </c>
      <c r="H244" s="27">
        <v>5</v>
      </c>
      <c r="I244" s="26">
        <v>2</v>
      </c>
      <c r="J244" s="39" t="str">
        <f>HYPERLINK("https://amazon.com/dp/B0CX47QBDJ","View on Amazon")</f>
        <v>View on Amazon</v>
      </c>
      <c r="K244" s="23" t="s">
        <v>459</v>
      </c>
      <c r="L244" s="28" t="s">
        <v>460</v>
      </c>
    </row>
    <row r="245" spans="1:12" ht="68" x14ac:dyDescent="0.2">
      <c r="A245" s="13" t="s">
        <v>959</v>
      </c>
      <c r="B245" s="14" t="s">
        <v>960</v>
      </c>
      <c r="C245" s="15" t="s">
        <v>127</v>
      </c>
      <c r="D245" s="15" t="s">
        <v>463</v>
      </c>
      <c r="E245" s="16">
        <v>41.99</v>
      </c>
      <c r="F245" s="17">
        <v>789.43</v>
      </c>
      <c r="G245" s="18">
        <v>19</v>
      </c>
      <c r="H245" s="19">
        <v>4.4000000000000004</v>
      </c>
      <c r="I245" s="18">
        <v>23</v>
      </c>
      <c r="J245" s="38" t="str">
        <f>HYPERLINK("https://amazon.com/dp/B0FLNBV67L","View on Amazon")</f>
        <v>View on Amazon</v>
      </c>
      <c r="K245" s="15" t="s">
        <v>463</v>
      </c>
      <c r="L245" s="20" t="s">
        <v>460</v>
      </c>
    </row>
    <row r="246" spans="1:12" ht="34" x14ac:dyDescent="0.2">
      <c r="A246" s="21" t="s">
        <v>961</v>
      </c>
      <c r="B246" s="22" t="s">
        <v>578</v>
      </c>
      <c r="C246" s="23" t="s">
        <v>81</v>
      </c>
      <c r="D246" s="23" t="s">
        <v>463</v>
      </c>
      <c r="E246" s="24">
        <v>48</v>
      </c>
      <c r="F246" s="25">
        <v>768.91</v>
      </c>
      <c r="G246" s="26">
        <v>16</v>
      </c>
      <c r="H246" s="27">
        <v>4.4000000000000004</v>
      </c>
      <c r="I246" s="26">
        <v>349</v>
      </c>
      <c r="J246" s="39" t="str">
        <f>HYPERLINK("https://amazon.com/dp/B088Z8GLPM","View on Amazon")</f>
        <v>View on Amazon</v>
      </c>
      <c r="K246" s="23" t="s">
        <v>463</v>
      </c>
      <c r="L246" s="28" t="s">
        <v>460</v>
      </c>
    </row>
    <row r="247" spans="1:12" ht="51" x14ac:dyDescent="0.2">
      <c r="A247" s="13" t="s">
        <v>962</v>
      </c>
      <c r="B247" s="14" t="s">
        <v>963</v>
      </c>
      <c r="C247" s="15" t="s">
        <v>106</v>
      </c>
      <c r="D247" s="15" t="s">
        <v>463</v>
      </c>
      <c r="E247" s="16">
        <v>79.989999999999995</v>
      </c>
      <c r="F247" s="17">
        <v>762.86</v>
      </c>
      <c r="G247" s="18">
        <v>10</v>
      </c>
      <c r="H247" s="19">
        <v>4.2</v>
      </c>
      <c r="I247" s="18">
        <v>51</v>
      </c>
      <c r="J247" s="38" t="str">
        <f>HYPERLINK("https://amazon.com/dp/B0C7CF4BTV","View on Amazon")</f>
        <v>View on Amazon</v>
      </c>
      <c r="K247" s="15" t="s">
        <v>463</v>
      </c>
      <c r="L247" s="20" t="s">
        <v>460</v>
      </c>
    </row>
    <row r="248" spans="1:12" ht="51" x14ac:dyDescent="0.2">
      <c r="A248" s="21" t="s">
        <v>964</v>
      </c>
      <c r="B248" s="22" t="s">
        <v>853</v>
      </c>
      <c r="C248" s="23" t="s">
        <v>31</v>
      </c>
      <c r="D248" s="23" t="s">
        <v>463</v>
      </c>
      <c r="E248" s="24">
        <v>159.99</v>
      </c>
      <c r="F248" s="25">
        <v>761.15</v>
      </c>
      <c r="G248" s="26">
        <v>5</v>
      </c>
      <c r="H248" s="27">
        <v>4.3</v>
      </c>
      <c r="I248" s="26">
        <v>410</v>
      </c>
      <c r="J248" s="39" t="str">
        <f>HYPERLINK("https://amazon.com/dp/B0CQC8F414","View on Amazon")</f>
        <v>View on Amazon</v>
      </c>
      <c r="K248" s="23" t="s">
        <v>463</v>
      </c>
      <c r="L248" s="28" t="s">
        <v>460</v>
      </c>
    </row>
    <row r="249" spans="1:12" ht="68" x14ac:dyDescent="0.2">
      <c r="A249" s="13" t="s">
        <v>965</v>
      </c>
      <c r="B249" s="14" t="s">
        <v>966</v>
      </c>
      <c r="C249" s="15" t="s">
        <v>73</v>
      </c>
      <c r="D249" s="15" t="s">
        <v>459</v>
      </c>
      <c r="E249" s="16">
        <v>139.99</v>
      </c>
      <c r="F249" s="17">
        <v>755.96</v>
      </c>
      <c r="G249" s="18">
        <v>5</v>
      </c>
      <c r="H249" s="19">
        <v>5</v>
      </c>
      <c r="I249" s="18">
        <v>1</v>
      </c>
      <c r="J249" s="38" t="str">
        <f>HYPERLINK("https://amazon.com/dp/B0FMHTLCM1","View on Amazon")</f>
        <v>View on Amazon</v>
      </c>
      <c r="K249" s="15" t="s">
        <v>459</v>
      </c>
      <c r="L249" s="20" t="s">
        <v>460</v>
      </c>
    </row>
    <row r="250" spans="1:12" ht="68" x14ac:dyDescent="0.2">
      <c r="A250" s="21" t="s">
        <v>967</v>
      </c>
      <c r="B250" s="22" t="s">
        <v>968</v>
      </c>
      <c r="C250" s="23" t="s">
        <v>40</v>
      </c>
      <c r="D250" s="23" t="s">
        <v>463</v>
      </c>
      <c r="E250" s="24">
        <v>169.99</v>
      </c>
      <c r="F250" s="25">
        <v>754.48</v>
      </c>
      <c r="G250" s="26">
        <v>4</v>
      </c>
      <c r="H250" s="27">
        <v>4.4000000000000004</v>
      </c>
      <c r="I250" s="26">
        <v>22</v>
      </c>
      <c r="J250" s="39" t="str">
        <f>HYPERLINK("https://amazon.com/dp/B0FS13QW2Q","View on Amazon")</f>
        <v>View on Amazon</v>
      </c>
      <c r="K250" s="23" t="s">
        <v>463</v>
      </c>
      <c r="L250" s="28" t="s">
        <v>460</v>
      </c>
    </row>
    <row r="251" spans="1:12" ht="68" x14ac:dyDescent="0.2">
      <c r="A251" s="13" t="s">
        <v>969</v>
      </c>
      <c r="B251" s="14" t="s">
        <v>970</v>
      </c>
      <c r="C251" s="15" t="s">
        <v>69</v>
      </c>
      <c r="D251" s="15" t="s">
        <v>463</v>
      </c>
      <c r="E251" s="16">
        <v>179.99</v>
      </c>
      <c r="F251" s="17">
        <v>746.84</v>
      </c>
      <c r="G251" s="18">
        <v>5</v>
      </c>
      <c r="H251" s="19">
        <v>4.3</v>
      </c>
      <c r="I251" s="18">
        <v>1082</v>
      </c>
      <c r="J251" s="38" t="str">
        <f>HYPERLINK("https://amazon.com/dp/B0CQP1D5MY","View on Amazon")</f>
        <v>View on Amazon</v>
      </c>
      <c r="K251" s="15" t="s">
        <v>463</v>
      </c>
      <c r="L251" s="20" t="s">
        <v>460</v>
      </c>
    </row>
    <row r="252" spans="1:12" ht="68" x14ac:dyDescent="0.2">
      <c r="A252" s="21" t="s">
        <v>971</v>
      </c>
      <c r="B252" s="22" t="s">
        <v>972</v>
      </c>
      <c r="C252" s="23" t="s">
        <v>75</v>
      </c>
      <c r="D252" s="23" t="s">
        <v>463</v>
      </c>
      <c r="E252" s="24">
        <v>139.99</v>
      </c>
      <c r="F252" s="25">
        <v>744.62</v>
      </c>
      <c r="G252" s="26">
        <v>5</v>
      </c>
      <c r="H252" s="27">
        <v>4.4000000000000004</v>
      </c>
      <c r="I252" s="26">
        <v>33</v>
      </c>
      <c r="J252" s="39" t="str">
        <f>HYPERLINK("https://amazon.com/dp/B0DFW88HMH","View on Amazon")</f>
        <v>View on Amazon</v>
      </c>
      <c r="K252" s="23" t="s">
        <v>463</v>
      </c>
      <c r="L252" s="28" t="s">
        <v>460</v>
      </c>
    </row>
    <row r="253" spans="1:12" ht="68" x14ac:dyDescent="0.2">
      <c r="A253" s="13" t="s">
        <v>973</v>
      </c>
      <c r="B253" s="14" t="s">
        <v>974</v>
      </c>
      <c r="C253" s="15" t="s">
        <v>80</v>
      </c>
      <c r="D253" s="15" t="s">
        <v>463</v>
      </c>
      <c r="E253" s="16">
        <v>56.99</v>
      </c>
      <c r="F253" s="17">
        <v>737.49</v>
      </c>
      <c r="G253" s="18">
        <v>11</v>
      </c>
      <c r="H253" s="19">
        <v>5</v>
      </c>
      <c r="I253" s="18">
        <v>5</v>
      </c>
      <c r="J253" s="38" t="str">
        <f>HYPERLINK("https://amazon.com/dp/B0FR4L1Y8X","View on Amazon")</f>
        <v>View on Amazon</v>
      </c>
      <c r="K253" s="15" t="s">
        <v>463</v>
      </c>
      <c r="L253" s="20" t="s">
        <v>460</v>
      </c>
    </row>
    <row r="254" spans="1:12" ht="68" x14ac:dyDescent="0.2">
      <c r="A254" s="21" t="s">
        <v>975</v>
      </c>
      <c r="B254" s="22" t="s">
        <v>976</v>
      </c>
      <c r="C254" s="23" t="s">
        <v>84</v>
      </c>
      <c r="D254" s="23" t="s">
        <v>463</v>
      </c>
      <c r="E254" s="24">
        <v>35.99</v>
      </c>
      <c r="F254" s="25">
        <v>735.23</v>
      </c>
      <c r="G254" s="26">
        <v>22</v>
      </c>
      <c r="H254" s="27">
        <v>4.2</v>
      </c>
      <c r="I254" s="26">
        <v>28</v>
      </c>
      <c r="J254" s="39" t="str">
        <f>HYPERLINK("https://amazon.com/dp/B0CHRBKM2C","View on Amazon")</f>
        <v>View on Amazon</v>
      </c>
      <c r="K254" s="23" t="s">
        <v>463</v>
      </c>
      <c r="L254" s="28" t="s">
        <v>460</v>
      </c>
    </row>
    <row r="255" spans="1:12" ht="34" x14ac:dyDescent="0.2">
      <c r="A255" s="13" t="s">
        <v>977</v>
      </c>
      <c r="B255" s="14" t="s">
        <v>978</v>
      </c>
      <c r="C255" s="15" t="s">
        <v>97</v>
      </c>
      <c r="D255" s="15" t="s">
        <v>463</v>
      </c>
      <c r="E255" s="16">
        <v>42.99</v>
      </c>
      <c r="F255" s="17">
        <v>722.19</v>
      </c>
      <c r="G255" s="18">
        <v>18</v>
      </c>
      <c r="H255" s="19">
        <v>1</v>
      </c>
      <c r="I255" s="18">
        <v>1</v>
      </c>
      <c r="J255" s="38" t="str">
        <f>HYPERLINK("https://amazon.com/dp/B0FKH2VNG1","View on Amazon")</f>
        <v>View on Amazon</v>
      </c>
      <c r="K255" s="15" t="s">
        <v>463</v>
      </c>
      <c r="L255" s="20" t="s">
        <v>460</v>
      </c>
    </row>
    <row r="256" spans="1:12" ht="51" x14ac:dyDescent="0.2">
      <c r="A256" s="21" t="s">
        <v>979</v>
      </c>
      <c r="B256" s="22" t="s">
        <v>980</v>
      </c>
      <c r="C256" s="23" t="s">
        <v>134</v>
      </c>
      <c r="D256" s="23" t="s">
        <v>463</v>
      </c>
      <c r="E256" s="24">
        <v>32.99</v>
      </c>
      <c r="F256" s="25">
        <v>719.01</v>
      </c>
      <c r="G256" s="26">
        <v>20</v>
      </c>
      <c r="H256" s="27">
        <v>3.9</v>
      </c>
      <c r="I256" s="26">
        <v>158</v>
      </c>
      <c r="J256" s="39" t="str">
        <f>HYPERLINK("https://amazon.com/dp/B0D9S4T8C5","View on Amazon")</f>
        <v>View on Amazon</v>
      </c>
      <c r="K256" s="23" t="s">
        <v>463</v>
      </c>
      <c r="L256" s="28" t="s">
        <v>460</v>
      </c>
    </row>
    <row r="257" spans="1:12" ht="51" x14ac:dyDescent="0.2">
      <c r="A257" s="13" t="s">
        <v>981</v>
      </c>
      <c r="B257" s="14" t="s">
        <v>982</v>
      </c>
      <c r="C257" s="15" t="s">
        <v>102</v>
      </c>
      <c r="D257" s="15" t="s">
        <v>463</v>
      </c>
      <c r="E257" s="16">
        <v>219</v>
      </c>
      <c r="F257" s="17">
        <v>718.04</v>
      </c>
      <c r="G257" s="18">
        <v>3</v>
      </c>
      <c r="H257" s="19">
        <v>0</v>
      </c>
      <c r="I257" s="18">
        <v>0</v>
      </c>
      <c r="J257" s="38" t="str">
        <f>HYPERLINK("https://amazon.com/dp/B0DY8236PZ","View on Amazon")</f>
        <v>View on Amazon</v>
      </c>
      <c r="K257" s="15" t="s">
        <v>463</v>
      </c>
      <c r="L257" s="20" t="s">
        <v>220</v>
      </c>
    </row>
    <row r="258" spans="1:12" ht="51" x14ac:dyDescent="0.2">
      <c r="A258" s="21" t="s">
        <v>983</v>
      </c>
      <c r="B258" s="22" t="s">
        <v>984</v>
      </c>
      <c r="C258" s="23" t="s">
        <v>106</v>
      </c>
      <c r="D258" s="23" t="s">
        <v>463</v>
      </c>
      <c r="E258" s="24">
        <v>79.989999999999995</v>
      </c>
      <c r="F258" s="25">
        <v>709.22</v>
      </c>
      <c r="G258" s="26">
        <v>9</v>
      </c>
      <c r="H258" s="27">
        <v>4.2</v>
      </c>
      <c r="I258" s="26">
        <v>51</v>
      </c>
      <c r="J258" s="39" t="str">
        <f>HYPERLINK("https://amazon.com/dp/B0C7CDCVFL","View on Amazon")</f>
        <v>View on Amazon</v>
      </c>
      <c r="K258" s="23" t="s">
        <v>463</v>
      </c>
      <c r="L258" s="28" t="s">
        <v>460</v>
      </c>
    </row>
    <row r="259" spans="1:12" ht="34" x14ac:dyDescent="0.2">
      <c r="A259" s="13" t="s">
        <v>985</v>
      </c>
      <c r="B259" s="14" t="s">
        <v>986</v>
      </c>
      <c r="C259" s="15" t="s">
        <v>153</v>
      </c>
      <c r="D259" s="15" t="s">
        <v>459</v>
      </c>
      <c r="E259" s="16">
        <v>151.28</v>
      </c>
      <c r="F259" s="17">
        <v>700.87</v>
      </c>
      <c r="G259" s="18">
        <v>5</v>
      </c>
      <c r="H259" s="19">
        <v>3.2</v>
      </c>
      <c r="I259" s="18">
        <v>58</v>
      </c>
      <c r="J259" s="38" t="str">
        <f>HYPERLINK("https://amazon.com/dp/B01M3Y4G3D","View on Amazon")</f>
        <v>View on Amazon</v>
      </c>
      <c r="K259" s="15" t="s">
        <v>459</v>
      </c>
      <c r="L259" s="20" t="s">
        <v>220</v>
      </c>
    </row>
    <row r="260" spans="1:12" ht="68" x14ac:dyDescent="0.2">
      <c r="A260" s="21" t="s">
        <v>987</v>
      </c>
      <c r="B260" s="22" t="s">
        <v>988</v>
      </c>
      <c r="C260" s="23" t="s">
        <v>154</v>
      </c>
      <c r="D260" s="23" t="s">
        <v>463</v>
      </c>
      <c r="E260" s="24">
        <v>104.29</v>
      </c>
      <c r="F260" s="25">
        <v>697.99</v>
      </c>
      <c r="G260" s="26">
        <v>7</v>
      </c>
      <c r="H260" s="27">
        <v>3.9</v>
      </c>
      <c r="I260" s="26">
        <v>2</v>
      </c>
      <c r="J260" s="39" t="str">
        <f>HYPERLINK("https://amazon.com/dp/B0DMPRPNM5","View on Amazon")</f>
        <v>View on Amazon</v>
      </c>
      <c r="K260" s="23" t="s">
        <v>463</v>
      </c>
      <c r="L260" s="28" t="s">
        <v>460</v>
      </c>
    </row>
    <row r="261" spans="1:12" ht="51" x14ac:dyDescent="0.2">
      <c r="A261" s="13" t="s">
        <v>989</v>
      </c>
      <c r="B261" s="14" t="s">
        <v>990</v>
      </c>
      <c r="C261" s="15" t="s">
        <v>155</v>
      </c>
      <c r="D261" s="15" t="s">
        <v>463</v>
      </c>
      <c r="E261" s="16">
        <v>59</v>
      </c>
      <c r="F261" s="17">
        <v>697.83</v>
      </c>
      <c r="G261" s="18">
        <v>12</v>
      </c>
      <c r="H261" s="19">
        <v>4</v>
      </c>
      <c r="I261" s="18">
        <v>127</v>
      </c>
      <c r="J261" s="38" t="str">
        <f>HYPERLINK("https://amazon.com/dp/B019XYQGPQ","View on Amazon")</f>
        <v>View on Amazon</v>
      </c>
      <c r="K261" s="15" t="s">
        <v>463</v>
      </c>
      <c r="L261" s="20" t="s">
        <v>460</v>
      </c>
    </row>
    <row r="262" spans="1:12" ht="51" x14ac:dyDescent="0.2">
      <c r="A262" s="21" t="s">
        <v>991</v>
      </c>
      <c r="B262" s="22" t="s">
        <v>992</v>
      </c>
      <c r="C262" s="23" t="s">
        <v>156</v>
      </c>
      <c r="D262" s="23" t="s">
        <v>459</v>
      </c>
      <c r="E262" s="24">
        <v>44.99</v>
      </c>
      <c r="F262" s="25">
        <v>691.65</v>
      </c>
      <c r="G262" s="26">
        <v>13</v>
      </c>
      <c r="H262" s="27">
        <v>4.2</v>
      </c>
      <c r="I262" s="26">
        <v>38</v>
      </c>
      <c r="J262" s="39" t="str">
        <f>HYPERLINK("https://amazon.com/dp/B0DPHT54L9","View on Amazon")</f>
        <v>View on Amazon</v>
      </c>
      <c r="K262" s="23" t="s">
        <v>459</v>
      </c>
      <c r="L262" s="28" t="s">
        <v>460</v>
      </c>
    </row>
    <row r="263" spans="1:12" ht="51" x14ac:dyDescent="0.2">
      <c r="A263" s="13" t="s">
        <v>993</v>
      </c>
      <c r="B263" s="14" t="s">
        <v>994</v>
      </c>
      <c r="C263" s="15" t="s">
        <v>109</v>
      </c>
      <c r="D263" s="15" t="s">
        <v>463</v>
      </c>
      <c r="E263" s="16">
        <v>55.99</v>
      </c>
      <c r="F263" s="17">
        <v>688.97</v>
      </c>
      <c r="G263" s="18">
        <v>12</v>
      </c>
      <c r="H263" s="19">
        <v>4.5999999999999996</v>
      </c>
      <c r="I263" s="18">
        <v>21</v>
      </c>
      <c r="J263" s="38" t="str">
        <f>HYPERLINK("https://amazon.com/dp/B0D14ZVSBR","View on Amazon")</f>
        <v>View on Amazon</v>
      </c>
      <c r="K263" s="15" t="s">
        <v>463</v>
      </c>
      <c r="L263" s="20" t="s">
        <v>460</v>
      </c>
    </row>
    <row r="264" spans="1:12" ht="68" x14ac:dyDescent="0.2">
      <c r="A264" s="21" t="s">
        <v>995</v>
      </c>
      <c r="B264" s="22" t="s">
        <v>996</v>
      </c>
      <c r="C264" s="23" t="s">
        <v>73</v>
      </c>
      <c r="D264" s="23" t="s">
        <v>459</v>
      </c>
      <c r="E264" s="24">
        <v>119.99</v>
      </c>
      <c r="F264" s="25">
        <v>683.74</v>
      </c>
      <c r="G264" s="26">
        <v>5</v>
      </c>
      <c r="H264" s="27">
        <v>4.2</v>
      </c>
      <c r="I264" s="26">
        <v>8</v>
      </c>
      <c r="J264" s="39" t="str">
        <f>HYPERLINK("https://amazon.com/dp/B0FJQYHZ1S","View on Amazon")</f>
        <v>View on Amazon</v>
      </c>
      <c r="K264" s="23" t="s">
        <v>459</v>
      </c>
      <c r="L264" s="28" t="s">
        <v>460</v>
      </c>
    </row>
    <row r="265" spans="1:12" ht="68" x14ac:dyDescent="0.2">
      <c r="A265" s="13" t="s">
        <v>997</v>
      </c>
      <c r="B265" s="14" t="s">
        <v>998</v>
      </c>
      <c r="C265" s="15" t="s">
        <v>158</v>
      </c>
      <c r="D265" s="15" t="s">
        <v>463</v>
      </c>
      <c r="E265" s="16">
        <v>37.99</v>
      </c>
      <c r="F265" s="17">
        <v>676.75</v>
      </c>
      <c r="G265" s="18">
        <v>16</v>
      </c>
      <c r="H265" s="19">
        <v>4.4000000000000004</v>
      </c>
      <c r="I265" s="18">
        <v>16</v>
      </c>
      <c r="J265" s="38" t="str">
        <f>HYPERLINK("https://amazon.com/dp/B0FQB77JNW","View on Amazon")</f>
        <v>View on Amazon</v>
      </c>
      <c r="K265" s="15" t="s">
        <v>463</v>
      </c>
      <c r="L265" s="20" t="s">
        <v>460</v>
      </c>
    </row>
    <row r="266" spans="1:12" ht="68" x14ac:dyDescent="0.2">
      <c r="A266" s="21" t="s">
        <v>999</v>
      </c>
      <c r="B266" s="22" t="s">
        <v>1000</v>
      </c>
      <c r="C266" s="23" t="s">
        <v>132</v>
      </c>
      <c r="D266" s="23" t="s">
        <v>463</v>
      </c>
      <c r="E266" s="24">
        <v>33.69</v>
      </c>
      <c r="F266" s="25">
        <v>673.25</v>
      </c>
      <c r="G266" s="26">
        <v>20</v>
      </c>
      <c r="H266" s="27">
        <v>2.9</v>
      </c>
      <c r="I266" s="26">
        <v>4</v>
      </c>
      <c r="J266" s="39" t="str">
        <f>HYPERLINK("https://amazon.com/dp/B0GGB98CFR","View on Amazon")</f>
        <v>View on Amazon</v>
      </c>
      <c r="K266" s="23" t="s">
        <v>463</v>
      </c>
      <c r="L266" s="28" t="s">
        <v>220</v>
      </c>
    </row>
    <row r="267" spans="1:12" ht="68" x14ac:dyDescent="0.2">
      <c r="A267" s="13" t="s">
        <v>1001</v>
      </c>
      <c r="B267" s="14" t="s">
        <v>1002</v>
      </c>
      <c r="C267" s="15" t="s">
        <v>160</v>
      </c>
      <c r="D267" s="15" t="s">
        <v>463</v>
      </c>
      <c r="E267" s="16">
        <v>82.64</v>
      </c>
      <c r="F267" s="17">
        <v>664.12</v>
      </c>
      <c r="G267" s="18">
        <v>8</v>
      </c>
      <c r="H267" s="19">
        <v>4</v>
      </c>
      <c r="I267" s="18">
        <v>282</v>
      </c>
      <c r="J267" s="38" t="str">
        <f>HYPERLINK("https://amazon.com/dp/B08Z3JZWV9","View on Amazon")</f>
        <v>View on Amazon</v>
      </c>
      <c r="K267" s="15" t="s">
        <v>463</v>
      </c>
      <c r="L267" s="20" t="s">
        <v>460</v>
      </c>
    </row>
    <row r="268" spans="1:12" ht="68" x14ac:dyDescent="0.2">
      <c r="A268" s="21" t="s">
        <v>1003</v>
      </c>
      <c r="B268" s="22" t="s">
        <v>1004</v>
      </c>
      <c r="C268" s="23" t="s">
        <v>90</v>
      </c>
      <c r="D268" s="23" t="s">
        <v>463</v>
      </c>
      <c r="E268" s="24">
        <v>139.99</v>
      </c>
      <c r="F268" s="25">
        <v>661.12</v>
      </c>
      <c r="G268" s="26">
        <v>5</v>
      </c>
      <c r="H268" s="27">
        <v>3.3</v>
      </c>
      <c r="I268" s="26">
        <v>3</v>
      </c>
      <c r="J268" s="39" t="str">
        <f>HYPERLINK("https://amazon.com/dp/B0FPKQ1H3T","View on Amazon")</f>
        <v>View on Amazon</v>
      </c>
      <c r="K268" s="23" t="s">
        <v>463</v>
      </c>
      <c r="L268" s="28" t="s">
        <v>460</v>
      </c>
    </row>
    <row r="269" spans="1:12" ht="51" x14ac:dyDescent="0.2">
      <c r="A269" s="13" t="s">
        <v>1005</v>
      </c>
      <c r="B269" s="14" t="s">
        <v>1006</v>
      </c>
      <c r="C269" s="15" t="s">
        <v>161</v>
      </c>
      <c r="D269" s="15" t="s">
        <v>459</v>
      </c>
      <c r="E269" s="16">
        <v>139.94</v>
      </c>
      <c r="F269" s="17">
        <v>657.28</v>
      </c>
      <c r="G269" s="18">
        <v>6</v>
      </c>
      <c r="H269" s="19">
        <v>4</v>
      </c>
      <c r="I269" s="18">
        <v>26</v>
      </c>
      <c r="J269" s="38" t="str">
        <f>HYPERLINK("https://amazon.com/dp/B0D4RFW484","View on Amazon")</f>
        <v>View on Amazon</v>
      </c>
      <c r="K269" s="15" t="s">
        <v>459</v>
      </c>
      <c r="L269" s="20" t="s">
        <v>460</v>
      </c>
    </row>
    <row r="270" spans="1:12" ht="51" x14ac:dyDescent="0.2">
      <c r="A270" s="21" t="s">
        <v>1007</v>
      </c>
      <c r="B270" s="22" t="s">
        <v>1008</v>
      </c>
      <c r="C270" s="23" t="s">
        <v>163</v>
      </c>
      <c r="D270" s="23" t="s">
        <v>463</v>
      </c>
      <c r="E270" s="24">
        <v>62.99</v>
      </c>
      <c r="F270" s="25">
        <v>650.02</v>
      </c>
      <c r="G270" s="26">
        <v>10</v>
      </c>
      <c r="H270" s="27">
        <v>4.7</v>
      </c>
      <c r="I270" s="26">
        <v>13</v>
      </c>
      <c r="J270" s="39" t="str">
        <f>HYPERLINK("https://amazon.com/dp/B0FMQZD7CS","View on Amazon")</f>
        <v>View on Amazon</v>
      </c>
      <c r="K270" s="23" t="s">
        <v>463</v>
      </c>
      <c r="L270" s="28" t="s">
        <v>460</v>
      </c>
    </row>
    <row r="271" spans="1:12" ht="51" x14ac:dyDescent="0.2">
      <c r="A271" s="13" t="s">
        <v>1009</v>
      </c>
      <c r="B271" s="14" t="s">
        <v>1010</v>
      </c>
      <c r="C271" s="15" t="s">
        <v>38</v>
      </c>
      <c r="D271" s="15" t="s">
        <v>463</v>
      </c>
      <c r="E271" s="16">
        <v>149.99</v>
      </c>
      <c r="F271" s="17">
        <v>640.65</v>
      </c>
      <c r="G271" s="18">
        <v>2</v>
      </c>
      <c r="H271" s="19">
        <v>4.7</v>
      </c>
      <c r="I271" s="18">
        <v>3</v>
      </c>
      <c r="J271" s="38" t="str">
        <f>HYPERLINK("https://amazon.com/dp/B0FX493GQG","View on Amazon")</f>
        <v>View on Amazon</v>
      </c>
      <c r="K271" s="15" t="s">
        <v>463</v>
      </c>
      <c r="L271" s="20" t="s">
        <v>460</v>
      </c>
    </row>
    <row r="272" spans="1:12" ht="51" x14ac:dyDescent="0.2">
      <c r="A272" s="21" t="s">
        <v>1011</v>
      </c>
      <c r="B272" s="22" t="s">
        <v>1012</v>
      </c>
      <c r="C272" s="23" t="s">
        <v>13</v>
      </c>
      <c r="D272" s="23" t="s">
        <v>463</v>
      </c>
      <c r="E272" s="24">
        <v>151.25</v>
      </c>
      <c r="F272" s="25">
        <v>639.07000000000005</v>
      </c>
      <c r="G272" s="26">
        <v>3</v>
      </c>
      <c r="H272" s="27">
        <v>4.5</v>
      </c>
      <c r="I272" s="26">
        <v>35</v>
      </c>
      <c r="J272" s="39" t="str">
        <f>HYPERLINK("https://amazon.com/dp/B0G6CFBTH4","View on Amazon")</f>
        <v>View on Amazon</v>
      </c>
      <c r="K272" s="23" t="s">
        <v>463</v>
      </c>
      <c r="L272" s="28" t="s">
        <v>460</v>
      </c>
    </row>
    <row r="273" spans="1:12" ht="68" x14ac:dyDescent="0.2">
      <c r="A273" s="13" t="s">
        <v>1013</v>
      </c>
      <c r="B273" s="14" t="s">
        <v>1014</v>
      </c>
      <c r="C273" s="15" t="s">
        <v>164</v>
      </c>
      <c r="D273" s="15" t="s">
        <v>463</v>
      </c>
      <c r="E273" s="16">
        <v>65.989999999999995</v>
      </c>
      <c r="F273" s="17">
        <v>633.1</v>
      </c>
      <c r="G273" s="18">
        <v>10</v>
      </c>
      <c r="H273" s="19">
        <v>4.3</v>
      </c>
      <c r="I273" s="18">
        <v>200</v>
      </c>
      <c r="J273" s="38" t="str">
        <f>HYPERLINK("https://amazon.com/dp/B0BS951CPK","View on Amazon")</f>
        <v>View on Amazon</v>
      </c>
      <c r="K273" s="15" t="s">
        <v>463</v>
      </c>
      <c r="L273" s="20" t="s">
        <v>460</v>
      </c>
    </row>
    <row r="274" spans="1:12" ht="68" x14ac:dyDescent="0.2">
      <c r="A274" s="21" t="s">
        <v>1015</v>
      </c>
      <c r="B274" s="22" t="s">
        <v>1016</v>
      </c>
      <c r="C274" s="23" t="s">
        <v>34</v>
      </c>
      <c r="D274" s="23" t="s">
        <v>463</v>
      </c>
      <c r="E274" s="24">
        <v>118.99</v>
      </c>
      <c r="F274" s="25">
        <v>627.69000000000005</v>
      </c>
      <c r="G274" s="26">
        <v>4</v>
      </c>
      <c r="H274" s="27">
        <v>5</v>
      </c>
      <c r="I274" s="26">
        <v>11</v>
      </c>
      <c r="J274" s="39" t="str">
        <f>HYPERLINK("https://amazon.com/dp/B0G6JQF8B9","View on Amazon")</f>
        <v>View on Amazon</v>
      </c>
      <c r="K274" s="23" t="s">
        <v>463</v>
      </c>
      <c r="L274" s="28" t="s">
        <v>460</v>
      </c>
    </row>
    <row r="275" spans="1:12" ht="51" x14ac:dyDescent="0.2">
      <c r="A275" s="13" t="s">
        <v>1017</v>
      </c>
      <c r="B275" s="14" t="s">
        <v>1018</v>
      </c>
      <c r="C275" s="15" t="s">
        <v>110</v>
      </c>
      <c r="D275" s="15" t="s">
        <v>463</v>
      </c>
      <c r="E275" s="16">
        <v>49.99</v>
      </c>
      <c r="F275" s="17">
        <v>624</v>
      </c>
      <c r="G275" s="18">
        <v>12</v>
      </c>
      <c r="H275" s="19">
        <v>4.4000000000000004</v>
      </c>
      <c r="I275" s="18">
        <v>205</v>
      </c>
      <c r="J275" s="38" t="str">
        <f>HYPERLINK("https://amazon.com/dp/B0DH2FLZ5G","View on Amazon")</f>
        <v>View on Amazon</v>
      </c>
      <c r="K275" s="15" t="s">
        <v>463</v>
      </c>
      <c r="L275" s="20" t="s">
        <v>460</v>
      </c>
    </row>
    <row r="276" spans="1:12" ht="34" x14ac:dyDescent="0.2">
      <c r="A276" s="21" t="s">
        <v>1019</v>
      </c>
      <c r="B276" s="22" t="s">
        <v>1020</v>
      </c>
      <c r="C276" s="23" t="s">
        <v>91</v>
      </c>
      <c r="D276" s="23" t="s">
        <v>463</v>
      </c>
      <c r="E276" s="24">
        <v>45.99</v>
      </c>
      <c r="F276" s="25">
        <v>619.54</v>
      </c>
      <c r="G276" s="26">
        <v>13</v>
      </c>
      <c r="H276" s="27">
        <v>4.0999999999999996</v>
      </c>
      <c r="I276" s="26">
        <v>13</v>
      </c>
      <c r="J276" s="39" t="str">
        <f>HYPERLINK("https://amazon.com/dp/B0D7MWSZTZ","View on Amazon")</f>
        <v>View on Amazon</v>
      </c>
      <c r="K276" s="23" t="s">
        <v>463</v>
      </c>
      <c r="L276" s="28" t="s">
        <v>460</v>
      </c>
    </row>
    <row r="277" spans="1:12" ht="34" x14ac:dyDescent="0.2">
      <c r="A277" s="13" t="s">
        <v>1021</v>
      </c>
      <c r="B277" s="14" t="s">
        <v>1022</v>
      </c>
      <c r="C277" s="15" t="s">
        <v>165</v>
      </c>
      <c r="D277" s="15" t="s">
        <v>459</v>
      </c>
      <c r="E277" s="16">
        <v>99.99</v>
      </c>
      <c r="F277" s="17">
        <v>612.24</v>
      </c>
      <c r="G277" s="18">
        <v>6</v>
      </c>
      <c r="H277" s="19">
        <v>4</v>
      </c>
      <c r="I277" s="18">
        <v>6</v>
      </c>
      <c r="J277" s="38" t="str">
        <f>HYPERLINK("https://amazon.com/dp/B0DXR8NFXX","View on Amazon")</f>
        <v>View on Amazon</v>
      </c>
      <c r="K277" s="15" t="s">
        <v>459</v>
      </c>
      <c r="L277" s="20" t="s">
        <v>460</v>
      </c>
    </row>
    <row r="278" spans="1:12" ht="17" x14ac:dyDescent="0.2">
      <c r="A278" s="21" t="s">
        <v>1023</v>
      </c>
      <c r="B278" s="22" t="s">
        <v>1024</v>
      </c>
      <c r="C278" s="23" t="s">
        <v>167</v>
      </c>
      <c r="D278" s="23" t="s">
        <v>459</v>
      </c>
      <c r="E278" s="24">
        <v>578.5</v>
      </c>
      <c r="F278" s="25">
        <v>591.38</v>
      </c>
      <c r="G278" s="26">
        <v>1</v>
      </c>
      <c r="H278" s="27">
        <v>3.7</v>
      </c>
      <c r="I278" s="26">
        <v>14</v>
      </c>
      <c r="J278" s="39" t="str">
        <f>HYPERLINK("https://amazon.com/dp/B09SBV6HDW","View on Amazon")</f>
        <v>View on Amazon</v>
      </c>
      <c r="K278" s="23" t="s">
        <v>459</v>
      </c>
      <c r="L278" s="28" t="s">
        <v>460</v>
      </c>
    </row>
    <row r="279" spans="1:12" ht="68" x14ac:dyDescent="0.2">
      <c r="A279" s="13" t="s">
        <v>1025</v>
      </c>
      <c r="B279" s="14" t="s">
        <v>1026</v>
      </c>
      <c r="C279" s="15" t="s">
        <v>168</v>
      </c>
      <c r="D279" s="15" t="s">
        <v>463</v>
      </c>
      <c r="E279" s="16">
        <v>65.989999999999995</v>
      </c>
      <c r="F279" s="17">
        <v>586.58000000000004</v>
      </c>
      <c r="G279" s="18">
        <v>9</v>
      </c>
      <c r="H279" s="19">
        <v>4.3</v>
      </c>
      <c r="I279" s="18">
        <v>113</v>
      </c>
      <c r="J279" s="38" t="str">
        <f>HYPERLINK("https://amazon.com/dp/B0DFM333G4","View on Amazon")</f>
        <v>View on Amazon</v>
      </c>
      <c r="K279" s="15" t="s">
        <v>463</v>
      </c>
      <c r="L279" s="20" t="s">
        <v>460</v>
      </c>
    </row>
    <row r="280" spans="1:12" ht="68" x14ac:dyDescent="0.2">
      <c r="A280" s="21" t="s">
        <v>1027</v>
      </c>
      <c r="B280" s="22" t="s">
        <v>1028</v>
      </c>
      <c r="C280" s="23" t="s">
        <v>131</v>
      </c>
      <c r="D280" s="23" t="s">
        <v>463</v>
      </c>
      <c r="E280" s="24">
        <v>239.99</v>
      </c>
      <c r="F280" s="25">
        <v>584.39</v>
      </c>
      <c r="G280" s="26">
        <v>2</v>
      </c>
      <c r="H280" s="27">
        <v>0</v>
      </c>
      <c r="I280" s="26">
        <v>0</v>
      </c>
      <c r="J280" s="39" t="str">
        <f>HYPERLINK("https://amazon.com/dp/B0DJQV85NK","View on Amazon")</f>
        <v>View on Amazon</v>
      </c>
      <c r="K280" s="23" t="s">
        <v>463</v>
      </c>
      <c r="L280" s="28" t="s">
        <v>220</v>
      </c>
    </row>
    <row r="281" spans="1:12" ht="68" x14ac:dyDescent="0.2">
      <c r="A281" s="13" t="s">
        <v>1029</v>
      </c>
      <c r="B281" s="14" t="s">
        <v>1030</v>
      </c>
      <c r="C281" s="15" t="s">
        <v>127</v>
      </c>
      <c r="D281" s="15" t="s">
        <v>463</v>
      </c>
      <c r="E281" s="16">
        <v>59.99</v>
      </c>
      <c r="F281" s="17">
        <v>583.54999999999995</v>
      </c>
      <c r="G281" s="18">
        <v>10</v>
      </c>
      <c r="H281" s="19">
        <v>5</v>
      </c>
      <c r="I281" s="18">
        <v>1</v>
      </c>
      <c r="J281" s="38" t="str">
        <f>HYPERLINK("https://amazon.com/dp/B0FPD3P365","View on Amazon")</f>
        <v>View on Amazon</v>
      </c>
      <c r="K281" s="15" t="s">
        <v>463</v>
      </c>
      <c r="L281" s="20" t="s">
        <v>460</v>
      </c>
    </row>
    <row r="282" spans="1:12" ht="68" x14ac:dyDescent="0.2">
      <c r="A282" s="21" t="s">
        <v>1031</v>
      </c>
      <c r="B282" s="22" t="s">
        <v>1032</v>
      </c>
      <c r="C282" s="23" t="s">
        <v>67</v>
      </c>
      <c r="D282" s="23" t="s">
        <v>463</v>
      </c>
      <c r="E282" s="24">
        <v>75.2</v>
      </c>
      <c r="F282" s="25">
        <v>582.94000000000005</v>
      </c>
      <c r="G282" s="26">
        <v>6</v>
      </c>
      <c r="H282" s="27">
        <v>4.0999999999999996</v>
      </c>
      <c r="I282" s="26">
        <v>175</v>
      </c>
      <c r="J282" s="39" t="str">
        <f>HYPERLINK("https://amazon.com/dp/B0CQZZ38M1","View on Amazon")</f>
        <v>View on Amazon</v>
      </c>
      <c r="K282" s="23" t="s">
        <v>463</v>
      </c>
      <c r="L282" s="28" t="s">
        <v>460</v>
      </c>
    </row>
    <row r="283" spans="1:12" ht="34" x14ac:dyDescent="0.2">
      <c r="A283" s="13" t="s">
        <v>1033</v>
      </c>
      <c r="B283" s="14" t="s">
        <v>1034</v>
      </c>
      <c r="C283" s="15" t="s">
        <v>169</v>
      </c>
      <c r="D283" s="15" t="s">
        <v>670</v>
      </c>
      <c r="E283" s="16">
        <v>259.99</v>
      </c>
      <c r="F283" s="17">
        <v>582.28</v>
      </c>
      <c r="G283" s="18">
        <v>2</v>
      </c>
      <c r="H283" s="19">
        <v>4</v>
      </c>
      <c r="I283" s="18">
        <v>25</v>
      </c>
      <c r="J283" s="38" t="str">
        <f>HYPERLINK("https://amazon.com/dp/B00WR5TYV2","View on Amazon")</f>
        <v>View on Amazon</v>
      </c>
      <c r="K283" s="15" t="s">
        <v>670</v>
      </c>
      <c r="L283" s="20" t="s">
        <v>460</v>
      </c>
    </row>
    <row r="284" spans="1:12" ht="34" x14ac:dyDescent="0.2">
      <c r="A284" s="21" t="s">
        <v>1035</v>
      </c>
      <c r="B284" s="22" t="s">
        <v>1036</v>
      </c>
      <c r="C284" s="23" t="s">
        <v>136</v>
      </c>
      <c r="D284" s="23" t="s">
        <v>503</v>
      </c>
      <c r="E284" s="24">
        <v>59.99</v>
      </c>
      <c r="F284" s="25">
        <v>569.45000000000005</v>
      </c>
      <c r="G284" s="26">
        <v>9</v>
      </c>
      <c r="H284" s="27">
        <v>4.0999999999999996</v>
      </c>
      <c r="I284" s="26">
        <v>199</v>
      </c>
      <c r="J284" s="39" t="str">
        <f>HYPERLINK("https://amazon.com/dp/B09Q5BQFJN","View on Amazon")</f>
        <v>View on Amazon</v>
      </c>
      <c r="K284" s="23" t="s">
        <v>503</v>
      </c>
      <c r="L284" s="28" t="s">
        <v>460</v>
      </c>
    </row>
    <row r="285" spans="1:12" ht="68" x14ac:dyDescent="0.2">
      <c r="A285" s="13" t="s">
        <v>1037</v>
      </c>
      <c r="B285" s="14" t="s">
        <v>1038</v>
      </c>
      <c r="C285" s="15" t="s">
        <v>75</v>
      </c>
      <c r="D285" s="15" t="s">
        <v>463</v>
      </c>
      <c r="E285" s="16">
        <v>123.49</v>
      </c>
      <c r="F285" s="17">
        <v>568.91</v>
      </c>
      <c r="G285" s="18">
        <v>4</v>
      </c>
      <c r="H285" s="19">
        <v>4.2</v>
      </c>
      <c r="I285" s="18">
        <v>23</v>
      </c>
      <c r="J285" s="38" t="str">
        <f>HYPERLINK("https://amazon.com/dp/B0FPLQ7YHT","View on Amazon")</f>
        <v>View on Amazon</v>
      </c>
      <c r="K285" s="15" t="s">
        <v>463</v>
      </c>
      <c r="L285" s="20" t="s">
        <v>460</v>
      </c>
    </row>
    <row r="286" spans="1:12" ht="68" x14ac:dyDescent="0.2">
      <c r="A286" s="21" t="s">
        <v>1039</v>
      </c>
      <c r="B286" s="22" t="s">
        <v>1040</v>
      </c>
      <c r="C286" s="23" t="s">
        <v>48</v>
      </c>
      <c r="D286" s="23" t="s">
        <v>463</v>
      </c>
      <c r="E286" s="24">
        <v>199.99</v>
      </c>
      <c r="F286" s="25">
        <v>567.96</v>
      </c>
      <c r="G286" s="26">
        <v>3</v>
      </c>
      <c r="H286" s="27">
        <v>4.4000000000000004</v>
      </c>
      <c r="I286" s="26">
        <v>31</v>
      </c>
      <c r="J286" s="39" t="str">
        <f>HYPERLINK("https://amazon.com/dp/B0FP8L15XR","View on Amazon")</f>
        <v>View on Amazon</v>
      </c>
      <c r="K286" s="23" t="s">
        <v>463</v>
      </c>
      <c r="L286" s="28" t="s">
        <v>460</v>
      </c>
    </row>
    <row r="287" spans="1:12" ht="68" x14ac:dyDescent="0.2">
      <c r="A287" s="13" t="s">
        <v>1041</v>
      </c>
      <c r="B287" s="14" t="s">
        <v>1042</v>
      </c>
      <c r="C287" s="15" t="s">
        <v>152</v>
      </c>
      <c r="D287" s="15" t="s">
        <v>459</v>
      </c>
      <c r="E287" s="16">
        <v>359</v>
      </c>
      <c r="F287" s="17">
        <v>564.62</v>
      </c>
      <c r="G287" s="18">
        <v>2</v>
      </c>
      <c r="H287" s="19">
        <v>3.8</v>
      </c>
      <c r="I287" s="18">
        <v>10</v>
      </c>
      <c r="J287" s="38" t="str">
        <f>HYPERLINK("https://amazon.com/dp/B0CW65NQMN","View on Amazon")</f>
        <v>View on Amazon</v>
      </c>
      <c r="K287" s="15" t="s">
        <v>459</v>
      </c>
      <c r="L287" s="20" t="s">
        <v>460</v>
      </c>
    </row>
    <row r="288" spans="1:12" ht="51" x14ac:dyDescent="0.2">
      <c r="A288" s="21" t="s">
        <v>1043</v>
      </c>
      <c r="B288" s="22" t="s">
        <v>1044</v>
      </c>
      <c r="C288" s="23" t="s">
        <v>88</v>
      </c>
      <c r="D288" s="23" t="s">
        <v>463</v>
      </c>
      <c r="E288" s="24">
        <v>30.99</v>
      </c>
      <c r="F288" s="25">
        <v>559.01</v>
      </c>
      <c r="G288" s="26">
        <v>18</v>
      </c>
      <c r="H288" s="27">
        <v>4.0999999999999996</v>
      </c>
      <c r="I288" s="26">
        <v>7</v>
      </c>
      <c r="J288" s="39" t="str">
        <f>HYPERLINK("https://amazon.com/dp/B0D25HCJ35","View on Amazon")</f>
        <v>View on Amazon</v>
      </c>
      <c r="K288" s="23" t="s">
        <v>463</v>
      </c>
      <c r="L288" s="28" t="s">
        <v>460</v>
      </c>
    </row>
    <row r="289" spans="1:12" ht="51" x14ac:dyDescent="0.2">
      <c r="A289" s="13" t="s">
        <v>1045</v>
      </c>
      <c r="B289" s="14" t="s">
        <v>1046</v>
      </c>
      <c r="C289" s="15" t="s">
        <v>118</v>
      </c>
      <c r="D289" s="15" t="s">
        <v>463</v>
      </c>
      <c r="E289" s="16">
        <v>45.99</v>
      </c>
      <c r="F289" s="17">
        <v>543.67999999999995</v>
      </c>
      <c r="G289" s="18">
        <v>12</v>
      </c>
      <c r="H289" s="19">
        <v>4.3</v>
      </c>
      <c r="I289" s="18">
        <v>89</v>
      </c>
      <c r="J289" s="38" t="str">
        <f>HYPERLINK("https://amazon.com/dp/B0DYVD2CGS","View on Amazon")</f>
        <v>View on Amazon</v>
      </c>
      <c r="K289" s="15" t="s">
        <v>463</v>
      </c>
      <c r="L289" s="20" t="s">
        <v>460</v>
      </c>
    </row>
    <row r="290" spans="1:12" ht="51" x14ac:dyDescent="0.2">
      <c r="A290" s="21" t="s">
        <v>1047</v>
      </c>
      <c r="B290" s="22" t="s">
        <v>1048</v>
      </c>
      <c r="C290" s="23" t="s">
        <v>91</v>
      </c>
      <c r="D290" s="23" t="s">
        <v>463</v>
      </c>
      <c r="E290" s="24">
        <v>49.99</v>
      </c>
      <c r="F290" s="25">
        <v>530.86</v>
      </c>
      <c r="G290" s="26">
        <v>11</v>
      </c>
      <c r="H290" s="27">
        <v>4.2</v>
      </c>
      <c r="I290" s="26">
        <v>15</v>
      </c>
      <c r="J290" s="39" t="str">
        <f>HYPERLINK("https://amazon.com/dp/B0DCWB66MP","View on Amazon")</f>
        <v>View on Amazon</v>
      </c>
      <c r="K290" s="23" t="s">
        <v>463</v>
      </c>
      <c r="L290" s="28" t="s">
        <v>460</v>
      </c>
    </row>
    <row r="291" spans="1:12" ht="34" x14ac:dyDescent="0.2">
      <c r="A291" s="13" t="s">
        <v>1049</v>
      </c>
      <c r="B291" s="14" t="s">
        <v>1050</v>
      </c>
      <c r="C291" s="15" t="s">
        <v>84</v>
      </c>
      <c r="D291" s="15" t="s">
        <v>463</v>
      </c>
      <c r="E291" s="16">
        <v>180.99</v>
      </c>
      <c r="F291" s="17">
        <v>527.19000000000005</v>
      </c>
      <c r="G291" s="18">
        <v>3</v>
      </c>
      <c r="H291" s="19">
        <v>3.5</v>
      </c>
      <c r="I291" s="18">
        <v>8</v>
      </c>
      <c r="J291" s="38" t="str">
        <f>HYPERLINK("https://amazon.com/dp/B0CY1PWFZZ","View on Amazon")</f>
        <v>View on Amazon</v>
      </c>
      <c r="K291" s="15" t="s">
        <v>463</v>
      </c>
      <c r="L291" s="20" t="s">
        <v>460</v>
      </c>
    </row>
    <row r="292" spans="1:12" ht="68" x14ac:dyDescent="0.2">
      <c r="A292" s="21" t="s">
        <v>1051</v>
      </c>
      <c r="B292" s="22" t="s">
        <v>1052</v>
      </c>
      <c r="C292" s="23" t="s">
        <v>108</v>
      </c>
      <c r="D292" s="23" t="s">
        <v>463</v>
      </c>
      <c r="E292" s="24">
        <v>129.99</v>
      </c>
      <c r="F292" s="25">
        <v>524.41999999999996</v>
      </c>
      <c r="G292" s="26">
        <v>7</v>
      </c>
      <c r="H292" s="27">
        <v>5</v>
      </c>
      <c r="I292" s="26">
        <v>1</v>
      </c>
      <c r="J292" s="39" t="str">
        <f>HYPERLINK("https://amazon.com/dp/B0FQNZ9KGQ","View on Amazon")</f>
        <v>View on Amazon</v>
      </c>
      <c r="K292" s="23" t="s">
        <v>463</v>
      </c>
      <c r="L292" s="28" t="s">
        <v>460</v>
      </c>
    </row>
    <row r="293" spans="1:12" ht="51" x14ac:dyDescent="0.2">
      <c r="A293" s="13" t="s">
        <v>1053</v>
      </c>
      <c r="B293" s="14" t="s">
        <v>1054</v>
      </c>
      <c r="C293" s="15" t="s">
        <v>135</v>
      </c>
      <c r="D293" s="15" t="s">
        <v>463</v>
      </c>
      <c r="E293" s="16">
        <v>59.99</v>
      </c>
      <c r="F293" s="17">
        <v>520.4</v>
      </c>
      <c r="G293" s="18">
        <v>9</v>
      </c>
      <c r="H293" s="19">
        <v>4.2</v>
      </c>
      <c r="I293" s="18">
        <v>923</v>
      </c>
      <c r="J293" s="38" t="str">
        <f>HYPERLINK("https://amazon.com/dp/B0B11VW29V","View on Amazon")</f>
        <v>View on Amazon</v>
      </c>
      <c r="K293" s="15" t="s">
        <v>463</v>
      </c>
      <c r="L293" s="20" t="s">
        <v>460</v>
      </c>
    </row>
    <row r="294" spans="1:12" ht="68" x14ac:dyDescent="0.2">
      <c r="A294" s="21" t="s">
        <v>1055</v>
      </c>
      <c r="B294" s="22" t="s">
        <v>1056</v>
      </c>
      <c r="C294" s="23" t="s">
        <v>70</v>
      </c>
      <c r="D294" s="23" t="s">
        <v>463</v>
      </c>
      <c r="E294" s="24">
        <v>73.989999999999995</v>
      </c>
      <c r="F294" s="25">
        <v>516.20000000000005</v>
      </c>
      <c r="G294" s="26">
        <v>7</v>
      </c>
      <c r="H294" s="27">
        <v>4.7</v>
      </c>
      <c r="I294" s="26">
        <v>11</v>
      </c>
      <c r="J294" s="39" t="str">
        <f>HYPERLINK("https://amazon.com/dp/B0F7W779B2","View on Amazon")</f>
        <v>View on Amazon</v>
      </c>
      <c r="K294" s="23" t="s">
        <v>463</v>
      </c>
      <c r="L294" s="28" t="s">
        <v>460</v>
      </c>
    </row>
    <row r="295" spans="1:12" ht="34" x14ac:dyDescent="0.2">
      <c r="A295" s="13" t="s">
        <v>1057</v>
      </c>
      <c r="B295" s="14" t="s">
        <v>1058</v>
      </c>
      <c r="C295" s="15" t="s">
        <v>84</v>
      </c>
      <c r="D295" s="15" t="s">
        <v>463</v>
      </c>
      <c r="E295" s="16">
        <v>23.99</v>
      </c>
      <c r="F295" s="17">
        <v>515.4</v>
      </c>
      <c r="G295" s="18">
        <v>21</v>
      </c>
      <c r="H295" s="19">
        <v>3.9</v>
      </c>
      <c r="I295" s="18">
        <v>467</v>
      </c>
      <c r="J295" s="38" t="str">
        <f>HYPERLINK("https://amazon.com/dp/B07VFDS845","View on Amazon")</f>
        <v>View on Amazon</v>
      </c>
      <c r="K295" s="15" t="s">
        <v>463</v>
      </c>
      <c r="L295" s="20" t="s">
        <v>460</v>
      </c>
    </row>
    <row r="296" spans="1:12" ht="51" x14ac:dyDescent="0.2">
      <c r="A296" s="21" t="s">
        <v>1059</v>
      </c>
      <c r="B296" s="22" t="s">
        <v>1060</v>
      </c>
      <c r="C296" s="23" t="s">
        <v>105</v>
      </c>
      <c r="D296" s="23" t="s">
        <v>463</v>
      </c>
      <c r="E296" s="24">
        <v>35.99</v>
      </c>
      <c r="F296" s="25">
        <v>513.64</v>
      </c>
      <c r="G296" s="26">
        <v>14</v>
      </c>
      <c r="H296" s="27">
        <v>4.3</v>
      </c>
      <c r="I296" s="26">
        <v>77</v>
      </c>
      <c r="J296" s="39" t="str">
        <f>HYPERLINK("https://amazon.com/dp/B0D1C47M9M","View on Amazon")</f>
        <v>View on Amazon</v>
      </c>
      <c r="K296" s="23" t="s">
        <v>463</v>
      </c>
      <c r="L296" s="28" t="s">
        <v>460</v>
      </c>
    </row>
    <row r="297" spans="1:12" ht="17" x14ac:dyDescent="0.2">
      <c r="A297" s="13" t="s">
        <v>1061</v>
      </c>
      <c r="B297" s="14" t="s">
        <v>1062</v>
      </c>
      <c r="C297" s="15" t="s">
        <v>130</v>
      </c>
      <c r="D297" s="15" t="s">
        <v>459</v>
      </c>
      <c r="E297" s="16">
        <v>189</v>
      </c>
      <c r="F297" s="17">
        <v>509.14</v>
      </c>
      <c r="G297" s="18">
        <v>3</v>
      </c>
      <c r="H297" s="19">
        <v>4.4000000000000004</v>
      </c>
      <c r="I297" s="18">
        <v>960</v>
      </c>
      <c r="J297" s="38" t="str">
        <f>HYPERLINK("https://amazon.com/dp/B002T8KQKU","View on Amazon")</f>
        <v>View on Amazon</v>
      </c>
      <c r="K297" s="15" t="s">
        <v>459</v>
      </c>
      <c r="L297" s="20" t="s">
        <v>460</v>
      </c>
    </row>
    <row r="298" spans="1:12" ht="68" x14ac:dyDescent="0.2">
      <c r="A298" s="21" t="s">
        <v>1063</v>
      </c>
      <c r="B298" s="22" t="s">
        <v>1064</v>
      </c>
      <c r="C298" s="23" t="s">
        <v>173</v>
      </c>
      <c r="D298" s="23" t="s">
        <v>463</v>
      </c>
      <c r="E298" s="24">
        <v>59.99</v>
      </c>
      <c r="F298" s="25">
        <v>506.49</v>
      </c>
      <c r="G298" s="26">
        <v>8</v>
      </c>
      <c r="H298" s="27">
        <v>3.7</v>
      </c>
      <c r="I298" s="26">
        <v>8</v>
      </c>
      <c r="J298" s="39" t="str">
        <f>HYPERLINK("https://amazon.com/dp/B0DZ64YPDN","View on Amazon")</f>
        <v>View on Amazon</v>
      </c>
      <c r="K298" s="23" t="s">
        <v>463</v>
      </c>
      <c r="L298" s="28" t="s">
        <v>460</v>
      </c>
    </row>
    <row r="299" spans="1:12" ht="51" x14ac:dyDescent="0.2">
      <c r="A299" s="13" t="s">
        <v>1065</v>
      </c>
      <c r="B299" s="14" t="s">
        <v>940</v>
      </c>
      <c r="C299" s="15" t="s">
        <v>129</v>
      </c>
      <c r="D299" s="15" t="s">
        <v>463</v>
      </c>
      <c r="E299" s="16">
        <v>26.99</v>
      </c>
      <c r="F299" s="17">
        <v>505.26</v>
      </c>
      <c r="G299" s="18">
        <v>19</v>
      </c>
      <c r="H299" s="19">
        <v>4.0999999999999996</v>
      </c>
      <c r="I299" s="18">
        <v>23</v>
      </c>
      <c r="J299" s="38" t="str">
        <f>HYPERLINK("https://amazon.com/dp/B0DK515M3K","View on Amazon")</f>
        <v>View on Amazon</v>
      </c>
      <c r="K299" s="15" t="s">
        <v>463</v>
      </c>
      <c r="L299" s="20" t="s">
        <v>460</v>
      </c>
    </row>
    <row r="300" spans="1:12" ht="68" x14ac:dyDescent="0.2">
      <c r="A300" s="21" t="s">
        <v>1066</v>
      </c>
      <c r="B300" s="22" t="s">
        <v>1067</v>
      </c>
      <c r="C300" s="23" t="s">
        <v>140</v>
      </c>
      <c r="D300" s="23" t="s">
        <v>459</v>
      </c>
      <c r="E300" s="24">
        <v>499.99</v>
      </c>
      <c r="F300" s="25">
        <v>499.98</v>
      </c>
      <c r="G300" s="26">
        <v>1</v>
      </c>
      <c r="H300" s="27">
        <v>2</v>
      </c>
      <c r="I300" s="26">
        <v>1</v>
      </c>
      <c r="J300" s="39" t="str">
        <f>HYPERLINK("https://amazon.com/dp/B0DXTJBQX5","View on Amazon")</f>
        <v>View on Amazon</v>
      </c>
      <c r="K300" s="23" t="s">
        <v>459</v>
      </c>
      <c r="L300" s="28" t="s">
        <v>220</v>
      </c>
    </row>
    <row r="301" spans="1:12" ht="34" x14ac:dyDescent="0.2">
      <c r="A301" s="13" t="s">
        <v>1068</v>
      </c>
      <c r="B301" s="14" t="s">
        <v>1069</v>
      </c>
      <c r="C301" s="15" t="s">
        <v>136</v>
      </c>
      <c r="D301" s="15" t="s">
        <v>503</v>
      </c>
      <c r="E301" s="16">
        <v>59.99</v>
      </c>
      <c r="F301" s="17">
        <v>496.03</v>
      </c>
      <c r="G301" s="18">
        <v>8</v>
      </c>
      <c r="H301" s="19">
        <v>4.0999999999999996</v>
      </c>
      <c r="I301" s="18">
        <v>199</v>
      </c>
      <c r="J301" s="38" t="str">
        <f>HYPERLINK("https://amazon.com/dp/B084GB11DQ","View on Amazon")</f>
        <v>View on Amazon</v>
      </c>
      <c r="K301" s="15" t="s">
        <v>503</v>
      </c>
      <c r="L301" s="20" t="s">
        <v>460</v>
      </c>
    </row>
    <row r="302" spans="1:12" ht="34" x14ac:dyDescent="0.2">
      <c r="A302" s="21" t="s">
        <v>1070</v>
      </c>
      <c r="B302" s="22" t="s">
        <v>1071</v>
      </c>
      <c r="C302" s="23" t="s">
        <v>175</v>
      </c>
      <c r="D302" s="23" t="s">
        <v>463</v>
      </c>
      <c r="E302" s="24">
        <v>439</v>
      </c>
      <c r="F302" s="25">
        <v>494.1</v>
      </c>
      <c r="G302" s="26">
        <v>1</v>
      </c>
      <c r="H302" s="27">
        <v>1</v>
      </c>
      <c r="I302" s="26">
        <v>1</v>
      </c>
      <c r="J302" s="39" t="str">
        <f>HYPERLINK("https://amazon.com/dp/B01M35ED0T","View on Amazon")</f>
        <v>View on Amazon</v>
      </c>
      <c r="K302" s="23" t="s">
        <v>463</v>
      </c>
      <c r="L302" s="28" t="s">
        <v>220</v>
      </c>
    </row>
    <row r="303" spans="1:12" ht="51" x14ac:dyDescent="0.2">
      <c r="A303" s="13" t="s">
        <v>1072</v>
      </c>
      <c r="B303" s="14" t="s">
        <v>1073</v>
      </c>
      <c r="C303" s="15" t="s">
        <v>128</v>
      </c>
      <c r="D303" s="15" t="s">
        <v>463</v>
      </c>
      <c r="E303" s="16">
        <v>59.99</v>
      </c>
      <c r="F303" s="17">
        <v>484.61</v>
      </c>
      <c r="G303" s="18">
        <v>8</v>
      </c>
      <c r="H303" s="19">
        <v>3.6</v>
      </c>
      <c r="I303" s="18">
        <v>28</v>
      </c>
      <c r="J303" s="38" t="str">
        <f>HYPERLINK("https://amazon.com/dp/B0D1R3QHYV","View on Amazon")</f>
        <v>View on Amazon</v>
      </c>
      <c r="K303" s="15" t="s">
        <v>463</v>
      </c>
      <c r="L303" s="20" t="s">
        <v>460</v>
      </c>
    </row>
    <row r="304" spans="1:12" ht="51" x14ac:dyDescent="0.2">
      <c r="A304" s="21" t="s">
        <v>1074</v>
      </c>
      <c r="B304" s="22" t="s">
        <v>1075</v>
      </c>
      <c r="C304" s="23" t="s">
        <v>88</v>
      </c>
      <c r="D304" s="23" t="s">
        <v>463</v>
      </c>
      <c r="E304" s="24">
        <v>65.989999999999995</v>
      </c>
      <c r="F304" s="25">
        <v>478.39</v>
      </c>
      <c r="G304" s="26">
        <v>8</v>
      </c>
      <c r="H304" s="27">
        <v>4.5</v>
      </c>
      <c r="I304" s="26">
        <v>14</v>
      </c>
      <c r="J304" s="39" t="str">
        <f>HYPERLINK("https://amazon.com/dp/B0BY2VRWRD","View on Amazon")</f>
        <v>View on Amazon</v>
      </c>
      <c r="K304" s="23" t="s">
        <v>463</v>
      </c>
      <c r="L304" s="28" t="s">
        <v>460</v>
      </c>
    </row>
    <row r="305" spans="1:12" ht="68" x14ac:dyDescent="0.2">
      <c r="A305" s="13" t="s">
        <v>1076</v>
      </c>
      <c r="B305" s="14" t="s">
        <v>1077</v>
      </c>
      <c r="C305" s="15" t="s">
        <v>32</v>
      </c>
      <c r="D305" s="15" t="s">
        <v>459</v>
      </c>
      <c r="E305" s="16">
        <v>249</v>
      </c>
      <c r="F305" s="17">
        <v>478.12</v>
      </c>
      <c r="G305" s="18">
        <v>2</v>
      </c>
      <c r="H305" s="19">
        <v>4</v>
      </c>
      <c r="I305" s="18">
        <v>11</v>
      </c>
      <c r="J305" s="38" t="str">
        <f>HYPERLINK("https://amazon.com/dp/B0CJFQL29B","View on Amazon")</f>
        <v>View on Amazon</v>
      </c>
      <c r="K305" s="15" t="s">
        <v>459</v>
      </c>
      <c r="L305" s="20" t="s">
        <v>460</v>
      </c>
    </row>
    <row r="306" spans="1:12" ht="34" x14ac:dyDescent="0.2">
      <c r="A306" s="21" t="s">
        <v>1078</v>
      </c>
      <c r="B306" s="22" t="s">
        <v>1079</v>
      </c>
      <c r="C306" s="23" t="s">
        <v>105</v>
      </c>
      <c r="D306" s="23" t="s">
        <v>463</v>
      </c>
      <c r="E306" s="24">
        <v>35.99</v>
      </c>
      <c r="F306" s="25">
        <v>478.11</v>
      </c>
      <c r="G306" s="26">
        <v>13</v>
      </c>
      <c r="H306" s="27">
        <v>4.3</v>
      </c>
      <c r="I306" s="26">
        <v>77</v>
      </c>
      <c r="J306" s="39" t="str">
        <f>HYPERLINK("https://amazon.com/dp/B0D1BR4RF4","View on Amazon")</f>
        <v>View on Amazon</v>
      </c>
      <c r="K306" s="23" t="s">
        <v>463</v>
      </c>
      <c r="L306" s="28" t="s">
        <v>460</v>
      </c>
    </row>
    <row r="307" spans="1:12" ht="68" x14ac:dyDescent="0.2">
      <c r="A307" s="13" t="s">
        <v>1080</v>
      </c>
      <c r="B307" s="14" t="s">
        <v>1081</v>
      </c>
      <c r="C307" s="15" t="s">
        <v>32</v>
      </c>
      <c r="D307" s="15" t="s">
        <v>459</v>
      </c>
      <c r="E307" s="16">
        <v>249</v>
      </c>
      <c r="F307" s="17">
        <v>472.95</v>
      </c>
      <c r="G307" s="18">
        <v>2</v>
      </c>
      <c r="H307" s="19">
        <v>4</v>
      </c>
      <c r="I307" s="18">
        <v>11</v>
      </c>
      <c r="J307" s="38" t="str">
        <f>HYPERLINK("https://amazon.com/dp/B0CJFQXC1P","View on Amazon")</f>
        <v>View on Amazon</v>
      </c>
      <c r="K307" s="15" t="s">
        <v>459</v>
      </c>
      <c r="L307" s="20" t="s">
        <v>460</v>
      </c>
    </row>
    <row r="308" spans="1:12" ht="51" x14ac:dyDescent="0.2">
      <c r="A308" s="21" t="s">
        <v>1082</v>
      </c>
      <c r="B308" s="22" t="s">
        <v>1060</v>
      </c>
      <c r="C308" s="23" t="s">
        <v>105</v>
      </c>
      <c r="D308" s="23" t="s">
        <v>463</v>
      </c>
      <c r="E308" s="24">
        <v>35.99</v>
      </c>
      <c r="F308" s="25">
        <v>472.69</v>
      </c>
      <c r="G308" s="26">
        <v>13</v>
      </c>
      <c r="H308" s="27">
        <v>4.3</v>
      </c>
      <c r="I308" s="26">
        <v>77</v>
      </c>
      <c r="J308" s="39" t="str">
        <f>HYPERLINK("https://amazon.com/dp/B0D1C2X9W7","View on Amazon")</f>
        <v>View on Amazon</v>
      </c>
      <c r="K308" s="23" t="s">
        <v>463</v>
      </c>
      <c r="L308" s="28" t="s">
        <v>460</v>
      </c>
    </row>
    <row r="309" spans="1:12" ht="34" x14ac:dyDescent="0.2">
      <c r="A309" s="13" t="s">
        <v>1083</v>
      </c>
      <c r="B309" s="14" t="s">
        <v>1084</v>
      </c>
      <c r="C309" s="15" t="s">
        <v>177</v>
      </c>
      <c r="D309" s="15" t="s">
        <v>463</v>
      </c>
      <c r="E309" s="16">
        <v>150</v>
      </c>
      <c r="F309" s="17">
        <v>471.47</v>
      </c>
      <c r="G309" s="18">
        <v>3</v>
      </c>
      <c r="H309" s="19">
        <v>5</v>
      </c>
      <c r="I309" s="18">
        <v>1</v>
      </c>
      <c r="J309" s="38" t="str">
        <f>HYPERLINK("https://amazon.com/dp/B0D3Z8LV1Y","View on Amazon")</f>
        <v>View on Amazon</v>
      </c>
      <c r="K309" s="15" t="s">
        <v>463</v>
      </c>
      <c r="L309" s="20" t="s">
        <v>460</v>
      </c>
    </row>
    <row r="310" spans="1:12" ht="51" x14ac:dyDescent="0.2">
      <c r="A310" s="21" t="s">
        <v>1085</v>
      </c>
      <c r="B310" s="22" t="s">
        <v>1086</v>
      </c>
      <c r="C310" s="23" t="s">
        <v>109</v>
      </c>
      <c r="D310" s="23" t="s">
        <v>463</v>
      </c>
      <c r="E310" s="24">
        <v>59.99</v>
      </c>
      <c r="F310" s="25">
        <v>469.83</v>
      </c>
      <c r="G310" s="26">
        <v>8</v>
      </c>
      <c r="H310" s="27">
        <v>4.0999999999999996</v>
      </c>
      <c r="I310" s="26">
        <v>11</v>
      </c>
      <c r="J310" s="39" t="str">
        <f>HYPERLINK("https://amazon.com/dp/B0D92PHT6W","View on Amazon")</f>
        <v>View on Amazon</v>
      </c>
      <c r="K310" s="23" t="s">
        <v>463</v>
      </c>
      <c r="L310" s="28" t="s">
        <v>460</v>
      </c>
    </row>
    <row r="311" spans="1:12" ht="68" x14ac:dyDescent="0.2">
      <c r="A311" s="13" t="s">
        <v>1087</v>
      </c>
      <c r="B311" s="14" t="s">
        <v>1088</v>
      </c>
      <c r="C311" s="15" t="s">
        <v>178</v>
      </c>
      <c r="D311" s="15" t="s">
        <v>463</v>
      </c>
      <c r="E311" s="16">
        <v>41</v>
      </c>
      <c r="F311" s="17">
        <v>469.37</v>
      </c>
      <c r="G311" s="18">
        <v>11</v>
      </c>
      <c r="H311" s="19">
        <v>4.5</v>
      </c>
      <c r="I311" s="18">
        <v>17</v>
      </c>
      <c r="J311" s="38" t="str">
        <f>HYPERLINK("https://amazon.com/dp/B0DQV8RFJ2","View on Amazon")</f>
        <v>View on Amazon</v>
      </c>
      <c r="K311" s="15" t="s">
        <v>463</v>
      </c>
      <c r="L311" s="20" t="s">
        <v>460</v>
      </c>
    </row>
    <row r="312" spans="1:12" ht="51" x14ac:dyDescent="0.2">
      <c r="A312" s="21" t="s">
        <v>1089</v>
      </c>
      <c r="B312" s="22" t="s">
        <v>1090</v>
      </c>
      <c r="C312" s="23" t="s">
        <v>179</v>
      </c>
      <c r="D312" s="23" t="s">
        <v>459</v>
      </c>
      <c r="E312" s="24">
        <v>118.99</v>
      </c>
      <c r="F312" s="25">
        <v>466.02</v>
      </c>
      <c r="G312" s="26">
        <v>4</v>
      </c>
      <c r="H312" s="27">
        <v>5</v>
      </c>
      <c r="I312" s="26">
        <v>1</v>
      </c>
      <c r="J312" s="39" t="str">
        <f>HYPERLINK("https://amazon.com/dp/B0F4XH7YSC","View on Amazon")</f>
        <v>View on Amazon</v>
      </c>
      <c r="K312" s="23" t="s">
        <v>459</v>
      </c>
      <c r="L312" s="28" t="s">
        <v>460</v>
      </c>
    </row>
    <row r="313" spans="1:12" ht="68" x14ac:dyDescent="0.2">
      <c r="A313" s="13" t="s">
        <v>1091</v>
      </c>
      <c r="B313" s="14" t="s">
        <v>1092</v>
      </c>
      <c r="C313" s="15" t="s">
        <v>159</v>
      </c>
      <c r="D313" s="15" t="s">
        <v>463</v>
      </c>
      <c r="E313" s="16">
        <v>69.989999999999995</v>
      </c>
      <c r="F313" s="17">
        <v>464.71</v>
      </c>
      <c r="G313" s="18">
        <v>6</v>
      </c>
      <c r="H313" s="19">
        <v>3.5</v>
      </c>
      <c r="I313" s="18">
        <v>5</v>
      </c>
      <c r="J313" s="38" t="str">
        <f>HYPERLINK("https://amazon.com/dp/B0DB5GS3FF","View on Amazon")</f>
        <v>View on Amazon</v>
      </c>
      <c r="K313" s="15" t="s">
        <v>463</v>
      </c>
      <c r="L313" s="20" t="s">
        <v>460</v>
      </c>
    </row>
    <row r="314" spans="1:12" ht="51" x14ac:dyDescent="0.2">
      <c r="A314" s="21" t="s">
        <v>1093</v>
      </c>
      <c r="B314" s="22" t="s">
        <v>1094</v>
      </c>
      <c r="C314" s="23" t="s">
        <v>157</v>
      </c>
      <c r="D314" s="23" t="s">
        <v>459</v>
      </c>
      <c r="E314" s="24">
        <v>39.99</v>
      </c>
      <c r="F314" s="25">
        <v>462.96</v>
      </c>
      <c r="G314" s="26">
        <v>12</v>
      </c>
      <c r="H314" s="27">
        <v>4</v>
      </c>
      <c r="I314" s="26">
        <v>111</v>
      </c>
      <c r="J314" s="39" t="str">
        <f>HYPERLINK("https://amazon.com/dp/B0CKYMVYTK","View on Amazon")</f>
        <v>View on Amazon</v>
      </c>
      <c r="K314" s="23" t="s">
        <v>459</v>
      </c>
      <c r="L314" s="28" t="s">
        <v>460</v>
      </c>
    </row>
    <row r="315" spans="1:12" ht="68" x14ac:dyDescent="0.2">
      <c r="A315" s="13" t="s">
        <v>1095</v>
      </c>
      <c r="B315" s="14" t="s">
        <v>1096</v>
      </c>
      <c r="C315" s="15" t="s">
        <v>180</v>
      </c>
      <c r="D315" s="15" t="s">
        <v>463</v>
      </c>
      <c r="E315" s="16">
        <v>55.99</v>
      </c>
      <c r="F315" s="17">
        <v>453.29</v>
      </c>
      <c r="G315" s="18">
        <v>8</v>
      </c>
      <c r="H315" s="19">
        <v>4.2</v>
      </c>
      <c r="I315" s="18">
        <v>16</v>
      </c>
      <c r="J315" s="38" t="str">
        <f>HYPERLINK("https://amazon.com/dp/B0DCWT2N81","View on Amazon")</f>
        <v>View on Amazon</v>
      </c>
      <c r="K315" s="15" t="s">
        <v>463</v>
      </c>
      <c r="L315" s="20" t="s">
        <v>460</v>
      </c>
    </row>
    <row r="316" spans="1:12" ht="51" x14ac:dyDescent="0.2">
      <c r="A316" s="21" t="s">
        <v>1097</v>
      </c>
      <c r="B316" s="22" t="s">
        <v>1098</v>
      </c>
      <c r="C316" s="23" t="s">
        <v>109</v>
      </c>
      <c r="D316" s="23" t="s">
        <v>463</v>
      </c>
      <c r="E316" s="24">
        <v>59.99</v>
      </c>
      <c r="F316" s="25">
        <v>449.71</v>
      </c>
      <c r="G316" s="26">
        <v>7</v>
      </c>
      <c r="H316" s="27">
        <v>4.0999999999999996</v>
      </c>
      <c r="I316" s="26">
        <v>11</v>
      </c>
      <c r="J316" s="39" t="str">
        <f>HYPERLINK("https://amazon.com/dp/B0D92PB7BT","View on Amazon")</f>
        <v>View on Amazon</v>
      </c>
      <c r="K316" s="23" t="s">
        <v>463</v>
      </c>
      <c r="L316" s="28" t="s">
        <v>460</v>
      </c>
    </row>
    <row r="317" spans="1:12" ht="34" x14ac:dyDescent="0.2">
      <c r="A317" s="13" t="s">
        <v>1099</v>
      </c>
      <c r="B317" s="14" t="s">
        <v>1100</v>
      </c>
      <c r="C317" s="15" t="s">
        <v>181</v>
      </c>
      <c r="D317" s="15" t="s">
        <v>463</v>
      </c>
      <c r="E317" s="16">
        <v>179.99</v>
      </c>
      <c r="F317" s="17">
        <v>448.65</v>
      </c>
      <c r="G317" s="18">
        <v>2</v>
      </c>
      <c r="H317" s="19">
        <v>4</v>
      </c>
      <c r="I317" s="18">
        <v>1</v>
      </c>
      <c r="J317" s="38" t="str">
        <f>HYPERLINK("https://amazon.com/dp/B0DFFM32N5","View on Amazon")</f>
        <v>View on Amazon</v>
      </c>
      <c r="K317" s="15" t="s">
        <v>463</v>
      </c>
      <c r="L317" s="20" t="s">
        <v>460</v>
      </c>
    </row>
    <row r="318" spans="1:12" ht="51" x14ac:dyDescent="0.2">
      <c r="A318" s="21" t="s">
        <v>1101</v>
      </c>
      <c r="B318" s="22" t="s">
        <v>1102</v>
      </c>
      <c r="C318" s="23" t="s">
        <v>109</v>
      </c>
      <c r="D318" s="23" t="s">
        <v>486</v>
      </c>
      <c r="E318" s="24">
        <v>55.99</v>
      </c>
      <c r="F318" s="25">
        <v>444.32</v>
      </c>
      <c r="G318" s="26">
        <v>8</v>
      </c>
      <c r="H318" s="27">
        <v>4.5999999999999996</v>
      </c>
      <c r="I318" s="26">
        <v>21</v>
      </c>
      <c r="J318" s="39" t="str">
        <f>HYPERLINK("https://amazon.com/dp/B0D15214GQ","View on Amazon")</f>
        <v>View on Amazon</v>
      </c>
      <c r="K318" s="23" t="s">
        <v>486</v>
      </c>
      <c r="L318" s="28" t="s">
        <v>460</v>
      </c>
    </row>
    <row r="319" spans="1:12" ht="68" x14ac:dyDescent="0.2">
      <c r="A319" s="13" t="s">
        <v>1103</v>
      </c>
      <c r="B319" s="14" t="s">
        <v>1104</v>
      </c>
      <c r="C319" s="15" t="s">
        <v>174</v>
      </c>
      <c r="D319" s="15" t="s">
        <v>463</v>
      </c>
      <c r="E319" s="16">
        <v>55.99</v>
      </c>
      <c r="F319" s="17">
        <v>443.27</v>
      </c>
      <c r="G319" s="18">
        <v>8</v>
      </c>
      <c r="H319" s="19">
        <v>4.3</v>
      </c>
      <c r="I319" s="18">
        <v>11</v>
      </c>
      <c r="J319" s="38" t="str">
        <f>HYPERLINK("https://amazon.com/dp/B0DL4DDHY7","View on Amazon")</f>
        <v>View on Amazon</v>
      </c>
      <c r="K319" s="15" t="s">
        <v>463</v>
      </c>
      <c r="L319" s="20" t="s">
        <v>460</v>
      </c>
    </row>
    <row r="320" spans="1:12" ht="51" x14ac:dyDescent="0.2">
      <c r="A320" s="21" t="s">
        <v>1105</v>
      </c>
      <c r="B320" s="22" t="s">
        <v>1106</v>
      </c>
      <c r="C320" s="23" t="s">
        <v>108</v>
      </c>
      <c r="D320" s="23" t="s">
        <v>463</v>
      </c>
      <c r="E320" s="24">
        <v>76.489999999999995</v>
      </c>
      <c r="F320" s="25">
        <v>442.7</v>
      </c>
      <c r="G320" s="26">
        <v>5</v>
      </c>
      <c r="H320" s="27">
        <v>4.2</v>
      </c>
      <c r="I320" s="26">
        <v>48</v>
      </c>
      <c r="J320" s="39" t="str">
        <f>HYPERLINK("https://amazon.com/dp/B0FQNXK2K3","View on Amazon")</f>
        <v>View on Amazon</v>
      </c>
      <c r="K320" s="23" t="s">
        <v>463</v>
      </c>
      <c r="L320" s="28" t="s">
        <v>460</v>
      </c>
    </row>
    <row r="321" spans="1:12" ht="68" x14ac:dyDescent="0.2">
      <c r="A321" s="13" t="s">
        <v>1107</v>
      </c>
      <c r="B321" s="14" t="s">
        <v>1108</v>
      </c>
      <c r="C321" s="15" t="s">
        <v>41</v>
      </c>
      <c r="D321" s="15" t="s">
        <v>486</v>
      </c>
      <c r="E321" s="16">
        <v>99.99</v>
      </c>
      <c r="F321" s="17">
        <v>442.51</v>
      </c>
      <c r="G321" s="18">
        <v>4</v>
      </c>
      <c r="H321" s="19">
        <v>4.3</v>
      </c>
      <c r="I321" s="18">
        <v>73</v>
      </c>
      <c r="J321" s="38" t="str">
        <f>HYPERLINK("https://amazon.com/dp/B0CFJRR7YH","View on Amazon")</f>
        <v>View on Amazon</v>
      </c>
      <c r="K321" s="15" t="s">
        <v>486</v>
      </c>
      <c r="L321" s="20" t="s">
        <v>460</v>
      </c>
    </row>
    <row r="322" spans="1:12" ht="68" x14ac:dyDescent="0.2">
      <c r="A322" s="21" t="s">
        <v>1109</v>
      </c>
      <c r="B322" s="22" t="s">
        <v>1110</v>
      </c>
      <c r="C322" s="23" t="s">
        <v>36</v>
      </c>
      <c r="D322" s="23" t="s">
        <v>459</v>
      </c>
      <c r="E322" s="24">
        <v>439.98</v>
      </c>
      <c r="F322" s="25">
        <v>442.23</v>
      </c>
      <c r="G322" s="26">
        <v>1</v>
      </c>
      <c r="H322" s="27">
        <v>4.0999999999999996</v>
      </c>
      <c r="I322" s="26">
        <v>3</v>
      </c>
      <c r="J322" s="39" t="str">
        <f>HYPERLINK("https://amazon.com/dp/B09R3LJZKL","View on Amazon")</f>
        <v>View on Amazon</v>
      </c>
      <c r="K322" s="23" t="s">
        <v>459</v>
      </c>
      <c r="L322" s="28" t="s">
        <v>460</v>
      </c>
    </row>
    <row r="323" spans="1:12" ht="68" x14ac:dyDescent="0.2">
      <c r="A323" s="13" t="s">
        <v>1111</v>
      </c>
      <c r="B323" s="14" t="s">
        <v>1112</v>
      </c>
      <c r="C323" s="15" t="s">
        <v>182</v>
      </c>
      <c r="D323" s="15" t="s">
        <v>463</v>
      </c>
      <c r="E323" s="16">
        <v>56.99</v>
      </c>
      <c r="F323" s="17">
        <v>439.68</v>
      </c>
      <c r="G323" s="18">
        <v>8</v>
      </c>
      <c r="H323" s="19">
        <v>4.2</v>
      </c>
      <c r="I323" s="18">
        <v>112</v>
      </c>
      <c r="J323" s="38" t="str">
        <f>HYPERLINK("https://amazon.com/dp/B0BR39JWFC","View on Amazon")</f>
        <v>View on Amazon</v>
      </c>
      <c r="K323" s="15" t="s">
        <v>463</v>
      </c>
      <c r="L323" s="20" t="s">
        <v>460</v>
      </c>
    </row>
    <row r="324" spans="1:12" ht="51" x14ac:dyDescent="0.2">
      <c r="A324" s="21" t="s">
        <v>1113</v>
      </c>
      <c r="B324" s="22" t="s">
        <v>1114</v>
      </c>
      <c r="C324" s="23" t="s">
        <v>183</v>
      </c>
      <c r="D324" s="23" t="s">
        <v>459</v>
      </c>
      <c r="E324" s="24">
        <v>85.97</v>
      </c>
      <c r="F324" s="25">
        <v>439.23</v>
      </c>
      <c r="G324" s="26">
        <v>5</v>
      </c>
      <c r="H324" s="27">
        <v>4</v>
      </c>
      <c r="I324" s="26">
        <v>41</v>
      </c>
      <c r="J324" s="39" t="str">
        <f>HYPERLINK("https://amazon.com/dp/B087S8LTDM","View on Amazon")</f>
        <v>View on Amazon</v>
      </c>
      <c r="K324" s="23" t="s">
        <v>459</v>
      </c>
      <c r="L324" s="28" t="s">
        <v>460</v>
      </c>
    </row>
    <row r="325" spans="1:12" ht="34" x14ac:dyDescent="0.2">
      <c r="A325" s="13" t="s">
        <v>1115</v>
      </c>
      <c r="B325" s="14" t="s">
        <v>1116</v>
      </c>
      <c r="C325" s="15" t="s">
        <v>47</v>
      </c>
      <c r="D325" s="15" t="s">
        <v>463</v>
      </c>
      <c r="E325" s="16">
        <v>419.99</v>
      </c>
      <c r="F325" s="17">
        <v>438.48</v>
      </c>
      <c r="G325" s="18">
        <v>1</v>
      </c>
      <c r="H325" s="19">
        <v>3.5</v>
      </c>
      <c r="I325" s="18">
        <v>33</v>
      </c>
      <c r="J325" s="38" t="str">
        <f>HYPERLINK("https://amazon.com/dp/B0C2T48VZG","View on Amazon")</f>
        <v>View on Amazon</v>
      </c>
      <c r="K325" s="15" t="s">
        <v>463</v>
      </c>
      <c r="L325" s="20" t="s">
        <v>460</v>
      </c>
    </row>
    <row r="326" spans="1:12" ht="51" x14ac:dyDescent="0.2">
      <c r="A326" s="21" t="s">
        <v>1117</v>
      </c>
      <c r="B326" s="22" t="s">
        <v>1118</v>
      </c>
      <c r="C326" s="23" t="s">
        <v>50</v>
      </c>
      <c r="D326" s="23" t="s">
        <v>459</v>
      </c>
      <c r="E326" s="24">
        <v>92</v>
      </c>
      <c r="F326" s="25">
        <v>431.94</v>
      </c>
      <c r="G326" s="26">
        <v>5</v>
      </c>
      <c r="H326" s="27">
        <v>3.8</v>
      </c>
      <c r="I326" s="26">
        <v>38</v>
      </c>
      <c r="J326" s="39" t="str">
        <f>HYPERLINK("https://amazon.com/dp/B08PV7RDCC","View on Amazon")</f>
        <v>View on Amazon</v>
      </c>
      <c r="K326" s="23" t="s">
        <v>459</v>
      </c>
      <c r="L326" s="28" t="s">
        <v>460</v>
      </c>
    </row>
    <row r="327" spans="1:12" ht="17" x14ac:dyDescent="0.2">
      <c r="A327" s="13" t="s">
        <v>1119</v>
      </c>
      <c r="B327" s="14" t="s">
        <v>1120</v>
      </c>
      <c r="C327" s="15" t="s">
        <v>184</v>
      </c>
      <c r="D327" s="15" t="s">
        <v>459</v>
      </c>
      <c r="E327" s="16">
        <v>129</v>
      </c>
      <c r="F327" s="17">
        <v>430.7</v>
      </c>
      <c r="G327" s="18">
        <v>3</v>
      </c>
      <c r="H327" s="19">
        <v>5</v>
      </c>
      <c r="I327" s="18">
        <v>1</v>
      </c>
      <c r="J327" s="38" t="str">
        <f>HYPERLINK("https://amazon.com/dp/B0BH1M4Y6N","View on Amazon")</f>
        <v>View on Amazon</v>
      </c>
      <c r="K327" s="15" t="s">
        <v>459</v>
      </c>
      <c r="L327" s="20" t="s">
        <v>460</v>
      </c>
    </row>
    <row r="328" spans="1:12" ht="68" x14ac:dyDescent="0.2">
      <c r="A328" s="21" t="s">
        <v>1121</v>
      </c>
      <c r="B328" s="22" t="s">
        <v>1122</v>
      </c>
      <c r="C328" s="23" t="s">
        <v>150</v>
      </c>
      <c r="D328" s="23" t="s">
        <v>459</v>
      </c>
      <c r="E328" s="24">
        <v>228.48</v>
      </c>
      <c r="F328" s="25">
        <v>426.68</v>
      </c>
      <c r="G328" s="26">
        <v>2</v>
      </c>
      <c r="H328" s="27">
        <v>0</v>
      </c>
      <c r="I328" s="26">
        <v>0</v>
      </c>
      <c r="J328" s="39" t="str">
        <f>HYPERLINK("https://amazon.com/dp/B07P6DD49W","View on Amazon")</f>
        <v>View on Amazon</v>
      </c>
      <c r="K328" s="23" t="s">
        <v>459</v>
      </c>
      <c r="L328" s="28" t="s">
        <v>460</v>
      </c>
    </row>
    <row r="329" spans="1:12" ht="68" x14ac:dyDescent="0.2">
      <c r="A329" s="13" t="s">
        <v>1123</v>
      </c>
      <c r="B329" s="14" t="s">
        <v>1124</v>
      </c>
      <c r="C329" s="15" t="s">
        <v>103</v>
      </c>
      <c r="D329" s="15" t="s">
        <v>459</v>
      </c>
      <c r="E329" s="16">
        <v>89</v>
      </c>
      <c r="F329" s="17">
        <v>424.89</v>
      </c>
      <c r="G329" s="18">
        <v>5</v>
      </c>
      <c r="H329" s="19">
        <v>3.9</v>
      </c>
      <c r="I329" s="18">
        <v>172</v>
      </c>
      <c r="J329" s="38" t="str">
        <f>HYPERLINK("https://amazon.com/dp/B08BTYNMDX","View on Amazon")</f>
        <v>View on Amazon</v>
      </c>
      <c r="K329" s="15" t="s">
        <v>459</v>
      </c>
      <c r="L329" s="20" t="s">
        <v>460</v>
      </c>
    </row>
    <row r="330" spans="1:12" ht="68" x14ac:dyDescent="0.2">
      <c r="A330" s="21" t="s">
        <v>1125</v>
      </c>
      <c r="B330" s="22" t="s">
        <v>1126</v>
      </c>
      <c r="C330" s="23" t="s">
        <v>185</v>
      </c>
      <c r="D330" s="23" t="s">
        <v>463</v>
      </c>
      <c r="E330" s="24">
        <v>49.99</v>
      </c>
      <c r="F330" s="25">
        <v>420.21</v>
      </c>
      <c r="G330" s="26">
        <v>8</v>
      </c>
      <c r="H330" s="27">
        <v>4.2</v>
      </c>
      <c r="I330" s="26">
        <v>155</v>
      </c>
      <c r="J330" s="39" t="str">
        <f>HYPERLINK("https://amazon.com/dp/B0DHGJKVM8","View on Amazon")</f>
        <v>View on Amazon</v>
      </c>
      <c r="K330" s="23" t="s">
        <v>463</v>
      </c>
      <c r="L330" s="28" t="s">
        <v>460</v>
      </c>
    </row>
    <row r="331" spans="1:12" ht="68" x14ac:dyDescent="0.2">
      <c r="A331" s="13" t="s">
        <v>1127</v>
      </c>
      <c r="B331" s="14" t="s">
        <v>1128</v>
      </c>
      <c r="C331" s="15" t="s">
        <v>135</v>
      </c>
      <c r="D331" s="15" t="s">
        <v>463</v>
      </c>
      <c r="E331" s="16">
        <v>59.99</v>
      </c>
      <c r="F331" s="17">
        <v>418.73</v>
      </c>
      <c r="G331" s="18">
        <v>7</v>
      </c>
      <c r="H331" s="19">
        <v>4.2</v>
      </c>
      <c r="I331" s="18">
        <v>923</v>
      </c>
      <c r="J331" s="38" t="str">
        <f>HYPERLINK("https://amazon.com/dp/B09W9LY8Z4","View on Amazon")</f>
        <v>View on Amazon</v>
      </c>
      <c r="K331" s="15" t="s">
        <v>463</v>
      </c>
      <c r="L331" s="20" t="s">
        <v>460</v>
      </c>
    </row>
    <row r="332" spans="1:12" ht="68" x14ac:dyDescent="0.2">
      <c r="A332" s="21" t="s">
        <v>1129</v>
      </c>
      <c r="B332" s="22" t="s">
        <v>1130</v>
      </c>
      <c r="C332" s="23" t="s">
        <v>117</v>
      </c>
      <c r="D332" s="23" t="s">
        <v>463</v>
      </c>
      <c r="E332" s="24">
        <v>77.87</v>
      </c>
      <c r="F332" s="25">
        <v>415.13</v>
      </c>
      <c r="G332" s="26">
        <v>5</v>
      </c>
      <c r="H332" s="27">
        <v>4.0999999999999996</v>
      </c>
      <c r="I332" s="26">
        <v>9</v>
      </c>
      <c r="J332" s="39" t="str">
        <f>HYPERLINK("https://amazon.com/dp/B0FS6H77GW","View on Amazon")</f>
        <v>View on Amazon</v>
      </c>
      <c r="K332" s="23" t="s">
        <v>463</v>
      </c>
      <c r="L332" s="28" t="s">
        <v>460</v>
      </c>
    </row>
    <row r="333" spans="1:12" ht="51" x14ac:dyDescent="0.2">
      <c r="A333" s="13" t="s">
        <v>1131</v>
      </c>
      <c r="B333" s="14" t="s">
        <v>1132</v>
      </c>
      <c r="C333" s="15" t="s">
        <v>126</v>
      </c>
      <c r="D333" s="15" t="s">
        <v>463</v>
      </c>
      <c r="E333" s="16">
        <v>37.99</v>
      </c>
      <c r="F333" s="17">
        <v>411.27</v>
      </c>
      <c r="G333" s="18">
        <v>10</v>
      </c>
      <c r="H333" s="19">
        <v>4.5</v>
      </c>
      <c r="I333" s="18">
        <v>32</v>
      </c>
      <c r="J333" s="38" t="str">
        <f>HYPERLINK("https://amazon.com/dp/B0DSJ35HKG","View on Amazon")</f>
        <v>View on Amazon</v>
      </c>
      <c r="K333" s="15" t="s">
        <v>463</v>
      </c>
      <c r="L333" s="20" t="s">
        <v>460</v>
      </c>
    </row>
    <row r="334" spans="1:12" ht="68" x14ac:dyDescent="0.2">
      <c r="A334" s="21" t="s">
        <v>1133</v>
      </c>
      <c r="B334" s="22" t="s">
        <v>1134</v>
      </c>
      <c r="C334" s="23" t="s">
        <v>117</v>
      </c>
      <c r="D334" s="23" t="s">
        <v>463</v>
      </c>
      <c r="E334" s="24">
        <v>159</v>
      </c>
      <c r="F334" s="25">
        <v>411.1</v>
      </c>
      <c r="G334" s="26">
        <v>3</v>
      </c>
      <c r="H334" s="27">
        <v>4.0999999999999996</v>
      </c>
      <c r="I334" s="26">
        <v>9</v>
      </c>
      <c r="J334" s="39" t="str">
        <f>HYPERLINK("https://amazon.com/dp/B0FFSB615H","View on Amazon")</f>
        <v>View on Amazon</v>
      </c>
      <c r="K334" s="23" t="s">
        <v>463</v>
      </c>
      <c r="L334" s="28" t="s">
        <v>460</v>
      </c>
    </row>
    <row r="335" spans="1:12" ht="51" x14ac:dyDescent="0.2">
      <c r="A335" s="13" t="s">
        <v>1135</v>
      </c>
      <c r="B335" s="14" t="s">
        <v>1136</v>
      </c>
      <c r="C335" s="15" t="s">
        <v>27</v>
      </c>
      <c r="D335" s="15" t="s">
        <v>463</v>
      </c>
      <c r="E335" s="16">
        <v>99.99</v>
      </c>
      <c r="F335" s="17">
        <v>410.33</v>
      </c>
      <c r="G335" s="18">
        <v>4</v>
      </c>
      <c r="H335" s="19">
        <v>3.4</v>
      </c>
      <c r="I335" s="18">
        <v>10</v>
      </c>
      <c r="J335" s="38" t="str">
        <f>HYPERLINK("https://amazon.com/dp/B0DP2NKDKP","View on Amazon")</f>
        <v>View on Amazon</v>
      </c>
      <c r="K335" s="15" t="s">
        <v>463</v>
      </c>
      <c r="L335" s="20" t="s">
        <v>460</v>
      </c>
    </row>
    <row r="336" spans="1:12" ht="68" x14ac:dyDescent="0.2">
      <c r="A336" s="21" t="s">
        <v>1137</v>
      </c>
      <c r="B336" s="22" t="s">
        <v>1138</v>
      </c>
      <c r="C336" s="23" t="s">
        <v>188</v>
      </c>
      <c r="D336" s="23" t="s">
        <v>463</v>
      </c>
      <c r="E336" s="24">
        <v>99.99</v>
      </c>
      <c r="F336" s="25">
        <v>409.95</v>
      </c>
      <c r="G336" s="26">
        <v>5</v>
      </c>
      <c r="H336" s="27">
        <v>5</v>
      </c>
      <c r="I336" s="26">
        <v>1</v>
      </c>
      <c r="J336" s="39" t="str">
        <f>HYPERLINK("https://amazon.com/dp/B0CVXSRF52","View on Amazon")</f>
        <v>View on Amazon</v>
      </c>
      <c r="K336" s="23" t="s">
        <v>463</v>
      </c>
      <c r="L336" s="28" t="s">
        <v>460</v>
      </c>
    </row>
    <row r="337" spans="1:12" ht="68" x14ac:dyDescent="0.2">
      <c r="A337" s="13" t="s">
        <v>1139</v>
      </c>
      <c r="B337" s="14" t="s">
        <v>1140</v>
      </c>
      <c r="C337" s="15" t="s">
        <v>78</v>
      </c>
      <c r="D337" s="15" t="s">
        <v>463</v>
      </c>
      <c r="E337" s="16">
        <v>108</v>
      </c>
      <c r="F337" s="17">
        <v>401.46</v>
      </c>
      <c r="G337" s="18">
        <v>4</v>
      </c>
      <c r="H337" s="19">
        <v>4.3</v>
      </c>
      <c r="I337" s="18">
        <v>20</v>
      </c>
      <c r="J337" s="38" t="str">
        <f>HYPERLINK("https://amazon.com/dp/B0G349P6M2","View on Amazon")</f>
        <v>View on Amazon</v>
      </c>
      <c r="K337" s="15" t="s">
        <v>463</v>
      </c>
      <c r="L337" s="20" t="s">
        <v>460</v>
      </c>
    </row>
    <row r="338" spans="1:12" ht="68" x14ac:dyDescent="0.2">
      <c r="A338" s="21" t="s">
        <v>1141</v>
      </c>
      <c r="B338" s="22" t="s">
        <v>1142</v>
      </c>
      <c r="C338" s="23" t="s">
        <v>145</v>
      </c>
      <c r="D338" s="23" t="s">
        <v>463</v>
      </c>
      <c r="E338" s="24">
        <v>44.95</v>
      </c>
      <c r="F338" s="25">
        <v>393.85</v>
      </c>
      <c r="G338" s="26">
        <v>9</v>
      </c>
      <c r="H338" s="27">
        <v>3.8</v>
      </c>
      <c r="I338" s="26">
        <v>35</v>
      </c>
      <c r="J338" s="39" t="str">
        <f>HYPERLINK("https://amazon.com/dp/B07347VBG3","View on Amazon")</f>
        <v>View on Amazon</v>
      </c>
      <c r="K338" s="23" t="s">
        <v>463</v>
      </c>
      <c r="L338" s="28" t="s">
        <v>460</v>
      </c>
    </row>
    <row r="339" spans="1:12" ht="68" x14ac:dyDescent="0.2">
      <c r="A339" s="13" t="s">
        <v>1143</v>
      </c>
      <c r="B339" s="14" t="s">
        <v>1144</v>
      </c>
      <c r="C339" s="15" t="s">
        <v>166</v>
      </c>
      <c r="D339" s="15" t="s">
        <v>463</v>
      </c>
      <c r="E339" s="16">
        <v>99.99</v>
      </c>
      <c r="F339" s="17">
        <v>393.61</v>
      </c>
      <c r="G339" s="18">
        <v>3</v>
      </c>
      <c r="H339" s="19">
        <v>4.8</v>
      </c>
      <c r="I339" s="18">
        <v>10</v>
      </c>
      <c r="J339" s="38" t="str">
        <f>HYPERLINK("https://amazon.com/dp/B0DS8BQF7K","View on Amazon")</f>
        <v>View on Amazon</v>
      </c>
      <c r="K339" s="15" t="s">
        <v>463</v>
      </c>
      <c r="L339" s="20" t="s">
        <v>460</v>
      </c>
    </row>
    <row r="340" spans="1:12" ht="51" x14ac:dyDescent="0.2">
      <c r="A340" s="21" t="s">
        <v>1145</v>
      </c>
      <c r="B340" s="22" t="s">
        <v>1146</v>
      </c>
      <c r="C340" s="23" t="s">
        <v>134</v>
      </c>
      <c r="D340" s="23" t="s">
        <v>463</v>
      </c>
      <c r="E340" s="24">
        <v>34.99</v>
      </c>
      <c r="F340" s="25">
        <v>393.34</v>
      </c>
      <c r="G340" s="26">
        <v>10</v>
      </c>
      <c r="H340" s="27">
        <v>3.9</v>
      </c>
      <c r="I340" s="26">
        <v>158</v>
      </c>
      <c r="J340" s="39" t="str">
        <f>HYPERLINK("https://amazon.com/dp/B0CSKD3P3K","View on Amazon")</f>
        <v>View on Amazon</v>
      </c>
      <c r="K340" s="23" t="s">
        <v>463</v>
      </c>
      <c r="L340" s="28" t="s">
        <v>460</v>
      </c>
    </row>
    <row r="341" spans="1:12" ht="51" x14ac:dyDescent="0.2">
      <c r="A341" s="13" t="s">
        <v>1147</v>
      </c>
      <c r="B341" s="14" t="s">
        <v>1148</v>
      </c>
      <c r="C341" s="15" t="s">
        <v>190</v>
      </c>
      <c r="D341" s="15" t="s">
        <v>463</v>
      </c>
      <c r="E341" s="16">
        <v>119.99</v>
      </c>
      <c r="F341" s="17">
        <v>386.54</v>
      </c>
      <c r="G341" s="18">
        <v>3</v>
      </c>
      <c r="H341" s="19">
        <v>4.5999999999999996</v>
      </c>
      <c r="I341" s="18">
        <v>26</v>
      </c>
      <c r="J341" s="38" t="str">
        <f>HYPERLINK("https://amazon.com/dp/B0FHWVJ38L","View on Amazon")</f>
        <v>View on Amazon</v>
      </c>
      <c r="K341" s="15" t="s">
        <v>463</v>
      </c>
      <c r="L341" s="20" t="s">
        <v>460</v>
      </c>
    </row>
    <row r="342" spans="1:12" ht="51" x14ac:dyDescent="0.2">
      <c r="A342" s="21" t="s">
        <v>1149</v>
      </c>
      <c r="B342" s="22" t="s">
        <v>1150</v>
      </c>
      <c r="C342" s="23" t="s">
        <v>98</v>
      </c>
      <c r="D342" s="23" t="s">
        <v>463</v>
      </c>
      <c r="E342" s="24">
        <v>38.99</v>
      </c>
      <c r="F342" s="25">
        <v>386.5</v>
      </c>
      <c r="G342" s="26">
        <v>10</v>
      </c>
      <c r="H342" s="27">
        <v>3.9</v>
      </c>
      <c r="I342" s="26">
        <v>75</v>
      </c>
      <c r="J342" s="39" t="str">
        <f>HYPERLINK("https://amazon.com/dp/B0D2ZSRK4V","View on Amazon")</f>
        <v>View on Amazon</v>
      </c>
      <c r="K342" s="23" t="s">
        <v>463</v>
      </c>
      <c r="L342" s="28" t="s">
        <v>460</v>
      </c>
    </row>
    <row r="343" spans="1:12" ht="51" x14ac:dyDescent="0.2">
      <c r="A343" s="13" t="s">
        <v>1151</v>
      </c>
      <c r="B343" s="14" t="s">
        <v>1152</v>
      </c>
      <c r="C343" s="15" t="s">
        <v>97</v>
      </c>
      <c r="D343" s="15" t="s">
        <v>463</v>
      </c>
      <c r="E343" s="16">
        <v>59.99</v>
      </c>
      <c r="F343" s="17">
        <v>386.32</v>
      </c>
      <c r="G343" s="18">
        <v>6</v>
      </c>
      <c r="H343" s="19">
        <v>0</v>
      </c>
      <c r="I343" s="18">
        <v>0</v>
      </c>
      <c r="J343" s="38" t="str">
        <f>HYPERLINK("https://amazon.com/dp/B0CLXPQS8Z","View on Amazon")</f>
        <v>View on Amazon</v>
      </c>
      <c r="K343" s="15" t="s">
        <v>463</v>
      </c>
      <c r="L343" s="20" t="s">
        <v>460</v>
      </c>
    </row>
    <row r="344" spans="1:12" ht="68" x14ac:dyDescent="0.2">
      <c r="A344" s="21" t="s">
        <v>1153</v>
      </c>
      <c r="B344" s="22" t="s">
        <v>1154</v>
      </c>
      <c r="C344" s="23" t="s">
        <v>117</v>
      </c>
      <c r="D344" s="23" t="s">
        <v>463</v>
      </c>
      <c r="E344" s="24">
        <v>46.8</v>
      </c>
      <c r="F344" s="25">
        <v>384.79</v>
      </c>
      <c r="G344" s="26">
        <v>8</v>
      </c>
      <c r="H344" s="27">
        <v>3.9</v>
      </c>
      <c r="I344" s="26">
        <v>17</v>
      </c>
      <c r="J344" s="39" t="str">
        <f>HYPERLINK("https://amazon.com/dp/B0G1S9W9DF","View on Amazon")</f>
        <v>View on Amazon</v>
      </c>
      <c r="K344" s="23" t="s">
        <v>463</v>
      </c>
      <c r="L344" s="28" t="s">
        <v>460</v>
      </c>
    </row>
    <row r="345" spans="1:12" ht="34" x14ac:dyDescent="0.2">
      <c r="A345" s="13" t="s">
        <v>1155</v>
      </c>
      <c r="B345" s="14" t="s">
        <v>1156</v>
      </c>
      <c r="C345" s="15" t="s">
        <v>191</v>
      </c>
      <c r="D345" s="15" t="s">
        <v>463</v>
      </c>
      <c r="E345" s="16">
        <v>89.99</v>
      </c>
      <c r="F345" s="17">
        <v>383.86</v>
      </c>
      <c r="G345" s="18">
        <v>4</v>
      </c>
      <c r="H345" s="19">
        <v>0</v>
      </c>
      <c r="I345" s="18">
        <v>0</v>
      </c>
      <c r="J345" s="38" t="str">
        <f>HYPERLINK("https://amazon.com/dp/B0FMXCL7F2","View on Amazon")</f>
        <v>View on Amazon</v>
      </c>
      <c r="K345" s="15" t="s">
        <v>463</v>
      </c>
      <c r="L345" s="20" t="s">
        <v>460</v>
      </c>
    </row>
    <row r="346" spans="1:12" ht="51" x14ac:dyDescent="0.2">
      <c r="A346" s="21" t="s">
        <v>1157</v>
      </c>
      <c r="B346" s="22" t="s">
        <v>1158</v>
      </c>
      <c r="C346" s="23" t="s">
        <v>176</v>
      </c>
      <c r="D346" s="23" t="s">
        <v>463</v>
      </c>
      <c r="E346" s="24">
        <v>15.35</v>
      </c>
      <c r="F346" s="25">
        <v>373.75</v>
      </c>
      <c r="G346" s="26">
        <v>24</v>
      </c>
      <c r="H346" s="27">
        <v>3.5</v>
      </c>
      <c r="I346" s="26">
        <v>2</v>
      </c>
      <c r="J346" s="39" t="str">
        <f>HYPERLINK("https://amazon.com/dp/B0F5X4GVH3","View on Amazon")</f>
        <v>View on Amazon</v>
      </c>
      <c r="K346" s="23" t="s">
        <v>463</v>
      </c>
      <c r="L346" s="28" t="s">
        <v>460</v>
      </c>
    </row>
    <row r="347" spans="1:12" ht="68" x14ac:dyDescent="0.2">
      <c r="A347" s="13" t="s">
        <v>1159</v>
      </c>
      <c r="B347" s="14" t="s">
        <v>1160</v>
      </c>
      <c r="C347" s="15" t="s">
        <v>193</v>
      </c>
      <c r="D347" s="15" t="s">
        <v>463</v>
      </c>
      <c r="E347" s="16">
        <v>79.989999999999995</v>
      </c>
      <c r="F347" s="17">
        <v>370.45</v>
      </c>
      <c r="G347" s="18">
        <v>5</v>
      </c>
      <c r="H347" s="19">
        <v>3.9</v>
      </c>
      <c r="I347" s="18">
        <v>7</v>
      </c>
      <c r="J347" s="38" t="str">
        <f>HYPERLINK("https://amazon.com/dp/B0CP2F3SYY","View on Amazon")</f>
        <v>View on Amazon</v>
      </c>
      <c r="K347" s="15" t="s">
        <v>463</v>
      </c>
      <c r="L347" s="20" t="s">
        <v>460</v>
      </c>
    </row>
    <row r="348" spans="1:12" ht="68" x14ac:dyDescent="0.2">
      <c r="A348" s="21" t="s">
        <v>1161</v>
      </c>
      <c r="B348" s="22" t="s">
        <v>1162</v>
      </c>
      <c r="C348" s="23" t="s">
        <v>131</v>
      </c>
      <c r="D348" s="23" t="s">
        <v>459</v>
      </c>
      <c r="E348" s="24">
        <v>289.99</v>
      </c>
      <c r="F348" s="25">
        <v>369</v>
      </c>
      <c r="G348" s="26">
        <v>1</v>
      </c>
      <c r="H348" s="27">
        <v>0</v>
      </c>
      <c r="I348" s="26">
        <v>0</v>
      </c>
      <c r="J348" s="39" t="str">
        <f>HYPERLINK("https://amazon.com/dp/B0DLSTK889","View on Amazon")</f>
        <v>View on Amazon</v>
      </c>
      <c r="K348" s="23" t="s">
        <v>459</v>
      </c>
      <c r="L348" s="28" t="s">
        <v>220</v>
      </c>
    </row>
    <row r="349" spans="1:12" ht="51" x14ac:dyDescent="0.2">
      <c r="A349" s="13" t="s">
        <v>1163</v>
      </c>
      <c r="B349" s="14" t="s">
        <v>1164</v>
      </c>
      <c r="C349" s="15" t="s">
        <v>194</v>
      </c>
      <c r="D349" s="15" t="s">
        <v>463</v>
      </c>
      <c r="E349" s="16">
        <v>34.770000000000003</v>
      </c>
      <c r="F349" s="17">
        <v>367.26</v>
      </c>
      <c r="G349" s="18">
        <v>11</v>
      </c>
      <c r="H349" s="19">
        <v>4.5999999999999996</v>
      </c>
      <c r="I349" s="18">
        <v>11</v>
      </c>
      <c r="J349" s="38" t="str">
        <f>HYPERLINK("https://amazon.com/dp/B0DDWWCGNM","View on Amazon")</f>
        <v>View on Amazon</v>
      </c>
      <c r="K349" s="15" t="s">
        <v>463</v>
      </c>
      <c r="L349" s="20" t="s">
        <v>460</v>
      </c>
    </row>
    <row r="350" spans="1:12" ht="34" x14ac:dyDescent="0.2">
      <c r="A350" s="21" t="s">
        <v>1165</v>
      </c>
      <c r="B350" s="22" t="s">
        <v>1166</v>
      </c>
      <c r="C350" s="23" t="s">
        <v>47</v>
      </c>
      <c r="D350" s="23" t="s">
        <v>512</v>
      </c>
      <c r="E350" s="24">
        <v>339.98</v>
      </c>
      <c r="F350" s="25">
        <v>366.52</v>
      </c>
      <c r="G350" s="26">
        <v>1</v>
      </c>
      <c r="H350" s="27">
        <v>4.2</v>
      </c>
      <c r="I350" s="26">
        <v>130</v>
      </c>
      <c r="J350" s="39" t="str">
        <f>HYPERLINK("https://amazon.com/dp/B0BYHPZ564","View on Amazon")</f>
        <v>View on Amazon</v>
      </c>
      <c r="K350" s="23" t="s">
        <v>512</v>
      </c>
      <c r="L350" s="28" t="s">
        <v>460</v>
      </c>
    </row>
    <row r="351" spans="1:12" ht="51" x14ac:dyDescent="0.2">
      <c r="A351" s="13" t="s">
        <v>1167</v>
      </c>
      <c r="B351" s="14" t="s">
        <v>1168</v>
      </c>
      <c r="C351" s="15" t="s">
        <v>102</v>
      </c>
      <c r="D351" s="15" t="s">
        <v>459</v>
      </c>
      <c r="E351" s="16">
        <v>285</v>
      </c>
      <c r="F351" s="17">
        <v>358.95</v>
      </c>
      <c r="G351" s="18">
        <v>1</v>
      </c>
      <c r="H351" s="19">
        <v>5</v>
      </c>
      <c r="I351" s="18">
        <v>1</v>
      </c>
      <c r="J351" s="38" t="str">
        <f>HYPERLINK("https://amazon.com/dp/B0D9NKBWJJ","View on Amazon")</f>
        <v>View on Amazon</v>
      </c>
      <c r="K351" s="15" t="s">
        <v>459</v>
      </c>
      <c r="L351" s="20" t="s">
        <v>220</v>
      </c>
    </row>
    <row r="352" spans="1:12" ht="51" x14ac:dyDescent="0.2">
      <c r="A352" s="21" t="s">
        <v>1169</v>
      </c>
      <c r="B352" s="22" t="s">
        <v>1170</v>
      </c>
      <c r="C352" s="23" t="s">
        <v>128</v>
      </c>
      <c r="D352" s="23" t="s">
        <v>463</v>
      </c>
      <c r="E352" s="24">
        <v>59.99</v>
      </c>
      <c r="F352" s="25">
        <v>358.86</v>
      </c>
      <c r="G352" s="26">
        <v>6</v>
      </c>
      <c r="H352" s="27">
        <v>3.6</v>
      </c>
      <c r="I352" s="26">
        <v>28</v>
      </c>
      <c r="J352" s="39" t="str">
        <f>HYPERLINK("https://amazon.com/dp/B0D1QZZDD3","View on Amazon")</f>
        <v>View on Amazon</v>
      </c>
      <c r="K352" s="23" t="s">
        <v>463</v>
      </c>
      <c r="L352" s="28" t="s">
        <v>460</v>
      </c>
    </row>
    <row r="353" spans="1:12" ht="34" x14ac:dyDescent="0.2">
      <c r="A353" s="13" t="s">
        <v>1171</v>
      </c>
      <c r="B353" s="14" t="s">
        <v>1172</v>
      </c>
      <c r="C353" s="15" t="s">
        <v>195</v>
      </c>
      <c r="D353" s="15" t="s">
        <v>459</v>
      </c>
      <c r="E353" s="16">
        <v>324.49</v>
      </c>
      <c r="F353" s="17">
        <v>354.1</v>
      </c>
      <c r="G353" s="18">
        <v>1</v>
      </c>
      <c r="H353" s="19">
        <v>0</v>
      </c>
      <c r="I353" s="18">
        <v>0</v>
      </c>
      <c r="J353" s="38" t="str">
        <f>HYPERLINK("https://amazon.com/dp/B0BX9T4JK6","View on Amazon")</f>
        <v>View on Amazon</v>
      </c>
      <c r="K353" s="15" t="s">
        <v>459</v>
      </c>
      <c r="L353" s="20" t="s">
        <v>460</v>
      </c>
    </row>
    <row r="354" spans="1:12" ht="34" x14ac:dyDescent="0.2">
      <c r="A354" s="21" t="s">
        <v>1173</v>
      </c>
      <c r="B354" s="22" t="s">
        <v>1174</v>
      </c>
      <c r="C354" s="23" t="s">
        <v>91</v>
      </c>
      <c r="D354" s="23" t="s">
        <v>463</v>
      </c>
      <c r="E354" s="24">
        <v>42.99</v>
      </c>
      <c r="F354" s="25">
        <v>345.3</v>
      </c>
      <c r="G354" s="26">
        <v>8</v>
      </c>
      <c r="H354" s="27">
        <v>3.7</v>
      </c>
      <c r="I354" s="26">
        <v>23</v>
      </c>
      <c r="J354" s="39" t="str">
        <f>HYPERLINK("https://amazon.com/dp/B0DLBHT26M","View on Amazon")</f>
        <v>View on Amazon</v>
      </c>
      <c r="K354" s="23" t="s">
        <v>463</v>
      </c>
      <c r="L354" s="28" t="s">
        <v>460</v>
      </c>
    </row>
    <row r="355" spans="1:12" ht="68" x14ac:dyDescent="0.2">
      <c r="A355" s="13" t="s">
        <v>1175</v>
      </c>
      <c r="B355" s="14" t="s">
        <v>1176</v>
      </c>
      <c r="C355" s="15" t="s">
        <v>108</v>
      </c>
      <c r="D355" s="15" t="s">
        <v>463</v>
      </c>
      <c r="E355" s="16">
        <v>58.64</v>
      </c>
      <c r="F355" s="17">
        <v>343.43</v>
      </c>
      <c r="G355" s="18">
        <v>4</v>
      </c>
      <c r="H355" s="19">
        <v>4.2</v>
      </c>
      <c r="I355" s="18">
        <v>48</v>
      </c>
      <c r="J355" s="38" t="str">
        <f>HYPERLINK("https://amazon.com/dp/B0DRC4JRKW","View on Amazon")</f>
        <v>View on Amazon</v>
      </c>
      <c r="K355" s="15" t="s">
        <v>463</v>
      </c>
      <c r="L355" s="20" t="s">
        <v>460</v>
      </c>
    </row>
    <row r="356" spans="1:12" ht="51" x14ac:dyDescent="0.2">
      <c r="A356" s="21" t="s">
        <v>1177</v>
      </c>
      <c r="B356" s="22" t="s">
        <v>1178</v>
      </c>
      <c r="C356" s="23" t="s">
        <v>186</v>
      </c>
      <c r="D356" s="23" t="s">
        <v>463</v>
      </c>
      <c r="E356" s="24">
        <v>39.99</v>
      </c>
      <c r="F356" s="25">
        <v>339.64</v>
      </c>
      <c r="G356" s="26">
        <v>8</v>
      </c>
      <c r="H356" s="27">
        <v>4.0999999999999996</v>
      </c>
      <c r="I356" s="26">
        <v>52</v>
      </c>
      <c r="J356" s="39" t="str">
        <f>HYPERLINK("https://amazon.com/dp/B09VGPBNN3","View on Amazon")</f>
        <v>View on Amazon</v>
      </c>
      <c r="K356" s="23" t="s">
        <v>463</v>
      </c>
      <c r="L356" s="28" t="s">
        <v>460</v>
      </c>
    </row>
    <row r="357" spans="1:12" ht="68" x14ac:dyDescent="0.2">
      <c r="A357" s="13" t="s">
        <v>1179</v>
      </c>
      <c r="B357" s="14" t="s">
        <v>1180</v>
      </c>
      <c r="C357" s="15" t="s">
        <v>119</v>
      </c>
      <c r="D357" s="15" t="s">
        <v>459</v>
      </c>
      <c r="E357" s="16">
        <v>99</v>
      </c>
      <c r="F357" s="17">
        <v>337.14</v>
      </c>
      <c r="G357" s="18">
        <v>3</v>
      </c>
      <c r="H357" s="19">
        <v>0</v>
      </c>
      <c r="I357" s="18">
        <v>0</v>
      </c>
      <c r="J357" s="38" t="str">
        <f>HYPERLINK("https://amazon.com/dp/B0F6YRSSW6","View on Amazon")</f>
        <v>View on Amazon</v>
      </c>
      <c r="K357" s="15" t="s">
        <v>459</v>
      </c>
      <c r="L357" s="20" t="s">
        <v>460</v>
      </c>
    </row>
    <row r="358" spans="1:12" ht="51" x14ac:dyDescent="0.2">
      <c r="A358" s="21" t="s">
        <v>1181</v>
      </c>
      <c r="B358" s="22" t="s">
        <v>1182</v>
      </c>
      <c r="C358" s="23" t="s">
        <v>88</v>
      </c>
      <c r="D358" s="23" t="s">
        <v>463</v>
      </c>
      <c r="E358" s="24">
        <v>41.99</v>
      </c>
      <c r="F358" s="25">
        <v>332.77</v>
      </c>
      <c r="G358" s="26">
        <v>8</v>
      </c>
      <c r="H358" s="27">
        <v>5</v>
      </c>
      <c r="I358" s="26">
        <v>2</v>
      </c>
      <c r="J358" s="39" t="str">
        <f>HYPERLINK("https://amazon.com/dp/B0D1CFR16B","View on Amazon")</f>
        <v>View on Amazon</v>
      </c>
      <c r="K358" s="23" t="s">
        <v>463</v>
      </c>
      <c r="L358" s="28" t="s">
        <v>460</v>
      </c>
    </row>
    <row r="359" spans="1:12" ht="68" x14ac:dyDescent="0.2">
      <c r="A359" s="13" t="s">
        <v>1183</v>
      </c>
      <c r="B359" s="14" t="s">
        <v>1184</v>
      </c>
      <c r="C359" s="15" t="s">
        <v>13</v>
      </c>
      <c r="D359" s="15" t="s">
        <v>463</v>
      </c>
      <c r="E359" s="16">
        <v>299.99</v>
      </c>
      <c r="F359" s="17">
        <v>328.27</v>
      </c>
      <c r="G359" s="18">
        <v>1</v>
      </c>
      <c r="H359" s="19">
        <v>4.5</v>
      </c>
      <c r="I359" s="18">
        <v>35</v>
      </c>
      <c r="J359" s="38" t="str">
        <f>HYPERLINK("https://amazon.com/dp/B0FHHPFB5M","View on Amazon")</f>
        <v>View on Amazon</v>
      </c>
      <c r="K359" s="15" t="s">
        <v>463</v>
      </c>
      <c r="L359" s="20" t="s">
        <v>460</v>
      </c>
    </row>
    <row r="360" spans="1:12" ht="51" x14ac:dyDescent="0.2">
      <c r="A360" s="21" t="s">
        <v>1185</v>
      </c>
      <c r="B360" s="22" t="s">
        <v>1186</v>
      </c>
      <c r="C360" s="23" t="s">
        <v>197</v>
      </c>
      <c r="D360" s="23" t="s">
        <v>459</v>
      </c>
      <c r="E360" s="24">
        <v>107.99</v>
      </c>
      <c r="F360" s="25">
        <v>327.79</v>
      </c>
      <c r="G360" s="26">
        <v>3</v>
      </c>
      <c r="H360" s="27">
        <v>4.0999999999999996</v>
      </c>
      <c r="I360" s="26">
        <v>187</v>
      </c>
      <c r="J360" s="39" t="str">
        <f>HYPERLINK("https://amazon.com/dp/B0DGT9WM5P","View on Amazon")</f>
        <v>View on Amazon</v>
      </c>
      <c r="K360" s="23" t="s">
        <v>459</v>
      </c>
      <c r="L360" s="28" t="s">
        <v>460</v>
      </c>
    </row>
    <row r="361" spans="1:12" ht="68" x14ac:dyDescent="0.2">
      <c r="A361" s="13" t="s">
        <v>1187</v>
      </c>
      <c r="B361" s="14" t="s">
        <v>1188</v>
      </c>
      <c r="C361" s="15" t="s">
        <v>198</v>
      </c>
      <c r="D361" s="15" t="s">
        <v>463</v>
      </c>
      <c r="E361" s="16">
        <v>31.99</v>
      </c>
      <c r="F361" s="17">
        <v>327.72</v>
      </c>
      <c r="G361" s="18">
        <v>10</v>
      </c>
      <c r="H361" s="19">
        <v>4.3</v>
      </c>
      <c r="I361" s="18">
        <v>4</v>
      </c>
      <c r="J361" s="38" t="str">
        <f>HYPERLINK("https://amazon.com/dp/B0DLK3QD75","View on Amazon")</f>
        <v>View on Amazon</v>
      </c>
      <c r="K361" s="15" t="s">
        <v>463</v>
      </c>
      <c r="L361" s="20" t="s">
        <v>460</v>
      </c>
    </row>
    <row r="362" spans="1:12" ht="68" x14ac:dyDescent="0.2">
      <c r="A362" s="21" t="s">
        <v>1189</v>
      </c>
      <c r="B362" s="22" t="s">
        <v>1190</v>
      </c>
      <c r="C362" s="23" t="s">
        <v>70</v>
      </c>
      <c r="D362" s="23" t="s">
        <v>463</v>
      </c>
      <c r="E362" s="24">
        <v>129.99</v>
      </c>
      <c r="F362" s="25">
        <v>323.27</v>
      </c>
      <c r="G362" s="26">
        <v>2</v>
      </c>
      <c r="H362" s="27">
        <v>4.7</v>
      </c>
      <c r="I362" s="26">
        <v>11</v>
      </c>
      <c r="J362" s="39" t="str">
        <f>HYPERLINK("https://amazon.com/dp/B0F7WHD1K3","View on Amazon")</f>
        <v>View on Amazon</v>
      </c>
      <c r="K362" s="23" t="s">
        <v>463</v>
      </c>
      <c r="L362" s="28" t="s">
        <v>460</v>
      </c>
    </row>
    <row r="363" spans="1:12" ht="51" x14ac:dyDescent="0.2">
      <c r="A363" s="13" t="s">
        <v>1191</v>
      </c>
      <c r="B363" s="14" t="s">
        <v>1192</v>
      </c>
      <c r="C363" s="15" t="s">
        <v>199</v>
      </c>
      <c r="D363" s="15" t="s">
        <v>459</v>
      </c>
      <c r="E363" s="16">
        <v>99.99</v>
      </c>
      <c r="F363" s="17">
        <v>319.48</v>
      </c>
      <c r="G363" s="18">
        <v>3</v>
      </c>
      <c r="H363" s="19">
        <v>4.3</v>
      </c>
      <c r="I363" s="18">
        <v>3</v>
      </c>
      <c r="J363" s="38" t="str">
        <f>HYPERLINK("https://amazon.com/dp/B0F4PHWT3C","View on Amazon")</f>
        <v>View on Amazon</v>
      </c>
      <c r="K363" s="15" t="s">
        <v>459</v>
      </c>
      <c r="L363" s="20" t="s">
        <v>460</v>
      </c>
    </row>
    <row r="364" spans="1:12" ht="68" x14ac:dyDescent="0.2">
      <c r="A364" s="21" t="s">
        <v>1193</v>
      </c>
      <c r="B364" s="22" t="s">
        <v>1194</v>
      </c>
      <c r="C364" s="23" t="s">
        <v>200</v>
      </c>
      <c r="D364" s="23" t="s">
        <v>463</v>
      </c>
      <c r="E364" s="24">
        <v>59.99</v>
      </c>
      <c r="F364" s="25">
        <v>319.36</v>
      </c>
      <c r="G364" s="26">
        <v>5</v>
      </c>
      <c r="H364" s="27">
        <v>5</v>
      </c>
      <c r="I364" s="26">
        <v>2</v>
      </c>
      <c r="J364" s="39" t="str">
        <f>HYPERLINK("https://amazon.com/dp/B0FW57H3YF","View on Amazon")</f>
        <v>View on Amazon</v>
      </c>
      <c r="K364" s="23" t="s">
        <v>463</v>
      </c>
      <c r="L364" s="28" t="s">
        <v>460</v>
      </c>
    </row>
    <row r="365" spans="1:12" ht="51" x14ac:dyDescent="0.2">
      <c r="A365" s="13" t="s">
        <v>1195</v>
      </c>
      <c r="B365" s="14" t="s">
        <v>1196</v>
      </c>
      <c r="C365" s="15" t="s">
        <v>40</v>
      </c>
      <c r="D365" s="15" t="s">
        <v>463</v>
      </c>
      <c r="E365" s="16">
        <v>69.989999999999995</v>
      </c>
      <c r="F365" s="17">
        <v>319.17</v>
      </c>
      <c r="G365" s="18">
        <v>5</v>
      </c>
      <c r="H365" s="19">
        <v>5</v>
      </c>
      <c r="I365" s="18">
        <v>5</v>
      </c>
      <c r="J365" s="38" t="str">
        <f>HYPERLINK("https://amazon.com/dp/B0GGXZ1GJC","View on Amazon")</f>
        <v>View on Amazon</v>
      </c>
      <c r="K365" s="15" t="s">
        <v>463</v>
      </c>
      <c r="L365" s="20" t="s">
        <v>460</v>
      </c>
    </row>
    <row r="366" spans="1:12" ht="68" x14ac:dyDescent="0.2">
      <c r="A366" s="21" t="s">
        <v>1197</v>
      </c>
      <c r="B366" s="22" t="s">
        <v>1198</v>
      </c>
      <c r="C366" s="23" t="s">
        <v>150</v>
      </c>
      <c r="D366" s="23" t="s">
        <v>459</v>
      </c>
      <c r="E366" s="24">
        <v>224.19</v>
      </c>
      <c r="F366" s="25">
        <v>318.57</v>
      </c>
      <c r="G366" s="26">
        <v>1</v>
      </c>
      <c r="H366" s="27">
        <v>0</v>
      </c>
      <c r="I366" s="26">
        <v>0</v>
      </c>
      <c r="J366" s="39" t="str">
        <f>HYPERLINK("https://amazon.com/dp/B07S95NTNM","View on Amazon")</f>
        <v>View on Amazon</v>
      </c>
      <c r="K366" s="23" t="s">
        <v>459</v>
      </c>
      <c r="L366" s="28" t="s">
        <v>460</v>
      </c>
    </row>
    <row r="367" spans="1:12" ht="68" x14ac:dyDescent="0.2">
      <c r="A367" s="13" t="s">
        <v>1199</v>
      </c>
      <c r="B367" s="14" t="s">
        <v>1200</v>
      </c>
      <c r="C367" s="15" t="s">
        <v>201</v>
      </c>
      <c r="D367" s="15" t="s">
        <v>463</v>
      </c>
      <c r="E367" s="16">
        <v>29.99</v>
      </c>
      <c r="F367" s="17">
        <v>316.33</v>
      </c>
      <c r="G367" s="18">
        <v>11</v>
      </c>
      <c r="H367" s="19">
        <v>3.8</v>
      </c>
      <c r="I367" s="18">
        <v>5</v>
      </c>
      <c r="J367" s="38" t="str">
        <f>HYPERLINK("https://amazon.com/dp/B0FJ6GBJ1T","View on Amazon")</f>
        <v>View on Amazon</v>
      </c>
      <c r="K367" s="15" t="s">
        <v>463</v>
      </c>
      <c r="L367" s="20" t="s">
        <v>460</v>
      </c>
    </row>
    <row r="368" spans="1:12" ht="51" x14ac:dyDescent="0.2">
      <c r="A368" s="21" t="s">
        <v>1201</v>
      </c>
      <c r="B368" s="22" t="s">
        <v>1202</v>
      </c>
      <c r="C368" s="23" t="s">
        <v>92</v>
      </c>
      <c r="D368" s="23" t="s">
        <v>463</v>
      </c>
      <c r="E368" s="24">
        <v>59.99</v>
      </c>
      <c r="F368" s="25">
        <v>312.25</v>
      </c>
      <c r="G368" s="26">
        <v>5</v>
      </c>
      <c r="H368" s="27">
        <v>4</v>
      </c>
      <c r="I368" s="26">
        <v>2</v>
      </c>
      <c r="J368" s="39" t="str">
        <f>HYPERLINK("https://amazon.com/dp/B0FDJYCMDQ","View on Amazon")</f>
        <v>View on Amazon</v>
      </c>
      <c r="K368" s="23" t="s">
        <v>463</v>
      </c>
      <c r="L368" s="28" t="s">
        <v>460</v>
      </c>
    </row>
    <row r="369" spans="1:12" ht="51" x14ac:dyDescent="0.2">
      <c r="A369" s="13" t="s">
        <v>1203</v>
      </c>
      <c r="B369" s="14" t="s">
        <v>1204</v>
      </c>
      <c r="C369" s="15" t="s">
        <v>170</v>
      </c>
      <c r="D369" s="15" t="s">
        <v>463</v>
      </c>
      <c r="E369" s="16">
        <v>58.88</v>
      </c>
      <c r="F369" s="17">
        <v>310.98</v>
      </c>
      <c r="G369" s="18">
        <v>5</v>
      </c>
      <c r="H369" s="19">
        <v>5</v>
      </c>
      <c r="I369" s="18">
        <v>3</v>
      </c>
      <c r="J369" s="38" t="str">
        <f>HYPERLINK("https://amazon.com/dp/B0DZ1Z6M2N","View on Amazon")</f>
        <v>View on Amazon</v>
      </c>
      <c r="K369" s="15" t="s">
        <v>463</v>
      </c>
      <c r="L369" s="20" t="s">
        <v>460</v>
      </c>
    </row>
    <row r="370" spans="1:12" ht="51" x14ac:dyDescent="0.2">
      <c r="A370" s="21" t="s">
        <v>1205</v>
      </c>
      <c r="B370" s="22" t="s">
        <v>1206</v>
      </c>
      <c r="C370" s="23" t="s">
        <v>128</v>
      </c>
      <c r="D370" s="23" t="s">
        <v>463</v>
      </c>
      <c r="E370" s="24">
        <v>55.99</v>
      </c>
      <c r="F370" s="25">
        <v>309.8</v>
      </c>
      <c r="G370" s="26">
        <v>6</v>
      </c>
      <c r="H370" s="27">
        <v>3.5</v>
      </c>
      <c r="I370" s="26">
        <v>6</v>
      </c>
      <c r="J370" s="39" t="str">
        <f>HYPERLINK("https://amazon.com/dp/B0DFY5V6BD","View on Amazon")</f>
        <v>View on Amazon</v>
      </c>
      <c r="K370" s="23" t="s">
        <v>463</v>
      </c>
      <c r="L370" s="28" t="s">
        <v>460</v>
      </c>
    </row>
    <row r="371" spans="1:12" ht="68" x14ac:dyDescent="0.2">
      <c r="A371" s="13" t="s">
        <v>1207</v>
      </c>
      <c r="B371" s="14" t="s">
        <v>1208</v>
      </c>
      <c r="C371" s="15" t="s">
        <v>189</v>
      </c>
      <c r="D371" s="15" t="s">
        <v>463</v>
      </c>
      <c r="E371" s="16">
        <v>49.99</v>
      </c>
      <c r="F371" s="17">
        <v>308.19</v>
      </c>
      <c r="G371" s="18">
        <v>6</v>
      </c>
      <c r="H371" s="19">
        <v>4</v>
      </c>
      <c r="I371" s="18">
        <v>51</v>
      </c>
      <c r="J371" s="38" t="str">
        <f>HYPERLINK("https://amazon.com/dp/B0DPKY3PC6","View on Amazon")</f>
        <v>View on Amazon</v>
      </c>
      <c r="K371" s="15" t="s">
        <v>463</v>
      </c>
      <c r="L371" s="20" t="s">
        <v>460</v>
      </c>
    </row>
    <row r="372" spans="1:12" ht="68" x14ac:dyDescent="0.2">
      <c r="A372" s="21" t="s">
        <v>1209</v>
      </c>
      <c r="B372" s="22" t="s">
        <v>1210</v>
      </c>
      <c r="C372" s="23" t="s">
        <v>31</v>
      </c>
      <c r="D372" s="23" t="s">
        <v>463</v>
      </c>
      <c r="E372" s="24">
        <v>69.989999999999995</v>
      </c>
      <c r="F372" s="25">
        <v>304.67</v>
      </c>
      <c r="G372" s="26">
        <v>4</v>
      </c>
      <c r="H372" s="27">
        <v>4.0999999999999996</v>
      </c>
      <c r="I372" s="26">
        <v>10</v>
      </c>
      <c r="J372" s="39" t="str">
        <f>HYPERLINK("https://amazon.com/dp/B0D5Y3XCXZ","View on Amazon")</f>
        <v>View on Amazon</v>
      </c>
      <c r="K372" s="23" t="s">
        <v>463</v>
      </c>
      <c r="L372" s="28" t="s">
        <v>460</v>
      </c>
    </row>
    <row r="373" spans="1:12" ht="51" x14ac:dyDescent="0.2">
      <c r="A373" s="13" t="s">
        <v>1211</v>
      </c>
      <c r="B373" s="14" t="s">
        <v>1212</v>
      </c>
      <c r="C373" s="15" t="s">
        <v>192</v>
      </c>
      <c r="D373" s="15" t="s">
        <v>463</v>
      </c>
      <c r="E373" s="16">
        <v>58.99</v>
      </c>
      <c r="F373" s="17">
        <v>298.08</v>
      </c>
      <c r="G373" s="18">
        <v>5</v>
      </c>
      <c r="H373" s="19">
        <v>0</v>
      </c>
      <c r="I373" s="18">
        <v>0</v>
      </c>
      <c r="J373" s="38" t="str">
        <f>HYPERLINK("https://amazon.com/dp/B0FNBNZXZG","View on Amazon")</f>
        <v>View on Amazon</v>
      </c>
      <c r="K373" s="15" t="s">
        <v>463</v>
      </c>
      <c r="L373" s="20" t="s">
        <v>460</v>
      </c>
    </row>
    <row r="374" spans="1:12" ht="51" x14ac:dyDescent="0.2">
      <c r="A374" s="21" t="s">
        <v>1213</v>
      </c>
      <c r="B374" s="22" t="s">
        <v>1214</v>
      </c>
      <c r="C374" s="23" t="s">
        <v>204</v>
      </c>
      <c r="D374" s="23" t="s">
        <v>459</v>
      </c>
      <c r="E374" s="24">
        <v>69</v>
      </c>
      <c r="F374" s="25">
        <v>293.92</v>
      </c>
      <c r="G374" s="26">
        <v>4</v>
      </c>
      <c r="H374" s="27">
        <v>5</v>
      </c>
      <c r="I374" s="26">
        <v>1</v>
      </c>
      <c r="J374" s="39" t="str">
        <f>HYPERLINK("https://amazon.com/dp/B0D814JVTN","View on Amazon")</f>
        <v>View on Amazon</v>
      </c>
      <c r="K374" s="23" t="s">
        <v>459</v>
      </c>
      <c r="L374" s="28" t="s">
        <v>460</v>
      </c>
    </row>
    <row r="375" spans="1:12" ht="68" x14ac:dyDescent="0.2">
      <c r="A375" s="13" t="s">
        <v>1215</v>
      </c>
      <c r="B375" s="14" t="s">
        <v>1216</v>
      </c>
      <c r="C375" s="15" t="s">
        <v>75</v>
      </c>
      <c r="D375" s="15" t="s">
        <v>463</v>
      </c>
      <c r="E375" s="16">
        <v>159.99</v>
      </c>
      <c r="F375" s="17">
        <v>292.42</v>
      </c>
      <c r="G375" s="18">
        <v>2</v>
      </c>
      <c r="H375" s="19">
        <v>4.4000000000000004</v>
      </c>
      <c r="I375" s="18">
        <v>33</v>
      </c>
      <c r="J375" s="38" t="str">
        <f>HYPERLINK("https://amazon.com/dp/B0FQNCR33D","View on Amazon")</f>
        <v>View on Amazon</v>
      </c>
      <c r="K375" s="15" t="s">
        <v>463</v>
      </c>
      <c r="L375" s="20" t="s">
        <v>460</v>
      </c>
    </row>
    <row r="376" spans="1:12" ht="51" x14ac:dyDescent="0.2">
      <c r="A376" s="21" t="s">
        <v>1217</v>
      </c>
      <c r="B376" s="22" t="s">
        <v>1218</v>
      </c>
      <c r="C376" s="23" t="s">
        <v>39</v>
      </c>
      <c r="D376" s="23" t="s">
        <v>463</v>
      </c>
      <c r="E376" s="24">
        <v>98.99</v>
      </c>
      <c r="F376" s="25">
        <v>292.06</v>
      </c>
      <c r="G376" s="26">
        <v>3</v>
      </c>
      <c r="H376" s="27">
        <v>3.4</v>
      </c>
      <c r="I376" s="26">
        <v>17</v>
      </c>
      <c r="J376" s="39" t="str">
        <f>HYPERLINK("https://amazon.com/dp/B0C467Z5YL","View on Amazon")</f>
        <v>View on Amazon</v>
      </c>
      <c r="K376" s="23" t="s">
        <v>463</v>
      </c>
      <c r="L376" s="28" t="s">
        <v>460</v>
      </c>
    </row>
    <row r="377" spans="1:12" ht="34" x14ac:dyDescent="0.2">
      <c r="A377" s="13" t="s">
        <v>1219</v>
      </c>
      <c r="B377" s="14" t="s">
        <v>1220</v>
      </c>
      <c r="C377" s="15" t="s">
        <v>79</v>
      </c>
      <c r="D377" s="15" t="s">
        <v>463</v>
      </c>
      <c r="E377" s="16">
        <v>19.989999999999998</v>
      </c>
      <c r="F377" s="17">
        <v>289.94</v>
      </c>
      <c r="G377" s="18">
        <v>14</v>
      </c>
      <c r="H377" s="19">
        <v>3.7</v>
      </c>
      <c r="I377" s="18">
        <v>23</v>
      </c>
      <c r="J377" s="38" t="str">
        <f>HYPERLINK("https://amazon.com/dp/B01KMKUNCW","View on Amazon")</f>
        <v>View on Amazon</v>
      </c>
      <c r="K377" s="15" t="s">
        <v>463</v>
      </c>
      <c r="L377" s="20" t="s">
        <v>460</v>
      </c>
    </row>
    <row r="378" spans="1:12" ht="34" x14ac:dyDescent="0.2">
      <c r="A378" s="21" t="s">
        <v>1221</v>
      </c>
      <c r="B378" s="22" t="s">
        <v>1222</v>
      </c>
      <c r="C378" s="23" t="s">
        <v>205</v>
      </c>
      <c r="D378" s="23" t="s">
        <v>463</v>
      </c>
      <c r="E378" s="24">
        <v>11.99</v>
      </c>
      <c r="F378" s="25">
        <v>289.77</v>
      </c>
      <c r="G378" s="26">
        <v>24</v>
      </c>
      <c r="H378" s="27">
        <v>4.5999999999999996</v>
      </c>
      <c r="I378" s="26">
        <v>10</v>
      </c>
      <c r="J378" s="39" t="str">
        <f>HYPERLINK("https://amazon.com/dp/B0DTHKXTSB","View on Amazon")</f>
        <v>View on Amazon</v>
      </c>
      <c r="K378" s="23" t="s">
        <v>463</v>
      </c>
      <c r="L378" s="28" t="s">
        <v>460</v>
      </c>
    </row>
    <row r="379" spans="1:12" ht="51" x14ac:dyDescent="0.2">
      <c r="A379" s="13" t="s">
        <v>1223</v>
      </c>
      <c r="B379" s="14" t="s">
        <v>1224</v>
      </c>
      <c r="C379" s="15" t="s">
        <v>105</v>
      </c>
      <c r="D379" s="15" t="s">
        <v>463</v>
      </c>
      <c r="E379" s="16">
        <v>17.989999999999998</v>
      </c>
      <c r="F379" s="17">
        <v>285.39</v>
      </c>
      <c r="G379" s="18">
        <v>16</v>
      </c>
      <c r="H379" s="19">
        <v>3.7</v>
      </c>
      <c r="I379" s="18">
        <v>29</v>
      </c>
      <c r="J379" s="38" t="str">
        <f>HYPERLINK("https://amazon.com/dp/B0C8HVNJJT","View on Amazon")</f>
        <v>View on Amazon</v>
      </c>
      <c r="K379" s="15" t="s">
        <v>463</v>
      </c>
      <c r="L379" s="20" t="s">
        <v>460</v>
      </c>
    </row>
    <row r="380" spans="1:12" ht="51" x14ac:dyDescent="0.2">
      <c r="A380" s="21" t="s">
        <v>1225</v>
      </c>
      <c r="B380" s="22" t="s">
        <v>1226</v>
      </c>
      <c r="C380" s="23" t="s">
        <v>102</v>
      </c>
      <c r="D380" s="23" t="s">
        <v>463</v>
      </c>
      <c r="E380" s="24">
        <v>239</v>
      </c>
      <c r="F380" s="25">
        <v>283.95999999999998</v>
      </c>
      <c r="G380" s="26">
        <v>1</v>
      </c>
      <c r="H380" s="27">
        <v>0</v>
      </c>
      <c r="I380" s="26">
        <v>0</v>
      </c>
      <c r="J380" s="39" t="str">
        <f>HYPERLINK("https://amazon.com/dp/B0DFYMTLWD","View on Amazon")</f>
        <v>View on Amazon</v>
      </c>
      <c r="K380" s="23" t="s">
        <v>463</v>
      </c>
      <c r="L380" s="28" t="s">
        <v>220</v>
      </c>
    </row>
    <row r="381" spans="1:12" ht="68" x14ac:dyDescent="0.2">
      <c r="A381" s="13" t="s">
        <v>1227</v>
      </c>
      <c r="B381" s="14" t="s">
        <v>1228</v>
      </c>
      <c r="C381" s="15" t="s">
        <v>74</v>
      </c>
      <c r="D381" s="15" t="s">
        <v>463</v>
      </c>
      <c r="E381" s="16">
        <v>36.99</v>
      </c>
      <c r="F381" s="17">
        <v>273.22000000000003</v>
      </c>
      <c r="G381" s="18">
        <v>7</v>
      </c>
      <c r="H381" s="19">
        <v>4.2</v>
      </c>
      <c r="I381" s="18">
        <v>26</v>
      </c>
      <c r="J381" s="38" t="str">
        <f>HYPERLINK("https://amazon.com/dp/B0DSVR2WJF","View on Amazon")</f>
        <v>View on Amazon</v>
      </c>
      <c r="K381" s="15" t="s">
        <v>463</v>
      </c>
      <c r="L381" s="20" t="s">
        <v>460</v>
      </c>
    </row>
    <row r="382" spans="1:12" ht="51" x14ac:dyDescent="0.2">
      <c r="A382" s="21" t="s">
        <v>1229</v>
      </c>
      <c r="B382" s="22" t="s">
        <v>1230</v>
      </c>
      <c r="C382" s="23" t="s">
        <v>132</v>
      </c>
      <c r="D382" s="23" t="s">
        <v>459</v>
      </c>
      <c r="E382" s="24">
        <v>239</v>
      </c>
      <c r="F382" s="25">
        <v>271.52</v>
      </c>
      <c r="G382" s="26">
        <v>1</v>
      </c>
      <c r="H382" s="27">
        <v>0</v>
      </c>
      <c r="I382" s="26">
        <v>0</v>
      </c>
      <c r="J382" s="39" t="str">
        <f>HYPERLINK("https://amazon.com/dp/B0CZ15P818","View on Amazon")</f>
        <v>View on Amazon</v>
      </c>
      <c r="K382" s="23" t="s">
        <v>459</v>
      </c>
      <c r="L382" s="28" t="s">
        <v>220</v>
      </c>
    </row>
    <row r="383" spans="1:12" ht="68" x14ac:dyDescent="0.2">
      <c r="A383" s="13" t="s">
        <v>1231</v>
      </c>
      <c r="B383" s="14" t="s">
        <v>1232</v>
      </c>
      <c r="C383" s="15" t="s">
        <v>206</v>
      </c>
      <c r="D383" s="15" t="s">
        <v>463</v>
      </c>
      <c r="E383" s="16">
        <v>109.95</v>
      </c>
      <c r="F383" s="17">
        <v>270.7</v>
      </c>
      <c r="G383" s="18">
        <v>2</v>
      </c>
      <c r="H383" s="19">
        <v>5</v>
      </c>
      <c r="I383" s="18">
        <v>5</v>
      </c>
      <c r="J383" s="38" t="str">
        <f>HYPERLINK("https://amazon.com/dp/B0G586QD8F","View on Amazon")</f>
        <v>View on Amazon</v>
      </c>
      <c r="K383" s="15" t="s">
        <v>463</v>
      </c>
      <c r="L383" s="20" t="s">
        <v>460</v>
      </c>
    </row>
    <row r="384" spans="1:12" ht="34" x14ac:dyDescent="0.2">
      <c r="A384" s="21" t="s">
        <v>1233</v>
      </c>
      <c r="B384" s="22" t="s">
        <v>1234</v>
      </c>
      <c r="C384" s="23" t="s">
        <v>171</v>
      </c>
      <c r="D384" s="23" t="s">
        <v>463</v>
      </c>
      <c r="E384" s="24">
        <v>20.88</v>
      </c>
      <c r="F384" s="25">
        <v>268.60000000000002</v>
      </c>
      <c r="G384" s="26">
        <v>13</v>
      </c>
      <c r="H384" s="27">
        <v>3.7</v>
      </c>
      <c r="I384" s="26">
        <v>39</v>
      </c>
      <c r="J384" s="39" t="str">
        <f>HYPERLINK("https://amazon.com/dp/B0CGL1GMMS","View on Amazon")</f>
        <v>View on Amazon</v>
      </c>
      <c r="K384" s="23" t="s">
        <v>463</v>
      </c>
      <c r="L384" s="28" t="s">
        <v>460</v>
      </c>
    </row>
    <row r="385" spans="1:12" ht="68" x14ac:dyDescent="0.2">
      <c r="A385" s="13" t="s">
        <v>1235</v>
      </c>
      <c r="B385" s="14" t="s">
        <v>1236</v>
      </c>
      <c r="C385" s="15" t="s">
        <v>81</v>
      </c>
      <c r="D385" s="15" t="s">
        <v>463</v>
      </c>
      <c r="E385" s="16">
        <v>49.99</v>
      </c>
      <c r="F385" s="17">
        <v>268.23</v>
      </c>
      <c r="G385" s="18">
        <v>5</v>
      </c>
      <c r="H385" s="19">
        <v>4.3</v>
      </c>
      <c r="I385" s="18">
        <v>914</v>
      </c>
      <c r="J385" s="38" t="str">
        <f>HYPERLINK("https://amazon.com/dp/B09T3D1226","View on Amazon")</f>
        <v>View on Amazon</v>
      </c>
      <c r="K385" s="15" t="s">
        <v>463</v>
      </c>
      <c r="L385" s="20" t="s">
        <v>460</v>
      </c>
    </row>
    <row r="386" spans="1:12" ht="51" x14ac:dyDescent="0.2">
      <c r="A386" s="21" t="s">
        <v>1237</v>
      </c>
      <c r="B386" s="22" t="s">
        <v>1238</v>
      </c>
      <c r="C386" s="23" t="s">
        <v>64</v>
      </c>
      <c r="D386" s="23" t="s">
        <v>463</v>
      </c>
      <c r="E386" s="24">
        <v>88.39</v>
      </c>
      <c r="F386" s="25">
        <v>266.76</v>
      </c>
      <c r="G386" s="26">
        <v>3</v>
      </c>
      <c r="H386" s="27">
        <v>4.2</v>
      </c>
      <c r="I386" s="26">
        <v>23</v>
      </c>
      <c r="J386" s="39" t="str">
        <f>HYPERLINK("https://amazon.com/dp/B0CXSS18J7","View on Amazon")</f>
        <v>View on Amazon</v>
      </c>
      <c r="K386" s="23" t="s">
        <v>463</v>
      </c>
      <c r="L386" s="28" t="s">
        <v>460</v>
      </c>
    </row>
    <row r="387" spans="1:12" ht="68" x14ac:dyDescent="0.2">
      <c r="A387" s="13" t="s">
        <v>1239</v>
      </c>
      <c r="B387" s="14" t="s">
        <v>1240</v>
      </c>
      <c r="C387" s="15" t="s">
        <v>207</v>
      </c>
      <c r="D387" s="15" t="s">
        <v>463</v>
      </c>
      <c r="E387" s="16">
        <v>38.99</v>
      </c>
      <c r="F387" s="17">
        <v>266.05</v>
      </c>
      <c r="G387" s="18">
        <v>7</v>
      </c>
      <c r="H387" s="19">
        <v>4.5</v>
      </c>
      <c r="I387" s="18">
        <v>2</v>
      </c>
      <c r="J387" s="38" t="str">
        <f>HYPERLINK("https://amazon.com/dp/B0DY786RDZ","View on Amazon")</f>
        <v>View on Amazon</v>
      </c>
      <c r="K387" s="15" t="s">
        <v>463</v>
      </c>
      <c r="L387" s="20" t="s">
        <v>460</v>
      </c>
    </row>
    <row r="388" spans="1:12" ht="51" x14ac:dyDescent="0.2">
      <c r="A388" s="21" t="s">
        <v>1241</v>
      </c>
      <c r="B388" s="22" t="s">
        <v>1242</v>
      </c>
      <c r="C388" s="23" t="s">
        <v>208</v>
      </c>
      <c r="D388" s="23" t="s">
        <v>463</v>
      </c>
      <c r="E388" s="24">
        <v>89.99</v>
      </c>
      <c r="F388" s="25">
        <v>265.97000000000003</v>
      </c>
      <c r="G388" s="26">
        <v>3</v>
      </c>
      <c r="H388" s="27">
        <v>4.4000000000000004</v>
      </c>
      <c r="I388" s="26">
        <v>48</v>
      </c>
      <c r="J388" s="39" t="str">
        <f>HYPERLINK("https://amazon.com/dp/B0DHCJJF49","View on Amazon")</f>
        <v>View on Amazon</v>
      </c>
      <c r="K388" s="23" t="s">
        <v>463</v>
      </c>
      <c r="L388" s="28" t="s">
        <v>460</v>
      </c>
    </row>
    <row r="389" spans="1:12" ht="68" x14ac:dyDescent="0.2">
      <c r="A389" s="13" t="s">
        <v>1243</v>
      </c>
      <c r="B389" s="14" t="s">
        <v>1244</v>
      </c>
      <c r="C389" s="15" t="s">
        <v>117</v>
      </c>
      <c r="D389" s="15" t="s">
        <v>463</v>
      </c>
      <c r="E389" s="16">
        <v>199.99</v>
      </c>
      <c r="F389" s="17">
        <v>263.88</v>
      </c>
      <c r="G389" s="18">
        <v>1</v>
      </c>
      <c r="H389" s="19">
        <v>4.0999999999999996</v>
      </c>
      <c r="I389" s="18">
        <v>9</v>
      </c>
      <c r="J389" s="38" t="str">
        <f>HYPERLINK("https://amazon.com/dp/B0FFRZTJ15","View on Amazon")</f>
        <v>View on Amazon</v>
      </c>
      <c r="K389" s="15" t="s">
        <v>463</v>
      </c>
      <c r="L389" s="20" t="s">
        <v>460</v>
      </c>
    </row>
    <row r="390" spans="1:12" ht="68" x14ac:dyDescent="0.2">
      <c r="A390" s="21" t="s">
        <v>1245</v>
      </c>
      <c r="B390" s="22" t="s">
        <v>1246</v>
      </c>
      <c r="C390" s="23" t="s">
        <v>210</v>
      </c>
      <c r="D390" s="23" t="s">
        <v>463</v>
      </c>
      <c r="E390" s="24">
        <v>49.99</v>
      </c>
      <c r="F390" s="25">
        <v>262.58999999999997</v>
      </c>
      <c r="G390" s="26">
        <v>5</v>
      </c>
      <c r="H390" s="27">
        <v>3.8</v>
      </c>
      <c r="I390" s="26">
        <v>55</v>
      </c>
      <c r="J390" s="39" t="str">
        <f>HYPERLINK("https://amazon.com/dp/B0DRW57HHD","View on Amazon")</f>
        <v>View on Amazon</v>
      </c>
      <c r="K390" s="23" t="s">
        <v>463</v>
      </c>
      <c r="L390" s="28" t="s">
        <v>460</v>
      </c>
    </row>
    <row r="391" spans="1:12" ht="34" x14ac:dyDescent="0.2">
      <c r="A391" s="13" t="s">
        <v>1247</v>
      </c>
      <c r="B391" s="14" t="s">
        <v>1248</v>
      </c>
      <c r="C391" s="15" t="s">
        <v>171</v>
      </c>
      <c r="D391" s="15" t="s">
        <v>463</v>
      </c>
      <c r="E391" s="16">
        <v>20.88</v>
      </c>
      <c r="F391" s="17">
        <v>261.61</v>
      </c>
      <c r="G391" s="18">
        <v>13</v>
      </c>
      <c r="H391" s="19">
        <v>3.7</v>
      </c>
      <c r="I391" s="18">
        <v>39</v>
      </c>
      <c r="J391" s="38" t="str">
        <f>HYPERLINK("https://amazon.com/dp/B0CGKZDQSH","View on Amazon")</f>
        <v>View on Amazon</v>
      </c>
      <c r="K391" s="15" t="s">
        <v>463</v>
      </c>
      <c r="L391" s="20" t="s">
        <v>460</v>
      </c>
    </row>
    <row r="392" spans="1:12" ht="51" x14ac:dyDescent="0.2">
      <c r="A392" s="21" t="s">
        <v>1249</v>
      </c>
      <c r="B392" s="22" t="s">
        <v>1250</v>
      </c>
      <c r="C392" s="23" t="s">
        <v>162</v>
      </c>
      <c r="D392" s="23" t="s">
        <v>463</v>
      </c>
      <c r="E392" s="24">
        <v>39.979999999999997</v>
      </c>
      <c r="F392" s="25">
        <v>256.66000000000003</v>
      </c>
      <c r="G392" s="26">
        <v>6</v>
      </c>
      <c r="H392" s="27">
        <v>4.5</v>
      </c>
      <c r="I392" s="26">
        <v>11</v>
      </c>
      <c r="J392" s="39" t="str">
        <f>HYPERLINK("https://amazon.com/dp/B0D251MVJ6","View on Amazon")</f>
        <v>View on Amazon</v>
      </c>
      <c r="K392" s="23" t="s">
        <v>463</v>
      </c>
      <c r="L392" s="28" t="s">
        <v>460</v>
      </c>
    </row>
    <row r="393" spans="1:12" ht="34" x14ac:dyDescent="0.2">
      <c r="A393" s="13" t="s">
        <v>1251</v>
      </c>
      <c r="B393" s="14" t="s">
        <v>1252</v>
      </c>
      <c r="C393" s="15" t="s">
        <v>202</v>
      </c>
      <c r="D393" s="15" t="s">
        <v>463</v>
      </c>
      <c r="E393" s="16">
        <v>38.97</v>
      </c>
      <c r="F393" s="17">
        <v>252.66</v>
      </c>
      <c r="G393" s="18">
        <v>6</v>
      </c>
      <c r="H393" s="19">
        <v>3.6</v>
      </c>
      <c r="I393" s="18">
        <v>7</v>
      </c>
      <c r="J393" s="38" t="str">
        <f>HYPERLINK("https://amazon.com/dp/B09ZYDBR1L","View on Amazon")</f>
        <v>View on Amazon</v>
      </c>
      <c r="K393" s="15" t="s">
        <v>463</v>
      </c>
      <c r="L393" s="20" t="s">
        <v>220</v>
      </c>
    </row>
    <row r="394" spans="1:12" ht="68" x14ac:dyDescent="0.2">
      <c r="A394" s="21" t="s">
        <v>1253</v>
      </c>
      <c r="B394" s="22" t="s">
        <v>1254</v>
      </c>
      <c r="C394" s="23" t="s">
        <v>212</v>
      </c>
      <c r="D394" s="23" t="s">
        <v>463</v>
      </c>
      <c r="E394" s="24">
        <v>139.99</v>
      </c>
      <c r="F394" s="25">
        <v>249.15</v>
      </c>
      <c r="G394" s="26">
        <v>2</v>
      </c>
      <c r="H394" s="27">
        <v>3.6</v>
      </c>
      <c r="I394" s="26">
        <v>29</v>
      </c>
      <c r="J394" s="39" t="str">
        <f>HYPERLINK("https://amazon.com/dp/B0DSLBJ56F","View on Amazon")</f>
        <v>View on Amazon</v>
      </c>
      <c r="K394" s="23" t="s">
        <v>463</v>
      </c>
      <c r="L394" s="28" t="s">
        <v>460</v>
      </c>
    </row>
    <row r="395" spans="1:12" ht="51" x14ac:dyDescent="0.2">
      <c r="A395" s="13" t="s">
        <v>1255</v>
      </c>
      <c r="B395" s="14" t="s">
        <v>1256</v>
      </c>
      <c r="C395" s="15" t="s">
        <v>162</v>
      </c>
      <c r="D395" s="15" t="s">
        <v>486</v>
      </c>
      <c r="E395" s="16">
        <v>39.979999999999997</v>
      </c>
      <c r="F395" s="17">
        <v>247.72</v>
      </c>
      <c r="G395" s="18">
        <v>6</v>
      </c>
      <c r="H395" s="19">
        <v>4.5</v>
      </c>
      <c r="I395" s="18">
        <v>11</v>
      </c>
      <c r="J395" s="38" t="str">
        <f>HYPERLINK("https://amazon.com/dp/B0D25LCQSZ","View on Amazon")</f>
        <v>View on Amazon</v>
      </c>
      <c r="K395" s="15" t="s">
        <v>486</v>
      </c>
      <c r="L395" s="20" t="s">
        <v>460</v>
      </c>
    </row>
    <row r="396" spans="1:12" ht="34" x14ac:dyDescent="0.2">
      <c r="A396" s="21" t="s">
        <v>1257</v>
      </c>
      <c r="B396" s="22" t="s">
        <v>1258</v>
      </c>
      <c r="C396" s="23" t="s">
        <v>214</v>
      </c>
      <c r="D396" s="23" t="s">
        <v>1259</v>
      </c>
      <c r="E396" s="24">
        <v>490.73</v>
      </c>
      <c r="F396" s="25">
        <v>246.93</v>
      </c>
      <c r="G396" s="26">
        <v>1</v>
      </c>
      <c r="H396" s="27">
        <v>3.4</v>
      </c>
      <c r="I396" s="26">
        <v>19</v>
      </c>
      <c r="J396" s="39" t="str">
        <f>HYPERLINK("https://amazon.com/dp/B0B754R4QF","View on Amazon")</f>
        <v>View on Amazon</v>
      </c>
      <c r="K396" s="23" t="s">
        <v>1259</v>
      </c>
      <c r="L396" s="28" t="s">
        <v>1260</v>
      </c>
    </row>
    <row r="397" spans="1:12" ht="51" x14ac:dyDescent="0.2">
      <c r="A397" s="13" t="s">
        <v>1261</v>
      </c>
      <c r="B397" s="14" t="s">
        <v>1262</v>
      </c>
      <c r="C397" s="15" t="s">
        <v>209</v>
      </c>
      <c r="D397" s="15" t="s">
        <v>512</v>
      </c>
      <c r="E397" s="16">
        <v>115.99</v>
      </c>
      <c r="F397" s="17">
        <v>243.76</v>
      </c>
      <c r="G397" s="18">
        <v>2</v>
      </c>
      <c r="H397" s="19">
        <v>2.8</v>
      </c>
      <c r="I397" s="18">
        <v>2</v>
      </c>
      <c r="J397" s="38" t="str">
        <f>HYPERLINK("https://amazon.com/dp/B0CLM7NPK1","View on Amazon")</f>
        <v>View on Amazon</v>
      </c>
      <c r="K397" s="15" t="s">
        <v>512</v>
      </c>
      <c r="L397" s="20" t="s">
        <v>220</v>
      </c>
    </row>
    <row r="398" spans="1:12" ht="68" x14ac:dyDescent="0.2">
      <c r="A398" s="21" t="s">
        <v>1263</v>
      </c>
      <c r="B398" s="22" t="s">
        <v>1264</v>
      </c>
      <c r="C398" s="23" t="s">
        <v>216</v>
      </c>
      <c r="D398" s="23" t="s">
        <v>463</v>
      </c>
      <c r="E398" s="24">
        <v>35.99</v>
      </c>
      <c r="F398" s="25">
        <v>242.68</v>
      </c>
      <c r="G398" s="26">
        <v>6</v>
      </c>
      <c r="H398" s="27">
        <v>3.7</v>
      </c>
      <c r="I398" s="26">
        <v>24</v>
      </c>
      <c r="J398" s="39" t="str">
        <f>HYPERLINK("https://amazon.com/dp/B0FQ5R9BJV","View on Amazon")</f>
        <v>View on Amazon</v>
      </c>
      <c r="K398" s="23" t="s">
        <v>463</v>
      </c>
      <c r="L398" s="28" t="s">
        <v>460</v>
      </c>
    </row>
    <row r="399" spans="1:12" ht="68" x14ac:dyDescent="0.2">
      <c r="A399" s="13" t="s">
        <v>1265</v>
      </c>
      <c r="B399" s="14" t="s">
        <v>1266</v>
      </c>
      <c r="C399" s="15" t="s">
        <v>217</v>
      </c>
      <c r="D399" s="15" t="s">
        <v>463</v>
      </c>
      <c r="E399" s="16">
        <v>69.989999999999995</v>
      </c>
      <c r="F399" s="17">
        <v>242.65</v>
      </c>
      <c r="G399" s="18">
        <v>3</v>
      </c>
      <c r="H399" s="19">
        <v>3.5</v>
      </c>
      <c r="I399" s="18">
        <v>12</v>
      </c>
      <c r="J399" s="38" t="str">
        <f>HYPERLINK("https://amazon.com/dp/B0DQNCL88B","View on Amazon")</f>
        <v>View on Amazon</v>
      </c>
      <c r="K399" s="15" t="s">
        <v>463</v>
      </c>
      <c r="L399" s="20" t="s">
        <v>460</v>
      </c>
    </row>
    <row r="400" spans="1:12" ht="68" x14ac:dyDescent="0.2">
      <c r="A400" s="21" t="s">
        <v>1267</v>
      </c>
      <c r="B400" s="22" t="s">
        <v>1268</v>
      </c>
      <c r="C400" s="23" t="s">
        <v>145</v>
      </c>
      <c r="D400" s="23" t="s">
        <v>463</v>
      </c>
      <c r="E400" s="24">
        <v>54.95</v>
      </c>
      <c r="F400" s="25">
        <v>239.14</v>
      </c>
      <c r="G400" s="26">
        <v>4</v>
      </c>
      <c r="H400" s="27">
        <v>3.8</v>
      </c>
      <c r="I400" s="26">
        <v>35</v>
      </c>
      <c r="J400" s="39" t="str">
        <f>HYPERLINK("https://amazon.com/dp/B07346BM63","View on Amazon")</f>
        <v>View on Amazon</v>
      </c>
      <c r="K400" s="23" t="s">
        <v>463</v>
      </c>
      <c r="L400" s="28" t="s">
        <v>460</v>
      </c>
    </row>
    <row r="401" spans="1:12" ht="51" x14ac:dyDescent="0.2">
      <c r="A401" s="13" t="s">
        <v>1269</v>
      </c>
      <c r="B401" s="14" t="s">
        <v>1150</v>
      </c>
      <c r="C401" s="15" t="s">
        <v>98</v>
      </c>
      <c r="D401" s="15" t="s">
        <v>1270</v>
      </c>
      <c r="E401" s="16">
        <v>39.880000000000003</v>
      </c>
      <c r="F401" s="17">
        <v>238.85</v>
      </c>
      <c r="G401" s="18">
        <v>6</v>
      </c>
      <c r="H401" s="19">
        <v>3.9</v>
      </c>
      <c r="I401" s="18">
        <v>75</v>
      </c>
      <c r="J401" s="38" t="str">
        <f>HYPERLINK("https://amazon.com/dp/B0D2ZRPV57","View on Amazon")</f>
        <v>View on Amazon</v>
      </c>
      <c r="K401" s="15" t="s">
        <v>1270</v>
      </c>
      <c r="L401" s="20" t="s">
        <v>460</v>
      </c>
    </row>
    <row r="402" spans="1:12" ht="51" x14ac:dyDescent="0.2">
      <c r="A402" s="21" t="s">
        <v>1271</v>
      </c>
      <c r="B402" s="22" t="s">
        <v>1272</v>
      </c>
      <c r="C402" s="23" t="s">
        <v>196</v>
      </c>
      <c r="D402" s="23" t="s">
        <v>463</v>
      </c>
      <c r="E402" s="24">
        <v>58.99</v>
      </c>
      <c r="F402" s="25">
        <v>238.31</v>
      </c>
      <c r="G402" s="26">
        <v>4</v>
      </c>
      <c r="H402" s="27">
        <v>3.8</v>
      </c>
      <c r="I402" s="26">
        <v>11</v>
      </c>
      <c r="J402" s="39" t="str">
        <f>HYPERLINK("https://amazon.com/dp/B0F5BDD9BC","View on Amazon")</f>
        <v>View on Amazon</v>
      </c>
      <c r="K402" s="23" t="s">
        <v>463</v>
      </c>
      <c r="L402" s="28" t="s">
        <v>460</v>
      </c>
    </row>
    <row r="403" spans="1:12" ht="51" x14ac:dyDescent="0.2">
      <c r="A403" s="13" t="s">
        <v>1273</v>
      </c>
      <c r="B403" s="14" t="s">
        <v>1274</v>
      </c>
      <c r="C403" s="15" t="s">
        <v>218</v>
      </c>
      <c r="D403" s="15" t="s">
        <v>463</v>
      </c>
      <c r="E403" s="16">
        <v>59.99</v>
      </c>
      <c r="F403" s="17">
        <v>237.89</v>
      </c>
      <c r="G403" s="18">
        <v>4</v>
      </c>
      <c r="H403" s="19">
        <v>4.5999999999999996</v>
      </c>
      <c r="I403" s="18">
        <v>2</v>
      </c>
      <c r="J403" s="38" t="str">
        <f>HYPERLINK("https://amazon.com/dp/B0CCJ4VSXK","View on Amazon")</f>
        <v>View on Amazon</v>
      </c>
      <c r="K403" s="15" t="s">
        <v>463</v>
      </c>
      <c r="L403" s="20" t="s">
        <v>220</v>
      </c>
    </row>
    <row r="404" spans="1:12" ht="68" x14ac:dyDescent="0.2">
      <c r="A404" s="21" t="s">
        <v>1275</v>
      </c>
      <c r="B404" s="22" t="s">
        <v>1276</v>
      </c>
      <c r="C404" s="23" t="s">
        <v>117</v>
      </c>
      <c r="D404" s="23" t="s">
        <v>463</v>
      </c>
      <c r="E404" s="24">
        <v>68.900000000000006</v>
      </c>
      <c r="F404" s="25">
        <v>234.74</v>
      </c>
      <c r="G404" s="26">
        <v>3</v>
      </c>
      <c r="H404" s="27">
        <v>3.9</v>
      </c>
      <c r="I404" s="26">
        <v>17</v>
      </c>
      <c r="J404" s="39" t="str">
        <f>HYPERLINK("https://amazon.com/dp/B0G1S863CZ","View on Amazon")</f>
        <v>View on Amazon</v>
      </c>
      <c r="K404" s="23" t="s">
        <v>463</v>
      </c>
      <c r="L404" s="28" t="s">
        <v>460</v>
      </c>
    </row>
    <row r="405" spans="1:12" ht="51" x14ac:dyDescent="0.2">
      <c r="A405" s="13" t="s">
        <v>1277</v>
      </c>
      <c r="B405" s="14" t="s">
        <v>1278</v>
      </c>
      <c r="C405" s="15" t="s">
        <v>110</v>
      </c>
      <c r="D405" s="15" t="s">
        <v>463</v>
      </c>
      <c r="E405" s="16">
        <v>69.989999999999995</v>
      </c>
      <c r="F405" s="17">
        <v>231.75</v>
      </c>
      <c r="G405" s="18">
        <v>3</v>
      </c>
      <c r="H405" s="19">
        <v>4.4000000000000004</v>
      </c>
      <c r="I405" s="18">
        <v>207</v>
      </c>
      <c r="J405" s="38" t="str">
        <f>HYPERLINK("https://amazon.com/dp/B0DXVC81J3","View on Amazon")</f>
        <v>View on Amazon</v>
      </c>
      <c r="K405" s="15" t="s">
        <v>463</v>
      </c>
      <c r="L405" s="20" t="s">
        <v>460</v>
      </c>
    </row>
    <row r="406" spans="1:12" ht="34" x14ac:dyDescent="0.2">
      <c r="A406" s="21" t="s">
        <v>1279</v>
      </c>
      <c r="B406" s="22" t="s">
        <v>1280</v>
      </c>
      <c r="C406" s="23" t="s">
        <v>219</v>
      </c>
      <c r="D406" s="23" t="s">
        <v>463</v>
      </c>
      <c r="E406" s="24">
        <v>15</v>
      </c>
      <c r="F406" s="25">
        <v>229.48</v>
      </c>
      <c r="G406" s="26">
        <v>15</v>
      </c>
      <c r="H406" s="27">
        <v>3.8</v>
      </c>
      <c r="I406" s="26">
        <v>8</v>
      </c>
      <c r="J406" s="39" t="str">
        <f>HYPERLINK("https://amazon.com/dp/B01KZICJAK","View on Amazon")</f>
        <v>View on Amazon</v>
      </c>
      <c r="K406" s="23" t="s">
        <v>463</v>
      </c>
      <c r="L406" s="28" t="s">
        <v>460</v>
      </c>
    </row>
    <row r="407" spans="1:12" ht="68" x14ac:dyDescent="0.2">
      <c r="A407" s="13" t="s">
        <v>1281</v>
      </c>
      <c r="B407" s="14" t="s">
        <v>1282</v>
      </c>
      <c r="C407" s="15" t="s">
        <v>82</v>
      </c>
      <c r="D407" s="15" t="s">
        <v>463</v>
      </c>
      <c r="E407" s="16">
        <v>89.89</v>
      </c>
      <c r="F407" s="17">
        <v>227.43</v>
      </c>
      <c r="G407" s="18">
        <v>3</v>
      </c>
      <c r="H407" s="19">
        <v>4.2</v>
      </c>
      <c r="I407" s="18">
        <v>30</v>
      </c>
      <c r="J407" s="38" t="str">
        <f>HYPERLINK("https://amazon.com/dp/B0FMXCY2NP","View on Amazon")</f>
        <v>View on Amazon</v>
      </c>
      <c r="K407" s="15" t="s">
        <v>463</v>
      </c>
      <c r="L407" s="20" t="s">
        <v>460</v>
      </c>
    </row>
    <row r="408" spans="1:12" ht="68" x14ac:dyDescent="0.2">
      <c r="A408" s="21" t="s">
        <v>1283</v>
      </c>
      <c r="B408" s="22" t="s">
        <v>1284</v>
      </c>
      <c r="C408" s="23" t="s">
        <v>151</v>
      </c>
      <c r="D408" s="23" t="s">
        <v>463</v>
      </c>
      <c r="E408" s="24">
        <v>279</v>
      </c>
      <c r="F408" s="25">
        <v>224.56</v>
      </c>
      <c r="G408" s="26">
        <v>1</v>
      </c>
      <c r="H408" s="27">
        <v>3.4</v>
      </c>
      <c r="I408" s="26">
        <v>3</v>
      </c>
      <c r="J408" s="39" t="str">
        <f>HYPERLINK("https://amazon.com/dp/B0CRF4QLZJ","View on Amazon")</f>
        <v>View on Amazon</v>
      </c>
      <c r="K408" s="23" t="s">
        <v>463</v>
      </c>
      <c r="L408" s="28" t="s">
        <v>460</v>
      </c>
    </row>
    <row r="409" spans="1:12" ht="51" x14ac:dyDescent="0.2">
      <c r="A409" s="13" t="s">
        <v>1285</v>
      </c>
      <c r="B409" s="14" t="s">
        <v>1286</v>
      </c>
      <c r="C409" s="15" t="s">
        <v>157</v>
      </c>
      <c r="D409" s="15" t="s">
        <v>463</v>
      </c>
      <c r="E409" s="16">
        <v>39.99</v>
      </c>
      <c r="F409" s="17">
        <v>223.94</v>
      </c>
      <c r="G409" s="18">
        <v>6</v>
      </c>
      <c r="H409" s="19">
        <v>4.0999999999999996</v>
      </c>
      <c r="I409" s="18">
        <v>24</v>
      </c>
      <c r="J409" s="38" t="str">
        <f>HYPERLINK("https://amazon.com/dp/B0D14RVFJ6","View on Amazon")</f>
        <v>View on Amazon</v>
      </c>
      <c r="K409" s="15" t="s">
        <v>463</v>
      </c>
      <c r="L409" s="20" t="s">
        <v>460</v>
      </c>
    </row>
    <row r="410" spans="1:12" ht="51" x14ac:dyDescent="0.2">
      <c r="A410" s="21" t="s">
        <v>1287</v>
      </c>
      <c r="B410" s="22" t="s">
        <v>1288</v>
      </c>
      <c r="C410" s="23" t="s">
        <v>91</v>
      </c>
      <c r="D410" s="23" t="s">
        <v>463</v>
      </c>
      <c r="E410" s="24">
        <v>42.99</v>
      </c>
      <c r="F410" s="25">
        <v>223.65</v>
      </c>
      <c r="G410" s="26">
        <v>5</v>
      </c>
      <c r="H410" s="27">
        <v>3.7</v>
      </c>
      <c r="I410" s="26">
        <v>7</v>
      </c>
      <c r="J410" s="39" t="str">
        <f>HYPERLINK("https://amazon.com/dp/B0FJG77NT9","View on Amazon")</f>
        <v>View on Amazon</v>
      </c>
      <c r="K410" s="23" t="s">
        <v>463</v>
      </c>
      <c r="L410" s="28" t="s">
        <v>460</v>
      </c>
    </row>
    <row r="411" spans="1:12" ht="51" x14ac:dyDescent="0.2">
      <c r="A411" s="13" t="s">
        <v>1289</v>
      </c>
      <c r="B411" s="14" t="s">
        <v>1290</v>
      </c>
      <c r="C411" s="15" t="s">
        <v>50</v>
      </c>
      <c r="D411" s="15" t="s">
        <v>459</v>
      </c>
      <c r="E411" s="16">
        <v>99.99</v>
      </c>
      <c r="F411" s="17">
        <v>219.17</v>
      </c>
      <c r="G411" s="18">
        <v>2</v>
      </c>
      <c r="H411" s="19">
        <v>3.6</v>
      </c>
      <c r="I411" s="18">
        <v>18</v>
      </c>
      <c r="J411" s="38" t="str">
        <f>HYPERLINK("https://amazon.com/dp/B0CMZNVBZG","View on Amazon")</f>
        <v>View on Amazon</v>
      </c>
      <c r="K411" s="15" t="s">
        <v>459</v>
      </c>
      <c r="L411" s="20" t="s">
        <v>220</v>
      </c>
    </row>
    <row r="412" spans="1:12" ht="68" x14ac:dyDescent="0.2">
      <c r="A412" s="21" t="s">
        <v>1291</v>
      </c>
      <c r="B412" s="22" t="s">
        <v>1292</v>
      </c>
      <c r="C412" s="23" t="s">
        <v>145</v>
      </c>
      <c r="D412" s="23" t="s">
        <v>463</v>
      </c>
      <c r="E412" s="24">
        <v>54.95</v>
      </c>
      <c r="F412" s="25">
        <v>218.57</v>
      </c>
      <c r="G412" s="26">
        <v>4</v>
      </c>
      <c r="H412" s="27">
        <v>3.8</v>
      </c>
      <c r="I412" s="26">
        <v>35</v>
      </c>
      <c r="J412" s="39" t="str">
        <f>HYPERLINK("https://amazon.com/dp/B07342FMJY","View on Amazon")</f>
        <v>View on Amazon</v>
      </c>
      <c r="K412" s="23" t="s">
        <v>463</v>
      </c>
      <c r="L412" s="28" t="s">
        <v>460</v>
      </c>
    </row>
    <row r="413" spans="1:12" ht="51" x14ac:dyDescent="0.2">
      <c r="A413" s="13" t="s">
        <v>1293</v>
      </c>
      <c r="B413" s="14" t="s">
        <v>1294</v>
      </c>
      <c r="C413" s="15" t="s">
        <v>140</v>
      </c>
      <c r="D413" s="15" t="s">
        <v>463</v>
      </c>
      <c r="E413" s="16">
        <v>189.99</v>
      </c>
      <c r="F413" s="17">
        <v>217.96</v>
      </c>
      <c r="G413" s="18">
        <v>1</v>
      </c>
      <c r="H413" s="19">
        <v>0</v>
      </c>
      <c r="I413" s="18">
        <v>0</v>
      </c>
      <c r="J413" s="38" t="str">
        <f>HYPERLINK("https://amazon.com/dp/B0DJVYNKXM","View on Amazon")</f>
        <v>View on Amazon</v>
      </c>
      <c r="K413" s="15" t="s">
        <v>463</v>
      </c>
      <c r="L413" s="20" t="s">
        <v>220</v>
      </c>
    </row>
    <row r="414" spans="1:12" ht="34" x14ac:dyDescent="0.2">
      <c r="A414" s="21" t="s">
        <v>1295</v>
      </c>
      <c r="B414" s="22" t="s">
        <v>1296</v>
      </c>
      <c r="C414" s="23" t="s">
        <v>172</v>
      </c>
      <c r="D414" s="23" t="s">
        <v>463</v>
      </c>
      <c r="E414" s="24">
        <v>6.99</v>
      </c>
      <c r="F414" s="25">
        <v>210.36</v>
      </c>
      <c r="G414" s="26">
        <v>30</v>
      </c>
      <c r="H414" s="27">
        <v>4.5</v>
      </c>
      <c r="I414" s="26">
        <v>48</v>
      </c>
      <c r="J414" s="39" t="str">
        <f>HYPERLINK("https://amazon.com/dp/B01JM8HF2Q","View on Amazon")</f>
        <v>View on Amazon</v>
      </c>
      <c r="K414" s="23" t="s">
        <v>463</v>
      </c>
      <c r="L414" s="28" t="s">
        <v>1297</v>
      </c>
    </row>
    <row r="415" spans="1:12" ht="34" x14ac:dyDescent="0.2">
      <c r="A415" s="13" t="s">
        <v>1298</v>
      </c>
      <c r="B415" s="14" t="s">
        <v>1299</v>
      </c>
      <c r="C415" s="15" t="s">
        <v>220</v>
      </c>
      <c r="D415" s="15" t="s">
        <v>459</v>
      </c>
      <c r="E415" s="16">
        <v>164.76</v>
      </c>
      <c r="F415" s="17">
        <v>209.71</v>
      </c>
      <c r="G415" s="18">
        <v>1</v>
      </c>
      <c r="H415" s="19">
        <v>4.5</v>
      </c>
      <c r="I415" s="18">
        <v>6</v>
      </c>
      <c r="J415" s="38" t="str">
        <f>HYPERLINK("https://amazon.com/dp/B00MN5GAM2","View on Amazon")</f>
        <v>View on Amazon</v>
      </c>
      <c r="K415" s="15" t="s">
        <v>459</v>
      </c>
      <c r="L415" s="20" t="s">
        <v>460</v>
      </c>
    </row>
    <row r="416" spans="1:12" ht="51" x14ac:dyDescent="0.2">
      <c r="A416" s="21" t="s">
        <v>1300</v>
      </c>
      <c r="B416" s="22" t="s">
        <v>1301</v>
      </c>
      <c r="C416" s="23" t="s">
        <v>31</v>
      </c>
      <c r="D416" s="23" t="s">
        <v>463</v>
      </c>
      <c r="E416" s="24">
        <v>87.99</v>
      </c>
      <c r="F416" s="25">
        <v>208.65</v>
      </c>
      <c r="G416" s="26">
        <v>2</v>
      </c>
      <c r="H416" s="27">
        <v>3.4</v>
      </c>
      <c r="I416" s="26">
        <v>99</v>
      </c>
      <c r="J416" s="39" t="str">
        <f>HYPERLINK("https://amazon.com/dp/B0CHYM2SXF","View on Amazon")</f>
        <v>View on Amazon</v>
      </c>
      <c r="K416" s="23" t="s">
        <v>463</v>
      </c>
      <c r="L416" s="28" t="s">
        <v>460</v>
      </c>
    </row>
    <row r="417" spans="1:12" ht="34" x14ac:dyDescent="0.2">
      <c r="A417" s="13" t="s">
        <v>1302</v>
      </c>
      <c r="B417" s="14" t="s">
        <v>1303</v>
      </c>
      <c r="C417" s="15" t="s">
        <v>172</v>
      </c>
      <c r="D417" s="15" t="s">
        <v>463</v>
      </c>
      <c r="E417" s="16">
        <v>24.99</v>
      </c>
      <c r="F417" s="17">
        <v>207.97</v>
      </c>
      <c r="G417" s="18">
        <v>8</v>
      </c>
      <c r="H417" s="19">
        <v>4.2</v>
      </c>
      <c r="I417" s="18">
        <v>71</v>
      </c>
      <c r="J417" s="38" t="str">
        <f>HYPERLINK("https://amazon.com/dp/B01IUENHNE","View on Amazon")</f>
        <v>View on Amazon</v>
      </c>
      <c r="K417" s="15" t="s">
        <v>463</v>
      </c>
      <c r="L417" s="20" t="s">
        <v>460</v>
      </c>
    </row>
    <row r="418" spans="1:12" ht="51" x14ac:dyDescent="0.2">
      <c r="A418" s="21" t="s">
        <v>1304</v>
      </c>
      <c r="B418" s="22" t="s">
        <v>1305</v>
      </c>
      <c r="C418" s="23" t="s">
        <v>128</v>
      </c>
      <c r="D418" s="23" t="s">
        <v>463</v>
      </c>
      <c r="E418" s="24">
        <v>55.99</v>
      </c>
      <c r="F418" s="25">
        <v>207.28</v>
      </c>
      <c r="G418" s="26">
        <v>4</v>
      </c>
      <c r="H418" s="27">
        <v>3.5</v>
      </c>
      <c r="I418" s="26">
        <v>6</v>
      </c>
      <c r="J418" s="39" t="str">
        <f>HYPERLINK("https://amazon.com/dp/B0DFY4RYY5","View on Amazon")</f>
        <v>View on Amazon</v>
      </c>
      <c r="K418" s="23" t="s">
        <v>463</v>
      </c>
      <c r="L418" s="28" t="s">
        <v>460</v>
      </c>
    </row>
    <row r="419" spans="1:12" ht="68" x14ac:dyDescent="0.2">
      <c r="A419" s="13" t="s">
        <v>1306</v>
      </c>
      <c r="B419" s="14" t="s">
        <v>1307</v>
      </c>
      <c r="C419" s="15" t="s">
        <v>159</v>
      </c>
      <c r="D419" s="15" t="s">
        <v>463</v>
      </c>
      <c r="E419" s="16">
        <v>89.99</v>
      </c>
      <c r="F419" s="17">
        <v>204.56</v>
      </c>
      <c r="G419" s="18">
        <v>2</v>
      </c>
      <c r="H419" s="19">
        <v>3.5</v>
      </c>
      <c r="I419" s="18">
        <v>5</v>
      </c>
      <c r="J419" s="38" t="str">
        <f>HYPERLINK("https://amazon.com/dp/B0DB5HXBMK","View on Amazon")</f>
        <v>View on Amazon</v>
      </c>
      <c r="K419" s="15" t="s">
        <v>463</v>
      </c>
      <c r="L419" s="20" t="s">
        <v>460</v>
      </c>
    </row>
    <row r="420" spans="1:12" ht="68" x14ac:dyDescent="0.2">
      <c r="A420" s="21" t="s">
        <v>1308</v>
      </c>
      <c r="B420" s="22" t="s">
        <v>1309</v>
      </c>
      <c r="C420" s="23" t="s">
        <v>140</v>
      </c>
      <c r="D420" s="23" t="s">
        <v>463</v>
      </c>
      <c r="E420" s="24">
        <v>189.99</v>
      </c>
      <c r="F420" s="25">
        <v>204.55</v>
      </c>
      <c r="G420" s="26">
        <v>1</v>
      </c>
      <c r="H420" s="27">
        <v>0</v>
      </c>
      <c r="I420" s="26">
        <v>0</v>
      </c>
      <c r="J420" s="39" t="str">
        <f>HYPERLINK("https://amazon.com/dp/B0D8T7TBPT","View on Amazon")</f>
        <v>View on Amazon</v>
      </c>
      <c r="K420" s="23" t="s">
        <v>463</v>
      </c>
      <c r="L420" s="28" t="s">
        <v>220</v>
      </c>
    </row>
    <row r="421" spans="1:12" ht="68" x14ac:dyDescent="0.2">
      <c r="A421" s="13" t="s">
        <v>1310</v>
      </c>
      <c r="B421" s="14" t="s">
        <v>1311</v>
      </c>
      <c r="C421" s="15" t="s">
        <v>166</v>
      </c>
      <c r="D421" s="15" t="s">
        <v>463</v>
      </c>
      <c r="E421" s="16">
        <v>79.989999999999995</v>
      </c>
      <c r="F421" s="17">
        <v>201.55</v>
      </c>
      <c r="G421" s="18">
        <v>2</v>
      </c>
      <c r="H421" s="19">
        <v>4.2</v>
      </c>
      <c r="I421" s="18">
        <v>10</v>
      </c>
      <c r="J421" s="38" t="str">
        <f>HYPERLINK("https://amazon.com/dp/B0DS8CTNYH","View on Amazon")</f>
        <v>View on Amazon</v>
      </c>
      <c r="K421" s="15" t="s">
        <v>463</v>
      </c>
      <c r="L421" s="20" t="s">
        <v>460</v>
      </c>
    </row>
    <row r="422" spans="1:12" ht="68" x14ac:dyDescent="0.2">
      <c r="A422" s="21" t="s">
        <v>1312</v>
      </c>
      <c r="B422" s="22" t="s">
        <v>1313</v>
      </c>
      <c r="C422" s="23" t="s">
        <v>41</v>
      </c>
      <c r="D422" s="23" t="s">
        <v>463</v>
      </c>
      <c r="E422" s="24">
        <v>99.99</v>
      </c>
      <c r="F422" s="25">
        <v>199.94</v>
      </c>
      <c r="G422" s="26">
        <v>2</v>
      </c>
      <c r="H422" s="27">
        <v>4.2</v>
      </c>
      <c r="I422" s="26">
        <v>163</v>
      </c>
      <c r="J422" s="39" t="str">
        <f>HYPERLINK("https://amazon.com/dp/B0D5LQ47GN","View on Amazon")</f>
        <v>View on Amazon</v>
      </c>
      <c r="K422" s="23" t="s">
        <v>463</v>
      </c>
      <c r="L422" s="28" t="s">
        <v>460</v>
      </c>
    </row>
    <row r="423" spans="1:12" ht="34" x14ac:dyDescent="0.2">
      <c r="A423" s="13" t="s">
        <v>1314</v>
      </c>
      <c r="B423" s="14" t="s">
        <v>1315</v>
      </c>
      <c r="C423" s="15" t="s">
        <v>91</v>
      </c>
      <c r="D423" s="15" t="s">
        <v>463</v>
      </c>
      <c r="E423" s="16">
        <v>45.99</v>
      </c>
      <c r="F423" s="17">
        <v>187.5</v>
      </c>
      <c r="G423" s="18">
        <v>4</v>
      </c>
      <c r="H423" s="19">
        <v>3.8</v>
      </c>
      <c r="I423" s="18">
        <v>24</v>
      </c>
      <c r="J423" s="38" t="str">
        <f>HYPERLINK("https://amazon.com/dp/B0DLBKYWNX","View on Amazon")</f>
        <v>View on Amazon</v>
      </c>
      <c r="K423" s="15" t="s">
        <v>463</v>
      </c>
      <c r="L423" s="20" t="s">
        <v>460</v>
      </c>
    </row>
    <row r="424" spans="1:12" ht="51" x14ac:dyDescent="0.2">
      <c r="A424" s="21" t="s">
        <v>1316</v>
      </c>
      <c r="B424" s="22" t="s">
        <v>1317</v>
      </c>
      <c r="C424" s="23" t="s">
        <v>91</v>
      </c>
      <c r="D424" s="23" t="s">
        <v>463</v>
      </c>
      <c r="E424" s="24">
        <v>42.99</v>
      </c>
      <c r="F424" s="25">
        <v>187.16</v>
      </c>
      <c r="G424" s="26">
        <v>4</v>
      </c>
      <c r="H424" s="27">
        <v>3.1</v>
      </c>
      <c r="I424" s="26">
        <v>6</v>
      </c>
      <c r="J424" s="39" t="str">
        <f>HYPERLINK("https://amazon.com/dp/B0DYDXXJNM","View on Amazon")</f>
        <v>View on Amazon</v>
      </c>
      <c r="K424" s="23" t="s">
        <v>463</v>
      </c>
      <c r="L424" s="28" t="s">
        <v>460</v>
      </c>
    </row>
    <row r="425" spans="1:12" ht="68" x14ac:dyDescent="0.2">
      <c r="A425" s="13" t="s">
        <v>1318</v>
      </c>
      <c r="B425" s="14" t="s">
        <v>1319</v>
      </c>
      <c r="C425" s="15" t="s">
        <v>221</v>
      </c>
      <c r="D425" s="15" t="s">
        <v>459</v>
      </c>
      <c r="E425" s="16">
        <v>95.99</v>
      </c>
      <c r="F425" s="17">
        <v>186.5</v>
      </c>
      <c r="G425" s="18">
        <v>3</v>
      </c>
      <c r="H425" s="19">
        <v>4</v>
      </c>
      <c r="I425" s="18">
        <v>25</v>
      </c>
      <c r="J425" s="38" t="str">
        <f>HYPERLINK("https://amazon.com/dp/B0DKJKWY24","View on Amazon")</f>
        <v>View on Amazon</v>
      </c>
      <c r="K425" s="15" t="s">
        <v>459</v>
      </c>
      <c r="L425" s="20" t="s">
        <v>460</v>
      </c>
    </row>
    <row r="426" spans="1:12" ht="68" x14ac:dyDescent="0.2">
      <c r="A426" s="21" t="s">
        <v>1320</v>
      </c>
      <c r="B426" s="22" t="s">
        <v>1321</v>
      </c>
      <c r="C426" s="23" t="s">
        <v>222</v>
      </c>
      <c r="D426" s="23" t="s">
        <v>463</v>
      </c>
      <c r="E426" s="24">
        <v>39.99</v>
      </c>
      <c r="F426" s="25">
        <v>183.88</v>
      </c>
      <c r="G426" s="26">
        <v>4</v>
      </c>
      <c r="H426" s="27">
        <v>4.0999999999999996</v>
      </c>
      <c r="I426" s="26">
        <v>10</v>
      </c>
      <c r="J426" s="39" t="str">
        <f>HYPERLINK("https://amazon.com/dp/B0G76F8PQZ","View on Amazon")</f>
        <v>View on Amazon</v>
      </c>
      <c r="K426" s="23" t="s">
        <v>463</v>
      </c>
      <c r="L426" s="28" t="s">
        <v>460</v>
      </c>
    </row>
    <row r="427" spans="1:12" ht="68" x14ac:dyDescent="0.2">
      <c r="A427" s="13" t="s">
        <v>1322</v>
      </c>
      <c r="B427" s="14" t="s">
        <v>1323</v>
      </c>
      <c r="C427" s="15" t="s">
        <v>38</v>
      </c>
      <c r="D427" s="15" t="s">
        <v>459</v>
      </c>
      <c r="E427" s="16">
        <v>75.989999999999995</v>
      </c>
      <c r="F427" s="17">
        <v>183.53</v>
      </c>
      <c r="G427" s="18">
        <v>1</v>
      </c>
      <c r="H427" s="19">
        <v>4</v>
      </c>
      <c r="I427" s="18">
        <v>6</v>
      </c>
      <c r="J427" s="38" t="str">
        <f>HYPERLINK("https://amazon.com/dp/B0FNQMHG35","View on Amazon")</f>
        <v>View on Amazon</v>
      </c>
      <c r="K427" s="15" t="s">
        <v>459</v>
      </c>
      <c r="L427" s="20" t="s">
        <v>460</v>
      </c>
    </row>
    <row r="428" spans="1:12" ht="68" x14ac:dyDescent="0.2">
      <c r="A428" s="21" t="s">
        <v>1324</v>
      </c>
      <c r="B428" s="22" t="s">
        <v>1325</v>
      </c>
      <c r="C428" s="23" t="s">
        <v>224</v>
      </c>
      <c r="D428" s="23" t="s">
        <v>463</v>
      </c>
      <c r="E428" s="24">
        <v>75.989999999999995</v>
      </c>
      <c r="F428" s="25">
        <v>181.97</v>
      </c>
      <c r="G428" s="26">
        <v>2</v>
      </c>
      <c r="H428" s="27">
        <v>4.4000000000000004</v>
      </c>
      <c r="I428" s="26">
        <v>12</v>
      </c>
      <c r="J428" s="39" t="str">
        <f>HYPERLINK("https://amazon.com/dp/B0DZX6V2JQ","View on Amazon")</f>
        <v>View on Amazon</v>
      </c>
      <c r="K428" s="23" t="s">
        <v>463</v>
      </c>
      <c r="L428" s="28" t="s">
        <v>460</v>
      </c>
    </row>
    <row r="429" spans="1:12" ht="68" x14ac:dyDescent="0.2">
      <c r="A429" s="13" t="s">
        <v>1326</v>
      </c>
      <c r="B429" s="14" t="s">
        <v>1327</v>
      </c>
      <c r="C429" s="15" t="s">
        <v>84</v>
      </c>
      <c r="D429" s="15" t="s">
        <v>463</v>
      </c>
      <c r="E429" s="16">
        <v>22.99</v>
      </c>
      <c r="F429" s="17">
        <v>180.84</v>
      </c>
      <c r="G429" s="18">
        <v>8</v>
      </c>
      <c r="H429" s="19">
        <v>3</v>
      </c>
      <c r="I429" s="18">
        <v>2</v>
      </c>
      <c r="J429" s="38" t="str">
        <f>HYPERLINK("https://amazon.com/dp/B0DCDTXXDM","View on Amazon")</f>
        <v>View on Amazon</v>
      </c>
      <c r="K429" s="15" t="s">
        <v>463</v>
      </c>
      <c r="L429" s="20" t="s">
        <v>460</v>
      </c>
    </row>
    <row r="430" spans="1:12" ht="51" x14ac:dyDescent="0.2">
      <c r="A430" s="21" t="s">
        <v>1328</v>
      </c>
      <c r="B430" s="22" t="s">
        <v>1329</v>
      </c>
      <c r="C430" s="23" t="s">
        <v>102</v>
      </c>
      <c r="D430" s="23" t="s">
        <v>459</v>
      </c>
      <c r="E430" s="24">
        <v>99</v>
      </c>
      <c r="F430" s="25">
        <v>178.79</v>
      </c>
      <c r="G430" s="26">
        <v>2</v>
      </c>
      <c r="H430" s="27">
        <v>5</v>
      </c>
      <c r="I430" s="26">
        <v>1</v>
      </c>
      <c r="J430" s="39" t="str">
        <f>HYPERLINK("https://amazon.com/dp/B0F2T6Q862","View on Amazon")</f>
        <v>View on Amazon</v>
      </c>
      <c r="K430" s="23" t="s">
        <v>459</v>
      </c>
      <c r="L430" s="28" t="s">
        <v>220</v>
      </c>
    </row>
    <row r="431" spans="1:12" ht="68" x14ac:dyDescent="0.2">
      <c r="A431" s="13" t="s">
        <v>1330</v>
      </c>
      <c r="B431" s="14" t="s">
        <v>1331</v>
      </c>
      <c r="C431" s="15" t="s">
        <v>203</v>
      </c>
      <c r="D431" s="15" t="s">
        <v>463</v>
      </c>
      <c r="E431" s="16">
        <v>48.99</v>
      </c>
      <c r="F431" s="17">
        <v>178.37</v>
      </c>
      <c r="G431" s="18">
        <v>4</v>
      </c>
      <c r="H431" s="19">
        <v>4.0999999999999996</v>
      </c>
      <c r="I431" s="18">
        <v>55</v>
      </c>
      <c r="J431" s="38" t="str">
        <f>HYPERLINK("https://amazon.com/dp/B0FHQQXXMK","View on Amazon")</f>
        <v>View on Amazon</v>
      </c>
      <c r="K431" s="15" t="s">
        <v>463</v>
      </c>
      <c r="L431" s="20" t="s">
        <v>460</v>
      </c>
    </row>
    <row r="432" spans="1:12" ht="51" x14ac:dyDescent="0.2">
      <c r="A432" s="21" t="s">
        <v>1332</v>
      </c>
      <c r="B432" s="22" t="s">
        <v>1333</v>
      </c>
      <c r="C432" s="23" t="s">
        <v>225</v>
      </c>
      <c r="D432" s="23" t="s">
        <v>459</v>
      </c>
      <c r="E432" s="24">
        <v>18.989999999999998</v>
      </c>
      <c r="F432" s="25">
        <v>176.86</v>
      </c>
      <c r="G432" s="26">
        <v>9</v>
      </c>
      <c r="H432" s="27">
        <v>4.4000000000000004</v>
      </c>
      <c r="I432" s="26">
        <v>16</v>
      </c>
      <c r="J432" s="39" t="str">
        <f>HYPERLINK("https://amazon.com/dp/B0DK2KPKW8","View on Amazon")</f>
        <v>View on Amazon</v>
      </c>
      <c r="K432" s="23" t="s">
        <v>459</v>
      </c>
      <c r="L432" s="28" t="s">
        <v>460</v>
      </c>
    </row>
    <row r="433" spans="1:12" ht="51" x14ac:dyDescent="0.2">
      <c r="A433" s="13" t="s">
        <v>1334</v>
      </c>
      <c r="B433" s="14" t="s">
        <v>1335</v>
      </c>
      <c r="C433" s="15" t="s">
        <v>226</v>
      </c>
      <c r="D433" s="15" t="s">
        <v>463</v>
      </c>
      <c r="E433" s="16">
        <v>16.989999999999998</v>
      </c>
      <c r="F433" s="17">
        <v>176.48</v>
      </c>
      <c r="G433" s="18">
        <v>10</v>
      </c>
      <c r="H433" s="19">
        <v>3.7</v>
      </c>
      <c r="I433" s="18">
        <v>13</v>
      </c>
      <c r="J433" s="38" t="str">
        <f>HYPERLINK("https://amazon.com/dp/B0DLKRNCDJ","View on Amazon")</f>
        <v>View on Amazon</v>
      </c>
      <c r="K433" s="15" t="s">
        <v>463</v>
      </c>
      <c r="L433" s="20" t="s">
        <v>460</v>
      </c>
    </row>
    <row r="434" spans="1:12" ht="68" x14ac:dyDescent="0.2">
      <c r="A434" s="21" t="s">
        <v>1336</v>
      </c>
      <c r="B434" s="22" t="s">
        <v>1337</v>
      </c>
      <c r="C434" s="23" t="s">
        <v>227</v>
      </c>
      <c r="D434" s="23" t="s">
        <v>463</v>
      </c>
      <c r="E434" s="24">
        <v>47.99</v>
      </c>
      <c r="F434" s="25">
        <v>175.04</v>
      </c>
      <c r="G434" s="26">
        <v>4</v>
      </c>
      <c r="H434" s="27">
        <v>4.5</v>
      </c>
      <c r="I434" s="26">
        <v>4</v>
      </c>
      <c r="J434" s="39" t="str">
        <f>HYPERLINK("https://amazon.com/dp/B0FSQJP412","View on Amazon")</f>
        <v>View on Amazon</v>
      </c>
      <c r="K434" s="23" t="s">
        <v>463</v>
      </c>
      <c r="L434" s="28" t="s">
        <v>460</v>
      </c>
    </row>
    <row r="435" spans="1:12" ht="68" x14ac:dyDescent="0.2">
      <c r="A435" s="13" t="s">
        <v>1338</v>
      </c>
      <c r="B435" s="14" t="s">
        <v>1339</v>
      </c>
      <c r="C435" s="15" t="s">
        <v>228</v>
      </c>
      <c r="D435" s="15" t="s">
        <v>463</v>
      </c>
      <c r="E435" s="16">
        <v>169.99</v>
      </c>
      <c r="F435" s="17">
        <v>174.63</v>
      </c>
      <c r="G435" s="18">
        <v>1</v>
      </c>
      <c r="H435" s="19">
        <v>4.4000000000000004</v>
      </c>
      <c r="I435" s="18">
        <v>16</v>
      </c>
      <c r="J435" s="38" t="str">
        <f>HYPERLINK("https://amazon.com/dp/B0B3NFD471","View on Amazon")</f>
        <v>View on Amazon</v>
      </c>
      <c r="K435" s="15" t="s">
        <v>463</v>
      </c>
      <c r="L435" s="20" t="s">
        <v>460</v>
      </c>
    </row>
    <row r="436" spans="1:12" ht="51" x14ac:dyDescent="0.2">
      <c r="A436" s="21" t="s">
        <v>1340</v>
      </c>
      <c r="B436" s="22" t="s">
        <v>1341</v>
      </c>
      <c r="C436" s="23" t="s">
        <v>229</v>
      </c>
      <c r="D436" s="23" t="s">
        <v>463</v>
      </c>
      <c r="E436" s="24">
        <v>9.99</v>
      </c>
      <c r="F436" s="25">
        <v>174.04</v>
      </c>
      <c r="G436" s="26">
        <v>17</v>
      </c>
      <c r="H436" s="27">
        <v>2.1</v>
      </c>
      <c r="I436" s="26">
        <v>9</v>
      </c>
      <c r="J436" s="39" t="str">
        <f>HYPERLINK("https://amazon.com/dp/B0DSZCRWWN","View on Amazon")</f>
        <v>View on Amazon</v>
      </c>
      <c r="K436" s="23" t="s">
        <v>463</v>
      </c>
      <c r="L436" s="28" t="s">
        <v>460</v>
      </c>
    </row>
    <row r="437" spans="1:12" ht="17" x14ac:dyDescent="0.2">
      <c r="A437" s="13" t="s">
        <v>1342</v>
      </c>
      <c r="B437" s="14" t="s">
        <v>1343</v>
      </c>
      <c r="C437" s="15" t="s">
        <v>230</v>
      </c>
      <c r="D437" s="15" t="s">
        <v>459</v>
      </c>
      <c r="E437" s="16">
        <v>74.989999999999995</v>
      </c>
      <c r="F437" s="17">
        <v>172.22</v>
      </c>
      <c r="G437" s="18">
        <v>2</v>
      </c>
      <c r="H437" s="19">
        <v>4.7</v>
      </c>
      <c r="I437" s="18">
        <v>4</v>
      </c>
      <c r="J437" s="38" t="str">
        <f>HYPERLINK("https://amazon.com/dp/B00OGSBM9K","View on Amazon")</f>
        <v>View on Amazon</v>
      </c>
      <c r="K437" s="15" t="s">
        <v>459</v>
      </c>
      <c r="L437" s="20" t="s">
        <v>460</v>
      </c>
    </row>
    <row r="438" spans="1:12" ht="68" x14ac:dyDescent="0.2">
      <c r="A438" s="21" t="s">
        <v>1344</v>
      </c>
      <c r="B438" s="22" t="s">
        <v>1345</v>
      </c>
      <c r="C438" s="23" t="s">
        <v>213</v>
      </c>
      <c r="D438" s="23" t="s">
        <v>463</v>
      </c>
      <c r="E438" s="24">
        <v>79.900000000000006</v>
      </c>
      <c r="F438" s="25">
        <v>169.67</v>
      </c>
      <c r="G438" s="26">
        <v>2</v>
      </c>
      <c r="H438" s="27">
        <v>0</v>
      </c>
      <c r="I438" s="26">
        <v>0</v>
      </c>
      <c r="J438" s="39" t="str">
        <f>HYPERLINK("https://amazon.com/dp/B0CPVJMSVR","View on Amazon")</f>
        <v>View on Amazon</v>
      </c>
      <c r="K438" s="23" t="s">
        <v>463</v>
      </c>
      <c r="L438" s="28" t="s">
        <v>220</v>
      </c>
    </row>
    <row r="439" spans="1:12" ht="68" x14ac:dyDescent="0.2">
      <c r="A439" s="13" t="s">
        <v>1346</v>
      </c>
      <c r="B439" s="14" t="s">
        <v>1347</v>
      </c>
      <c r="C439" s="15" t="s">
        <v>231</v>
      </c>
      <c r="D439" s="15" t="s">
        <v>463</v>
      </c>
      <c r="E439" s="16">
        <v>45.45</v>
      </c>
      <c r="F439" s="17">
        <v>169.51</v>
      </c>
      <c r="G439" s="18">
        <v>4</v>
      </c>
      <c r="H439" s="19">
        <v>3</v>
      </c>
      <c r="I439" s="18">
        <v>1</v>
      </c>
      <c r="J439" s="38" t="str">
        <f>HYPERLINK("https://amazon.com/dp/B0D9C1SZHW","View on Amazon")</f>
        <v>View on Amazon</v>
      </c>
      <c r="K439" s="15" t="s">
        <v>463</v>
      </c>
      <c r="L439" s="20" t="s">
        <v>460</v>
      </c>
    </row>
    <row r="440" spans="1:12" ht="51" x14ac:dyDescent="0.2">
      <c r="A440" s="21" t="s">
        <v>1348</v>
      </c>
      <c r="B440" s="22" t="s">
        <v>1349</v>
      </c>
      <c r="C440" s="23" t="s">
        <v>135</v>
      </c>
      <c r="D440" s="23" t="s">
        <v>463</v>
      </c>
      <c r="E440" s="24">
        <v>39.99</v>
      </c>
      <c r="F440" s="25">
        <v>166.21</v>
      </c>
      <c r="G440" s="26">
        <v>4</v>
      </c>
      <c r="H440" s="27">
        <v>3.8</v>
      </c>
      <c r="I440" s="26">
        <v>51</v>
      </c>
      <c r="J440" s="39" t="str">
        <f>HYPERLINK("https://amazon.com/dp/B0CVX5VTC7","View on Amazon")</f>
        <v>View on Amazon</v>
      </c>
      <c r="K440" s="23" t="s">
        <v>463</v>
      </c>
      <c r="L440" s="28" t="s">
        <v>460</v>
      </c>
    </row>
    <row r="441" spans="1:12" ht="68" x14ac:dyDescent="0.2">
      <c r="A441" s="13" t="s">
        <v>1350</v>
      </c>
      <c r="B441" s="14" t="s">
        <v>1351</v>
      </c>
      <c r="C441" s="15" t="s">
        <v>232</v>
      </c>
      <c r="D441" s="15" t="s">
        <v>463</v>
      </c>
      <c r="E441" s="16">
        <v>69.989999999999995</v>
      </c>
      <c r="F441" s="17">
        <v>165.43</v>
      </c>
      <c r="G441" s="18">
        <v>2</v>
      </c>
      <c r="H441" s="19">
        <v>4.0999999999999996</v>
      </c>
      <c r="I441" s="18">
        <v>54</v>
      </c>
      <c r="J441" s="38" t="str">
        <f>HYPERLINK("https://amazon.com/dp/B0D83YFG1Y","View on Amazon")</f>
        <v>View on Amazon</v>
      </c>
      <c r="K441" s="15" t="s">
        <v>463</v>
      </c>
      <c r="L441" s="20" t="s">
        <v>460</v>
      </c>
    </row>
    <row r="442" spans="1:12" ht="51" x14ac:dyDescent="0.2">
      <c r="A442" s="21" t="s">
        <v>1352</v>
      </c>
      <c r="B442" s="22" t="s">
        <v>1353</v>
      </c>
      <c r="C442" s="23" t="s">
        <v>170</v>
      </c>
      <c r="D442" s="23" t="s">
        <v>463</v>
      </c>
      <c r="E442" s="24">
        <v>68.88</v>
      </c>
      <c r="F442" s="25">
        <v>162.62</v>
      </c>
      <c r="G442" s="26">
        <v>2</v>
      </c>
      <c r="H442" s="27">
        <v>5</v>
      </c>
      <c r="I442" s="26">
        <v>1</v>
      </c>
      <c r="J442" s="39" t="str">
        <f>HYPERLINK("https://amazon.com/dp/B0DZ1ZY9RB","View on Amazon")</f>
        <v>View on Amazon</v>
      </c>
      <c r="K442" s="23" t="s">
        <v>463</v>
      </c>
      <c r="L442" s="28" t="s">
        <v>460</v>
      </c>
    </row>
    <row r="443" spans="1:12" ht="51" x14ac:dyDescent="0.2">
      <c r="A443" s="13" t="s">
        <v>1354</v>
      </c>
      <c r="B443" s="14" t="s">
        <v>1355</v>
      </c>
      <c r="C443" s="15" t="s">
        <v>233</v>
      </c>
      <c r="D443" s="15" t="s">
        <v>463</v>
      </c>
      <c r="E443" s="16">
        <v>109.99</v>
      </c>
      <c r="F443" s="17">
        <v>161.19</v>
      </c>
      <c r="G443" s="18">
        <v>1</v>
      </c>
      <c r="H443" s="19">
        <v>5</v>
      </c>
      <c r="I443" s="18">
        <v>1</v>
      </c>
      <c r="J443" s="38" t="str">
        <f>HYPERLINK("https://amazon.com/dp/B0D48HN54R","View on Amazon")</f>
        <v>View on Amazon</v>
      </c>
      <c r="K443" s="15" t="s">
        <v>463</v>
      </c>
      <c r="L443" s="20" t="s">
        <v>1297</v>
      </c>
    </row>
    <row r="444" spans="1:12" ht="34" x14ac:dyDescent="0.2">
      <c r="A444" s="21" t="s">
        <v>1356</v>
      </c>
      <c r="B444" s="22" t="s">
        <v>1357</v>
      </c>
      <c r="C444" s="23" t="s">
        <v>105</v>
      </c>
      <c r="D444" s="23" t="s">
        <v>459</v>
      </c>
      <c r="E444" s="24">
        <v>25.99</v>
      </c>
      <c r="F444" s="25">
        <v>158.41</v>
      </c>
      <c r="G444" s="26">
        <v>6</v>
      </c>
      <c r="H444" s="27">
        <v>5</v>
      </c>
      <c r="I444" s="26">
        <v>4</v>
      </c>
      <c r="J444" s="39" t="str">
        <f>HYPERLINK("https://amazon.com/dp/B0DQTW643C","View on Amazon")</f>
        <v>View on Amazon</v>
      </c>
      <c r="K444" s="23" t="s">
        <v>459</v>
      </c>
      <c r="L444" s="28" t="s">
        <v>460</v>
      </c>
    </row>
    <row r="445" spans="1:12" ht="51" x14ac:dyDescent="0.2">
      <c r="A445" s="13" t="s">
        <v>1358</v>
      </c>
      <c r="B445" s="14" t="s">
        <v>1359</v>
      </c>
      <c r="C445" s="15" t="s">
        <v>152</v>
      </c>
      <c r="D445" s="15" t="s">
        <v>459</v>
      </c>
      <c r="E445" s="16">
        <v>245</v>
      </c>
      <c r="F445" s="17">
        <v>158.11000000000001</v>
      </c>
      <c r="G445" s="18">
        <v>1</v>
      </c>
      <c r="H445" s="19">
        <v>4.5999999999999996</v>
      </c>
      <c r="I445" s="18">
        <v>3</v>
      </c>
      <c r="J445" s="38" t="str">
        <f>HYPERLINK("https://amazon.com/dp/B0DH23LF2Q","View on Amazon")</f>
        <v>View on Amazon</v>
      </c>
      <c r="K445" s="15" t="s">
        <v>459</v>
      </c>
      <c r="L445" s="20" t="s">
        <v>460</v>
      </c>
    </row>
    <row r="446" spans="1:12" ht="68" x14ac:dyDescent="0.2">
      <c r="A446" s="21" t="s">
        <v>1360</v>
      </c>
      <c r="B446" s="22" t="s">
        <v>1361</v>
      </c>
      <c r="C446" s="23" t="s">
        <v>236</v>
      </c>
      <c r="D446" s="23" t="s">
        <v>463</v>
      </c>
      <c r="E446" s="24">
        <v>38.99</v>
      </c>
      <c r="F446" s="25">
        <v>148.69</v>
      </c>
      <c r="G446" s="26">
        <v>4</v>
      </c>
      <c r="H446" s="27">
        <v>4.0999999999999996</v>
      </c>
      <c r="I446" s="26">
        <v>14</v>
      </c>
      <c r="J446" s="39" t="str">
        <f>HYPERLINK("https://amazon.com/dp/B0F62D8S7V","View on Amazon")</f>
        <v>View on Amazon</v>
      </c>
      <c r="K446" s="23" t="s">
        <v>463</v>
      </c>
      <c r="L446" s="28" t="s">
        <v>460</v>
      </c>
    </row>
    <row r="447" spans="1:12" ht="68" x14ac:dyDescent="0.2">
      <c r="A447" s="13" t="s">
        <v>1362</v>
      </c>
      <c r="B447" s="14" t="s">
        <v>1363</v>
      </c>
      <c r="C447" s="15" t="s">
        <v>131</v>
      </c>
      <c r="D447" s="15" t="s">
        <v>459</v>
      </c>
      <c r="E447" s="16">
        <v>139.99</v>
      </c>
      <c r="F447" s="17">
        <v>142.55000000000001</v>
      </c>
      <c r="G447" s="18">
        <v>1</v>
      </c>
      <c r="H447" s="19">
        <v>0</v>
      </c>
      <c r="I447" s="18">
        <v>0</v>
      </c>
      <c r="J447" s="38" t="str">
        <f>HYPERLINK("https://amazon.com/dp/B0DPMMH6P2","View on Amazon")</f>
        <v>View on Amazon</v>
      </c>
      <c r="K447" s="15" t="s">
        <v>459</v>
      </c>
      <c r="L447" s="20" t="s">
        <v>220</v>
      </c>
    </row>
    <row r="448" spans="1:12" ht="51" x14ac:dyDescent="0.2">
      <c r="A448" s="21" t="s">
        <v>1364</v>
      </c>
      <c r="B448" s="22" t="s">
        <v>1365</v>
      </c>
      <c r="C448" s="23" t="s">
        <v>98</v>
      </c>
      <c r="D448" s="23" t="s">
        <v>463</v>
      </c>
      <c r="E448" s="24">
        <v>21.99</v>
      </c>
      <c r="F448" s="25">
        <v>141.09</v>
      </c>
      <c r="G448" s="26">
        <v>6</v>
      </c>
      <c r="H448" s="27">
        <v>3.9</v>
      </c>
      <c r="I448" s="26">
        <v>28</v>
      </c>
      <c r="J448" s="39" t="str">
        <f>HYPERLINK("https://amazon.com/dp/B0C85X6LNC","View on Amazon")</f>
        <v>View on Amazon</v>
      </c>
      <c r="K448" s="23" t="s">
        <v>463</v>
      </c>
      <c r="L448" s="28" t="s">
        <v>460</v>
      </c>
    </row>
    <row r="449" spans="1:12" ht="51" x14ac:dyDescent="0.2">
      <c r="A449" s="13" t="s">
        <v>1366</v>
      </c>
      <c r="B449" s="14" t="s">
        <v>1367</v>
      </c>
      <c r="C449" s="15" t="s">
        <v>237</v>
      </c>
      <c r="D449" s="15" t="s">
        <v>459</v>
      </c>
      <c r="E449" s="16">
        <v>37.299999999999997</v>
      </c>
      <c r="F449" s="17">
        <v>140.44999999999999</v>
      </c>
      <c r="G449" s="18">
        <v>3</v>
      </c>
      <c r="H449" s="19">
        <v>0</v>
      </c>
      <c r="I449" s="18">
        <v>0</v>
      </c>
      <c r="J449" s="38" t="str">
        <f>HYPERLINK("https://amazon.com/dp/B0BSFS82FT","View on Amazon")</f>
        <v>View on Amazon</v>
      </c>
      <c r="K449" s="15" t="s">
        <v>459</v>
      </c>
      <c r="L449" s="20" t="s">
        <v>460</v>
      </c>
    </row>
    <row r="450" spans="1:12" ht="51" x14ac:dyDescent="0.2">
      <c r="A450" s="21" t="s">
        <v>1368</v>
      </c>
      <c r="B450" s="22" t="s">
        <v>1369</v>
      </c>
      <c r="C450" s="23" t="s">
        <v>131</v>
      </c>
      <c r="D450" s="23" t="s">
        <v>459</v>
      </c>
      <c r="E450" s="24">
        <v>139.99</v>
      </c>
      <c r="F450" s="25">
        <v>139.97999999999999</v>
      </c>
      <c r="G450" s="26">
        <v>1</v>
      </c>
      <c r="H450" s="27">
        <v>0</v>
      </c>
      <c r="I450" s="26">
        <v>0</v>
      </c>
      <c r="J450" s="39" t="str">
        <f>HYPERLINK("https://amazon.com/dp/B0DG1DHWLW","View on Amazon")</f>
        <v>View on Amazon</v>
      </c>
      <c r="K450" s="23" t="s">
        <v>459</v>
      </c>
      <c r="L450" s="28" t="s">
        <v>220</v>
      </c>
    </row>
    <row r="451" spans="1:12" ht="51" x14ac:dyDescent="0.2">
      <c r="A451" s="13" t="s">
        <v>1370</v>
      </c>
      <c r="B451" s="14" t="s">
        <v>1371</v>
      </c>
      <c r="C451" s="15" t="s">
        <v>84</v>
      </c>
      <c r="D451" s="15" t="s">
        <v>463</v>
      </c>
      <c r="E451" s="16">
        <v>77.989999999999995</v>
      </c>
      <c r="F451" s="17">
        <v>139.63999999999999</v>
      </c>
      <c r="G451" s="18">
        <v>2</v>
      </c>
      <c r="H451" s="19">
        <v>0</v>
      </c>
      <c r="I451" s="18">
        <v>0</v>
      </c>
      <c r="J451" s="38" t="str">
        <f>HYPERLINK("https://amazon.com/dp/B0D1VCB52Z","View on Amazon")</f>
        <v>View on Amazon</v>
      </c>
      <c r="K451" s="15" t="s">
        <v>463</v>
      </c>
      <c r="L451" s="20" t="s">
        <v>460</v>
      </c>
    </row>
    <row r="452" spans="1:12" ht="17" x14ac:dyDescent="0.2">
      <c r="A452" s="21" t="s">
        <v>1372</v>
      </c>
      <c r="B452" s="22" t="s">
        <v>1373</v>
      </c>
      <c r="C452" s="23" t="s">
        <v>238</v>
      </c>
      <c r="D452" s="23" t="s">
        <v>463</v>
      </c>
      <c r="E452" s="24">
        <v>18</v>
      </c>
      <c r="F452" s="25">
        <v>137.91</v>
      </c>
      <c r="G452" s="26">
        <v>7</v>
      </c>
      <c r="H452" s="27">
        <v>4.2</v>
      </c>
      <c r="I452" s="26">
        <v>219</v>
      </c>
      <c r="J452" s="39" t="str">
        <f>HYPERLINK("https://amazon.com/dp/B0010FHNWC","View on Amazon")</f>
        <v>View on Amazon</v>
      </c>
      <c r="K452" s="23" t="s">
        <v>463</v>
      </c>
      <c r="L452" s="28" t="s">
        <v>460</v>
      </c>
    </row>
    <row r="453" spans="1:12" ht="68" x14ac:dyDescent="0.2">
      <c r="A453" s="13" t="s">
        <v>1374</v>
      </c>
      <c r="B453" s="14" t="s">
        <v>1375</v>
      </c>
      <c r="C453" s="15" t="s">
        <v>211</v>
      </c>
      <c r="D453" s="15" t="s">
        <v>463</v>
      </c>
      <c r="E453" s="16">
        <v>189.99</v>
      </c>
      <c r="F453" s="17">
        <v>136.72</v>
      </c>
      <c r="G453" s="18">
        <v>1</v>
      </c>
      <c r="H453" s="19">
        <v>5</v>
      </c>
      <c r="I453" s="18">
        <v>1</v>
      </c>
      <c r="J453" s="38" t="str">
        <f>HYPERLINK("https://amazon.com/dp/B0DZ2799GT","View on Amazon")</f>
        <v>View on Amazon</v>
      </c>
      <c r="K453" s="15" t="s">
        <v>463</v>
      </c>
      <c r="L453" s="20" t="s">
        <v>220</v>
      </c>
    </row>
    <row r="454" spans="1:12" ht="34" x14ac:dyDescent="0.2">
      <c r="A454" s="21" t="s">
        <v>1376</v>
      </c>
      <c r="B454" s="22" t="s">
        <v>1079</v>
      </c>
      <c r="C454" s="23" t="s">
        <v>105</v>
      </c>
      <c r="D454" s="23" t="s">
        <v>463</v>
      </c>
      <c r="E454" s="24">
        <v>36.99</v>
      </c>
      <c r="F454" s="25">
        <v>134.6</v>
      </c>
      <c r="G454" s="26">
        <v>4</v>
      </c>
      <c r="H454" s="27">
        <v>4.3</v>
      </c>
      <c r="I454" s="26">
        <v>77</v>
      </c>
      <c r="J454" s="39" t="str">
        <f>HYPERLINK("https://amazon.com/dp/B0D1CF5H7D","View on Amazon")</f>
        <v>View on Amazon</v>
      </c>
      <c r="K454" s="23" t="s">
        <v>463</v>
      </c>
      <c r="L454" s="28" t="s">
        <v>460</v>
      </c>
    </row>
    <row r="455" spans="1:12" ht="68" x14ac:dyDescent="0.2">
      <c r="A455" s="13" t="s">
        <v>1377</v>
      </c>
      <c r="B455" s="14" t="s">
        <v>1378</v>
      </c>
      <c r="C455" s="15" t="s">
        <v>27</v>
      </c>
      <c r="D455" s="15" t="s">
        <v>463</v>
      </c>
      <c r="E455" s="16">
        <v>99.99</v>
      </c>
      <c r="F455" s="17">
        <v>132.80000000000001</v>
      </c>
      <c r="G455" s="18">
        <v>1</v>
      </c>
      <c r="H455" s="19">
        <v>3.9</v>
      </c>
      <c r="I455" s="18">
        <v>13</v>
      </c>
      <c r="J455" s="38" t="str">
        <f>HYPERLINK("https://amazon.com/dp/B0FFB43PBM","View on Amazon")</f>
        <v>View on Amazon</v>
      </c>
      <c r="K455" s="15" t="s">
        <v>463</v>
      </c>
      <c r="L455" s="20" t="s">
        <v>460</v>
      </c>
    </row>
    <row r="456" spans="1:12" ht="68" x14ac:dyDescent="0.2">
      <c r="A456" s="21" t="s">
        <v>1379</v>
      </c>
      <c r="B456" s="22" t="s">
        <v>1380</v>
      </c>
      <c r="C456" s="23" t="s">
        <v>239</v>
      </c>
      <c r="D456" s="23" t="s">
        <v>463</v>
      </c>
      <c r="E456" s="24">
        <v>69.989999999999995</v>
      </c>
      <c r="F456" s="25">
        <v>132.75</v>
      </c>
      <c r="G456" s="26">
        <v>2</v>
      </c>
      <c r="H456" s="27">
        <v>4.5</v>
      </c>
      <c r="I456" s="26">
        <v>22</v>
      </c>
      <c r="J456" s="39" t="str">
        <f>HYPERLINK("https://amazon.com/dp/B0F4958BYZ","View on Amazon")</f>
        <v>View on Amazon</v>
      </c>
      <c r="K456" s="23" t="s">
        <v>463</v>
      </c>
      <c r="L456" s="28" t="s">
        <v>460</v>
      </c>
    </row>
    <row r="457" spans="1:12" ht="68" x14ac:dyDescent="0.2">
      <c r="A457" s="13" t="s">
        <v>1381</v>
      </c>
      <c r="B457" s="14" t="s">
        <v>1382</v>
      </c>
      <c r="C457" s="15" t="s">
        <v>240</v>
      </c>
      <c r="D457" s="15" t="s">
        <v>463</v>
      </c>
      <c r="E457" s="16">
        <v>19.98</v>
      </c>
      <c r="F457" s="17">
        <v>131.96</v>
      </c>
      <c r="G457" s="18">
        <v>7</v>
      </c>
      <c r="H457" s="19">
        <v>4</v>
      </c>
      <c r="I457" s="18">
        <v>7604</v>
      </c>
      <c r="J457" s="38" t="str">
        <f>HYPERLINK("https://amazon.com/dp/B07NSPF9S4","View on Amazon")</f>
        <v>View on Amazon</v>
      </c>
      <c r="K457" s="15" t="s">
        <v>463</v>
      </c>
      <c r="L457" s="20" t="s">
        <v>460</v>
      </c>
    </row>
    <row r="458" spans="1:12" ht="51" x14ac:dyDescent="0.2">
      <c r="A458" s="21" t="s">
        <v>1383</v>
      </c>
      <c r="B458" s="22" t="s">
        <v>1384</v>
      </c>
      <c r="C458" s="23" t="s">
        <v>241</v>
      </c>
      <c r="D458" s="23" t="s">
        <v>463</v>
      </c>
      <c r="E458" s="24">
        <v>6.99</v>
      </c>
      <c r="F458" s="25">
        <v>130.9</v>
      </c>
      <c r="G458" s="26">
        <v>19</v>
      </c>
      <c r="H458" s="27">
        <v>2.8</v>
      </c>
      <c r="I458" s="26">
        <v>10</v>
      </c>
      <c r="J458" s="39" t="str">
        <f>HYPERLINK("https://amazon.com/dp/B0DYTYPR75","View on Amazon")</f>
        <v>View on Amazon</v>
      </c>
      <c r="K458" s="23" t="s">
        <v>463</v>
      </c>
      <c r="L458" s="28" t="s">
        <v>460</v>
      </c>
    </row>
    <row r="459" spans="1:12" ht="68" x14ac:dyDescent="0.2">
      <c r="A459" s="13" t="s">
        <v>1385</v>
      </c>
      <c r="B459" s="14" t="s">
        <v>1386</v>
      </c>
      <c r="C459" s="15" t="s">
        <v>242</v>
      </c>
      <c r="D459" s="15" t="s">
        <v>463</v>
      </c>
      <c r="E459" s="16">
        <v>79.989999999999995</v>
      </c>
      <c r="F459" s="17">
        <v>130.5</v>
      </c>
      <c r="G459" s="18">
        <v>2</v>
      </c>
      <c r="H459" s="19">
        <v>3.5</v>
      </c>
      <c r="I459" s="18">
        <v>52</v>
      </c>
      <c r="J459" s="38" t="str">
        <f>HYPERLINK("https://amazon.com/dp/B0DBPPDNVJ","View on Amazon")</f>
        <v>View on Amazon</v>
      </c>
      <c r="K459" s="15" t="s">
        <v>463</v>
      </c>
      <c r="L459" s="20" t="s">
        <v>460</v>
      </c>
    </row>
    <row r="460" spans="1:12" ht="51" x14ac:dyDescent="0.2">
      <c r="A460" s="21" t="s">
        <v>1387</v>
      </c>
      <c r="B460" s="22" t="s">
        <v>1388</v>
      </c>
      <c r="C460" s="23" t="s">
        <v>243</v>
      </c>
      <c r="D460" s="23" t="s">
        <v>463</v>
      </c>
      <c r="E460" s="24">
        <v>26.98</v>
      </c>
      <c r="F460" s="25">
        <v>129.66999999999999</v>
      </c>
      <c r="G460" s="26">
        <v>5</v>
      </c>
      <c r="H460" s="27">
        <v>4.4000000000000004</v>
      </c>
      <c r="I460" s="26">
        <v>286</v>
      </c>
      <c r="J460" s="39" t="str">
        <f>HYPERLINK("https://amazon.com/dp/B0CRKXB2NV","View on Amazon")</f>
        <v>View on Amazon</v>
      </c>
      <c r="K460" s="23" t="s">
        <v>463</v>
      </c>
      <c r="L460" s="28" t="s">
        <v>460</v>
      </c>
    </row>
    <row r="461" spans="1:12" ht="68" x14ac:dyDescent="0.2">
      <c r="A461" s="13" t="s">
        <v>1389</v>
      </c>
      <c r="B461" s="14" t="s">
        <v>1390</v>
      </c>
      <c r="C461" s="15" t="s">
        <v>215</v>
      </c>
      <c r="D461" s="15" t="s">
        <v>463</v>
      </c>
      <c r="E461" s="16">
        <v>29.95</v>
      </c>
      <c r="F461" s="17">
        <v>126.15</v>
      </c>
      <c r="G461" s="18">
        <v>4</v>
      </c>
      <c r="H461" s="19">
        <v>4.5999999999999996</v>
      </c>
      <c r="I461" s="18">
        <v>24</v>
      </c>
      <c r="J461" s="38" t="str">
        <f>HYPERLINK("https://amazon.com/dp/B0GN5DQ2Q9","View on Amazon")</f>
        <v>View on Amazon</v>
      </c>
      <c r="K461" s="15" t="s">
        <v>463</v>
      </c>
      <c r="L461" s="20" t="s">
        <v>220</v>
      </c>
    </row>
    <row r="462" spans="1:12" ht="68" x14ac:dyDescent="0.2">
      <c r="A462" s="21" t="s">
        <v>1391</v>
      </c>
      <c r="B462" s="22" t="s">
        <v>1392</v>
      </c>
      <c r="C462" s="23" t="s">
        <v>245</v>
      </c>
      <c r="D462" s="23" t="s">
        <v>463</v>
      </c>
      <c r="E462" s="24">
        <v>125.99</v>
      </c>
      <c r="F462" s="25">
        <v>125.97</v>
      </c>
      <c r="G462" s="26">
        <v>1</v>
      </c>
      <c r="H462" s="27">
        <v>5</v>
      </c>
      <c r="I462" s="26">
        <v>1</v>
      </c>
      <c r="J462" s="39" t="str">
        <f>HYPERLINK("https://amazon.com/dp/B0FZB8P62B","View on Amazon")</f>
        <v>View on Amazon</v>
      </c>
      <c r="K462" s="23" t="s">
        <v>463</v>
      </c>
      <c r="L462" s="28" t="s">
        <v>460</v>
      </c>
    </row>
    <row r="463" spans="1:12" ht="68" x14ac:dyDescent="0.2">
      <c r="A463" s="13" t="s">
        <v>1393</v>
      </c>
      <c r="B463" s="14" t="s">
        <v>1394</v>
      </c>
      <c r="C463" s="15" t="s">
        <v>211</v>
      </c>
      <c r="D463" s="15" t="s">
        <v>463</v>
      </c>
      <c r="E463" s="16">
        <v>189.99</v>
      </c>
      <c r="F463" s="17">
        <v>125.57</v>
      </c>
      <c r="G463" s="18">
        <v>1</v>
      </c>
      <c r="H463" s="19">
        <v>5</v>
      </c>
      <c r="I463" s="18">
        <v>1</v>
      </c>
      <c r="J463" s="38" t="str">
        <f>HYPERLINK("https://amazon.com/dp/B0DK8J1GFL","View on Amazon")</f>
        <v>View on Amazon</v>
      </c>
      <c r="K463" s="15" t="s">
        <v>463</v>
      </c>
      <c r="L463" s="20" t="s">
        <v>220</v>
      </c>
    </row>
    <row r="464" spans="1:12" ht="34" x14ac:dyDescent="0.2">
      <c r="A464" s="21" t="s">
        <v>1395</v>
      </c>
      <c r="B464" s="22" t="s">
        <v>1396</v>
      </c>
      <c r="C464" s="23" t="s">
        <v>105</v>
      </c>
      <c r="D464" s="23" t="s">
        <v>463</v>
      </c>
      <c r="E464" s="24">
        <v>29.99</v>
      </c>
      <c r="F464" s="25">
        <v>124.12</v>
      </c>
      <c r="G464" s="26">
        <v>4</v>
      </c>
      <c r="H464" s="27">
        <v>5</v>
      </c>
      <c r="I464" s="26">
        <v>3</v>
      </c>
      <c r="J464" s="39" t="str">
        <f>HYPERLINK("https://amazon.com/dp/B0DQTRZNYC","View on Amazon")</f>
        <v>View on Amazon</v>
      </c>
      <c r="K464" s="23" t="s">
        <v>463</v>
      </c>
      <c r="L464" s="28" t="s">
        <v>460</v>
      </c>
    </row>
    <row r="465" spans="1:12" ht="51" x14ac:dyDescent="0.2">
      <c r="A465" s="13" t="s">
        <v>1397</v>
      </c>
      <c r="B465" s="14" t="s">
        <v>1398</v>
      </c>
      <c r="C465" s="15" t="s">
        <v>203</v>
      </c>
      <c r="D465" s="15" t="s">
        <v>463</v>
      </c>
      <c r="E465" s="16">
        <v>95.99</v>
      </c>
      <c r="F465" s="17">
        <v>123.01</v>
      </c>
      <c r="G465" s="18">
        <v>1</v>
      </c>
      <c r="H465" s="19">
        <v>4.0999999999999996</v>
      </c>
      <c r="I465" s="18">
        <v>29</v>
      </c>
      <c r="J465" s="38" t="str">
        <f>HYPERLINK("https://amazon.com/dp/B0DQ5LT7TG","View on Amazon")</f>
        <v>View on Amazon</v>
      </c>
      <c r="K465" s="15" t="s">
        <v>463</v>
      </c>
      <c r="L465" s="20" t="s">
        <v>460</v>
      </c>
    </row>
    <row r="466" spans="1:12" ht="68" x14ac:dyDescent="0.2">
      <c r="A466" s="21" t="s">
        <v>1399</v>
      </c>
      <c r="B466" s="22" t="s">
        <v>1400</v>
      </c>
      <c r="C466" s="23" t="s">
        <v>248</v>
      </c>
      <c r="D466" s="23" t="s">
        <v>463</v>
      </c>
      <c r="E466" s="24">
        <v>59.99</v>
      </c>
      <c r="F466" s="25">
        <v>122.9</v>
      </c>
      <c r="G466" s="26">
        <v>2</v>
      </c>
      <c r="H466" s="27">
        <v>4.2</v>
      </c>
      <c r="I466" s="26">
        <v>5</v>
      </c>
      <c r="J466" s="39" t="str">
        <f>HYPERLINK("https://amazon.com/dp/B0CBCP9YTK","View on Amazon")</f>
        <v>View on Amazon</v>
      </c>
      <c r="K466" s="23" t="s">
        <v>463</v>
      </c>
      <c r="L466" s="28" t="s">
        <v>460</v>
      </c>
    </row>
    <row r="467" spans="1:12" ht="68" x14ac:dyDescent="0.2">
      <c r="A467" s="13" t="s">
        <v>1401</v>
      </c>
      <c r="B467" s="14" t="s">
        <v>1402</v>
      </c>
      <c r="C467" s="15" t="s">
        <v>92</v>
      </c>
      <c r="D467" s="15" t="s">
        <v>459</v>
      </c>
      <c r="E467" s="16">
        <v>219.99</v>
      </c>
      <c r="F467" s="17">
        <v>116.03</v>
      </c>
      <c r="G467" s="18">
        <v>1</v>
      </c>
      <c r="H467" s="19">
        <v>4</v>
      </c>
      <c r="I467" s="18">
        <v>1</v>
      </c>
      <c r="J467" s="38" t="str">
        <f>HYPERLINK("https://amazon.com/dp/B0DKFKLNV9","View on Amazon")</f>
        <v>View on Amazon</v>
      </c>
      <c r="K467" s="15" t="s">
        <v>459</v>
      </c>
      <c r="L467" s="20" t="s">
        <v>460</v>
      </c>
    </row>
    <row r="468" spans="1:12" ht="51" x14ac:dyDescent="0.2">
      <c r="A468" s="21" t="s">
        <v>1403</v>
      </c>
      <c r="B468" s="22" t="s">
        <v>1404</v>
      </c>
      <c r="C468" s="23" t="s">
        <v>176</v>
      </c>
      <c r="D468" s="23" t="s">
        <v>463</v>
      </c>
      <c r="E468" s="24">
        <v>18.25</v>
      </c>
      <c r="F468" s="25">
        <v>112.53</v>
      </c>
      <c r="G468" s="26">
        <v>8</v>
      </c>
      <c r="H468" s="27">
        <v>5</v>
      </c>
      <c r="I468" s="26">
        <v>1</v>
      </c>
      <c r="J468" s="39" t="str">
        <f>HYPERLINK("https://amazon.com/dp/B0DWSF2TT3","View on Amazon")</f>
        <v>View on Amazon</v>
      </c>
      <c r="K468" s="23" t="s">
        <v>463</v>
      </c>
      <c r="L468" s="28" t="s">
        <v>460</v>
      </c>
    </row>
    <row r="469" spans="1:12" ht="51" x14ac:dyDescent="0.2">
      <c r="A469" s="13" t="s">
        <v>1405</v>
      </c>
      <c r="B469" s="14" t="s">
        <v>1406</v>
      </c>
      <c r="C469" s="15" t="s">
        <v>249</v>
      </c>
      <c r="D469" s="15" t="s">
        <v>459</v>
      </c>
      <c r="E469" s="16">
        <v>69.989999999999995</v>
      </c>
      <c r="F469" s="17">
        <v>111.72</v>
      </c>
      <c r="G469" s="18">
        <v>2</v>
      </c>
      <c r="H469" s="19">
        <v>0</v>
      </c>
      <c r="I469" s="18">
        <v>0</v>
      </c>
      <c r="J469" s="38" t="str">
        <f>HYPERLINK("https://amazon.com/dp/B0FXRRLNPQ","View on Amazon")</f>
        <v>View on Amazon</v>
      </c>
      <c r="K469" s="15" t="s">
        <v>459</v>
      </c>
      <c r="L469" s="20" t="s">
        <v>220</v>
      </c>
    </row>
    <row r="470" spans="1:12" ht="51" x14ac:dyDescent="0.2">
      <c r="A470" s="21" t="s">
        <v>1407</v>
      </c>
      <c r="B470" s="22" t="s">
        <v>1408</v>
      </c>
      <c r="C470" s="23" t="s">
        <v>105</v>
      </c>
      <c r="D470" s="23" t="s">
        <v>463</v>
      </c>
      <c r="E470" s="24">
        <v>45.99</v>
      </c>
      <c r="F470" s="25">
        <v>111.32</v>
      </c>
      <c r="G470" s="26">
        <v>2</v>
      </c>
      <c r="H470" s="27">
        <v>0</v>
      </c>
      <c r="I470" s="26">
        <v>0</v>
      </c>
      <c r="J470" s="39" t="str">
        <f>HYPERLINK("https://amazon.com/dp/B0DQTTS2ZY","View on Amazon")</f>
        <v>View on Amazon</v>
      </c>
      <c r="K470" s="23" t="s">
        <v>463</v>
      </c>
      <c r="L470" s="28" t="s">
        <v>460</v>
      </c>
    </row>
    <row r="471" spans="1:12" ht="68" x14ac:dyDescent="0.2">
      <c r="A471" s="13" t="s">
        <v>1409</v>
      </c>
      <c r="B471" s="14" t="s">
        <v>1410</v>
      </c>
      <c r="C471" s="15" t="s">
        <v>121</v>
      </c>
      <c r="D471" s="15" t="s">
        <v>463</v>
      </c>
      <c r="E471" s="16">
        <v>44.95</v>
      </c>
      <c r="F471" s="17">
        <v>111.12</v>
      </c>
      <c r="G471" s="18">
        <v>2</v>
      </c>
      <c r="H471" s="19">
        <v>3.8</v>
      </c>
      <c r="I471" s="18">
        <v>101</v>
      </c>
      <c r="J471" s="38" t="str">
        <f>HYPERLINK("https://amazon.com/dp/B01MUCYIFR","View on Amazon")</f>
        <v>View on Amazon</v>
      </c>
      <c r="K471" s="15" t="s">
        <v>463</v>
      </c>
      <c r="L471" s="20" t="s">
        <v>460</v>
      </c>
    </row>
    <row r="472" spans="1:12" ht="51" x14ac:dyDescent="0.2">
      <c r="A472" s="21" t="s">
        <v>1411</v>
      </c>
      <c r="B472" s="22" t="s">
        <v>1412</v>
      </c>
      <c r="C472" s="23" t="s">
        <v>250</v>
      </c>
      <c r="D472" s="23" t="s">
        <v>463</v>
      </c>
      <c r="E472" s="24">
        <v>10.99</v>
      </c>
      <c r="F472" s="25">
        <v>109.49</v>
      </c>
      <c r="G472" s="26">
        <v>10</v>
      </c>
      <c r="H472" s="27">
        <v>4.4000000000000004</v>
      </c>
      <c r="I472" s="26">
        <v>13</v>
      </c>
      <c r="J472" s="39" t="str">
        <f>HYPERLINK("https://amazon.com/dp/B09KXPQPX5","View on Amazon")</f>
        <v>View on Amazon</v>
      </c>
      <c r="K472" s="23" t="s">
        <v>463</v>
      </c>
      <c r="L472" s="28" t="s">
        <v>460</v>
      </c>
    </row>
    <row r="473" spans="1:12" ht="34" x14ac:dyDescent="0.2">
      <c r="A473" s="13" t="s">
        <v>1413</v>
      </c>
      <c r="B473" s="14" t="s">
        <v>1414</v>
      </c>
      <c r="C473" s="15" t="s">
        <v>63</v>
      </c>
      <c r="D473" s="15" t="s">
        <v>459</v>
      </c>
      <c r="E473" s="16">
        <v>29.99</v>
      </c>
      <c r="F473" s="17">
        <v>109.41</v>
      </c>
      <c r="G473" s="18">
        <v>4</v>
      </c>
      <c r="H473" s="19">
        <v>5</v>
      </c>
      <c r="I473" s="18">
        <v>11</v>
      </c>
      <c r="J473" s="38" t="str">
        <f>HYPERLINK("https://amazon.com/dp/B0CPV9ZL6T","View on Amazon")</f>
        <v>View on Amazon</v>
      </c>
      <c r="K473" s="15" t="s">
        <v>459</v>
      </c>
      <c r="L473" s="20" t="s">
        <v>460</v>
      </c>
    </row>
    <row r="474" spans="1:12" ht="34" x14ac:dyDescent="0.2">
      <c r="A474" s="21" t="s">
        <v>1415</v>
      </c>
      <c r="B474" s="22" t="s">
        <v>1416</v>
      </c>
      <c r="C474" s="23" t="s">
        <v>172</v>
      </c>
      <c r="D474" s="23" t="s">
        <v>459</v>
      </c>
      <c r="E474" s="24">
        <v>39.99</v>
      </c>
      <c r="F474" s="25">
        <v>108.61</v>
      </c>
      <c r="G474" s="26">
        <v>3</v>
      </c>
      <c r="H474" s="27">
        <v>4.8</v>
      </c>
      <c r="I474" s="26">
        <v>10</v>
      </c>
      <c r="J474" s="39" t="str">
        <f>HYPERLINK("https://amazon.com/dp/B01JT5FDR6","View on Amazon")</f>
        <v>View on Amazon</v>
      </c>
      <c r="K474" s="23" t="s">
        <v>459</v>
      </c>
      <c r="L474" s="28" t="s">
        <v>1297</v>
      </c>
    </row>
    <row r="475" spans="1:12" ht="51" x14ac:dyDescent="0.2">
      <c r="A475" s="13" t="s">
        <v>1417</v>
      </c>
      <c r="B475" s="14" t="s">
        <v>1224</v>
      </c>
      <c r="C475" s="15" t="s">
        <v>105</v>
      </c>
      <c r="D475" s="15" t="s">
        <v>463</v>
      </c>
      <c r="E475" s="16">
        <v>18.989999999999998</v>
      </c>
      <c r="F475" s="17">
        <v>105.6</v>
      </c>
      <c r="G475" s="18">
        <v>6</v>
      </c>
      <c r="H475" s="19">
        <v>3.7</v>
      </c>
      <c r="I475" s="18">
        <v>29</v>
      </c>
      <c r="J475" s="38" t="str">
        <f>HYPERLINK("https://amazon.com/dp/B0C8HXQ5PQ","View on Amazon")</f>
        <v>View on Amazon</v>
      </c>
      <c r="K475" s="15" t="s">
        <v>463</v>
      </c>
      <c r="L475" s="20" t="s">
        <v>460</v>
      </c>
    </row>
    <row r="476" spans="1:12" ht="51" x14ac:dyDescent="0.2">
      <c r="A476" s="21" t="s">
        <v>1418</v>
      </c>
      <c r="B476" s="22" t="s">
        <v>1419</v>
      </c>
      <c r="C476" s="23" t="s">
        <v>196</v>
      </c>
      <c r="D476" s="23" t="s">
        <v>463</v>
      </c>
      <c r="E476" s="24">
        <v>69.989999999999995</v>
      </c>
      <c r="F476" s="25">
        <v>104.04</v>
      </c>
      <c r="G476" s="26">
        <v>1</v>
      </c>
      <c r="H476" s="27">
        <v>3.8</v>
      </c>
      <c r="I476" s="26">
        <v>11</v>
      </c>
      <c r="J476" s="39" t="str">
        <f>HYPERLINK("https://amazon.com/dp/B0F5B9BDTX","View on Amazon")</f>
        <v>View on Amazon</v>
      </c>
      <c r="K476" s="23" t="s">
        <v>463</v>
      </c>
      <c r="L476" s="28" t="s">
        <v>460</v>
      </c>
    </row>
    <row r="477" spans="1:12" ht="68" x14ac:dyDescent="0.2">
      <c r="A477" s="13" t="s">
        <v>1420</v>
      </c>
      <c r="B477" s="14" t="s">
        <v>1421</v>
      </c>
      <c r="C477" s="15" t="s">
        <v>223</v>
      </c>
      <c r="D477" s="15" t="s">
        <v>463</v>
      </c>
      <c r="E477" s="16">
        <v>79.989999999999995</v>
      </c>
      <c r="F477" s="17">
        <v>102.69</v>
      </c>
      <c r="G477" s="18">
        <v>1</v>
      </c>
      <c r="H477" s="19">
        <v>5</v>
      </c>
      <c r="I477" s="18">
        <v>1</v>
      </c>
      <c r="J477" s="38" t="str">
        <f>HYPERLINK("https://amazon.com/dp/B0FZJ3DWGR","View on Amazon")</f>
        <v>View on Amazon</v>
      </c>
      <c r="K477" s="15" t="s">
        <v>463</v>
      </c>
      <c r="L477" s="20" t="s">
        <v>220</v>
      </c>
    </row>
    <row r="478" spans="1:12" ht="51" x14ac:dyDescent="0.2">
      <c r="A478" s="21" t="s">
        <v>1422</v>
      </c>
      <c r="B478" s="22" t="s">
        <v>1408</v>
      </c>
      <c r="C478" s="23" t="s">
        <v>105</v>
      </c>
      <c r="D478" s="23" t="s">
        <v>463</v>
      </c>
      <c r="E478" s="24">
        <v>45.99</v>
      </c>
      <c r="F478" s="25">
        <v>100.18</v>
      </c>
      <c r="G478" s="26">
        <v>2</v>
      </c>
      <c r="H478" s="27">
        <v>5</v>
      </c>
      <c r="I478" s="26">
        <v>4</v>
      </c>
      <c r="J478" s="39" t="str">
        <f>HYPERLINK("https://amazon.com/dp/B0DQTVS6QL","View on Amazon")</f>
        <v>View on Amazon</v>
      </c>
      <c r="K478" s="23" t="s">
        <v>463</v>
      </c>
      <c r="L478" s="28" t="s">
        <v>220</v>
      </c>
    </row>
    <row r="479" spans="1:12" ht="68" x14ac:dyDescent="0.2">
      <c r="A479" s="13" t="s">
        <v>1423</v>
      </c>
      <c r="B479" s="14" t="s">
        <v>1424</v>
      </c>
      <c r="C479" s="15" t="s">
        <v>187</v>
      </c>
      <c r="D479" s="15" t="s">
        <v>463</v>
      </c>
      <c r="E479" s="16">
        <v>32.99</v>
      </c>
      <c r="F479" s="17">
        <v>98.55</v>
      </c>
      <c r="G479" s="18">
        <v>3</v>
      </c>
      <c r="H479" s="19">
        <v>4</v>
      </c>
      <c r="I479" s="18">
        <v>1</v>
      </c>
      <c r="J479" s="38" t="str">
        <f>HYPERLINK("https://amazon.com/dp/B0D1TYFPTV","View on Amazon")</f>
        <v>View on Amazon</v>
      </c>
      <c r="K479" s="15" t="s">
        <v>463</v>
      </c>
      <c r="L479" s="20" t="s">
        <v>460</v>
      </c>
    </row>
    <row r="480" spans="1:12" ht="51" x14ac:dyDescent="0.2">
      <c r="A480" s="21" t="s">
        <v>1425</v>
      </c>
      <c r="B480" s="22" t="s">
        <v>1426</v>
      </c>
      <c r="C480" s="23" t="s">
        <v>140</v>
      </c>
      <c r="D480" s="23" t="s">
        <v>459</v>
      </c>
      <c r="E480" s="24">
        <v>97.99</v>
      </c>
      <c r="F480" s="25">
        <v>97.96</v>
      </c>
      <c r="G480" s="26">
        <v>1</v>
      </c>
      <c r="H480" s="27">
        <v>0</v>
      </c>
      <c r="I480" s="26">
        <v>0</v>
      </c>
      <c r="J480" s="39" t="str">
        <f>HYPERLINK("https://amazon.com/dp/B0DXL1DPGH","View on Amazon")</f>
        <v>View on Amazon</v>
      </c>
      <c r="K480" s="23" t="s">
        <v>459</v>
      </c>
      <c r="L480" s="28" t="s">
        <v>220</v>
      </c>
    </row>
    <row r="481" spans="1:12" ht="51" x14ac:dyDescent="0.2">
      <c r="A481" s="13" t="s">
        <v>1427</v>
      </c>
      <c r="B481" s="14" t="s">
        <v>1428</v>
      </c>
      <c r="C481" s="15" t="s">
        <v>91</v>
      </c>
      <c r="D481" s="15" t="s">
        <v>463</v>
      </c>
      <c r="E481" s="16">
        <v>52.99</v>
      </c>
      <c r="F481" s="17">
        <v>96.81</v>
      </c>
      <c r="G481" s="18">
        <v>2</v>
      </c>
      <c r="H481" s="19">
        <v>3.1</v>
      </c>
      <c r="I481" s="18">
        <v>5</v>
      </c>
      <c r="J481" s="38" t="str">
        <f>HYPERLINK("https://amazon.com/dp/B0DCWBTW43","View on Amazon")</f>
        <v>View on Amazon</v>
      </c>
      <c r="K481" s="15" t="s">
        <v>463</v>
      </c>
      <c r="L481" s="20" t="s">
        <v>460</v>
      </c>
    </row>
    <row r="482" spans="1:12" ht="34" x14ac:dyDescent="0.2">
      <c r="A482" s="21" t="s">
        <v>1429</v>
      </c>
      <c r="B482" s="22" t="s">
        <v>1430</v>
      </c>
      <c r="C482" s="23" t="s">
        <v>88</v>
      </c>
      <c r="D482" s="23" t="s">
        <v>463</v>
      </c>
      <c r="E482" s="24">
        <v>21.99</v>
      </c>
      <c r="F482" s="25">
        <v>95.28</v>
      </c>
      <c r="G482" s="26">
        <v>4</v>
      </c>
      <c r="H482" s="27">
        <v>3.4</v>
      </c>
      <c r="I482" s="26">
        <v>9</v>
      </c>
      <c r="J482" s="39" t="str">
        <f>HYPERLINK("https://amazon.com/dp/B0CQ29RYD1","View on Amazon")</f>
        <v>View on Amazon</v>
      </c>
      <c r="K482" s="23" t="s">
        <v>463</v>
      </c>
      <c r="L482" s="28" t="s">
        <v>460</v>
      </c>
    </row>
    <row r="483" spans="1:12" ht="34" x14ac:dyDescent="0.2">
      <c r="A483" s="13" t="s">
        <v>1431</v>
      </c>
      <c r="B483" s="14" t="s">
        <v>1432</v>
      </c>
      <c r="C483" s="15" t="s">
        <v>244</v>
      </c>
      <c r="D483" s="15" t="s">
        <v>459</v>
      </c>
      <c r="E483" s="16">
        <v>46.9</v>
      </c>
      <c r="F483" s="17">
        <v>95.19</v>
      </c>
      <c r="G483" s="18">
        <v>2</v>
      </c>
      <c r="H483" s="19">
        <v>3.4</v>
      </c>
      <c r="I483" s="18">
        <v>21</v>
      </c>
      <c r="J483" s="38" t="str">
        <f>HYPERLINK("https://amazon.com/dp/B0CCPDCTVL","View on Amazon")</f>
        <v>View on Amazon</v>
      </c>
      <c r="K483" s="15" t="s">
        <v>459</v>
      </c>
      <c r="L483" s="20" t="s">
        <v>460</v>
      </c>
    </row>
    <row r="484" spans="1:12" ht="51" x14ac:dyDescent="0.2">
      <c r="A484" s="21" t="s">
        <v>1433</v>
      </c>
      <c r="B484" s="22" t="s">
        <v>1434</v>
      </c>
      <c r="C484" s="23" t="s">
        <v>246</v>
      </c>
      <c r="D484" s="23" t="s">
        <v>463</v>
      </c>
      <c r="E484" s="24">
        <v>54.99</v>
      </c>
      <c r="F484" s="25">
        <v>92.86</v>
      </c>
      <c r="G484" s="26">
        <v>2</v>
      </c>
      <c r="H484" s="27">
        <v>3.8</v>
      </c>
      <c r="I484" s="26">
        <v>77</v>
      </c>
      <c r="J484" s="39" t="str">
        <f>HYPERLINK("https://amazon.com/dp/B0CNCVMPMZ","View on Amazon")</f>
        <v>View on Amazon</v>
      </c>
      <c r="K484" s="23" t="s">
        <v>463</v>
      </c>
      <c r="L484" s="28" t="s">
        <v>460</v>
      </c>
    </row>
    <row r="485" spans="1:12" ht="51" x14ac:dyDescent="0.2">
      <c r="A485" s="13" t="s">
        <v>1435</v>
      </c>
      <c r="B485" s="14" t="s">
        <v>1436</v>
      </c>
      <c r="C485" s="15" t="s">
        <v>251</v>
      </c>
      <c r="D485" s="15" t="s">
        <v>463</v>
      </c>
      <c r="E485" s="16">
        <v>45.99</v>
      </c>
      <c r="F485" s="17">
        <v>91.98</v>
      </c>
      <c r="G485" s="18">
        <v>2</v>
      </c>
      <c r="H485" s="19">
        <v>0</v>
      </c>
      <c r="I485" s="18">
        <v>0</v>
      </c>
      <c r="J485" s="38" t="str">
        <f>HYPERLINK("https://amazon.com/dp/B0DWV855G1","View on Amazon")</f>
        <v>View on Amazon</v>
      </c>
      <c r="K485" s="15" t="s">
        <v>463</v>
      </c>
      <c r="L485" s="20" t="s">
        <v>1297</v>
      </c>
    </row>
    <row r="486" spans="1:12" ht="68" x14ac:dyDescent="0.2">
      <c r="A486" s="21" t="s">
        <v>1437</v>
      </c>
      <c r="B486" s="22" t="s">
        <v>1438</v>
      </c>
      <c r="C486" s="23" t="s">
        <v>82</v>
      </c>
      <c r="D486" s="23" t="s">
        <v>463</v>
      </c>
      <c r="E486" s="24">
        <v>169.99</v>
      </c>
      <c r="F486" s="25">
        <v>90.12</v>
      </c>
      <c r="G486" s="26">
        <v>1</v>
      </c>
      <c r="H486" s="27">
        <v>4.4000000000000004</v>
      </c>
      <c r="I486" s="26">
        <v>18</v>
      </c>
      <c r="J486" s="39" t="str">
        <f>HYPERLINK("https://amazon.com/dp/B0F5GZZ3NX","View on Amazon")</f>
        <v>View on Amazon</v>
      </c>
      <c r="K486" s="23" t="s">
        <v>463</v>
      </c>
      <c r="L486" s="28" t="s">
        <v>460</v>
      </c>
    </row>
    <row r="487" spans="1:12" ht="51" x14ac:dyDescent="0.2">
      <c r="A487" s="13" t="s">
        <v>1439</v>
      </c>
      <c r="B487" s="14" t="s">
        <v>1440</v>
      </c>
      <c r="C487" s="15" t="s">
        <v>253</v>
      </c>
      <c r="D487" s="15" t="s">
        <v>463</v>
      </c>
      <c r="E487" s="16">
        <v>89.99</v>
      </c>
      <c r="F487" s="17">
        <v>89.97</v>
      </c>
      <c r="G487" s="18">
        <v>1</v>
      </c>
      <c r="H487" s="19">
        <v>0</v>
      </c>
      <c r="I487" s="18">
        <v>0</v>
      </c>
      <c r="J487" s="38" t="str">
        <f>HYPERLINK("https://amazon.com/dp/B0DRFY4W3Q","View on Amazon")</f>
        <v>View on Amazon</v>
      </c>
      <c r="K487" s="15" t="s">
        <v>463</v>
      </c>
      <c r="L487" s="20" t="s">
        <v>460</v>
      </c>
    </row>
    <row r="488" spans="1:12" ht="68" x14ac:dyDescent="0.2">
      <c r="A488" s="21" t="s">
        <v>1441</v>
      </c>
      <c r="B488" s="22" t="s">
        <v>1442</v>
      </c>
      <c r="C488" s="23" t="s">
        <v>215</v>
      </c>
      <c r="D488" s="23" t="s">
        <v>463</v>
      </c>
      <c r="E488" s="24">
        <v>49.95</v>
      </c>
      <c r="F488" s="25">
        <v>89.44</v>
      </c>
      <c r="G488" s="26">
        <v>2</v>
      </c>
      <c r="H488" s="27">
        <v>4.5999999999999996</v>
      </c>
      <c r="I488" s="26">
        <v>24</v>
      </c>
      <c r="J488" s="39" t="str">
        <f>HYPERLINK("https://amazon.com/dp/B0FHDMX7KG","View on Amazon")</f>
        <v>View on Amazon</v>
      </c>
      <c r="K488" s="23" t="s">
        <v>463</v>
      </c>
      <c r="L488" s="28" t="s">
        <v>220</v>
      </c>
    </row>
    <row r="489" spans="1:12" ht="34" x14ac:dyDescent="0.2">
      <c r="A489" s="13" t="s">
        <v>1443</v>
      </c>
      <c r="B489" s="14" t="s">
        <v>1444</v>
      </c>
      <c r="C489" s="15" t="s">
        <v>132</v>
      </c>
      <c r="D489" s="15" t="s">
        <v>463</v>
      </c>
      <c r="E489" s="16">
        <v>34.99</v>
      </c>
      <c r="F489" s="17">
        <v>89.44</v>
      </c>
      <c r="G489" s="18">
        <v>3</v>
      </c>
      <c r="H489" s="19">
        <v>4.7</v>
      </c>
      <c r="I489" s="18">
        <v>5</v>
      </c>
      <c r="J489" s="38" t="str">
        <f>HYPERLINK("https://amazon.com/dp/B0BPZT136P","View on Amazon")</f>
        <v>View on Amazon</v>
      </c>
      <c r="K489" s="15" t="s">
        <v>463</v>
      </c>
      <c r="L489" s="20" t="s">
        <v>220</v>
      </c>
    </row>
    <row r="490" spans="1:12" ht="68" x14ac:dyDescent="0.2">
      <c r="A490" s="21" t="s">
        <v>1445</v>
      </c>
      <c r="B490" s="22" t="s">
        <v>1446</v>
      </c>
      <c r="C490" s="23" t="s">
        <v>187</v>
      </c>
      <c r="D490" s="23" t="s">
        <v>463</v>
      </c>
      <c r="E490" s="24">
        <v>34.99</v>
      </c>
      <c r="F490" s="25">
        <v>88.38</v>
      </c>
      <c r="G490" s="26">
        <v>3</v>
      </c>
      <c r="H490" s="27">
        <v>5</v>
      </c>
      <c r="I490" s="26">
        <v>10</v>
      </c>
      <c r="J490" s="39" t="str">
        <f>HYPERLINK("https://amazon.com/dp/B0D1TXNPF7","View on Amazon")</f>
        <v>View on Amazon</v>
      </c>
      <c r="K490" s="23" t="s">
        <v>463</v>
      </c>
      <c r="L490" s="28" t="s">
        <v>460</v>
      </c>
    </row>
    <row r="491" spans="1:12" ht="51" x14ac:dyDescent="0.2">
      <c r="A491" s="13" t="s">
        <v>1447</v>
      </c>
      <c r="B491" s="14" t="s">
        <v>1448</v>
      </c>
      <c r="C491" s="15" t="s">
        <v>98</v>
      </c>
      <c r="D491" s="15" t="s">
        <v>463</v>
      </c>
      <c r="E491" s="16">
        <v>21.99</v>
      </c>
      <c r="F491" s="17">
        <v>87.88</v>
      </c>
      <c r="G491" s="18">
        <v>4</v>
      </c>
      <c r="H491" s="19">
        <v>3.9</v>
      </c>
      <c r="I491" s="18">
        <v>28</v>
      </c>
      <c r="J491" s="38" t="str">
        <f>HYPERLINK("https://amazon.com/dp/B0C85XBJ9S","View on Amazon")</f>
        <v>View on Amazon</v>
      </c>
      <c r="K491" s="15" t="s">
        <v>463</v>
      </c>
      <c r="L491" s="20" t="s">
        <v>460</v>
      </c>
    </row>
    <row r="492" spans="1:12" ht="51" x14ac:dyDescent="0.2">
      <c r="A492" s="21" t="s">
        <v>1449</v>
      </c>
      <c r="B492" s="22" t="s">
        <v>1450</v>
      </c>
      <c r="C492" s="23" t="s">
        <v>235</v>
      </c>
      <c r="D492" s="23" t="s">
        <v>459</v>
      </c>
      <c r="E492" s="24">
        <v>14.61</v>
      </c>
      <c r="F492" s="25">
        <v>87.43</v>
      </c>
      <c r="G492" s="26">
        <v>6</v>
      </c>
      <c r="H492" s="27">
        <v>5</v>
      </c>
      <c r="I492" s="26">
        <v>2</v>
      </c>
      <c r="J492" s="39" t="str">
        <f>HYPERLINK("https://amazon.com/dp/B0CX8XT1KM","View on Amazon")</f>
        <v>View on Amazon</v>
      </c>
      <c r="K492" s="23" t="s">
        <v>459</v>
      </c>
      <c r="L492" s="28" t="s">
        <v>1297</v>
      </c>
    </row>
    <row r="493" spans="1:12" ht="68" x14ac:dyDescent="0.2">
      <c r="A493" s="13" t="s">
        <v>1451</v>
      </c>
      <c r="B493" s="14" t="s">
        <v>1452</v>
      </c>
      <c r="C493" s="15" t="s">
        <v>187</v>
      </c>
      <c r="D493" s="15" t="s">
        <v>463</v>
      </c>
      <c r="E493" s="16">
        <v>34.99</v>
      </c>
      <c r="F493" s="17">
        <v>86.63</v>
      </c>
      <c r="G493" s="18">
        <v>2</v>
      </c>
      <c r="H493" s="19">
        <v>4.5</v>
      </c>
      <c r="I493" s="18">
        <v>12</v>
      </c>
      <c r="J493" s="38" t="str">
        <f>HYPERLINK("https://amazon.com/dp/B0D1TTPV4J","View on Amazon")</f>
        <v>View on Amazon</v>
      </c>
      <c r="K493" s="15" t="s">
        <v>463</v>
      </c>
      <c r="L493" s="20" t="s">
        <v>460</v>
      </c>
    </row>
    <row r="494" spans="1:12" ht="51" x14ac:dyDescent="0.2">
      <c r="A494" s="21" t="s">
        <v>1453</v>
      </c>
      <c r="B494" s="22" t="s">
        <v>1454</v>
      </c>
      <c r="C494" s="23" t="s">
        <v>151</v>
      </c>
      <c r="D494" s="23" t="s">
        <v>463</v>
      </c>
      <c r="E494" s="24">
        <v>25.99</v>
      </c>
      <c r="F494" s="25">
        <v>86.53</v>
      </c>
      <c r="G494" s="26">
        <v>3</v>
      </c>
      <c r="H494" s="27">
        <v>0</v>
      </c>
      <c r="I494" s="26">
        <v>0</v>
      </c>
      <c r="J494" s="39" t="str">
        <f>HYPERLINK("https://amazon.com/dp/B0CXR1GHVZ","View on Amazon")</f>
        <v>View on Amazon</v>
      </c>
      <c r="K494" s="23" t="s">
        <v>463</v>
      </c>
      <c r="L494" s="28" t="s">
        <v>1297</v>
      </c>
    </row>
    <row r="495" spans="1:12" ht="51" x14ac:dyDescent="0.2">
      <c r="A495" s="13" t="s">
        <v>1455</v>
      </c>
      <c r="B495" s="14" t="s">
        <v>1456</v>
      </c>
      <c r="C495" s="15" t="s">
        <v>254</v>
      </c>
      <c r="D495" s="15" t="s">
        <v>463</v>
      </c>
      <c r="E495" s="16">
        <v>49.99</v>
      </c>
      <c r="F495" s="17">
        <v>85.04</v>
      </c>
      <c r="G495" s="18">
        <v>3</v>
      </c>
      <c r="H495" s="19">
        <v>0</v>
      </c>
      <c r="I495" s="18">
        <v>0</v>
      </c>
      <c r="J495" s="38" t="str">
        <f>HYPERLINK("https://amazon.com/dp/B0D7GZGW3L","View on Amazon")</f>
        <v>View on Amazon</v>
      </c>
      <c r="K495" s="15" t="s">
        <v>463</v>
      </c>
      <c r="L495" s="20" t="s">
        <v>460</v>
      </c>
    </row>
    <row r="496" spans="1:12" ht="51" x14ac:dyDescent="0.2">
      <c r="A496" s="21" t="s">
        <v>1457</v>
      </c>
      <c r="B496" s="22" t="s">
        <v>1458</v>
      </c>
      <c r="C496" s="23" t="s">
        <v>162</v>
      </c>
      <c r="D496" s="23" t="s">
        <v>463</v>
      </c>
      <c r="E496" s="24">
        <v>45.98</v>
      </c>
      <c r="F496" s="25">
        <v>84.14</v>
      </c>
      <c r="G496" s="26">
        <v>2</v>
      </c>
      <c r="H496" s="27">
        <v>5</v>
      </c>
      <c r="I496" s="26">
        <v>4</v>
      </c>
      <c r="J496" s="39" t="str">
        <f>HYPERLINK("https://amazon.com/dp/B0DGSZB491","View on Amazon")</f>
        <v>View on Amazon</v>
      </c>
      <c r="K496" s="23" t="s">
        <v>463</v>
      </c>
      <c r="L496" s="28" t="s">
        <v>460</v>
      </c>
    </row>
    <row r="497" spans="1:12" ht="68" x14ac:dyDescent="0.2">
      <c r="A497" s="13" t="s">
        <v>1459</v>
      </c>
      <c r="B497" s="14" t="s">
        <v>1460</v>
      </c>
      <c r="C497" s="15" t="s">
        <v>187</v>
      </c>
      <c r="D497" s="15" t="s">
        <v>463</v>
      </c>
      <c r="E497" s="16">
        <v>34.99</v>
      </c>
      <c r="F497" s="17">
        <v>83.61</v>
      </c>
      <c r="G497" s="18">
        <v>2</v>
      </c>
      <c r="H497" s="19">
        <v>4.5</v>
      </c>
      <c r="I497" s="18">
        <v>12</v>
      </c>
      <c r="J497" s="38" t="str">
        <f>HYPERLINK("https://amazon.com/dp/B0D1TWLFMH","View on Amazon")</f>
        <v>View on Amazon</v>
      </c>
      <c r="K497" s="15" t="s">
        <v>463</v>
      </c>
      <c r="L497" s="20" t="s">
        <v>460</v>
      </c>
    </row>
    <row r="498" spans="1:12" ht="68" x14ac:dyDescent="0.2">
      <c r="A498" s="21" t="s">
        <v>1461</v>
      </c>
      <c r="B498" s="22" t="s">
        <v>1462</v>
      </c>
      <c r="C498" s="23" t="s">
        <v>255</v>
      </c>
      <c r="D498" s="23" t="s">
        <v>463</v>
      </c>
      <c r="E498" s="24">
        <v>79.989999999999995</v>
      </c>
      <c r="F498" s="25">
        <v>82.07</v>
      </c>
      <c r="G498" s="26">
        <v>1</v>
      </c>
      <c r="H498" s="27">
        <v>4.3</v>
      </c>
      <c r="I498" s="26">
        <v>77</v>
      </c>
      <c r="J498" s="39" t="str">
        <f>HYPERLINK("https://amazon.com/dp/B0DQ7YG36P","View on Amazon")</f>
        <v>View on Amazon</v>
      </c>
      <c r="K498" s="23" t="s">
        <v>463</v>
      </c>
      <c r="L498" s="28" t="s">
        <v>460</v>
      </c>
    </row>
    <row r="499" spans="1:12" ht="68" x14ac:dyDescent="0.2">
      <c r="A499" s="13" t="s">
        <v>1463</v>
      </c>
      <c r="B499" s="14" t="s">
        <v>1464</v>
      </c>
      <c r="C499" s="15" t="s">
        <v>256</v>
      </c>
      <c r="D499" s="15" t="s">
        <v>463</v>
      </c>
      <c r="E499" s="16">
        <v>69.989999999999995</v>
      </c>
      <c r="F499" s="17">
        <v>80.16</v>
      </c>
      <c r="G499" s="18">
        <v>1</v>
      </c>
      <c r="H499" s="19">
        <v>3.9</v>
      </c>
      <c r="I499" s="18">
        <v>47</v>
      </c>
      <c r="J499" s="38" t="str">
        <f>HYPERLINK("https://amazon.com/dp/B0BZ789CGK","View on Amazon")</f>
        <v>View on Amazon</v>
      </c>
      <c r="K499" s="15" t="s">
        <v>463</v>
      </c>
      <c r="L499" s="20" t="s">
        <v>460</v>
      </c>
    </row>
    <row r="500" spans="1:12" ht="51" x14ac:dyDescent="0.2">
      <c r="A500" s="21" t="s">
        <v>1465</v>
      </c>
      <c r="B500" s="22" t="s">
        <v>1466</v>
      </c>
      <c r="C500" s="23" t="s">
        <v>223</v>
      </c>
      <c r="D500" s="23" t="s">
        <v>463</v>
      </c>
      <c r="E500" s="24">
        <v>77.98</v>
      </c>
      <c r="F500" s="25">
        <v>79.97</v>
      </c>
      <c r="G500" s="26">
        <v>1</v>
      </c>
      <c r="H500" s="27">
        <v>5</v>
      </c>
      <c r="I500" s="26">
        <v>3</v>
      </c>
      <c r="J500" s="39" t="str">
        <f>HYPERLINK("https://amazon.com/dp/B0GJCYMXN7","View on Amazon")</f>
        <v>View on Amazon</v>
      </c>
      <c r="K500" s="23" t="s">
        <v>463</v>
      </c>
      <c r="L500" s="28" t="s">
        <v>220</v>
      </c>
    </row>
    <row r="501" spans="1:12" ht="68" x14ac:dyDescent="0.2">
      <c r="A501" s="13" t="s">
        <v>1467</v>
      </c>
      <c r="B501" s="14" t="s">
        <v>1468</v>
      </c>
      <c r="C501" s="15" t="s">
        <v>186</v>
      </c>
      <c r="D501" s="15" t="s">
        <v>463</v>
      </c>
      <c r="E501" s="16">
        <v>59.99</v>
      </c>
      <c r="F501" s="17">
        <v>79.650000000000006</v>
      </c>
      <c r="G501" s="18">
        <v>1</v>
      </c>
      <c r="H501" s="19">
        <v>3.9</v>
      </c>
      <c r="I501" s="18">
        <v>19</v>
      </c>
      <c r="J501" s="38" t="str">
        <f>HYPERLINK("https://amazon.com/dp/B0BXX6PVGS","View on Amazon")</f>
        <v>View on Amazon</v>
      </c>
      <c r="K501" s="15" t="s">
        <v>463</v>
      </c>
      <c r="L501" s="20" t="s">
        <v>460</v>
      </c>
    </row>
    <row r="502" spans="1:12" ht="51" x14ac:dyDescent="0.2">
      <c r="A502" s="21" t="s">
        <v>1469</v>
      </c>
      <c r="B502" s="22" t="s">
        <v>1470</v>
      </c>
      <c r="C502" s="23" t="s">
        <v>151</v>
      </c>
      <c r="D502" s="23" t="s">
        <v>459</v>
      </c>
      <c r="E502" s="24">
        <v>16.989999999999998</v>
      </c>
      <c r="F502" s="25">
        <v>78.790000000000006</v>
      </c>
      <c r="G502" s="26">
        <v>5</v>
      </c>
      <c r="H502" s="27">
        <v>5</v>
      </c>
      <c r="I502" s="26">
        <v>7</v>
      </c>
      <c r="J502" s="39" t="str">
        <f>HYPERLINK("https://amazon.com/dp/B0CY3BY2GH","View on Amazon")</f>
        <v>View on Amazon</v>
      </c>
      <c r="K502" s="23" t="s">
        <v>459</v>
      </c>
      <c r="L502" s="28" t="s">
        <v>1297</v>
      </c>
    </row>
    <row r="503" spans="1:12" ht="68" x14ac:dyDescent="0.2">
      <c r="A503" s="13" t="s">
        <v>1471</v>
      </c>
      <c r="B503" s="14" t="s">
        <v>1472</v>
      </c>
      <c r="C503" s="15" t="s">
        <v>189</v>
      </c>
      <c r="D503" s="15" t="s">
        <v>463</v>
      </c>
      <c r="E503" s="16">
        <v>29.98</v>
      </c>
      <c r="F503" s="17">
        <v>78.48</v>
      </c>
      <c r="G503" s="18">
        <v>1</v>
      </c>
      <c r="H503" s="19">
        <v>4.3</v>
      </c>
      <c r="I503" s="18">
        <v>30</v>
      </c>
      <c r="J503" s="38" t="str">
        <f>HYPERLINK("https://amazon.com/dp/B0DRJ9CT4P","View on Amazon")</f>
        <v>View on Amazon</v>
      </c>
      <c r="K503" s="15" t="s">
        <v>463</v>
      </c>
      <c r="L503" s="20" t="s">
        <v>460</v>
      </c>
    </row>
    <row r="504" spans="1:12" ht="68" x14ac:dyDescent="0.2">
      <c r="A504" s="21" t="s">
        <v>1473</v>
      </c>
      <c r="B504" s="22" t="s">
        <v>1474</v>
      </c>
      <c r="C504" s="23" t="s">
        <v>213</v>
      </c>
      <c r="D504" s="23" t="s">
        <v>463</v>
      </c>
      <c r="E504" s="24">
        <v>79.900000000000006</v>
      </c>
      <c r="F504" s="25">
        <v>77.42</v>
      </c>
      <c r="G504" s="26">
        <v>1</v>
      </c>
      <c r="H504" s="27">
        <v>0</v>
      </c>
      <c r="I504" s="26">
        <v>0</v>
      </c>
      <c r="J504" s="39" t="str">
        <f>HYPERLINK("https://amazon.com/dp/B0CPVK1SF3","View on Amazon")</f>
        <v>View on Amazon</v>
      </c>
      <c r="K504" s="23" t="s">
        <v>463</v>
      </c>
      <c r="L504" s="28" t="s">
        <v>220</v>
      </c>
    </row>
    <row r="505" spans="1:12" ht="17" x14ac:dyDescent="0.2">
      <c r="A505" s="13" t="s">
        <v>1475</v>
      </c>
      <c r="B505" s="14" t="s">
        <v>1476</v>
      </c>
      <c r="C505" s="15" t="s">
        <v>17</v>
      </c>
      <c r="D505" s="15" t="s">
        <v>459</v>
      </c>
      <c r="E505" s="16">
        <v>83.61</v>
      </c>
      <c r="F505" s="17">
        <v>77.3</v>
      </c>
      <c r="G505" s="18">
        <v>1</v>
      </c>
      <c r="H505" s="19">
        <v>1</v>
      </c>
      <c r="I505" s="18">
        <v>1</v>
      </c>
      <c r="J505" s="38" t="str">
        <f>HYPERLINK("https://amazon.com/dp/B0CCS8R7KN","View on Amazon")</f>
        <v>View on Amazon</v>
      </c>
      <c r="K505" s="15" t="s">
        <v>459</v>
      </c>
      <c r="L505" s="20" t="s">
        <v>460</v>
      </c>
    </row>
    <row r="506" spans="1:12" ht="51" x14ac:dyDescent="0.2">
      <c r="A506" s="21" t="s">
        <v>1477</v>
      </c>
      <c r="B506" s="22" t="s">
        <v>1478</v>
      </c>
      <c r="C506" s="23" t="s">
        <v>151</v>
      </c>
      <c r="D506" s="23" t="s">
        <v>459</v>
      </c>
      <c r="E506" s="24">
        <v>16.989999999999998</v>
      </c>
      <c r="F506" s="25">
        <v>76.86</v>
      </c>
      <c r="G506" s="26">
        <v>5</v>
      </c>
      <c r="H506" s="27">
        <v>5</v>
      </c>
      <c r="I506" s="26">
        <v>7</v>
      </c>
      <c r="J506" s="39" t="str">
        <f>HYPERLINK("https://amazon.com/dp/B0CY3DG7HP","View on Amazon")</f>
        <v>View on Amazon</v>
      </c>
      <c r="K506" s="23" t="s">
        <v>459</v>
      </c>
      <c r="L506" s="28" t="s">
        <v>1297</v>
      </c>
    </row>
    <row r="507" spans="1:12" ht="51" x14ac:dyDescent="0.2">
      <c r="A507" s="13" t="s">
        <v>1479</v>
      </c>
      <c r="B507" s="14" t="s">
        <v>1480</v>
      </c>
      <c r="C507" s="15" t="s">
        <v>151</v>
      </c>
      <c r="D507" s="15" t="s">
        <v>459</v>
      </c>
      <c r="E507" s="16">
        <v>16.989999999999998</v>
      </c>
      <c r="F507" s="17">
        <v>75.239999999999995</v>
      </c>
      <c r="G507" s="18">
        <v>4</v>
      </c>
      <c r="H507" s="19">
        <v>5</v>
      </c>
      <c r="I507" s="18">
        <v>7</v>
      </c>
      <c r="J507" s="38" t="str">
        <f>HYPERLINK("https://amazon.com/dp/B0CY39HFY5","View on Amazon")</f>
        <v>View on Amazon</v>
      </c>
      <c r="K507" s="15" t="s">
        <v>459</v>
      </c>
      <c r="L507" s="20" t="s">
        <v>1297</v>
      </c>
    </row>
    <row r="508" spans="1:12" ht="51" x14ac:dyDescent="0.2">
      <c r="A508" s="21" t="s">
        <v>1481</v>
      </c>
      <c r="B508" s="22" t="s">
        <v>1482</v>
      </c>
      <c r="C508" s="23" t="s">
        <v>151</v>
      </c>
      <c r="D508" s="23" t="s">
        <v>459</v>
      </c>
      <c r="E508" s="24">
        <v>16.989999999999998</v>
      </c>
      <c r="F508" s="25">
        <v>74.77</v>
      </c>
      <c r="G508" s="26">
        <v>4</v>
      </c>
      <c r="H508" s="27">
        <v>5</v>
      </c>
      <c r="I508" s="26">
        <v>7</v>
      </c>
      <c r="J508" s="39" t="str">
        <f>HYPERLINK("https://amazon.com/dp/B0CY3BYRJ4","View on Amazon")</f>
        <v>View on Amazon</v>
      </c>
      <c r="K508" s="23" t="s">
        <v>459</v>
      </c>
      <c r="L508" s="28" t="s">
        <v>1297</v>
      </c>
    </row>
    <row r="509" spans="1:12" ht="51" x14ac:dyDescent="0.2">
      <c r="A509" s="13" t="s">
        <v>1483</v>
      </c>
      <c r="B509" s="14" t="s">
        <v>1484</v>
      </c>
      <c r="C509" s="15" t="s">
        <v>258</v>
      </c>
      <c r="D509" s="15" t="s">
        <v>459</v>
      </c>
      <c r="E509" s="16">
        <v>18.489999999999998</v>
      </c>
      <c r="F509" s="17">
        <v>73.17</v>
      </c>
      <c r="G509" s="18">
        <v>5</v>
      </c>
      <c r="H509" s="19">
        <v>0</v>
      </c>
      <c r="I509" s="18">
        <v>0</v>
      </c>
      <c r="J509" s="38" t="str">
        <f>HYPERLINK("https://amazon.com/dp/B0F9YZPW5M","View on Amazon")</f>
        <v>View on Amazon</v>
      </c>
      <c r="K509" s="15" t="s">
        <v>459</v>
      </c>
      <c r="L509" s="20" t="s">
        <v>460</v>
      </c>
    </row>
    <row r="510" spans="1:12" ht="51" x14ac:dyDescent="0.2">
      <c r="A510" s="21" t="s">
        <v>1485</v>
      </c>
      <c r="B510" s="22" t="s">
        <v>1486</v>
      </c>
      <c r="C510" s="23" t="s">
        <v>151</v>
      </c>
      <c r="D510" s="23" t="s">
        <v>459</v>
      </c>
      <c r="E510" s="24">
        <v>16.989999999999998</v>
      </c>
      <c r="F510" s="25">
        <v>72.7</v>
      </c>
      <c r="G510" s="26">
        <v>4</v>
      </c>
      <c r="H510" s="27">
        <v>5</v>
      </c>
      <c r="I510" s="26">
        <v>7</v>
      </c>
      <c r="J510" s="39" t="str">
        <f>HYPERLINK("https://amazon.com/dp/B0CY3GTM5S","View on Amazon")</f>
        <v>View on Amazon</v>
      </c>
      <c r="K510" s="23" t="s">
        <v>459</v>
      </c>
      <c r="L510" s="28" t="s">
        <v>1297</v>
      </c>
    </row>
    <row r="511" spans="1:12" ht="34" x14ac:dyDescent="0.2">
      <c r="A511" s="13" t="s">
        <v>1487</v>
      </c>
      <c r="B511" s="14" t="s">
        <v>1488</v>
      </c>
      <c r="C511" s="15" t="s">
        <v>259</v>
      </c>
      <c r="D511" s="15" t="s">
        <v>459</v>
      </c>
      <c r="E511" s="16">
        <v>58.86</v>
      </c>
      <c r="F511" s="17">
        <v>72.08</v>
      </c>
      <c r="G511" s="18">
        <v>1</v>
      </c>
      <c r="H511" s="19">
        <v>0</v>
      </c>
      <c r="I511" s="18">
        <v>0</v>
      </c>
      <c r="J511" s="38" t="str">
        <f>HYPERLINK("https://amazon.com/dp/B0DXNY1YQ7","View on Amazon")</f>
        <v>View on Amazon</v>
      </c>
      <c r="K511" s="15" t="s">
        <v>459</v>
      </c>
      <c r="L511" s="20" t="s">
        <v>220</v>
      </c>
    </row>
    <row r="512" spans="1:12" ht="51" x14ac:dyDescent="0.2">
      <c r="A512" s="21" t="s">
        <v>1489</v>
      </c>
      <c r="B512" s="22" t="s">
        <v>1490</v>
      </c>
      <c r="C512" s="23" t="s">
        <v>170</v>
      </c>
      <c r="D512" s="23" t="s">
        <v>463</v>
      </c>
      <c r="E512" s="24">
        <v>58.66</v>
      </c>
      <c r="F512" s="25">
        <v>70.87</v>
      </c>
      <c r="G512" s="26">
        <v>1</v>
      </c>
      <c r="H512" s="27">
        <v>1</v>
      </c>
      <c r="I512" s="26">
        <v>1</v>
      </c>
      <c r="J512" s="39" t="str">
        <f>HYPERLINK("https://amazon.com/dp/B0DBGG2BPW","View on Amazon")</f>
        <v>View on Amazon</v>
      </c>
      <c r="K512" s="23" t="s">
        <v>463</v>
      </c>
      <c r="L512" s="28" t="s">
        <v>460</v>
      </c>
    </row>
    <row r="513" spans="1:12" ht="68" x14ac:dyDescent="0.2">
      <c r="A513" s="13" t="s">
        <v>1491</v>
      </c>
      <c r="B513" s="14" t="s">
        <v>1492</v>
      </c>
      <c r="C513" s="15" t="s">
        <v>260</v>
      </c>
      <c r="D513" s="15" t="s">
        <v>463</v>
      </c>
      <c r="E513" s="16">
        <v>6.99</v>
      </c>
      <c r="F513" s="17">
        <v>70.52</v>
      </c>
      <c r="G513" s="18">
        <v>10</v>
      </c>
      <c r="H513" s="19">
        <v>3.8</v>
      </c>
      <c r="I513" s="18">
        <v>6</v>
      </c>
      <c r="J513" s="38" t="str">
        <f>HYPERLINK("https://amazon.com/dp/B0DXV9GDL7","View on Amazon")</f>
        <v>View on Amazon</v>
      </c>
      <c r="K513" s="15" t="s">
        <v>463</v>
      </c>
      <c r="L513" s="20" t="s">
        <v>460</v>
      </c>
    </row>
    <row r="514" spans="1:12" ht="68" x14ac:dyDescent="0.2">
      <c r="A514" s="21" t="s">
        <v>1493</v>
      </c>
      <c r="B514" s="22" t="s">
        <v>1494</v>
      </c>
      <c r="C514" s="23" t="s">
        <v>261</v>
      </c>
      <c r="D514" s="23" t="s">
        <v>463</v>
      </c>
      <c r="E514" s="24">
        <v>69.989999999999995</v>
      </c>
      <c r="F514" s="25">
        <v>70.459999999999994</v>
      </c>
      <c r="G514" s="26">
        <v>1</v>
      </c>
      <c r="H514" s="27">
        <v>4.4000000000000004</v>
      </c>
      <c r="I514" s="26">
        <v>11</v>
      </c>
      <c r="J514" s="39" t="str">
        <f>HYPERLINK("https://amazon.com/dp/B0DSPKG239","View on Amazon")</f>
        <v>View on Amazon</v>
      </c>
      <c r="K514" s="23" t="s">
        <v>463</v>
      </c>
      <c r="L514" s="28" t="s">
        <v>460</v>
      </c>
    </row>
    <row r="515" spans="1:12" ht="51" x14ac:dyDescent="0.2">
      <c r="A515" s="13" t="s">
        <v>1495</v>
      </c>
      <c r="B515" s="14" t="s">
        <v>1496</v>
      </c>
      <c r="C515" s="15" t="s">
        <v>64</v>
      </c>
      <c r="D515" s="15" t="s">
        <v>463</v>
      </c>
      <c r="E515" s="16">
        <v>119.99</v>
      </c>
      <c r="F515" s="17">
        <v>69.91</v>
      </c>
      <c r="G515" s="18">
        <v>1</v>
      </c>
      <c r="H515" s="19">
        <v>3.7</v>
      </c>
      <c r="I515" s="18">
        <v>23</v>
      </c>
      <c r="J515" s="38" t="str">
        <f>HYPERLINK("https://amazon.com/dp/B0D5MCMLHD","View on Amazon")</f>
        <v>View on Amazon</v>
      </c>
      <c r="K515" s="15" t="s">
        <v>463</v>
      </c>
      <c r="L515" s="20" t="s">
        <v>460</v>
      </c>
    </row>
    <row r="516" spans="1:12" ht="51" x14ac:dyDescent="0.2">
      <c r="A516" s="21" t="s">
        <v>1497</v>
      </c>
      <c r="B516" s="22" t="s">
        <v>1498</v>
      </c>
      <c r="C516" s="23" t="s">
        <v>262</v>
      </c>
      <c r="D516" s="23" t="s">
        <v>463</v>
      </c>
      <c r="E516" s="24">
        <v>29.99</v>
      </c>
      <c r="F516" s="25">
        <v>69.88</v>
      </c>
      <c r="G516" s="26">
        <v>2</v>
      </c>
      <c r="H516" s="27">
        <v>2.9</v>
      </c>
      <c r="I516" s="26">
        <v>4</v>
      </c>
      <c r="J516" s="39" t="str">
        <f>HYPERLINK("https://amazon.com/dp/B0BYHNLW24","View on Amazon")</f>
        <v>View on Amazon</v>
      </c>
      <c r="K516" s="23" t="s">
        <v>463</v>
      </c>
      <c r="L516" s="28" t="s">
        <v>460</v>
      </c>
    </row>
    <row r="517" spans="1:12" ht="51" x14ac:dyDescent="0.2">
      <c r="A517" s="13" t="s">
        <v>1499</v>
      </c>
      <c r="B517" s="14" t="s">
        <v>1500</v>
      </c>
      <c r="C517" s="15" t="s">
        <v>247</v>
      </c>
      <c r="D517" s="15" t="s">
        <v>463</v>
      </c>
      <c r="E517" s="16">
        <v>54.99</v>
      </c>
      <c r="F517" s="17">
        <v>69.510000000000005</v>
      </c>
      <c r="G517" s="18">
        <v>1</v>
      </c>
      <c r="H517" s="19">
        <v>4.2</v>
      </c>
      <c r="I517" s="18">
        <v>376</v>
      </c>
      <c r="J517" s="38" t="str">
        <f>HYPERLINK("https://amazon.com/dp/B0CVWXJP3K","View on Amazon")</f>
        <v>View on Amazon</v>
      </c>
      <c r="K517" s="15" t="s">
        <v>463</v>
      </c>
      <c r="L517" s="20" t="s">
        <v>460</v>
      </c>
    </row>
    <row r="518" spans="1:12" ht="51" x14ac:dyDescent="0.2">
      <c r="A518" s="21" t="s">
        <v>1501</v>
      </c>
      <c r="B518" s="22" t="s">
        <v>1502</v>
      </c>
      <c r="C518" s="23" t="s">
        <v>132</v>
      </c>
      <c r="D518" s="23" t="s">
        <v>463</v>
      </c>
      <c r="E518" s="24">
        <v>39.99</v>
      </c>
      <c r="F518" s="25">
        <v>68.849999999999994</v>
      </c>
      <c r="G518" s="26">
        <v>2</v>
      </c>
      <c r="H518" s="27">
        <v>5</v>
      </c>
      <c r="I518" s="26">
        <v>1</v>
      </c>
      <c r="J518" s="39" t="str">
        <f>HYPERLINK("https://amazon.com/dp/B0G1SQKR98","View on Amazon")</f>
        <v>View on Amazon</v>
      </c>
      <c r="K518" s="23" t="s">
        <v>463</v>
      </c>
      <c r="L518" s="28" t="s">
        <v>220</v>
      </c>
    </row>
    <row r="519" spans="1:12" ht="34" x14ac:dyDescent="0.2">
      <c r="A519" s="13" t="s">
        <v>1503</v>
      </c>
      <c r="B519" s="14" t="s">
        <v>1504</v>
      </c>
      <c r="C519" s="15" t="s">
        <v>234</v>
      </c>
      <c r="D519" s="15" t="s">
        <v>463</v>
      </c>
      <c r="E519" s="16">
        <v>38.68</v>
      </c>
      <c r="F519" s="17">
        <v>67.97</v>
      </c>
      <c r="G519" s="18">
        <v>2</v>
      </c>
      <c r="H519" s="19">
        <v>4.2</v>
      </c>
      <c r="I519" s="18">
        <v>6</v>
      </c>
      <c r="J519" s="38" t="str">
        <f>HYPERLINK("https://amazon.com/dp/B0CN4DZLZL","View on Amazon")</f>
        <v>View on Amazon</v>
      </c>
      <c r="K519" s="15" t="s">
        <v>463</v>
      </c>
      <c r="L519" s="20" t="s">
        <v>460</v>
      </c>
    </row>
    <row r="520" spans="1:12" ht="51" x14ac:dyDescent="0.2">
      <c r="A520" s="21" t="s">
        <v>1505</v>
      </c>
      <c r="B520" s="22" t="s">
        <v>1506</v>
      </c>
      <c r="C520" s="23" t="s">
        <v>162</v>
      </c>
      <c r="D520" s="23" t="s">
        <v>463</v>
      </c>
      <c r="E520" s="24">
        <v>45.98</v>
      </c>
      <c r="F520" s="25">
        <v>66.88</v>
      </c>
      <c r="G520" s="26">
        <v>1</v>
      </c>
      <c r="H520" s="27">
        <v>5</v>
      </c>
      <c r="I520" s="26">
        <v>4</v>
      </c>
      <c r="J520" s="39" t="str">
        <f>HYPERLINK("https://amazon.com/dp/B0DGSZ6B6V","View on Amazon")</f>
        <v>View on Amazon</v>
      </c>
      <c r="K520" s="23" t="s">
        <v>463</v>
      </c>
      <c r="L520" s="28" t="s">
        <v>460</v>
      </c>
    </row>
    <row r="521" spans="1:12" ht="68" x14ac:dyDescent="0.2">
      <c r="A521" s="13" t="s">
        <v>1507</v>
      </c>
      <c r="B521" s="14" t="s">
        <v>1508</v>
      </c>
      <c r="C521" s="15" t="s">
        <v>263</v>
      </c>
      <c r="D521" s="15" t="s">
        <v>463</v>
      </c>
      <c r="E521" s="16">
        <v>33.69</v>
      </c>
      <c r="F521" s="17">
        <v>66.430000000000007</v>
      </c>
      <c r="G521" s="18">
        <v>2</v>
      </c>
      <c r="H521" s="19">
        <v>0</v>
      </c>
      <c r="I521" s="18">
        <v>0</v>
      </c>
      <c r="J521" s="38" t="str">
        <f>HYPERLINK("https://amazon.com/dp/B0G64N1DHJ","View on Amazon")</f>
        <v>View on Amazon</v>
      </c>
      <c r="K521" s="15" t="s">
        <v>463</v>
      </c>
      <c r="L521" s="20" t="s">
        <v>220</v>
      </c>
    </row>
    <row r="522" spans="1:12" ht="34" x14ac:dyDescent="0.2">
      <c r="A522" s="21" t="s">
        <v>1509</v>
      </c>
      <c r="B522" s="22" t="s">
        <v>1510</v>
      </c>
      <c r="C522" s="23" t="s">
        <v>264</v>
      </c>
      <c r="D522" s="23" t="s">
        <v>503</v>
      </c>
      <c r="E522" s="24">
        <v>48.97</v>
      </c>
      <c r="F522" s="25">
        <v>64.239999999999995</v>
      </c>
      <c r="G522" s="26">
        <v>1</v>
      </c>
      <c r="H522" s="27">
        <v>5</v>
      </c>
      <c r="I522" s="26">
        <v>2</v>
      </c>
      <c r="J522" s="39" t="str">
        <f>HYPERLINK("https://amazon.com/dp/B07C93W7DS","View on Amazon")</f>
        <v>View on Amazon</v>
      </c>
      <c r="K522" s="23" t="s">
        <v>503</v>
      </c>
      <c r="L522" s="28" t="s">
        <v>460</v>
      </c>
    </row>
    <row r="523" spans="1:12" ht="51" x14ac:dyDescent="0.2">
      <c r="A523" s="13" t="s">
        <v>1511</v>
      </c>
      <c r="B523" s="14" t="s">
        <v>1512</v>
      </c>
      <c r="C523" s="15" t="s">
        <v>39</v>
      </c>
      <c r="D523" s="15" t="s">
        <v>463</v>
      </c>
      <c r="E523" s="16">
        <v>34.99</v>
      </c>
      <c r="F523" s="17">
        <v>64.16</v>
      </c>
      <c r="G523" s="18">
        <v>2</v>
      </c>
      <c r="H523" s="19">
        <v>3.2</v>
      </c>
      <c r="I523" s="18">
        <v>2</v>
      </c>
      <c r="J523" s="38" t="str">
        <f>HYPERLINK("https://amazon.com/dp/B0F8QQCBHK","View on Amazon")</f>
        <v>View on Amazon</v>
      </c>
      <c r="K523" s="15" t="s">
        <v>463</v>
      </c>
      <c r="L523" s="20" t="s">
        <v>460</v>
      </c>
    </row>
    <row r="524" spans="1:12" ht="51" x14ac:dyDescent="0.2">
      <c r="A524" s="21" t="s">
        <v>1513</v>
      </c>
      <c r="B524" s="22" t="s">
        <v>1514</v>
      </c>
      <c r="C524" s="23" t="s">
        <v>235</v>
      </c>
      <c r="D524" s="23" t="s">
        <v>459</v>
      </c>
      <c r="E524" s="24">
        <v>59.98</v>
      </c>
      <c r="F524" s="25">
        <v>61.43</v>
      </c>
      <c r="G524" s="26">
        <v>1</v>
      </c>
      <c r="H524" s="27">
        <v>0</v>
      </c>
      <c r="I524" s="26">
        <v>0</v>
      </c>
      <c r="J524" s="39" t="str">
        <f>HYPERLINK("https://amazon.com/dp/B0CTG3FX9C","View on Amazon")</f>
        <v>View on Amazon</v>
      </c>
      <c r="K524" s="23" t="s">
        <v>459</v>
      </c>
      <c r="L524" s="28" t="s">
        <v>1297</v>
      </c>
    </row>
    <row r="525" spans="1:12" ht="34" x14ac:dyDescent="0.2">
      <c r="A525" s="13" t="s">
        <v>1515</v>
      </c>
      <c r="B525" s="14" t="s">
        <v>1516</v>
      </c>
      <c r="C525" s="15" t="s">
        <v>234</v>
      </c>
      <c r="D525" s="15" t="s">
        <v>463</v>
      </c>
      <c r="E525" s="16">
        <v>38.68</v>
      </c>
      <c r="F525" s="17">
        <v>60.63</v>
      </c>
      <c r="G525" s="18">
        <v>2</v>
      </c>
      <c r="H525" s="19">
        <v>4.2</v>
      </c>
      <c r="I525" s="18">
        <v>6</v>
      </c>
      <c r="J525" s="38" t="str">
        <f>HYPERLINK("https://amazon.com/dp/B0CM9GZQDR","View on Amazon")</f>
        <v>View on Amazon</v>
      </c>
      <c r="K525" s="15" t="s">
        <v>463</v>
      </c>
      <c r="L525" s="20" t="s">
        <v>460</v>
      </c>
    </row>
    <row r="526" spans="1:12" ht="68" x14ac:dyDescent="0.2">
      <c r="A526" s="21" t="s">
        <v>1517</v>
      </c>
      <c r="B526" s="22" t="s">
        <v>1518</v>
      </c>
      <c r="C526" s="23" t="s">
        <v>265</v>
      </c>
      <c r="D526" s="23" t="s">
        <v>463</v>
      </c>
      <c r="E526" s="24">
        <v>59.99</v>
      </c>
      <c r="F526" s="25">
        <v>59.98</v>
      </c>
      <c r="G526" s="26">
        <v>1</v>
      </c>
      <c r="H526" s="27">
        <v>4.2</v>
      </c>
      <c r="I526" s="26">
        <v>10</v>
      </c>
      <c r="J526" s="39" t="str">
        <f>HYPERLINK("https://amazon.com/dp/B0F82Y67FZ","View on Amazon")</f>
        <v>View on Amazon</v>
      </c>
      <c r="K526" s="23" t="s">
        <v>463</v>
      </c>
      <c r="L526" s="28" t="s">
        <v>460</v>
      </c>
    </row>
    <row r="527" spans="1:12" ht="17" x14ac:dyDescent="0.2">
      <c r="A527" s="13" t="s">
        <v>1519</v>
      </c>
      <c r="B527" s="14" t="s">
        <v>1520</v>
      </c>
      <c r="C527" s="15" t="s">
        <v>266</v>
      </c>
      <c r="D527" s="15" t="s">
        <v>459</v>
      </c>
      <c r="E527" s="16">
        <v>59.99</v>
      </c>
      <c r="F527" s="17">
        <v>59.97</v>
      </c>
      <c r="G527" s="18">
        <v>1</v>
      </c>
      <c r="H527" s="19">
        <v>3.5</v>
      </c>
      <c r="I527" s="18">
        <v>184</v>
      </c>
      <c r="J527" s="38" t="str">
        <f>HYPERLINK("https://amazon.com/dp/B005JI1R96","View on Amazon")</f>
        <v>View on Amazon</v>
      </c>
      <c r="K527" s="15" t="s">
        <v>459</v>
      </c>
      <c r="L527" s="20" t="s">
        <v>460</v>
      </c>
    </row>
    <row r="528" spans="1:12" ht="34" x14ac:dyDescent="0.2">
      <c r="A528" s="21" t="s">
        <v>1521</v>
      </c>
      <c r="B528" s="22" t="s">
        <v>1522</v>
      </c>
      <c r="C528" s="23" t="s">
        <v>202</v>
      </c>
      <c r="D528" s="23" t="s">
        <v>463</v>
      </c>
      <c r="E528" s="24">
        <v>19.98</v>
      </c>
      <c r="F528" s="25">
        <v>58.49</v>
      </c>
      <c r="G528" s="26">
        <v>3</v>
      </c>
      <c r="H528" s="27">
        <v>2.7</v>
      </c>
      <c r="I528" s="26">
        <v>4</v>
      </c>
      <c r="J528" s="39" t="str">
        <f>HYPERLINK("https://amazon.com/dp/B09331NT9Z","View on Amazon")</f>
        <v>View on Amazon</v>
      </c>
      <c r="K528" s="23" t="s">
        <v>463</v>
      </c>
      <c r="L528" s="28" t="s">
        <v>220</v>
      </c>
    </row>
    <row r="529" spans="1:12" ht="51" x14ac:dyDescent="0.2">
      <c r="A529" s="13" t="s">
        <v>1523</v>
      </c>
      <c r="B529" s="14" t="s">
        <v>1524</v>
      </c>
      <c r="C529" s="15" t="s">
        <v>132</v>
      </c>
      <c r="D529" s="15" t="s">
        <v>459</v>
      </c>
      <c r="E529" s="16">
        <v>30.39</v>
      </c>
      <c r="F529" s="17">
        <v>58.01</v>
      </c>
      <c r="G529" s="18">
        <v>2</v>
      </c>
      <c r="H529" s="19">
        <v>0</v>
      </c>
      <c r="I529" s="18">
        <v>0</v>
      </c>
      <c r="J529" s="38" t="str">
        <f>HYPERLINK("https://amazon.com/dp/B0G8D97YJY","View on Amazon")</f>
        <v>View on Amazon</v>
      </c>
      <c r="K529" s="15" t="s">
        <v>459</v>
      </c>
      <c r="L529" s="20" t="s">
        <v>220</v>
      </c>
    </row>
    <row r="530" spans="1:12" ht="51" x14ac:dyDescent="0.2">
      <c r="A530" s="21" t="s">
        <v>1525</v>
      </c>
      <c r="B530" s="22" t="s">
        <v>1526</v>
      </c>
      <c r="C530" s="23" t="s">
        <v>267</v>
      </c>
      <c r="D530" s="23" t="s">
        <v>463</v>
      </c>
      <c r="E530" s="24">
        <v>17.98</v>
      </c>
      <c r="F530" s="25">
        <v>56.89</v>
      </c>
      <c r="G530" s="26">
        <v>3</v>
      </c>
      <c r="H530" s="27">
        <v>4.8</v>
      </c>
      <c r="I530" s="26">
        <v>13</v>
      </c>
      <c r="J530" s="39" t="str">
        <f>HYPERLINK("https://amazon.com/dp/B0D9BLJKR8","View on Amazon")</f>
        <v>View on Amazon</v>
      </c>
      <c r="K530" s="23" t="s">
        <v>463</v>
      </c>
      <c r="L530" s="28" t="s">
        <v>460</v>
      </c>
    </row>
    <row r="531" spans="1:12" ht="34" x14ac:dyDescent="0.2">
      <c r="A531" s="13" t="s">
        <v>1527</v>
      </c>
      <c r="B531" s="14" t="s">
        <v>1528</v>
      </c>
      <c r="C531" s="15" t="s">
        <v>32</v>
      </c>
      <c r="D531" s="15" t="s">
        <v>463</v>
      </c>
      <c r="E531" s="16">
        <v>20</v>
      </c>
      <c r="F531" s="17">
        <v>56.24</v>
      </c>
      <c r="G531" s="18">
        <v>3</v>
      </c>
      <c r="H531" s="19">
        <v>5</v>
      </c>
      <c r="I531" s="18">
        <v>1</v>
      </c>
      <c r="J531" s="38" t="str">
        <f>HYPERLINK("https://amazon.com/dp/B0B82N6D7X","View on Amazon")</f>
        <v>View on Amazon</v>
      </c>
      <c r="K531" s="15" t="s">
        <v>463</v>
      </c>
      <c r="L531" s="20" t="s">
        <v>460</v>
      </c>
    </row>
    <row r="532" spans="1:12" ht="34" x14ac:dyDescent="0.2">
      <c r="A532" s="21" t="s">
        <v>1529</v>
      </c>
      <c r="B532" s="22" t="s">
        <v>1530</v>
      </c>
      <c r="C532" s="23" t="s">
        <v>268</v>
      </c>
      <c r="D532" s="23" t="s">
        <v>503</v>
      </c>
      <c r="E532" s="24">
        <v>38.69</v>
      </c>
      <c r="F532" s="25">
        <v>56.03</v>
      </c>
      <c r="G532" s="26">
        <v>1</v>
      </c>
      <c r="H532" s="27">
        <v>1</v>
      </c>
      <c r="I532" s="26">
        <v>1</v>
      </c>
      <c r="J532" s="39" t="str">
        <f>HYPERLINK("https://amazon.com/dp/B011FEL9VS","View on Amazon")</f>
        <v>View on Amazon</v>
      </c>
      <c r="K532" s="23" t="s">
        <v>503</v>
      </c>
      <c r="L532" s="28" t="s">
        <v>460</v>
      </c>
    </row>
    <row r="533" spans="1:12" ht="51" x14ac:dyDescent="0.2">
      <c r="A533" s="13" t="s">
        <v>1531</v>
      </c>
      <c r="B533" s="14" t="s">
        <v>1532</v>
      </c>
      <c r="C533" s="15" t="s">
        <v>247</v>
      </c>
      <c r="D533" s="15" t="s">
        <v>463</v>
      </c>
      <c r="E533" s="16">
        <v>56.99</v>
      </c>
      <c r="F533" s="17">
        <v>54.71</v>
      </c>
      <c r="G533" s="18">
        <v>1</v>
      </c>
      <c r="H533" s="19">
        <v>4.2</v>
      </c>
      <c r="I533" s="18">
        <v>376</v>
      </c>
      <c r="J533" s="38" t="str">
        <f>HYPERLINK("https://amazon.com/dp/B0BLBXCKWB","View on Amazon")</f>
        <v>View on Amazon</v>
      </c>
      <c r="K533" s="15" t="s">
        <v>463</v>
      </c>
      <c r="L533" s="20" t="s">
        <v>460</v>
      </c>
    </row>
    <row r="534" spans="1:12" ht="51" x14ac:dyDescent="0.2">
      <c r="A534" s="21" t="s">
        <v>1533</v>
      </c>
      <c r="B534" s="22" t="s">
        <v>1534</v>
      </c>
      <c r="C534" s="23" t="s">
        <v>252</v>
      </c>
      <c r="D534" s="23" t="s">
        <v>463</v>
      </c>
      <c r="E534" s="24">
        <v>42.99</v>
      </c>
      <c r="F534" s="25">
        <v>54.47</v>
      </c>
      <c r="G534" s="26">
        <v>1</v>
      </c>
      <c r="H534" s="27">
        <v>0</v>
      </c>
      <c r="I534" s="26">
        <v>0</v>
      </c>
      <c r="J534" s="39" t="str">
        <f>HYPERLINK("https://amazon.com/dp/B0DRFLTH8B","View on Amazon")</f>
        <v>View on Amazon</v>
      </c>
      <c r="K534" s="23" t="s">
        <v>463</v>
      </c>
      <c r="L534" s="28" t="s">
        <v>220</v>
      </c>
    </row>
    <row r="535" spans="1:12" ht="68" x14ac:dyDescent="0.2">
      <c r="A535" s="13" t="s">
        <v>1535</v>
      </c>
      <c r="B535" s="14" t="s">
        <v>1536</v>
      </c>
      <c r="C535" s="15" t="s">
        <v>174</v>
      </c>
      <c r="D535" s="15" t="s">
        <v>463</v>
      </c>
      <c r="E535" s="16">
        <v>52.99</v>
      </c>
      <c r="F535" s="17">
        <v>54.02</v>
      </c>
      <c r="G535" s="18">
        <v>1</v>
      </c>
      <c r="H535" s="19">
        <v>3.5</v>
      </c>
      <c r="I535" s="18">
        <v>2</v>
      </c>
      <c r="J535" s="38" t="str">
        <f>HYPERLINK("https://amazon.com/dp/B0DL2TT9XN","View on Amazon")</f>
        <v>View on Amazon</v>
      </c>
      <c r="K535" s="15" t="s">
        <v>463</v>
      </c>
      <c r="L535" s="20" t="s">
        <v>460</v>
      </c>
    </row>
    <row r="536" spans="1:12" ht="51" x14ac:dyDescent="0.2">
      <c r="A536" s="21" t="s">
        <v>1537</v>
      </c>
      <c r="B536" s="22" t="s">
        <v>1538</v>
      </c>
      <c r="C536" s="23" t="s">
        <v>269</v>
      </c>
      <c r="D536" s="23" t="s">
        <v>459</v>
      </c>
      <c r="E536" s="24">
        <v>16.649999999999999</v>
      </c>
      <c r="F536" s="25">
        <v>53.35</v>
      </c>
      <c r="G536" s="26">
        <v>5</v>
      </c>
      <c r="H536" s="27">
        <v>3.9</v>
      </c>
      <c r="I536" s="26">
        <v>2</v>
      </c>
      <c r="J536" s="39" t="str">
        <f>HYPERLINK("https://amazon.com/dp/B094Y7K5HN","View on Amazon")</f>
        <v>View on Amazon</v>
      </c>
      <c r="K536" s="23" t="s">
        <v>459</v>
      </c>
      <c r="L536" s="28" t="s">
        <v>220</v>
      </c>
    </row>
    <row r="537" spans="1:12" ht="34" x14ac:dyDescent="0.2">
      <c r="A537" s="13" t="s">
        <v>1539</v>
      </c>
      <c r="B537" s="14" t="s">
        <v>1540</v>
      </c>
      <c r="C537" s="15" t="s">
        <v>98</v>
      </c>
      <c r="D537" s="15" t="s">
        <v>463</v>
      </c>
      <c r="E537" s="16">
        <v>21.99</v>
      </c>
      <c r="F537" s="17">
        <v>53.14</v>
      </c>
      <c r="G537" s="18">
        <v>2</v>
      </c>
      <c r="H537" s="19">
        <v>3.4</v>
      </c>
      <c r="I537" s="18">
        <v>14</v>
      </c>
      <c r="J537" s="38" t="str">
        <f>HYPERLINK("https://amazon.com/dp/B0C8H5PXQK","View on Amazon")</f>
        <v>View on Amazon</v>
      </c>
      <c r="K537" s="15" t="s">
        <v>463</v>
      </c>
      <c r="L537" s="20" t="s">
        <v>460</v>
      </c>
    </row>
    <row r="538" spans="1:12" ht="51" x14ac:dyDescent="0.2">
      <c r="A538" s="21" t="s">
        <v>1541</v>
      </c>
      <c r="B538" s="22" t="s">
        <v>1542</v>
      </c>
      <c r="C538" s="23" t="s">
        <v>270</v>
      </c>
      <c r="D538" s="23" t="s">
        <v>463</v>
      </c>
      <c r="E538" s="24">
        <v>39.99</v>
      </c>
      <c r="F538" s="25">
        <v>53.11</v>
      </c>
      <c r="G538" s="26">
        <v>1</v>
      </c>
      <c r="H538" s="27">
        <v>4</v>
      </c>
      <c r="I538" s="26">
        <v>41</v>
      </c>
      <c r="J538" s="39" t="str">
        <f>HYPERLINK("https://amazon.com/dp/B0BNHR8X3S","View on Amazon")</f>
        <v>View on Amazon</v>
      </c>
      <c r="K538" s="23" t="s">
        <v>463</v>
      </c>
      <c r="L538" s="28" t="s">
        <v>460</v>
      </c>
    </row>
    <row r="539" spans="1:12" ht="68" x14ac:dyDescent="0.2">
      <c r="A539" s="13" t="s">
        <v>1543</v>
      </c>
      <c r="B539" s="14" t="s">
        <v>1544</v>
      </c>
      <c r="C539" s="15" t="s">
        <v>192</v>
      </c>
      <c r="D539" s="15" t="s">
        <v>463</v>
      </c>
      <c r="E539" s="16">
        <v>17.329999999999998</v>
      </c>
      <c r="F539" s="17">
        <v>52.88</v>
      </c>
      <c r="G539" s="18">
        <v>3</v>
      </c>
      <c r="H539" s="19">
        <v>3.2</v>
      </c>
      <c r="I539" s="18">
        <v>6</v>
      </c>
      <c r="J539" s="38" t="str">
        <f>HYPERLINK("https://amazon.com/dp/B0D7H14246","View on Amazon")</f>
        <v>View on Amazon</v>
      </c>
      <c r="K539" s="15" t="s">
        <v>463</v>
      </c>
      <c r="L539" s="20" t="s">
        <v>460</v>
      </c>
    </row>
    <row r="540" spans="1:12" ht="34" x14ac:dyDescent="0.2">
      <c r="A540" s="21" t="s">
        <v>1545</v>
      </c>
      <c r="B540" s="22" t="s">
        <v>1546</v>
      </c>
      <c r="C540" s="23" t="s">
        <v>39</v>
      </c>
      <c r="D540" s="23" t="s">
        <v>463</v>
      </c>
      <c r="E540" s="24">
        <v>28.99</v>
      </c>
      <c r="F540" s="25">
        <v>47.87</v>
      </c>
      <c r="G540" s="26">
        <v>2</v>
      </c>
      <c r="H540" s="27">
        <v>3.2</v>
      </c>
      <c r="I540" s="26">
        <v>19</v>
      </c>
      <c r="J540" s="39" t="str">
        <f>HYPERLINK("https://amazon.com/dp/B0BLVHHG8T","View on Amazon")</f>
        <v>View on Amazon</v>
      </c>
      <c r="K540" s="23" t="s">
        <v>463</v>
      </c>
      <c r="L540" s="28" t="s">
        <v>460</v>
      </c>
    </row>
    <row r="541" spans="1:12" ht="17" x14ac:dyDescent="0.2">
      <c r="A541" s="13" t="s">
        <v>1547</v>
      </c>
      <c r="B541" s="14" t="s">
        <v>1548</v>
      </c>
      <c r="C541" s="15" t="s">
        <v>272</v>
      </c>
      <c r="D541" s="15" t="s">
        <v>486</v>
      </c>
      <c r="E541" s="16">
        <v>48.13</v>
      </c>
      <c r="F541" s="17">
        <v>47</v>
      </c>
      <c r="G541" s="18">
        <v>1</v>
      </c>
      <c r="H541" s="19">
        <v>5</v>
      </c>
      <c r="I541" s="18">
        <v>1</v>
      </c>
      <c r="J541" s="38" t="str">
        <f>HYPERLINK("https://amazon.com/dp/B000G2IV26","View on Amazon")</f>
        <v>View on Amazon</v>
      </c>
      <c r="K541" s="15" t="s">
        <v>486</v>
      </c>
      <c r="L541" s="20" t="s">
        <v>460</v>
      </c>
    </row>
    <row r="542" spans="1:12" ht="51" x14ac:dyDescent="0.2">
      <c r="A542" s="21" t="s">
        <v>1549</v>
      </c>
      <c r="B542" s="22" t="s">
        <v>1550</v>
      </c>
      <c r="C542" s="23" t="s">
        <v>273</v>
      </c>
      <c r="D542" s="23" t="s">
        <v>463</v>
      </c>
      <c r="E542" s="24">
        <v>46.99</v>
      </c>
      <c r="F542" s="25">
        <v>46.96</v>
      </c>
      <c r="G542" s="26">
        <v>1</v>
      </c>
      <c r="H542" s="27">
        <v>4.5999999999999996</v>
      </c>
      <c r="I542" s="26">
        <v>7</v>
      </c>
      <c r="J542" s="39" t="str">
        <f>HYPERLINK("https://amazon.com/dp/B0CBCVG8JQ","View on Amazon")</f>
        <v>View on Amazon</v>
      </c>
      <c r="K542" s="23" t="s">
        <v>463</v>
      </c>
      <c r="L542" s="28" t="s">
        <v>460</v>
      </c>
    </row>
    <row r="543" spans="1:12" ht="68" x14ac:dyDescent="0.2">
      <c r="A543" s="13" t="s">
        <v>1551</v>
      </c>
      <c r="B543" s="14" t="s">
        <v>1552</v>
      </c>
      <c r="C543" s="15" t="s">
        <v>274</v>
      </c>
      <c r="D543" s="15" t="s">
        <v>463</v>
      </c>
      <c r="E543" s="16">
        <v>59.99</v>
      </c>
      <c r="F543" s="17">
        <v>45.63</v>
      </c>
      <c r="G543" s="18">
        <v>1</v>
      </c>
      <c r="H543" s="19">
        <v>4.4000000000000004</v>
      </c>
      <c r="I543" s="18">
        <v>38</v>
      </c>
      <c r="J543" s="38" t="str">
        <f>HYPERLINK("https://amazon.com/dp/B0DQSQRFSR","View on Amazon")</f>
        <v>View on Amazon</v>
      </c>
      <c r="K543" s="15" t="s">
        <v>463</v>
      </c>
      <c r="L543" s="20" t="s">
        <v>460</v>
      </c>
    </row>
    <row r="544" spans="1:12" ht="17" x14ac:dyDescent="0.2">
      <c r="A544" s="21" t="s">
        <v>1553</v>
      </c>
      <c r="B544" s="22" t="s">
        <v>1554</v>
      </c>
      <c r="C544" s="23" t="s">
        <v>276</v>
      </c>
      <c r="D544" s="23" t="s">
        <v>463</v>
      </c>
      <c r="E544" s="24">
        <v>13.97</v>
      </c>
      <c r="F544" s="25">
        <v>43.59</v>
      </c>
      <c r="G544" s="26">
        <v>3</v>
      </c>
      <c r="H544" s="27">
        <v>3.4</v>
      </c>
      <c r="I544" s="26">
        <v>7</v>
      </c>
      <c r="J544" s="39" t="str">
        <f>HYPERLINK("https://amazon.com/dp/B0759YKTMB","View on Amazon")</f>
        <v>View on Amazon</v>
      </c>
      <c r="K544" s="23" t="s">
        <v>463</v>
      </c>
      <c r="L544" s="28" t="s">
        <v>1297</v>
      </c>
    </row>
    <row r="545" spans="1:12" ht="34" x14ac:dyDescent="0.2">
      <c r="A545" s="13" t="s">
        <v>1555</v>
      </c>
      <c r="B545" s="14" t="s">
        <v>1556</v>
      </c>
      <c r="C545" s="15" t="s">
        <v>151</v>
      </c>
      <c r="D545" s="15" t="s">
        <v>459</v>
      </c>
      <c r="E545" s="16">
        <v>16.989999999999998</v>
      </c>
      <c r="F545" s="17">
        <v>43.29</v>
      </c>
      <c r="G545" s="18">
        <v>3</v>
      </c>
      <c r="H545" s="19">
        <v>3.4</v>
      </c>
      <c r="I545" s="18">
        <v>10</v>
      </c>
      <c r="J545" s="38" t="str">
        <f>HYPERLINK("https://amazon.com/dp/B0CP4RWTJ7","View on Amazon")</f>
        <v>View on Amazon</v>
      </c>
      <c r="K545" s="15" t="s">
        <v>459</v>
      </c>
      <c r="L545" s="20" t="s">
        <v>1297</v>
      </c>
    </row>
    <row r="546" spans="1:12" ht="34" x14ac:dyDescent="0.2">
      <c r="A546" s="21" t="s">
        <v>1557</v>
      </c>
      <c r="B546" s="22" t="s">
        <v>1558</v>
      </c>
      <c r="C546" s="23" t="s">
        <v>257</v>
      </c>
      <c r="D546" s="23" t="s">
        <v>463</v>
      </c>
      <c r="E546" s="24">
        <v>22.99</v>
      </c>
      <c r="F546" s="25">
        <v>42.87</v>
      </c>
      <c r="G546" s="26">
        <v>2</v>
      </c>
      <c r="H546" s="27">
        <v>4</v>
      </c>
      <c r="I546" s="26">
        <v>199</v>
      </c>
      <c r="J546" s="39" t="str">
        <f>HYPERLINK("https://amazon.com/dp/B0B1WS2S5F","View on Amazon")</f>
        <v>View on Amazon</v>
      </c>
      <c r="K546" s="23" t="s">
        <v>463</v>
      </c>
      <c r="L546" s="28" t="s">
        <v>460</v>
      </c>
    </row>
    <row r="547" spans="1:12" ht="51" x14ac:dyDescent="0.2">
      <c r="A547" s="13" t="s">
        <v>1559</v>
      </c>
      <c r="B547" s="14" t="s">
        <v>1560</v>
      </c>
      <c r="C547" s="15" t="s">
        <v>132</v>
      </c>
      <c r="D547" s="15" t="s">
        <v>463</v>
      </c>
      <c r="E547" s="16">
        <v>39.99</v>
      </c>
      <c r="F547" s="17">
        <v>39.979999999999997</v>
      </c>
      <c r="G547" s="18">
        <v>1</v>
      </c>
      <c r="H547" s="19">
        <v>0</v>
      </c>
      <c r="I547" s="18">
        <v>0</v>
      </c>
      <c r="J547" s="38" t="str">
        <f>HYPERLINK("https://amazon.com/dp/B0FSZRM6JL","View on Amazon")</f>
        <v>View on Amazon</v>
      </c>
      <c r="K547" s="15" t="s">
        <v>463</v>
      </c>
      <c r="L547" s="20" t="s">
        <v>220</v>
      </c>
    </row>
    <row r="548" spans="1:12" ht="51" x14ac:dyDescent="0.2">
      <c r="A548" s="21" t="s">
        <v>1561</v>
      </c>
      <c r="B548" s="22" t="s">
        <v>1562</v>
      </c>
      <c r="C548" s="23" t="s">
        <v>277</v>
      </c>
      <c r="D548" s="23" t="s">
        <v>463</v>
      </c>
      <c r="E548" s="24">
        <v>8.99</v>
      </c>
      <c r="F548" s="25">
        <v>39.090000000000003</v>
      </c>
      <c r="G548" s="26">
        <v>4</v>
      </c>
      <c r="H548" s="27">
        <v>3.9</v>
      </c>
      <c r="I548" s="26">
        <v>183</v>
      </c>
      <c r="J548" s="39" t="str">
        <f>HYPERLINK("https://amazon.com/dp/B0B25TJ31Q","View on Amazon")</f>
        <v>View on Amazon</v>
      </c>
      <c r="K548" s="23" t="s">
        <v>463</v>
      </c>
      <c r="L548" s="28" t="s">
        <v>460</v>
      </c>
    </row>
    <row r="549" spans="1:12" ht="34" x14ac:dyDescent="0.2">
      <c r="A549" s="13" t="s">
        <v>1563</v>
      </c>
      <c r="B549" s="14" t="s">
        <v>1564</v>
      </c>
      <c r="C549" s="15" t="s">
        <v>278</v>
      </c>
      <c r="D549" s="15" t="s">
        <v>463</v>
      </c>
      <c r="E549" s="16">
        <v>35</v>
      </c>
      <c r="F549" s="17">
        <v>38.81</v>
      </c>
      <c r="G549" s="18">
        <v>1</v>
      </c>
      <c r="H549" s="19">
        <v>5</v>
      </c>
      <c r="I549" s="18">
        <v>1</v>
      </c>
      <c r="J549" s="38" t="str">
        <f>HYPERLINK("https://amazon.com/dp/B01JN8IAEW","View on Amazon")</f>
        <v>View on Amazon</v>
      </c>
      <c r="K549" s="15" t="s">
        <v>463</v>
      </c>
      <c r="L549" s="20" t="s">
        <v>460</v>
      </c>
    </row>
    <row r="550" spans="1:12" ht="17" x14ac:dyDescent="0.2">
      <c r="A550" s="21" t="s">
        <v>1565</v>
      </c>
      <c r="B550" s="22" t="s">
        <v>1566</v>
      </c>
      <c r="C550" s="23" t="s">
        <v>279</v>
      </c>
      <c r="D550" s="23" t="s">
        <v>463</v>
      </c>
      <c r="E550" s="24">
        <v>12.98</v>
      </c>
      <c r="F550" s="25">
        <v>36.659999999999997</v>
      </c>
      <c r="G550" s="26">
        <v>3</v>
      </c>
      <c r="H550" s="27">
        <v>4.2</v>
      </c>
      <c r="I550" s="26">
        <v>5</v>
      </c>
      <c r="J550" s="39" t="str">
        <f>HYPERLINK("https://amazon.com/dp/B01JKFEBS2","View on Amazon")</f>
        <v>View on Amazon</v>
      </c>
      <c r="K550" s="23" t="s">
        <v>463</v>
      </c>
      <c r="L550" s="28" t="s">
        <v>220</v>
      </c>
    </row>
    <row r="551" spans="1:12" ht="34" x14ac:dyDescent="0.2">
      <c r="A551" s="13" t="s">
        <v>1567</v>
      </c>
      <c r="B551" s="14" t="s">
        <v>1568</v>
      </c>
      <c r="C551" s="15" t="s">
        <v>280</v>
      </c>
      <c r="D551" s="15" t="s">
        <v>463</v>
      </c>
      <c r="E551" s="16">
        <v>14.99</v>
      </c>
      <c r="F551" s="17">
        <v>35.25</v>
      </c>
      <c r="G551" s="18">
        <v>2</v>
      </c>
      <c r="H551" s="19">
        <v>5</v>
      </c>
      <c r="I551" s="18">
        <v>2</v>
      </c>
      <c r="J551" s="38" t="str">
        <f>HYPERLINK("https://amazon.com/dp/B078GVZBCK","View on Amazon")</f>
        <v>View on Amazon</v>
      </c>
      <c r="K551" s="15" t="s">
        <v>463</v>
      </c>
      <c r="L551" s="20" t="s">
        <v>1297</v>
      </c>
    </row>
    <row r="552" spans="1:12" ht="51" x14ac:dyDescent="0.2">
      <c r="A552" s="21" t="s">
        <v>1569</v>
      </c>
      <c r="B552" s="22" t="s">
        <v>1570</v>
      </c>
      <c r="C552" s="23" t="s">
        <v>281</v>
      </c>
      <c r="D552" s="23" t="s">
        <v>463</v>
      </c>
      <c r="E552" s="24">
        <v>19.98</v>
      </c>
      <c r="F552" s="25">
        <v>34.46</v>
      </c>
      <c r="G552" s="26">
        <v>2</v>
      </c>
      <c r="H552" s="27">
        <v>3.6</v>
      </c>
      <c r="I552" s="26">
        <v>5</v>
      </c>
      <c r="J552" s="39" t="str">
        <f>HYPERLINK("https://amazon.com/dp/B0CNXQSR5M","View on Amazon")</f>
        <v>View on Amazon</v>
      </c>
      <c r="K552" s="23" t="s">
        <v>463</v>
      </c>
      <c r="L552" s="28" t="s">
        <v>460</v>
      </c>
    </row>
    <row r="553" spans="1:12" ht="34" x14ac:dyDescent="0.2">
      <c r="A553" s="13" t="s">
        <v>1571</v>
      </c>
      <c r="B553" s="14" t="s">
        <v>1572</v>
      </c>
      <c r="C553" s="15" t="s">
        <v>244</v>
      </c>
      <c r="D553" s="15" t="s">
        <v>459</v>
      </c>
      <c r="E553" s="16">
        <v>47.3</v>
      </c>
      <c r="F553" s="17">
        <v>33.74</v>
      </c>
      <c r="G553" s="18">
        <v>1</v>
      </c>
      <c r="H553" s="19">
        <v>3.4</v>
      </c>
      <c r="I553" s="18">
        <v>21</v>
      </c>
      <c r="J553" s="38" t="str">
        <f>HYPERLINK("https://amazon.com/dp/B0CCPD4QW5","View on Amazon")</f>
        <v>View on Amazon</v>
      </c>
      <c r="K553" s="15" t="s">
        <v>459</v>
      </c>
      <c r="L553" s="20" t="s">
        <v>460</v>
      </c>
    </row>
    <row r="554" spans="1:12" ht="51" x14ac:dyDescent="0.2">
      <c r="A554" s="21" t="s">
        <v>1573</v>
      </c>
      <c r="B554" s="22" t="s">
        <v>1574</v>
      </c>
      <c r="C554" s="23" t="s">
        <v>246</v>
      </c>
      <c r="D554" s="23" t="s">
        <v>463</v>
      </c>
      <c r="E554" s="24">
        <v>55.99</v>
      </c>
      <c r="F554" s="25">
        <v>32.880000000000003</v>
      </c>
      <c r="G554" s="26">
        <v>1</v>
      </c>
      <c r="H554" s="27">
        <v>3.8</v>
      </c>
      <c r="I554" s="26">
        <v>77</v>
      </c>
      <c r="J554" s="39" t="str">
        <f>HYPERLINK("https://amazon.com/dp/B0CNCTXYHV","View on Amazon")</f>
        <v>View on Amazon</v>
      </c>
      <c r="K554" s="23" t="s">
        <v>463</v>
      </c>
      <c r="L554" s="28" t="s">
        <v>460</v>
      </c>
    </row>
    <row r="555" spans="1:12" ht="68" x14ac:dyDescent="0.2">
      <c r="A555" s="13" t="s">
        <v>1575</v>
      </c>
      <c r="B555" s="14" t="s">
        <v>1576</v>
      </c>
      <c r="C555" s="15" t="s">
        <v>257</v>
      </c>
      <c r="D555" s="15" t="s">
        <v>463</v>
      </c>
      <c r="E555" s="16">
        <v>9.99</v>
      </c>
      <c r="F555" s="17">
        <v>32.799999999999997</v>
      </c>
      <c r="G555" s="18">
        <v>3</v>
      </c>
      <c r="H555" s="19">
        <v>4</v>
      </c>
      <c r="I555" s="18">
        <v>199</v>
      </c>
      <c r="J555" s="38" t="str">
        <f>HYPERLINK("https://amazon.com/dp/B091T8LKXB","View on Amazon")</f>
        <v>View on Amazon</v>
      </c>
      <c r="K555" s="15" t="s">
        <v>463</v>
      </c>
      <c r="L555" s="20" t="s">
        <v>460</v>
      </c>
    </row>
    <row r="556" spans="1:12" ht="51" x14ac:dyDescent="0.2">
      <c r="A556" s="21" t="s">
        <v>1577</v>
      </c>
      <c r="B556" s="22" t="s">
        <v>1578</v>
      </c>
      <c r="C556" s="23" t="s">
        <v>136</v>
      </c>
      <c r="D556" s="23" t="s">
        <v>463</v>
      </c>
      <c r="E556" s="24">
        <v>29.99</v>
      </c>
      <c r="F556" s="25">
        <v>31.19</v>
      </c>
      <c r="G556" s="26">
        <v>1</v>
      </c>
      <c r="H556" s="27">
        <v>3.6</v>
      </c>
      <c r="I556" s="26">
        <v>465</v>
      </c>
      <c r="J556" s="39" t="str">
        <f>HYPERLINK("https://amazon.com/dp/B07X1LLH72","View on Amazon")</f>
        <v>View on Amazon</v>
      </c>
      <c r="K556" s="23" t="s">
        <v>463</v>
      </c>
      <c r="L556" s="28" t="s">
        <v>460</v>
      </c>
    </row>
    <row r="557" spans="1:12" ht="34" x14ac:dyDescent="0.2">
      <c r="A557" s="13" t="s">
        <v>1579</v>
      </c>
      <c r="B557" s="14" t="s">
        <v>1580</v>
      </c>
      <c r="C557" s="15" t="s">
        <v>271</v>
      </c>
      <c r="D557" s="15" t="s">
        <v>463</v>
      </c>
      <c r="E557" s="16">
        <v>10.39</v>
      </c>
      <c r="F557" s="17">
        <v>30.73</v>
      </c>
      <c r="G557" s="18">
        <v>3</v>
      </c>
      <c r="H557" s="19">
        <v>0</v>
      </c>
      <c r="I557" s="18">
        <v>0</v>
      </c>
      <c r="J557" s="38" t="str">
        <f>HYPERLINK("https://amazon.com/dp/B0BSNX37FL","View on Amazon")</f>
        <v>View on Amazon</v>
      </c>
      <c r="K557" s="15" t="s">
        <v>463</v>
      </c>
      <c r="L557" s="20" t="s">
        <v>220</v>
      </c>
    </row>
    <row r="558" spans="1:12" ht="51" x14ac:dyDescent="0.2">
      <c r="A558" s="21" t="s">
        <v>1581</v>
      </c>
      <c r="B558" s="22" t="s">
        <v>1582</v>
      </c>
      <c r="C558" s="23" t="s">
        <v>215</v>
      </c>
      <c r="D558" s="23" t="s">
        <v>463</v>
      </c>
      <c r="E558" s="24">
        <v>29.95</v>
      </c>
      <c r="F558" s="25">
        <v>29.92</v>
      </c>
      <c r="G558" s="26">
        <v>1</v>
      </c>
      <c r="H558" s="27">
        <v>0</v>
      </c>
      <c r="I558" s="26">
        <v>0</v>
      </c>
      <c r="J558" s="39" t="str">
        <f>HYPERLINK("https://amazon.com/dp/B0DB44DPBB","View on Amazon")</f>
        <v>View on Amazon</v>
      </c>
      <c r="K558" s="23" t="s">
        <v>463</v>
      </c>
      <c r="L558" s="28" t="s">
        <v>220</v>
      </c>
    </row>
    <row r="559" spans="1:12" ht="68" x14ac:dyDescent="0.2">
      <c r="A559" s="13" t="s">
        <v>1583</v>
      </c>
      <c r="B559" s="14" t="s">
        <v>1584</v>
      </c>
      <c r="C559" s="15" t="s">
        <v>187</v>
      </c>
      <c r="D559" s="15" t="s">
        <v>463</v>
      </c>
      <c r="E559" s="16">
        <v>38.99</v>
      </c>
      <c r="F559" s="17">
        <v>28.44</v>
      </c>
      <c r="G559" s="18">
        <v>1</v>
      </c>
      <c r="H559" s="19">
        <v>4.5</v>
      </c>
      <c r="I559" s="18">
        <v>12</v>
      </c>
      <c r="J559" s="38" t="str">
        <f>HYPERLINK("https://amazon.com/dp/B0DRY6PDMV","View on Amazon")</f>
        <v>View on Amazon</v>
      </c>
      <c r="K559" s="15" t="s">
        <v>463</v>
      </c>
      <c r="L559" s="20" t="s">
        <v>460</v>
      </c>
    </row>
    <row r="560" spans="1:12" ht="68" x14ac:dyDescent="0.2">
      <c r="A560" s="21" t="s">
        <v>1585</v>
      </c>
      <c r="B560" s="22" t="s">
        <v>1586</v>
      </c>
      <c r="C560" s="23" t="s">
        <v>187</v>
      </c>
      <c r="D560" s="23" t="s">
        <v>463</v>
      </c>
      <c r="E560" s="24">
        <v>38.99</v>
      </c>
      <c r="F560" s="25">
        <v>27.98</v>
      </c>
      <c r="G560" s="26">
        <v>1</v>
      </c>
      <c r="H560" s="27">
        <v>4.5</v>
      </c>
      <c r="I560" s="26">
        <v>12</v>
      </c>
      <c r="J560" s="39" t="str">
        <f>HYPERLINK("https://amazon.com/dp/B0DRY32NSR","View on Amazon")</f>
        <v>View on Amazon</v>
      </c>
      <c r="K560" s="23" t="s">
        <v>463</v>
      </c>
      <c r="L560" s="28" t="s">
        <v>460</v>
      </c>
    </row>
    <row r="561" spans="1:12" ht="68" x14ac:dyDescent="0.2">
      <c r="A561" s="13" t="s">
        <v>1587</v>
      </c>
      <c r="B561" s="14" t="s">
        <v>1588</v>
      </c>
      <c r="C561" s="15" t="s">
        <v>192</v>
      </c>
      <c r="D561" s="15" t="s">
        <v>463</v>
      </c>
      <c r="E561" s="16">
        <v>16.989999999999998</v>
      </c>
      <c r="F561" s="17">
        <v>27.2</v>
      </c>
      <c r="G561" s="18">
        <v>2</v>
      </c>
      <c r="H561" s="19">
        <v>3.2</v>
      </c>
      <c r="I561" s="18">
        <v>6</v>
      </c>
      <c r="J561" s="38" t="str">
        <f>HYPERLINK("https://amazon.com/dp/B0D7GV6QBN","View on Amazon")</f>
        <v>View on Amazon</v>
      </c>
      <c r="K561" s="15" t="s">
        <v>463</v>
      </c>
      <c r="L561" s="20" t="s">
        <v>460</v>
      </c>
    </row>
    <row r="562" spans="1:12" ht="68" x14ac:dyDescent="0.2">
      <c r="A562" s="21" t="s">
        <v>1589</v>
      </c>
      <c r="B562" s="22" t="s">
        <v>1590</v>
      </c>
      <c r="C562" s="23" t="s">
        <v>252</v>
      </c>
      <c r="D562" s="23" t="s">
        <v>463</v>
      </c>
      <c r="E562" s="24">
        <v>39.99</v>
      </c>
      <c r="F562" s="25">
        <v>24.65</v>
      </c>
      <c r="G562" s="26">
        <v>1</v>
      </c>
      <c r="H562" s="27">
        <v>5</v>
      </c>
      <c r="I562" s="26">
        <v>1</v>
      </c>
      <c r="J562" s="39" t="str">
        <f>HYPERLINK("https://amazon.com/dp/B0FGQ25QPW","View on Amazon")</f>
        <v>View on Amazon</v>
      </c>
      <c r="K562" s="23" t="s">
        <v>463</v>
      </c>
      <c r="L562" s="28" t="s">
        <v>220</v>
      </c>
    </row>
    <row r="563" spans="1:12" ht="68" x14ac:dyDescent="0.2">
      <c r="A563" s="13" t="s">
        <v>1591</v>
      </c>
      <c r="B563" s="14" t="s">
        <v>1592</v>
      </c>
      <c r="C563" s="15" t="s">
        <v>252</v>
      </c>
      <c r="D563" s="15" t="s">
        <v>463</v>
      </c>
      <c r="E563" s="16">
        <v>39.99</v>
      </c>
      <c r="F563" s="17">
        <v>24.03</v>
      </c>
      <c r="G563" s="18">
        <v>1</v>
      </c>
      <c r="H563" s="19">
        <v>5</v>
      </c>
      <c r="I563" s="18">
        <v>1</v>
      </c>
      <c r="J563" s="38" t="str">
        <f>HYPERLINK("https://amazon.com/dp/B0FGPNSBB5","View on Amazon")</f>
        <v>View on Amazon</v>
      </c>
      <c r="K563" s="15" t="s">
        <v>463</v>
      </c>
      <c r="L563" s="20" t="s">
        <v>220</v>
      </c>
    </row>
    <row r="564" spans="1:12" ht="51" x14ac:dyDescent="0.2">
      <c r="A564" s="21" t="s">
        <v>1593</v>
      </c>
      <c r="B564" s="22" t="s">
        <v>1594</v>
      </c>
      <c r="C564" s="23" t="s">
        <v>282</v>
      </c>
      <c r="D564" s="23" t="s">
        <v>463</v>
      </c>
      <c r="E564" s="24">
        <v>21.99</v>
      </c>
      <c r="F564" s="25">
        <v>23.81</v>
      </c>
      <c r="G564" s="26">
        <v>1</v>
      </c>
      <c r="H564" s="27">
        <v>0</v>
      </c>
      <c r="I564" s="26">
        <v>0</v>
      </c>
      <c r="J564" s="39" t="str">
        <f>HYPERLINK("https://amazon.com/dp/B0FG7XG5VD","View on Amazon")</f>
        <v>View on Amazon</v>
      </c>
      <c r="K564" s="23" t="s">
        <v>463</v>
      </c>
      <c r="L564" s="28" t="s">
        <v>460</v>
      </c>
    </row>
    <row r="565" spans="1:12" ht="68" x14ac:dyDescent="0.2">
      <c r="A565" s="13" t="s">
        <v>1595</v>
      </c>
      <c r="B565" s="14" t="s">
        <v>1596</v>
      </c>
      <c r="C565" s="15" t="s">
        <v>275</v>
      </c>
      <c r="D565" s="15" t="s">
        <v>463</v>
      </c>
      <c r="E565" s="16">
        <v>15.98</v>
      </c>
      <c r="F565" s="17">
        <v>23.48</v>
      </c>
      <c r="G565" s="18">
        <v>1</v>
      </c>
      <c r="H565" s="19">
        <v>4</v>
      </c>
      <c r="I565" s="18">
        <v>1</v>
      </c>
      <c r="J565" s="38" t="str">
        <f>HYPERLINK("https://amazon.com/dp/B0CP21V1Q5","View on Amazon")</f>
        <v>View on Amazon</v>
      </c>
      <c r="K565" s="15" t="s">
        <v>463</v>
      </c>
      <c r="L565" s="20" t="s">
        <v>460</v>
      </c>
    </row>
    <row r="566" spans="1:12" ht="34" x14ac:dyDescent="0.2">
      <c r="A566" s="21" t="s">
        <v>1597</v>
      </c>
      <c r="B566" s="22" t="s">
        <v>1598</v>
      </c>
      <c r="C566" s="23" t="s">
        <v>170</v>
      </c>
      <c r="D566" s="23" t="s">
        <v>463</v>
      </c>
      <c r="E566" s="24">
        <v>36.99</v>
      </c>
      <c r="F566" s="25">
        <v>22.62</v>
      </c>
      <c r="G566" s="26">
        <v>1</v>
      </c>
      <c r="H566" s="27">
        <v>3</v>
      </c>
      <c r="I566" s="26">
        <v>1</v>
      </c>
      <c r="J566" s="39" t="str">
        <f>HYPERLINK("https://amazon.com/dp/B0DRNTCMXS","View on Amazon")</f>
        <v>View on Amazon</v>
      </c>
      <c r="K566" s="23" t="s">
        <v>463</v>
      </c>
      <c r="L566" s="28" t="s">
        <v>460</v>
      </c>
    </row>
    <row r="567" spans="1:12" ht="68" x14ac:dyDescent="0.2">
      <c r="A567" s="13" t="s">
        <v>1599</v>
      </c>
      <c r="B567" s="14" t="s">
        <v>1600</v>
      </c>
      <c r="C567" s="15" t="s">
        <v>275</v>
      </c>
      <c r="D567" s="15" t="s">
        <v>463</v>
      </c>
      <c r="E567" s="16">
        <v>15.98</v>
      </c>
      <c r="F567" s="17">
        <v>21.89</v>
      </c>
      <c r="G567" s="18">
        <v>1</v>
      </c>
      <c r="H567" s="19">
        <v>4</v>
      </c>
      <c r="I567" s="18">
        <v>1</v>
      </c>
      <c r="J567" s="38" t="str">
        <f>HYPERLINK("https://amazon.com/dp/B0CP221YLB","View on Amazon")</f>
        <v>View on Amazon</v>
      </c>
      <c r="K567" s="15" t="s">
        <v>463</v>
      </c>
      <c r="L567" s="20" t="s">
        <v>460</v>
      </c>
    </row>
    <row r="568" spans="1:12" ht="51" x14ac:dyDescent="0.2">
      <c r="A568" s="21" t="s">
        <v>1601</v>
      </c>
      <c r="B568" s="22" t="s">
        <v>1602</v>
      </c>
      <c r="C568" s="23" t="s">
        <v>234</v>
      </c>
      <c r="D568" s="23" t="s">
        <v>463</v>
      </c>
      <c r="E568" s="24">
        <v>38.880000000000003</v>
      </c>
      <c r="F568" s="25">
        <v>21</v>
      </c>
      <c r="G568" s="26">
        <v>1</v>
      </c>
      <c r="H568" s="27">
        <v>4.5999999999999996</v>
      </c>
      <c r="I568" s="26">
        <v>10</v>
      </c>
      <c r="J568" s="39" t="str">
        <f>HYPERLINK("https://amazon.com/dp/B0CN2ZXDB5","View on Amazon")</f>
        <v>View on Amazon</v>
      </c>
      <c r="K568" s="23" t="s">
        <v>463</v>
      </c>
      <c r="L568" s="28" t="s">
        <v>460</v>
      </c>
    </row>
    <row r="569" spans="1:12" ht="51" x14ac:dyDescent="0.2">
      <c r="A569" s="13" t="s">
        <v>1603</v>
      </c>
      <c r="B569" s="14" t="s">
        <v>1604</v>
      </c>
      <c r="C569" s="15" t="s">
        <v>88</v>
      </c>
      <c r="D569" s="15" t="s">
        <v>463</v>
      </c>
      <c r="E569" s="16">
        <v>28</v>
      </c>
      <c r="F569" s="17">
        <v>20.79</v>
      </c>
      <c r="G569" s="18">
        <v>1</v>
      </c>
      <c r="H569" s="19">
        <v>4.2</v>
      </c>
      <c r="I569" s="18">
        <v>3</v>
      </c>
      <c r="J569" s="38" t="str">
        <f>HYPERLINK("https://amazon.com/dp/B0CXX7ZW7P","View on Amazon")</f>
        <v>View on Amazon</v>
      </c>
      <c r="K569" s="15" t="s">
        <v>463</v>
      </c>
      <c r="L569" s="20" t="s">
        <v>460</v>
      </c>
    </row>
    <row r="570" spans="1:12" ht="51" x14ac:dyDescent="0.2">
      <c r="A570" s="21" t="s">
        <v>1605</v>
      </c>
      <c r="B570" s="22" t="s">
        <v>1606</v>
      </c>
      <c r="C570" s="23" t="s">
        <v>283</v>
      </c>
      <c r="D570" s="23" t="s">
        <v>463</v>
      </c>
      <c r="E570" s="24">
        <v>11.96</v>
      </c>
      <c r="F570" s="25">
        <v>20.57</v>
      </c>
      <c r="G570" s="26">
        <v>2</v>
      </c>
      <c r="H570" s="27">
        <v>3.6</v>
      </c>
      <c r="I570" s="26">
        <v>12</v>
      </c>
      <c r="J570" s="39" t="str">
        <f>HYPERLINK("https://amazon.com/dp/B073LV5NZQ","View on Amazon")</f>
        <v>View on Amazon</v>
      </c>
      <c r="K570" s="23" t="s">
        <v>463</v>
      </c>
      <c r="L570" s="28" t="s">
        <v>460</v>
      </c>
    </row>
    <row r="571" spans="1:12" ht="51" x14ac:dyDescent="0.2">
      <c r="A571" s="13" t="s">
        <v>1607</v>
      </c>
      <c r="B571" s="14" t="s">
        <v>1608</v>
      </c>
      <c r="C571" s="15" t="s">
        <v>209</v>
      </c>
      <c r="D571" s="15" t="s">
        <v>463</v>
      </c>
      <c r="E571" s="16">
        <v>19.98</v>
      </c>
      <c r="F571" s="17">
        <v>20.32</v>
      </c>
      <c r="G571" s="18">
        <v>1</v>
      </c>
      <c r="H571" s="19">
        <v>3.4</v>
      </c>
      <c r="I571" s="18">
        <v>10</v>
      </c>
      <c r="J571" s="38" t="str">
        <f>HYPERLINK("https://amazon.com/dp/B0CRHQQ1DX","View on Amazon")</f>
        <v>View on Amazon</v>
      </c>
      <c r="K571" s="15" t="s">
        <v>463</v>
      </c>
      <c r="L571" s="20" t="s">
        <v>460</v>
      </c>
    </row>
    <row r="572" spans="1:12" ht="34" x14ac:dyDescent="0.2">
      <c r="A572" s="21" t="s">
        <v>1609</v>
      </c>
      <c r="B572" s="22" t="s">
        <v>1540</v>
      </c>
      <c r="C572" s="23" t="s">
        <v>98</v>
      </c>
      <c r="D572" s="23" t="s">
        <v>463</v>
      </c>
      <c r="E572" s="24">
        <v>22.99</v>
      </c>
      <c r="F572" s="25">
        <v>19.61</v>
      </c>
      <c r="G572" s="26">
        <v>1</v>
      </c>
      <c r="H572" s="27">
        <v>3.4</v>
      </c>
      <c r="I572" s="26">
        <v>14</v>
      </c>
      <c r="J572" s="39" t="str">
        <f>HYPERLINK("https://amazon.com/dp/B0C8H5YH2H","View on Amazon")</f>
        <v>View on Amazon</v>
      </c>
      <c r="K572" s="23" t="s">
        <v>463</v>
      </c>
      <c r="L572" s="28" t="s">
        <v>460</v>
      </c>
    </row>
    <row r="573" spans="1:12" ht="51" x14ac:dyDescent="0.2">
      <c r="A573" s="13" t="s">
        <v>1610</v>
      </c>
      <c r="B573" s="14" t="s">
        <v>1611</v>
      </c>
      <c r="C573" s="15" t="s">
        <v>284</v>
      </c>
      <c r="D573" s="15" t="s">
        <v>463</v>
      </c>
      <c r="E573" s="16">
        <v>7.99</v>
      </c>
      <c r="F573" s="17">
        <v>19.579999999999998</v>
      </c>
      <c r="G573" s="18">
        <v>2</v>
      </c>
      <c r="H573" s="19">
        <v>4.2</v>
      </c>
      <c r="I573" s="18">
        <v>58</v>
      </c>
      <c r="J573" s="38" t="str">
        <f>HYPERLINK("https://amazon.com/dp/B0BNJQ7BWG","View on Amazon")</f>
        <v>View on Amazon</v>
      </c>
      <c r="K573" s="15" t="s">
        <v>463</v>
      </c>
      <c r="L573" s="20" t="s">
        <v>460</v>
      </c>
    </row>
    <row r="574" spans="1:12" ht="51" x14ac:dyDescent="0.2">
      <c r="A574" s="21" t="s">
        <v>1612</v>
      </c>
      <c r="B574" s="22" t="s">
        <v>1613</v>
      </c>
      <c r="C574" s="23" t="s">
        <v>285</v>
      </c>
      <c r="D574" s="23" t="s">
        <v>459</v>
      </c>
      <c r="E574" s="24">
        <v>34.89</v>
      </c>
      <c r="F574" s="25">
        <v>18.54</v>
      </c>
      <c r="G574" s="26">
        <v>1</v>
      </c>
      <c r="H574" s="27">
        <v>0</v>
      </c>
      <c r="I574" s="26">
        <v>0</v>
      </c>
      <c r="J574" s="39" t="str">
        <f>HYPERLINK("https://amazon.com/dp/B0CTH2P96M","View on Amazon")</f>
        <v>View on Amazon</v>
      </c>
      <c r="K574" s="23" t="s">
        <v>459</v>
      </c>
      <c r="L574" s="28" t="s">
        <v>460</v>
      </c>
    </row>
    <row r="575" spans="1:12" ht="51" x14ac:dyDescent="0.2">
      <c r="A575" s="13" t="s">
        <v>1614</v>
      </c>
      <c r="B575" s="14" t="s">
        <v>1615</v>
      </c>
      <c r="C575" s="15" t="s">
        <v>286</v>
      </c>
      <c r="D575" s="15" t="s">
        <v>459</v>
      </c>
      <c r="E575" s="16">
        <v>15.79</v>
      </c>
      <c r="F575" s="17">
        <v>17.88</v>
      </c>
      <c r="G575" s="18">
        <v>1</v>
      </c>
      <c r="H575" s="19">
        <v>0</v>
      </c>
      <c r="I575" s="18">
        <v>0</v>
      </c>
      <c r="J575" s="38" t="str">
        <f>HYPERLINK("https://amazon.com/dp/B0F66RRJNY","View on Amazon")</f>
        <v>View on Amazon</v>
      </c>
      <c r="K575" s="15" t="s">
        <v>459</v>
      </c>
      <c r="L575" s="20" t="s">
        <v>460</v>
      </c>
    </row>
    <row r="576" spans="1:12" ht="34" x14ac:dyDescent="0.2">
      <c r="A576" s="21" t="s">
        <v>1616</v>
      </c>
      <c r="B576" s="22" t="s">
        <v>1617</v>
      </c>
      <c r="C576" s="23" t="s">
        <v>271</v>
      </c>
      <c r="D576" s="23" t="s">
        <v>463</v>
      </c>
      <c r="E576" s="24">
        <v>18.690000000000001</v>
      </c>
      <c r="F576" s="25">
        <v>17.04</v>
      </c>
      <c r="G576" s="26">
        <v>1</v>
      </c>
      <c r="H576" s="27">
        <v>0</v>
      </c>
      <c r="I576" s="26">
        <v>0</v>
      </c>
      <c r="J576" s="39" t="str">
        <f>HYPERLINK("https://amazon.com/dp/B0BSNX9M2F","View on Amazon")</f>
        <v>View on Amazon</v>
      </c>
      <c r="K576" s="23" t="s">
        <v>463</v>
      </c>
      <c r="L576" s="28" t="s">
        <v>220</v>
      </c>
    </row>
    <row r="577" spans="1:12" ht="51" x14ac:dyDescent="0.2">
      <c r="A577" s="13" t="s">
        <v>1618</v>
      </c>
      <c r="B577" s="14" t="s">
        <v>1619</v>
      </c>
      <c r="C577" s="15" t="s">
        <v>251</v>
      </c>
      <c r="D577" s="15" t="s">
        <v>463</v>
      </c>
      <c r="E577" s="16">
        <v>22.99</v>
      </c>
      <c r="F577" s="17">
        <v>15.56</v>
      </c>
      <c r="G577" s="18">
        <v>1</v>
      </c>
      <c r="H577" s="19">
        <v>3.7</v>
      </c>
      <c r="I577" s="18">
        <v>3</v>
      </c>
      <c r="J577" s="38" t="str">
        <f>HYPERLINK("https://amazon.com/dp/B0DWV753M5","View on Amazon")</f>
        <v>View on Amazon</v>
      </c>
      <c r="K577" s="15" t="s">
        <v>463</v>
      </c>
      <c r="L577" s="20" t="s">
        <v>1297</v>
      </c>
    </row>
    <row r="578" spans="1:12" ht="68" x14ac:dyDescent="0.2">
      <c r="A578" s="21" t="s">
        <v>1620</v>
      </c>
      <c r="B578" s="22" t="s">
        <v>1621</v>
      </c>
      <c r="C578" s="23" t="s">
        <v>287</v>
      </c>
      <c r="D578" s="23" t="s">
        <v>463</v>
      </c>
      <c r="E578" s="24">
        <v>25.98</v>
      </c>
      <c r="F578" s="25">
        <v>14.15</v>
      </c>
      <c r="G578" s="26">
        <v>1</v>
      </c>
      <c r="H578" s="27">
        <v>3.8</v>
      </c>
      <c r="I578" s="26">
        <v>31</v>
      </c>
      <c r="J578" s="39" t="str">
        <f>HYPERLINK("https://amazon.com/dp/B09PYLC92Q","View on Amazon")</f>
        <v>View on Amazon</v>
      </c>
      <c r="K578" s="23" t="s">
        <v>463</v>
      </c>
      <c r="L578" s="28" t="s">
        <v>460</v>
      </c>
    </row>
    <row r="579" spans="1:12" ht="17" x14ac:dyDescent="0.2">
      <c r="A579" s="13" t="s">
        <v>1622</v>
      </c>
      <c r="B579" s="14" t="s">
        <v>1623</v>
      </c>
      <c r="C579" s="15" t="s">
        <v>288</v>
      </c>
      <c r="D579" s="15" t="s">
        <v>463</v>
      </c>
      <c r="E579" s="16">
        <v>9.99</v>
      </c>
      <c r="F579" s="17">
        <v>12.34</v>
      </c>
      <c r="G579" s="18">
        <v>1</v>
      </c>
      <c r="H579" s="19">
        <v>3.9</v>
      </c>
      <c r="I579" s="18">
        <v>3</v>
      </c>
      <c r="J579" s="38" t="str">
        <f>HYPERLINK("https://amazon.com/dp/B01JQZKBWG","View on Amazon")</f>
        <v>View on Amazon</v>
      </c>
      <c r="K579" s="15" t="s">
        <v>463</v>
      </c>
      <c r="L579" s="20" t="s">
        <v>1297</v>
      </c>
    </row>
    <row r="580" spans="1:12" ht="51" x14ac:dyDescent="0.2">
      <c r="A580" s="21" t="s">
        <v>1624</v>
      </c>
      <c r="B580" s="22" t="s">
        <v>1625</v>
      </c>
      <c r="C580" s="23" t="s">
        <v>289</v>
      </c>
      <c r="D580" s="23" t="s">
        <v>463</v>
      </c>
      <c r="E580" s="24">
        <v>12.58</v>
      </c>
      <c r="F580" s="25">
        <v>8.58</v>
      </c>
      <c r="G580" s="26">
        <v>1</v>
      </c>
      <c r="H580" s="27">
        <v>3</v>
      </c>
      <c r="I580" s="26">
        <v>1</v>
      </c>
      <c r="J580" s="39" t="str">
        <f>HYPERLINK("https://amazon.com/dp/B0BCGYH9BM","View on Amazon")</f>
        <v>View on Amazon</v>
      </c>
      <c r="K580" s="23" t="s">
        <v>463</v>
      </c>
      <c r="L580" s="28" t="s">
        <v>460</v>
      </c>
    </row>
    <row r="581" spans="1:12" ht="51" x14ac:dyDescent="0.2">
      <c r="A581" s="13" t="s">
        <v>1626</v>
      </c>
      <c r="B581" s="14" t="s">
        <v>1627</v>
      </c>
      <c r="C581" s="15" t="s">
        <v>53</v>
      </c>
      <c r="D581" s="15" t="s">
        <v>459</v>
      </c>
      <c r="E581" s="16">
        <v>449.99</v>
      </c>
      <c r="F581" s="17">
        <v>0</v>
      </c>
      <c r="G581" s="18">
        <v>0</v>
      </c>
      <c r="H581" s="19">
        <v>4.3</v>
      </c>
      <c r="I581" s="18">
        <v>875</v>
      </c>
      <c r="J581" s="38" t="str">
        <f>HYPERLINK("https://amazon.com/dp/B08TCJWKQ3","View on Amazon")</f>
        <v>View on Amazon</v>
      </c>
      <c r="K581" s="15" t="s">
        <v>459</v>
      </c>
      <c r="L581" s="20" t="s">
        <v>460</v>
      </c>
    </row>
    <row r="582" spans="1:12" ht="68" x14ac:dyDescent="0.2">
      <c r="A582" s="21" t="s">
        <v>1628</v>
      </c>
      <c r="B582" s="22" t="s">
        <v>1629</v>
      </c>
      <c r="C582" s="23" t="s">
        <v>36</v>
      </c>
      <c r="D582" s="23" t="s">
        <v>459</v>
      </c>
      <c r="E582" s="24">
        <v>189.89</v>
      </c>
      <c r="F582" s="25">
        <v>0</v>
      </c>
      <c r="G582" s="26">
        <v>0</v>
      </c>
      <c r="H582" s="27">
        <v>4</v>
      </c>
      <c r="I582" s="26">
        <v>51</v>
      </c>
      <c r="J582" s="39" t="str">
        <f>HYPERLINK("https://amazon.com/dp/B09QKKKVHR","View on Amazon")</f>
        <v>View on Amazon</v>
      </c>
      <c r="K582" s="23" t="s">
        <v>459</v>
      </c>
      <c r="L582" s="28" t="s">
        <v>460</v>
      </c>
    </row>
    <row r="583" spans="1:12" ht="68" x14ac:dyDescent="0.2">
      <c r="A583" s="13" t="s">
        <v>1630</v>
      </c>
      <c r="B583" s="14" t="s">
        <v>1631</v>
      </c>
      <c r="C583" s="15" t="s">
        <v>36</v>
      </c>
      <c r="D583" s="15" t="s">
        <v>459</v>
      </c>
      <c r="E583" s="16">
        <v>235.98</v>
      </c>
      <c r="F583" s="17">
        <v>0</v>
      </c>
      <c r="G583" s="18">
        <v>0</v>
      </c>
      <c r="H583" s="19">
        <v>3.6</v>
      </c>
      <c r="I583" s="18">
        <v>10</v>
      </c>
      <c r="J583" s="38" t="str">
        <f>HYPERLINK("https://amazon.com/dp/B0CC8VYCJX","View on Amazon")</f>
        <v>View on Amazon</v>
      </c>
      <c r="K583" s="15" t="s">
        <v>459</v>
      </c>
      <c r="L583" s="20" t="s">
        <v>460</v>
      </c>
    </row>
    <row r="584" spans="1:12" ht="68" x14ac:dyDescent="0.2">
      <c r="A584" s="21" t="s">
        <v>1632</v>
      </c>
      <c r="B584" s="22" t="s">
        <v>1633</v>
      </c>
      <c r="C584" s="23" t="s">
        <v>287</v>
      </c>
      <c r="D584" s="23" t="s">
        <v>463</v>
      </c>
      <c r="E584" s="24">
        <v>27.06</v>
      </c>
      <c r="F584" s="25">
        <v>0</v>
      </c>
      <c r="G584" s="26">
        <v>0</v>
      </c>
      <c r="H584" s="27">
        <v>2</v>
      </c>
      <c r="I584" s="26">
        <v>1</v>
      </c>
      <c r="J584" s="39" t="str">
        <f>HYPERLINK("https://amazon.com/dp/B0B4JMVYK1","View on Amazon")</f>
        <v>View on Amazon</v>
      </c>
      <c r="K584" s="23" t="s">
        <v>463</v>
      </c>
      <c r="L584" s="28" t="s">
        <v>460</v>
      </c>
    </row>
    <row r="585" spans="1:12" ht="68" x14ac:dyDescent="0.2">
      <c r="A585" s="13" t="s">
        <v>1634</v>
      </c>
      <c r="B585" s="14" t="s">
        <v>1635</v>
      </c>
      <c r="C585" s="15" t="s">
        <v>33</v>
      </c>
      <c r="D585" s="15" t="s">
        <v>463</v>
      </c>
      <c r="E585" s="16">
        <v>59.99</v>
      </c>
      <c r="F585" s="17">
        <v>0</v>
      </c>
      <c r="G585" s="18">
        <v>0</v>
      </c>
      <c r="H585" s="19">
        <v>4.0999999999999996</v>
      </c>
      <c r="I585" s="18">
        <v>14</v>
      </c>
      <c r="J585" s="38" t="str">
        <f>HYPERLINK("https://amazon.com/dp/B0DXFHDDT8","View on Amazon")</f>
        <v>View on Amazon</v>
      </c>
      <c r="K585" s="15" t="s">
        <v>463</v>
      </c>
      <c r="L585" s="20" t="s">
        <v>460</v>
      </c>
    </row>
    <row r="586" spans="1:12" ht="68" x14ac:dyDescent="0.2">
      <c r="A586" s="21" t="s">
        <v>1636</v>
      </c>
      <c r="B586" s="22" t="s">
        <v>1637</v>
      </c>
      <c r="C586" s="23" t="s">
        <v>135</v>
      </c>
      <c r="D586" s="23" t="s">
        <v>463</v>
      </c>
      <c r="E586" s="24">
        <v>65.989999999999995</v>
      </c>
      <c r="F586" s="25">
        <v>0</v>
      </c>
      <c r="G586" s="26">
        <v>0</v>
      </c>
      <c r="H586" s="27">
        <v>4.2</v>
      </c>
      <c r="I586" s="26">
        <v>424</v>
      </c>
      <c r="J586" s="39" t="str">
        <f>HYPERLINK("https://amazon.com/dp/B08DHW3QNW","View on Amazon")</f>
        <v>View on Amazon</v>
      </c>
      <c r="K586" s="23" t="s">
        <v>463</v>
      </c>
      <c r="L586" s="28" t="s">
        <v>460</v>
      </c>
    </row>
    <row r="587" spans="1:12" ht="51" x14ac:dyDescent="0.2">
      <c r="A587" s="13" t="s">
        <v>1638</v>
      </c>
      <c r="B587" s="14" t="s">
        <v>1639</v>
      </c>
      <c r="C587" s="15" t="s">
        <v>290</v>
      </c>
      <c r="D587" s="15" t="s">
        <v>463</v>
      </c>
      <c r="E587" s="16">
        <v>22.38</v>
      </c>
      <c r="F587" s="17">
        <v>0</v>
      </c>
      <c r="G587" s="18">
        <v>0</v>
      </c>
      <c r="H587" s="19">
        <v>5</v>
      </c>
      <c r="I587" s="18">
        <v>2</v>
      </c>
      <c r="J587" s="38" t="str">
        <f>HYPERLINK("https://amazon.com/dp/B0CSFRLCTW","View on Amazon")</f>
        <v>View on Amazon</v>
      </c>
      <c r="K587" s="15" t="s">
        <v>463</v>
      </c>
      <c r="L587" s="20" t="s">
        <v>460</v>
      </c>
    </row>
    <row r="588" spans="1:12" ht="68" x14ac:dyDescent="0.2">
      <c r="A588" s="21" t="s">
        <v>1640</v>
      </c>
      <c r="B588" s="22" t="s">
        <v>1641</v>
      </c>
      <c r="C588" s="23" t="s">
        <v>159</v>
      </c>
      <c r="D588" s="23" t="s">
        <v>463</v>
      </c>
      <c r="E588" s="24">
        <v>69.989999999999995</v>
      </c>
      <c r="F588" s="25">
        <v>0</v>
      </c>
      <c r="G588" s="26">
        <v>0</v>
      </c>
      <c r="H588" s="27">
        <v>0</v>
      </c>
      <c r="I588" s="26">
        <v>0</v>
      </c>
      <c r="J588" s="39" t="str">
        <f>HYPERLINK("https://amazon.com/dp/B0DNSMWQRS","View on Amazon")</f>
        <v>View on Amazon</v>
      </c>
      <c r="K588" s="23" t="s">
        <v>463</v>
      </c>
      <c r="L588" s="28" t="s">
        <v>460</v>
      </c>
    </row>
    <row r="589" spans="1:12" ht="68" x14ac:dyDescent="0.2">
      <c r="A589" s="13" t="s">
        <v>1642</v>
      </c>
      <c r="B589" s="14" t="s">
        <v>1643</v>
      </c>
      <c r="C589" s="15" t="s">
        <v>132</v>
      </c>
      <c r="D589" s="15" t="s">
        <v>503</v>
      </c>
      <c r="E589" s="16">
        <v>118.99</v>
      </c>
      <c r="F589" s="17">
        <v>0</v>
      </c>
      <c r="G589" s="18">
        <v>0</v>
      </c>
      <c r="H589" s="19">
        <v>0</v>
      </c>
      <c r="I589" s="18">
        <v>0</v>
      </c>
      <c r="J589" s="38" t="str">
        <f>HYPERLINK("https://amazon.com/dp/B0FWQXD314","View on Amazon")</f>
        <v>View on Amazon</v>
      </c>
      <c r="K589" s="15" t="s">
        <v>503</v>
      </c>
      <c r="L589" s="20" t="s">
        <v>460</v>
      </c>
    </row>
    <row r="590" spans="1:12" ht="51" x14ac:dyDescent="0.2">
      <c r="A590" s="21" t="s">
        <v>1644</v>
      </c>
      <c r="B590" s="22" t="s">
        <v>1645</v>
      </c>
      <c r="C590" s="23" t="s">
        <v>291</v>
      </c>
      <c r="D590" s="23" t="s">
        <v>463</v>
      </c>
      <c r="E590" s="24">
        <v>89.99</v>
      </c>
      <c r="F590" s="25">
        <v>0</v>
      </c>
      <c r="G590" s="26">
        <v>0</v>
      </c>
      <c r="H590" s="27">
        <v>5</v>
      </c>
      <c r="I590" s="26">
        <v>2</v>
      </c>
      <c r="J590" s="39" t="str">
        <f>HYPERLINK("https://amazon.com/dp/B0FVWS25C3","View on Amazon")</f>
        <v>View on Amazon</v>
      </c>
      <c r="K590" s="23" t="s">
        <v>463</v>
      </c>
      <c r="L590" s="28" t="s">
        <v>460</v>
      </c>
    </row>
    <row r="591" spans="1:12" ht="51" x14ac:dyDescent="0.2">
      <c r="A591" s="13" t="s">
        <v>1646</v>
      </c>
      <c r="B591" s="14" t="s">
        <v>1647</v>
      </c>
      <c r="C591" s="15" t="s">
        <v>24</v>
      </c>
      <c r="D591" s="15" t="s">
        <v>459</v>
      </c>
      <c r="E591" s="16">
        <v>449.99</v>
      </c>
      <c r="F591" s="17">
        <v>0</v>
      </c>
      <c r="G591" s="18">
        <v>0</v>
      </c>
      <c r="H591" s="19">
        <v>0</v>
      </c>
      <c r="I591" s="18">
        <v>0</v>
      </c>
      <c r="J591" s="38" t="str">
        <f>HYPERLINK("https://amazon.com/dp/B0G44QMR7M","View on Amazon")</f>
        <v>View on Amazon</v>
      </c>
      <c r="K591" s="15" t="s">
        <v>459</v>
      </c>
      <c r="L591" s="20" t="s">
        <v>460</v>
      </c>
    </row>
    <row r="592" spans="1:12" ht="34" x14ac:dyDescent="0.2">
      <c r="A592" s="21" t="s">
        <v>1648</v>
      </c>
      <c r="B592" s="22" t="s">
        <v>1649</v>
      </c>
      <c r="C592" s="23" t="s">
        <v>292</v>
      </c>
      <c r="D592" s="23" t="s">
        <v>459</v>
      </c>
      <c r="E592" s="24">
        <v>124.99</v>
      </c>
      <c r="F592" s="25">
        <v>0</v>
      </c>
      <c r="G592" s="26">
        <v>0</v>
      </c>
      <c r="H592" s="27">
        <v>5</v>
      </c>
      <c r="I592" s="26">
        <v>3</v>
      </c>
      <c r="J592" s="39" t="str">
        <f>HYPERLINK("https://amazon.com/dp/B089BXXMMM","View on Amazon")</f>
        <v>View on Amazon</v>
      </c>
      <c r="K592" s="23" t="s">
        <v>459</v>
      </c>
      <c r="L592" s="28" t="s">
        <v>1297</v>
      </c>
    </row>
    <row r="593" spans="1:12" ht="17" x14ac:dyDescent="0.2">
      <c r="A593" s="13" t="s">
        <v>1650</v>
      </c>
      <c r="B593" s="14" t="s">
        <v>1651</v>
      </c>
      <c r="C593" s="15" t="s">
        <v>293</v>
      </c>
      <c r="D593" s="15" t="s">
        <v>459</v>
      </c>
      <c r="E593" s="16">
        <v>39.33</v>
      </c>
      <c r="F593" s="17">
        <v>0</v>
      </c>
      <c r="G593" s="18">
        <v>0</v>
      </c>
      <c r="H593" s="19">
        <v>2.9</v>
      </c>
      <c r="I593" s="18">
        <v>63</v>
      </c>
      <c r="J593" s="38" t="str">
        <f>HYPERLINK("https://amazon.com/dp/B001DZQTNS","View on Amazon")</f>
        <v>View on Amazon</v>
      </c>
      <c r="K593" s="15" t="s">
        <v>459</v>
      </c>
      <c r="L593" s="20" t="s">
        <v>460</v>
      </c>
    </row>
    <row r="594" spans="1:12" ht="68" x14ac:dyDescent="0.2">
      <c r="A594" s="21" t="s">
        <v>1652</v>
      </c>
      <c r="B594" s="22" t="s">
        <v>1653</v>
      </c>
      <c r="C594" s="23" t="s">
        <v>247</v>
      </c>
      <c r="D594" s="23" t="s">
        <v>463</v>
      </c>
      <c r="E594" s="24">
        <v>59.99</v>
      </c>
      <c r="F594" s="25">
        <v>0</v>
      </c>
      <c r="G594" s="26">
        <v>0</v>
      </c>
      <c r="H594" s="27">
        <v>4.2</v>
      </c>
      <c r="I594" s="26">
        <v>376</v>
      </c>
      <c r="J594" s="39" t="str">
        <f>HYPERLINK("https://amazon.com/dp/B0B9XYPWSD","View on Amazon")</f>
        <v>View on Amazon</v>
      </c>
      <c r="K594" s="23" t="s">
        <v>463</v>
      </c>
      <c r="L594" s="28" t="s">
        <v>460</v>
      </c>
    </row>
    <row r="595" spans="1:12" ht="51" x14ac:dyDescent="0.2">
      <c r="A595" s="13" t="s">
        <v>1654</v>
      </c>
      <c r="B595" s="14" t="s">
        <v>1655</v>
      </c>
      <c r="C595" s="15" t="s">
        <v>234</v>
      </c>
      <c r="D595" s="15" t="s">
        <v>463</v>
      </c>
      <c r="E595" s="16">
        <v>38.880000000000003</v>
      </c>
      <c r="F595" s="17">
        <v>0</v>
      </c>
      <c r="G595" s="18">
        <v>0</v>
      </c>
      <c r="H595" s="19">
        <v>4.2</v>
      </c>
      <c r="I595" s="18">
        <v>6</v>
      </c>
      <c r="J595" s="38" t="str">
        <f>HYPERLINK("https://amazon.com/dp/B0BRJ6WPDD","View on Amazon")</f>
        <v>View on Amazon</v>
      </c>
      <c r="K595" s="15" t="s">
        <v>463</v>
      </c>
      <c r="L595" s="20" t="s">
        <v>460</v>
      </c>
    </row>
    <row r="596" spans="1:12" ht="68" x14ac:dyDescent="0.2">
      <c r="A596" s="21" t="s">
        <v>1656</v>
      </c>
      <c r="B596" s="22" t="s">
        <v>1657</v>
      </c>
      <c r="C596" s="23" t="s">
        <v>36</v>
      </c>
      <c r="D596" s="23" t="s">
        <v>459</v>
      </c>
      <c r="E596" s="24">
        <v>399.98</v>
      </c>
      <c r="F596" s="25">
        <v>0</v>
      </c>
      <c r="G596" s="26">
        <v>0</v>
      </c>
      <c r="H596" s="27">
        <v>4.5999999999999996</v>
      </c>
      <c r="I596" s="26">
        <v>3</v>
      </c>
      <c r="J596" s="39" t="str">
        <f>HYPERLINK("https://amazon.com/dp/B0FKTJLT4G","View on Amazon")</f>
        <v>View on Amazon</v>
      </c>
      <c r="K596" s="23" t="s">
        <v>459</v>
      </c>
      <c r="L596" s="28" t="s">
        <v>460</v>
      </c>
    </row>
    <row r="597" spans="1:12" ht="68" x14ac:dyDescent="0.2">
      <c r="A597" s="13" t="s">
        <v>1658</v>
      </c>
      <c r="B597" s="14" t="s">
        <v>1659</v>
      </c>
      <c r="C597" s="15" t="s">
        <v>119</v>
      </c>
      <c r="D597" s="15" t="s">
        <v>463</v>
      </c>
      <c r="E597" s="16">
        <v>59.99</v>
      </c>
      <c r="F597" s="17">
        <v>0</v>
      </c>
      <c r="G597" s="18">
        <v>0</v>
      </c>
      <c r="H597" s="19">
        <v>3.3</v>
      </c>
      <c r="I597" s="18">
        <v>3</v>
      </c>
      <c r="J597" s="38" t="str">
        <f>HYPERLINK("https://amazon.com/dp/B0F1LRPRMV","View on Amazon")</f>
        <v>View on Amazon</v>
      </c>
      <c r="K597" s="15" t="s">
        <v>463</v>
      </c>
      <c r="L597" s="20" t="s">
        <v>460</v>
      </c>
    </row>
    <row r="598" spans="1:12" ht="34" x14ac:dyDescent="0.2">
      <c r="A598" s="21" t="s">
        <v>1660</v>
      </c>
      <c r="B598" s="22" t="s">
        <v>1661</v>
      </c>
      <c r="C598" s="23" t="s">
        <v>276</v>
      </c>
      <c r="D598" s="23" t="s">
        <v>463</v>
      </c>
      <c r="E598" s="24">
        <v>24.99</v>
      </c>
      <c r="F598" s="25">
        <v>0</v>
      </c>
      <c r="G598" s="26">
        <v>0</v>
      </c>
      <c r="H598" s="27">
        <v>4</v>
      </c>
      <c r="I598" s="26">
        <v>5</v>
      </c>
      <c r="J598" s="39" t="str">
        <f>HYPERLINK("https://amazon.com/dp/B0086Y03EA","View on Amazon")</f>
        <v>View on Amazon</v>
      </c>
      <c r="K598" s="23" t="s">
        <v>463</v>
      </c>
      <c r="L598" s="28" t="s">
        <v>460</v>
      </c>
    </row>
    <row r="599" spans="1:12" ht="51" x14ac:dyDescent="0.2">
      <c r="A599" s="13" t="s">
        <v>1662</v>
      </c>
      <c r="B599" s="14" t="s">
        <v>1663</v>
      </c>
      <c r="C599" s="15" t="s">
        <v>284</v>
      </c>
      <c r="D599" s="15" t="s">
        <v>463</v>
      </c>
      <c r="E599" s="16">
        <v>7.99</v>
      </c>
      <c r="F599" s="17">
        <v>0</v>
      </c>
      <c r="G599" s="18">
        <v>0</v>
      </c>
      <c r="H599" s="19">
        <v>4.2</v>
      </c>
      <c r="I599" s="18">
        <v>58</v>
      </c>
      <c r="J599" s="38" t="str">
        <f>HYPERLINK("https://amazon.com/dp/B0BNJQFB5V","View on Amazon")</f>
        <v>View on Amazon</v>
      </c>
      <c r="K599" s="15" t="s">
        <v>463</v>
      </c>
      <c r="L599" s="20" t="s">
        <v>460</v>
      </c>
    </row>
    <row r="600" spans="1:12" ht="34" x14ac:dyDescent="0.2">
      <c r="A600" s="21" t="s">
        <v>1664</v>
      </c>
      <c r="B600" s="22" t="s">
        <v>1665</v>
      </c>
      <c r="C600" s="23" t="s">
        <v>84</v>
      </c>
      <c r="D600" s="23" t="s">
        <v>463</v>
      </c>
      <c r="E600" s="24">
        <v>69.989999999999995</v>
      </c>
      <c r="F600" s="25">
        <v>0</v>
      </c>
      <c r="G600" s="26">
        <v>0</v>
      </c>
      <c r="H600" s="27">
        <v>3.4</v>
      </c>
      <c r="I600" s="26">
        <v>7</v>
      </c>
      <c r="J600" s="39" t="str">
        <f>HYPERLINK("https://amazon.com/dp/B0CPLT93TP","View on Amazon")</f>
        <v>View on Amazon</v>
      </c>
      <c r="K600" s="23" t="s">
        <v>463</v>
      </c>
      <c r="L600" s="28" t="s">
        <v>460</v>
      </c>
    </row>
    <row r="601" spans="1:12" ht="51" x14ac:dyDescent="0.2">
      <c r="A601" s="13" t="s">
        <v>1666</v>
      </c>
      <c r="B601" s="14" t="s">
        <v>1667</v>
      </c>
      <c r="C601" s="15" t="s">
        <v>294</v>
      </c>
      <c r="D601" s="15" t="s">
        <v>463</v>
      </c>
      <c r="E601" s="16">
        <v>52</v>
      </c>
      <c r="F601" s="17">
        <v>0</v>
      </c>
      <c r="G601" s="18">
        <v>0</v>
      </c>
      <c r="H601" s="19">
        <v>0</v>
      </c>
      <c r="I601" s="18">
        <v>0</v>
      </c>
      <c r="J601" s="38" t="str">
        <f>HYPERLINK("https://amazon.com/dp/B0FF1NTHKJ","View on Amazon")</f>
        <v>View on Amazon</v>
      </c>
      <c r="K601" s="15" t="s">
        <v>463</v>
      </c>
      <c r="L601" s="20" t="s">
        <v>220</v>
      </c>
    </row>
    <row r="602" spans="1:12" ht="34" x14ac:dyDescent="0.2">
      <c r="A602" s="21" t="s">
        <v>1668</v>
      </c>
      <c r="B602" s="22" t="s">
        <v>1669</v>
      </c>
      <c r="C602" s="23" t="s">
        <v>295</v>
      </c>
      <c r="D602" s="23" t="s">
        <v>459</v>
      </c>
      <c r="E602" s="24">
        <v>14.99</v>
      </c>
      <c r="F602" s="25">
        <v>0</v>
      </c>
      <c r="G602" s="26">
        <v>0</v>
      </c>
      <c r="H602" s="27">
        <v>0</v>
      </c>
      <c r="I602" s="26">
        <v>0</v>
      </c>
      <c r="J602" s="39" t="str">
        <f>HYPERLINK("https://amazon.com/dp/B0F93SMJLJ","View on Amazon")</f>
        <v>View on Amazon</v>
      </c>
      <c r="K602" s="23" t="s">
        <v>459</v>
      </c>
      <c r="L602" s="28" t="s">
        <v>460</v>
      </c>
    </row>
    <row r="603" spans="1:12" ht="51" x14ac:dyDescent="0.2">
      <c r="A603" s="13" t="s">
        <v>1670</v>
      </c>
      <c r="B603" s="14" t="s">
        <v>1671</v>
      </c>
      <c r="C603" s="15" t="s">
        <v>154</v>
      </c>
      <c r="D603" s="15" t="s">
        <v>459</v>
      </c>
      <c r="E603" s="16">
        <v>34.81</v>
      </c>
      <c r="F603" s="17">
        <v>0</v>
      </c>
      <c r="G603" s="18">
        <v>0</v>
      </c>
      <c r="H603" s="19">
        <v>2.9</v>
      </c>
      <c r="I603" s="18">
        <v>5</v>
      </c>
      <c r="J603" s="38" t="str">
        <f>HYPERLINK("https://amazon.com/dp/B0DMQCPT4V","View on Amazon")</f>
        <v>View on Amazon</v>
      </c>
      <c r="K603" s="15" t="s">
        <v>459</v>
      </c>
      <c r="L603" s="20" t="s">
        <v>460</v>
      </c>
    </row>
    <row r="604" spans="1:12" ht="34" x14ac:dyDescent="0.2">
      <c r="A604" s="21" t="s">
        <v>1672</v>
      </c>
      <c r="B604" s="22" t="s">
        <v>1673</v>
      </c>
      <c r="C604" s="23" t="s">
        <v>296</v>
      </c>
      <c r="D604" s="23" t="s">
        <v>1674</v>
      </c>
      <c r="E604" s="24">
        <v>12.91</v>
      </c>
      <c r="F604" s="25">
        <v>0</v>
      </c>
      <c r="G604" s="26">
        <v>0</v>
      </c>
      <c r="H604" s="27">
        <v>4.2</v>
      </c>
      <c r="I604" s="26">
        <v>75</v>
      </c>
      <c r="J604" s="39" t="str">
        <f>HYPERLINK("https://amazon.com/dp/B0DDPV7V4N","View on Amazon")</f>
        <v>View on Amazon</v>
      </c>
      <c r="K604" s="23" t="s">
        <v>1674</v>
      </c>
      <c r="L604" s="28" t="s">
        <v>460</v>
      </c>
    </row>
    <row r="605" spans="1:12" ht="51" x14ac:dyDescent="0.2">
      <c r="A605" s="13" t="s">
        <v>1675</v>
      </c>
      <c r="B605" s="14" t="s">
        <v>1676</v>
      </c>
      <c r="C605" s="15" t="s">
        <v>36</v>
      </c>
      <c r="D605" s="15" t="s">
        <v>503</v>
      </c>
      <c r="E605" s="16">
        <v>699.98</v>
      </c>
      <c r="F605" s="17">
        <v>0</v>
      </c>
      <c r="G605" s="18">
        <v>0</v>
      </c>
      <c r="H605" s="19">
        <v>5</v>
      </c>
      <c r="I605" s="18">
        <v>3</v>
      </c>
      <c r="J605" s="38" t="str">
        <f>HYPERLINK("https://amazon.com/dp/B0GPSZR571","View on Amazon")</f>
        <v>View on Amazon</v>
      </c>
      <c r="K605" s="15" t="s">
        <v>503</v>
      </c>
      <c r="L605" s="20" t="s">
        <v>220</v>
      </c>
    </row>
    <row r="606" spans="1:12" ht="68" x14ac:dyDescent="0.2">
      <c r="A606" s="21" t="s">
        <v>1677</v>
      </c>
      <c r="B606" s="22" t="s">
        <v>1678</v>
      </c>
      <c r="C606" s="23" t="s">
        <v>297</v>
      </c>
      <c r="D606" s="23" t="s">
        <v>463</v>
      </c>
      <c r="E606" s="24">
        <v>189.99</v>
      </c>
      <c r="F606" s="25">
        <v>0</v>
      </c>
      <c r="G606" s="26">
        <v>0</v>
      </c>
      <c r="H606" s="27">
        <v>4.2</v>
      </c>
      <c r="I606" s="26">
        <v>11</v>
      </c>
      <c r="J606" s="39" t="str">
        <f>HYPERLINK("https://amazon.com/dp/B0777DN6BK","View on Amazon")</f>
        <v>View on Amazon</v>
      </c>
      <c r="K606" s="23" t="s">
        <v>463</v>
      </c>
      <c r="L606" s="28" t="s">
        <v>460</v>
      </c>
    </row>
    <row r="607" spans="1:12" ht="51" x14ac:dyDescent="0.2">
      <c r="A607" s="13" t="s">
        <v>1679</v>
      </c>
      <c r="B607" s="14" t="s">
        <v>1680</v>
      </c>
      <c r="C607" s="15" t="s">
        <v>208</v>
      </c>
      <c r="D607" s="15" t="s">
        <v>463</v>
      </c>
      <c r="E607" s="16">
        <v>59.99</v>
      </c>
      <c r="F607" s="17">
        <v>0</v>
      </c>
      <c r="G607" s="18">
        <v>0</v>
      </c>
      <c r="H607" s="19">
        <v>4</v>
      </c>
      <c r="I607" s="18">
        <v>59</v>
      </c>
      <c r="J607" s="38" t="str">
        <f>HYPERLINK("https://amazon.com/dp/B0DYHTP71V","View on Amazon")</f>
        <v>View on Amazon</v>
      </c>
      <c r="K607" s="15" t="s">
        <v>463</v>
      </c>
      <c r="L607" s="20" t="s">
        <v>460</v>
      </c>
    </row>
    <row r="608" spans="1:12" ht="51" x14ac:dyDescent="0.2">
      <c r="A608" s="21" t="s">
        <v>1681</v>
      </c>
      <c r="B608" s="22" t="s">
        <v>1682</v>
      </c>
      <c r="C608" s="23" t="s">
        <v>192</v>
      </c>
      <c r="D608" s="23" t="s">
        <v>463</v>
      </c>
      <c r="E608" s="24">
        <v>16.989999999999998</v>
      </c>
      <c r="F608" s="25">
        <v>0</v>
      </c>
      <c r="G608" s="26">
        <v>0</v>
      </c>
      <c r="H608" s="27">
        <v>3.5</v>
      </c>
      <c r="I608" s="26">
        <v>33</v>
      </c>
      <c r="J608" s="39" t="str">
        <f>HYPERLINK("https://amazon.com/dp/B0CCJ4KGJ7","View on Amazon")</f>
        <v>View on Amazon</v>
      </c>
      <c r="K608" s="23" t="s">
        <v>463</v>
      </c>
      <c r="L608" s="28" t="s">
        <v>460</v>
      </c>
    </row>
    <row r="609" spans="1:12" ht="51" x14ac:dyDescent="0.2">
      <c r="A609" s="13" t="s">
        <v>1683</v>
      </c>
      <c r="B609" s="14" t="s">
        <v>1684</v>
      </c>
      <c r="C609" s="15" t="s">
        <v>298</v>
      </c>
      <c r="D609" s="15" t="s">
        <v>463</v>
      </c>
      <c r="E609" s="16">
        <v>26.99</v>
      </c>
      <c r="F609" s="17">
        <v>0</v>
      </c>
      <c r="G609" s="18">
        <v>0</v>
      </c>
      <c r="H609" s="19">
        <v>4.2</v>
      </c>
      <c r="I609" s="18">
        <v>30</v>
      </c>
      <c r="J609" s="38" t="str">
        <f>HYPERLINK("https://amazon.com/dp/B0DQCRSHY9","View on Amazon")</f>
        <v>View on Amazon</v>
      </c>
      <c r="K609" s="15" t="s">
        <v>463</v>
      </c>
      <c r="L609" s="20" t="s">
        <v>460</v>
      </c>
    </row>
    <row r="610" spans="1:12" ht="68" x14ac:dyDescent="0.2">
      <c r="A610" s="21" t="s">
        <v>1685</v>
      </c>
      <c r="B610" s="22" t="s">
        <v>1686</v>
      </c>
      <c r="C610" s="23" t="s">
        <v>299</v>
      </c>
      <c r="D610" s="23" t="s">
        <v>463</v>
      </c>
      <c r="E610" s="24">
        <v>39.99</v>
      </c>
      <c r="F610" s="25">
        <v>0</v>
      </c>
      <c r="G610" s="26">
        <v>0</v>
      </c>
      <c r="H610" s="27">
        <v>3.9</v>
      </c>
      <c r="I610" s="26">
        <v>51</v>
      </c>
      <c r="J610" s="39" t="str">
        <f>HYPERLINK("https://amazon.com/dp/B0DRJQT1R9","View on Amazon")</f>
        <v>View on Amazon</v>
      </c>
      <c r="K610" s="23" t="s">
        <v>463</v>
      </c>
      <c r="L610" s="28" t="s">
        <v>460</v>
      </c>
    </row>
    <row r="611" spans="1:12" ht="51" x14ac:dyDescent="0.2">
      <c r="A611" s="13" t="s">
        <v>1687</v>
      </c>
      <c r="B611" s="14" t="s">
        <v>1684</v>
      </c>
      <c r="C611" s="15" t="s">
        <v>298</v>
      </c>
      <c r="D611" s="15" t="s">
        <v>463</v>
      </c>
      <c r="E611" s="16">
        <v>26.99</v>
      </c>
      <c r="F611" s="17">
        <v>0</v>
      </c>
      <c r="G611" s="18">
        <v>0</v>
      </c>
      <c r="H611" s="19">
        <v>4.2</v>
      </c>
      <c r="I611" s="18">
        <v>30</v>
      </c>
      <c r="J611" s="38" t="str">
        <f>HYPERLINK("https://amazon.com/dp/B0DQCNM21J","View on Amazon")</f>
        <v>View on Amazon</v>
      </c>
      <c r="K611" s="15" t="s">
        <v>463</v>
      </c>
      <c r="L611" s="20" t="s">
        <v>460</v>
      </c>
    </row>
    <row r="612" spans="1:12" ht="51" x14ac:dyDescent="0.2">
      <c r="A612" s="21" t="s">
        <v>1688</v>
      </c>
      <c r="B612" s="22" t="s">
        <v>1684</v>
      </c>
      <c r="C612" s="23" t="s">
        <v>298</v>
      </c>
      <c r="D612" s="23" t="s">
        <v>463</v>
      </c>
      <c r="E612" s="24">
        <v>26.99</v>
      </c>
      <c r="F612" s="25">
        <v>0</v>
      </c>
      <c r="G612" s="26">
        <v>0</v>
      </c>
      <c r="H612" s="27">
        <v>4.2</v>
      </c>
      <c r="I612" s="26">
        <v>30</v>
      </c>
      <c r="J612" s="39" t="str">
        <f>HYPERLINK("https://amazon.com/dp/B0DQCQR1S9","View on Amazon")</f>
        <v>View on Amazon</v>
      </c>
      <c r="K612" s="23" t="s">
        <v>463</v>
      </c>
      <c r="L612" s="28" t="s">
        <v>460</v>
      </c>
    </row>
    <row r="613" spans="1:12" ht="51" x14ac:dyDescent="0.2">
      <c r="A613" s="13" t="s">
        <v>1689</v>
      </c>
      <c r="B613" s="14" t="s">
        <v>1684</v>
      </c>
      <c r="C613" s="15" t="s">
        <v>298</v>
      </c>
      <c r="D613" s="15" t="s">
        <v>463</v>
      </c>
      <c r="E613" s="16">
        <v>23.99</v>
      </c>
      <c r="F613" s="17">
        <v>0</v>
      </c>
      <c r="G613" s="18">
        <v>0</v>
      </c>
      <c r="H613" s="19">
        <v>4.2</v>
      </c>
      <c r="I613" s="18">
        <v>32</v>
      </c>
      <c r="J613" s="38" t="str">
        <f>HYPERLINK("https://amazon.com/dp/B0DQCN61GY","View on Amazon")</f>
        <v>View on Amazon</v>
      </c>
      <c r="K613" s="15" t="s">
        <v>463</v>
      </c>
      <c r="L613" s="20" t="s">
        <v>460</v>
      </c>
    </row>
    <row r="614" spans="1:12" ht="51" x14ac:dyDescent="0.2">
      <c r="A614" s="21" t="s">
        <v>1690</v>
      </c>
      <c r="B614" s="22" t="s">
        <v>1684</v>
      </c>
      <c r="C614" s="23" t="s">
        <v>298</v>
      </c>
      <c r="D614" s="23" t="s">
        <v>463</v>
      </c>
      <c r="E614" s="24">
        <v>23.99</v>
      </c>
      <c r="F614" s="25">
        <v>0</v>
      </c>
      <c r="G614" s="26">
        <v>0</v>
      </c>
      <c r="H614" s="27">
        <v>4.2</v>
      </c>
      <c r="I614" s="26">
        <v>30</v>
      </c>
      <c r="J614" s="39" t="str">
        <f>HYPERLINK("https://amazon.com/dp/B0DQCPN5V3","View on Amazon")</f>
        <v>View on Amazon</v>
      </c>
      <c r="K614" s="23" t="s">
        <v>463</v>
      </c>
      <c r="L614" s="28" t="s">
        <v>460</v>
      </c>
    </row>
    <row r="615" spans="1:12" ht="51" x14ac:dyDescent="0.2">
      <c r="A615" s="13" t="s">
        <v>1691</v>
      </c>
      <c r="B615" s="14" t="s">
        <v>1684</v>
      </c>
      <c r="C615" s="15" t="s">
        <v>298</v>
      </c>
      <c r="D615" s="15" t="s">
        <v>463</v>
      </c>
      <c r="E615" s="16">
        <v>26.99</v>
      </c>
      <c r="F615" s="17">
        <v>0</v>
      </c>
      <c r="G615" s="18">
        <v>0</v>
      </c>
      <c r="H615" s="19">
        <v>4.2</v>
      </c>
      <c r="I615" s="18">
        <v>32</v>
      </c>
      <c r="J615" s="38" t="str">
        <f>HYPERLINK("https://amazon.com/dp/B0DQCPZ9X4","View on Amazon")</f>
        <v>View on Amazon</v>
      </c>
      <c r="K615" s="15" t="s">
        <v>463</v>
      </c>
      <c r="L615" s="20" t="s">
        <v>460</v>
      </c>
    </row>
    <row r="616" spans="1:12" ht="68" x14ac:dyDescent="0.2">
      <c r="A616" s="21" t="s">
        <v>1692</v>
      </c>
      <c r="B616" s="22" t="s">
        <v>1693</v>
      </c>
      <c r="C616" s="23" t="s">
        <v>300</v>
      </c>
      <c r="D616" s="23" t="s">
        <v>463</v>
      </c>
      <c r="E616" s="24">
        <v>59.99</v>
      </c>
      <c r="F616" s="25">
        <v>0</v>
      </c>
      <c r="G616" s="26">
        <v>0</v>
      </c>
      <c r="H616" s="27">
        <v>4.4000000000000004</v>
      </c>
      <c r="I616" s="26">
        <v>15</v>
      </c>
      <c r="J616" s="39" t="str">
        <f>HYPERLINK("https://amazon.com/dp/B0DFXSWLBZ","View on Amazon")</f>
        <v>View on Amazon</v>
      </c>
      <c r="K616" s="23" t="s">
        <v>463</v>
      </c>
      <c r="L616" s="28" t="s">
        <v>460</v>
      </c>
    </row>
    <row r="617" spans="1:12" ht="68" x14ac:dyDescent="0.2">
      <c r="A617" s="13" t="s">
        <v>1694</v>
      </c>
      <c r="B617" s="14" t="s">
        <v>1695</v>
      </c>
      <c r="C617" s="15" t="s">
        <v>301</v>
      </c>
      <c r="D617" s="15" t="s">
        <v>1696</v>
      </c>
      <c r="E617" s="16">
        <v>698</v>
      </c>
      <c r="F617" s="17">
        <v>0</v>
      </c>
      <c r="G617" s="18">
        <v>0</v>
      </c>
      <c r="H617" s="19">
        <v>4.0999999999999996</v>
      </c>
      <c r="I617" s="18">
        <v>212</v>
      </c>
      <c r="J617" s="38" t="str">
        <f>HYPERLINK("https://amazon.com/dp/B00Z4HVOVS","View on Amazon")</f>
        <v>View on Amazon</v>
      </c>
      <c r="K617" s="15" t="s">
        <v>1696</v>
      </c>
      <c r="L617" s="20" t="s">
        <v>460</v>
      </c>
    </row>
    <row r="618" spans="1:12" ht="68" x14ac:dyDescent="0.2">
      <c r="A618" s="21" t="s">
        <v>1697</v>
      </c>
      <c r="B618" s="22" t="s">
        <v>1698</v>
      </c>
      <c r="C618" s="23" t="s">
        <v>10</v>
      </c>
      <c r="D618" s="23" t="s">
        <v>459</v>
      </c>
      <c r="E618" s="24">
        <v>999</v>
      </c>
      <c r="F618" s="25">
        <v>0</v>
      </c>
      <c r="G618" s="26">
        <v>0</v>
      </c>
      <c r="H618" s="27">
        <v>3.8</v>
      </c>
      <c r="I618" s="26">
        <v>24</v>
      </c>
      <c r="J618" s="39" t="str">
        <f>HYPERLINK("https://amazon.com/dp/B0CX1W3986","View on Amazon")</f>
        <v>View on Amazon</v>
      </c>
      <c r="K618" s="23" t="s">
        <v>459</v>
      </c>
      <c r="L618" s="28" t="s">
        <v>460</v>
      </c>
    </row>
    <row r="619" spans="1:12" ht="51" x14ac:dyDescent="0.2">
      <c r="A619" s="13" t="s">
        <v>1699</v>
      </c>
      <c r="B619" s="14" t="s">
        <v>1684</v>
      </c>
      <c r="C619" s="15" t="s">
        <v>298</v>
      </c>
      <c r="D619" s="15" t="s">
        <v>463</v>
      </c>
      <c r="E619" s="16">
        <v>26.99</v>
      </c>
      <c r="F619" s="17">
        <v>0</v>
      </c>
      <c r="G619" s="18">
        <v>0</v>
      </c>
      <c r="H619" s="19">
        <v>4.2</v>
      </c>
      <c r="I619" s="18">
        <v>30</v>
      </c>
      <c r="J619" s="38" t="str">
        <f>HYPERLINK("https://amazon.com/dp/B0DQCQNG91","View on Amazon")</f>
        <v>View on Amazon</v>
      </c>
      <c r="K619" s="15" t="s">
        <v>463</v>
      </c>
      <c r="L619" s="20" t="s">
        <v>460</v>
      </c>
    </row>
    <row r="620" spans="1:12" ht="68" x14ac:dyDescent="0.2">
      <c r="A620" s="21" t="s">
        <v>1700</v>
      </c>
      <c r="B620" s="22" t="s">
        <v>1701</v>
      </c>
      <c r="C620" s="23" t="s">
        <v>90</v>
      </c>
      <c r="D620" s="23" t="s">
        <v>463</v>
      </c>
      <c r="E620" s="24">
        <v>99.99</v>
      </c>
      <c r="F620" s="25">
        <v>0</v>
      </c>
      <c r="G620" s="26">
        <v>0</v>
      </c>
      <c r="H620" s="27">
        <v>5</v>
      </c>
      <c r="I620" s="26">
        <v>7</v>
      </c>
      <c r="J620" s="39" t="str">
        <f>HYPERLINK("https://amazon.com/dp/B0FMY4LNXT","View on Amazon")</f>
        <v>View on Amazon</v>
      </c>
      <c r="K620" s="23" t="s">
        <v>463</v>
      </c>
      <c r="L620" s="28" t="s">
        <v>460</v>
      </c>
    </row>
    <row r="621" spans="1:12" ht="51" x14ac:dyDescent="0.2">
      <c r="A621" s="13" t="s">
        <v>1702</v>
      </c>
      <c r="B621" s="14" t="s">
        <v>1703</v>
      </c>
      <c r="C621" s="15" t="s">
        <v>246</v>
      </c>
      <c r="D621" s="15" t="s">
        <v>463</v>
      </c>
      <c r="E621" s="16">
        <v>47.99</v>
      </c>
      <c r="F621" s="17">
        <v>0</v>
      </c>
      <c r="G621" s="18">
        <v>0</v>
      </c>
      <c r="H621" s="19">
        <v>3.4</v>
      </c>
      <c r="I621" s="18">
        <v>32</v>
      </c>
      <c r="J621" s="38" t="str">
        <f>HYPERLINK("https://amazon.com/dp/B0CGV952W1","View on Amazon")</f>
        <v>View on Amazon</v>
      </c>
      <c r="K621" s="15" t="s">
        <v>463</v>
      </c>
      <c r="L621" s="20" t="s">
        <v>460</v>
      </c>
    </row>
    <row r="622" spans="1:12" ht="51" x14ac:dyDescent="0.2">
      <c r="A622" s="21" t="s">
        <v>1704</v>
      </c>
      <c r="B622" s="22" t="s">
        <v>1705</v>
      </c>
      <c r="C622" s="23" t="s">
        <v>246</v>
      </c>
      <c r="D622" s="23" t="s">
        <v>463</v>
      </c>
      <c r="E622" s="24">
        <v>50.89</v>
      </c>
      <c r="F622" s="25">
        <v>0</v>
      </c>
      <c r="G622" s="26">
        <v>0</v>
      </c>
      <c r="H622" s="27">
        <v>3.4</v>
      </c>
      <c r="I622" s="26">
        <v>32</v>
      </c>
      <c r="J622" s="39" t="str">
        <f>HYPERLINK("https://amazon.com/dp/B0CGVBBGX4","View on Amazon")</f>
        <v>View on Amazon</v>
      </c>
      <c r="K622" s="23" t="s">
        <v>463</v>
      </c>
      <c r="L622" s="28" t="s">
        <v>460</v>
      </c>
    </row>
    <row r="623" spans="1:12" ht="51" x14ac:dyDescent="0.2">
      <c r="A623" s="13" t="s">
        <v>1706</v>
      </c>
      <c r="B623" s="14" t="s">
        <v>1707</v>
      </c>
      <c r="C623" s="15" t="s">
        <v>95</v>
      </c>
      <c r="D623" s="15" t="s">
        <v>459</v>
      </c>
      <c r="E623" s="16">
        <v>498.99</v>
      </c>
      <c r="F623" s="17">
        <v>0</v>
      </c>
      <c r="G623" s="18">
        <v>0</v>
      </c>
      <c r="H623" s="19">
        <v>3.7</v>
      </c>
      <c r="I623" s="18">
        <v>10</v>
      </c>
      <c r="J623" s="38" t="str">
        <f>HYPERLINK("https://amazon.com/dp/B0DJSSN6DK","View on Amazon")</f>
        <v>View on Amazon</v>
      </c>
      <c r="K623" s="15" t="s">
        <v>459</v>
      </c>
      <c r="L623" s="20" t="s">
        <v>460</v>
      </c>
    </row>
    <row r="624" spans="1:12" ht="34" x14ac:dyDescent="0.2">
      <c r="A624" s="21" t="s">
        <v>1708</v>
      </c>
      <c r="B624" s="22" t="s">
        <v>1709</v>
      </c>
      <c r="C624" s="23" t="s">
        <v>302</v>
      </c>
      <c r="D624" s="23" t="s">
        <v>463</v>
      </c>
      <c r="E624" s="24">
        <v>13.34</v>
      </c>
      <c r="F624" s="25">
        <v>0</v>
      </c>
      <c r="G624" s="26">
        <v>0</v>
      </c>
      <c r="H624" s="27">
        <v>0</v>
      </c>
      <c r="I624" s="26">
        <v>0</v>
      </c>
      <c r="J624" s="39" t="str">
        <f>HYPERLINK("https://amazon.com/dp/B08T1NBY24","View on Amazon")</f>
        <v>View on Amazon</v>
      </c>
      <c r="K624" s="23" t="s">
        <v>463</v>
      </c>
      <c r="L624" s="28" t="s">
        <v>460</v>
      </c>
    </row>
    <row r="625" spans="1:12" ht="34" x14ac:dyDescent="0.2">
      <c r="A625" s="13" t="s">
        <v>1710</v>
      </c>
      <c r="B625" s="14" t="s">
        <v>1711</v>
      </c>
      <c r="C625" s="15" t="s">
        <v>303</v>
      </c>
      <c r="D625" s="15" t="s">
        <v>463</v>
      </c>
      <c r="E625" s="16">
        <v>169.95</v>
      </c>
      <c r="F625" s="17">
        <v>0</v>
      </c>
      <c r="G625" s="18">
        <v>0</v>
      </c>
      <c r="H625" s="19">
        <v>4.7</v>
      </c>
      <c r="I625" s="18">
        <v>8</v>
      </c>
      <c r="J625" s="38" t="str">
        <f>HYPERLINK("https://amazon.com/dp/B0BFG7H6KZ","View on Amazon")</f>
        <v>View on Amazon</v>
      </c>
      <c r="K625" s="15" t="s">
        <v>463</v>
      </c>
      <c r="L625" s="20" t="s">
        <v>460</v>
      </c>
    </row>
    <row r="626" spans="1:12" ht="68" x14ac:dyDescent="0.2">
      <c r="A626" s="21" t="s">
        <v>1712</v>
      </c>
      <c r="B626" s="22" t="s">
        <v>1713</v>
      </c>
      <c r="C626" s="23" t="s">
        <v>36</v>
      </c>
      <c r="D626" s="23" t="s">
        <v>459</v>
      </c>
      <c r="E626" s="24">
        <v>399.98</v>
      </c>
      <c r="F626" s="25">
        <v>0</v>
      </c>
      <c r="G626" s="26">
        <v>0</v>
      </c>
      <c r="H626" s="27">
        <v>1</v>
      </c>
      <c r="I626" s="26">
        <v>1</v>
      </c>
      <c r="J626" s="39" t="str">
        <f>HYPERLINK("https://amazon.com/dp/B09QFYRHKB","View on Amazon")</f>
        <v>View on Amazon</v>
      </c>
      <c r="K626" s="23" t="s">
        <v>459</v>
      </c>
      <c r="L626" s="28" t="s">
        <v>460</v>
      </c>
    </row>
    <row r="627" spans="1:12" ht="68" x14ac:dyDescent="0.2">
      <c r="A627" s="13" t="s">
        <v>1714</v>
      </c>
      <c r="B627" s="14" t="s">
        <v>1715</v>
      </c>
      <c r="C627" s="15" t="s">
        <v>304</v>
      </c>
      <c r="D627" s="15" t="s">
        <v>459</v>
      </c>
      <c r="E627" s="16">
        <v>399.99</v>
      </c>
      <c r="F627" s="17">
        <v>0</v>
      </c>
      <c r="G627" s="18">
        <v>0</v>
      </c>
      <c r="H627" s="19">
        <v>3.7</v>
      </c>
      <c r="I627" s="18">
        <v>12</v>
      </c>
      <c r="J627" s="38" t="str">
        <f>HYPERLINK("https://amazon.com/dp/B0FDW99SWF","View on Amazon")</f>
        <v>View on Amazon</v>
      </c>
      <c r="K627" s="15" t="s">
        <v>459</v>
      </c>
      <c r="L627" s="20" t="s">
        <v>220</v>
      </c>
    </row>
    <row r="628" spans="1:12" ht="51" x14ac:dyDescent="0.2">
      <c r="A628" s="21" t="s">
        <v>1716</v>
      </c>
      <c r="B628" s="22" t="s">
        <v>1717</v>
      </c>
      <c r="C628" s="23" t="s">
        <v>109</v>
      </c>
      <c r="D628" s="23" t="s">
        <v>463</v>
      </c>
      <c r="E628" s="24">
        <v>49.99</v>
      </c>
      <c r="F628" s="25">
        <v>0</v>
      </c>
      <c r="G628" s="26">
        <v>0</v>
      </c>
      <c r="H628" s="27">
        <v>3.5</v>
      </c>
      <c r="I628" s="26">
        <v>17</v>
      </c>
      <c r="J628" s="39" t="str">
        <f>HYPERLINK("https://amazon.com/dp/B0DBF8T881","View on Amazon")</f>
        <v>View on Amazon</v>
      </c>
      <c r="K628" s="23" t="s">
        <v>463</v>
      </c>
      <c r="L628" s="28" t="s">
        <v>220</v>
      </c>
    </row>
    <row r="629" spans="1:12" ht="51" x14ac:dyDescent="0.2">
      <c r="A629" s="13" t="s">
        <v>1718</v>
      </c>
      <c r="B629" s="14" t="s">
        <v>1719</v>
      </c>
      <c r="C629" s="15" t="s">
        <v>109</v>
      </c>
      <c r="D629" s="15" t="s">
        <v>463</v>
      </c>
      <c r="E629" s="16">
        <v>49.99</v>
      </c>
      <c r="F629" s="17">
        <v>0</v>
      </c>
      <c r="G629" s="18">
        <v>0</v>
      </c>
      <c r="H629" s="19">
        <v>3.5</v>
      </c>
      <c r="I629" s="18">
        <v>17</v>
      </c>
      <c r="J629" s="38" t="str">
        <f>HYPERLINK("https://amazon.com/dp/B0DB89H7S1","View on Amazon")</f>
        <v>View on Amazon</v>
      </c>
      <c r="K629" s="15" t="s">
        <v>463</v>
      </c>
      <c r="L629" s="20" t="s">
        <v>460</v>
      </c>
    </row>
    <row r="630" spans="1:12" ht="17" x14ac:dyDescent="0.2">
      <c r="A630" s="21" t="s">
        <v>1720</v>
      </c>
      <c r="B630" s="22" t="s">
        <v>1721</v>
      </c>
      <c r="C630" s="23" t="s">
        <v>31</v>
      </c>
      <c r="D630" s="23" t="s">
        <v>463</v>
      </c>
      <c r="E630" s="24">
        <v>59.99</v>
      </c>
      <c r="F630" s="25">
        <v>0</v>
      </c>
      <c r="G630" s="26">
        <v>0</v>
      </c>
      <c r="H630" s="27">
        <v>3.8</v>
      </c>
      <c r="I630" s="26">
        <v>89</v>
      </c>
      <c r="J630" s="39" t="str">
        <f>HYPERLINK("https://amazon.com/dp/B0G63SDN5V","View on Amazon")</f>
        <v>View on Amazon</v>
      </c>
      <c r="K630" s="23" t="s">
        <v>463</v>
      </c>
      <c r="L630" s="28" t="s">
        <v>220</v>
      </c>
    </row>
    <row r="631" spans="1:12" ht="51" x14ac:dyDescent="0.2">
      <c r="A631" s="13" t="s">
        <v>1722</v>
      </c>
      <c r="B631" s="14" t="s">
        <v>853</v>
      </c>
      <c r="C631" s="15" t="s">
        <v>31</v>
      </c>
      <c r="D631" s="15" t="s">
        <v>463</v>
      </c>
      <c r="E631" s="16">
        <v>59.99</v>
      </c>
      <c r="F631" s="17">
        <v>0</v>
      </c>
      <c r="G631" s="18">
        <v>0</v>
      </c>
      <c r="H631" s="19">
        <v>3.8</v>
      </c>
      <c r="I631" s="18">
        <v>89</v>
      </c>
      <c r="J631" s="38" t="str">
        <f>HYPERLINK("https://amazon.com/dp/B0CWP42PZN","View on Amazon")</f>
        <v>View on Amazon</v>
      </c>
      <c r="K631" s="15" t="s">
        <v>463</v>
      </c>
      <c r="L631" s="20" t="s">
        <v>460</v>
      </c>
    </row>
    <row r="632" spans="1:12" ht="51" x14ac:dyDescent="0.2">
      <c r="A632" s="21" t="s">
        <v>1723</v>
      </c>
      <c r="B632" s="22" t="s">
        <v>1724</v>
      </c>
      <c r="C632" s="23" t="s">
        <v>305</v>
      </c>
      <c r="D632" s="23" t="s">
        <v>463</v>
      </c>
      <c r="E632" s="24">
        <v>47.24</v>
      </c>
      <c r="F632" s="25">
        <v>0</v>
      </c>
      <c r="G632" s="26">
        <v>0</v>
      </c>
      <c r="H632" s="27">
        <v>3.7</v>
      </c>
      <c r="I632" s="26">
        <v>23</v>
      </c>
      <c r="J632" s="39" t="str">
        <f>HYPERLINK("https://amazon.com/dp/B0BWSZXCRT","View on Amazon")</f>
        <v>View on Amazon</v>
      </c>
      <c r="K632" s="23" t="s">
        <v>463</v>
      </c>
      <c r="L632" s="28" t="s">
        <v>460</v>
      </c>
    </row>
    <row r="633" spans="1:12" ht="34" x14ac:dyDescent="0.2">
      <c r="A633" s="13" t="s">
        <v>1725</v>
      </c>
      <c r="B633" s="14" t="s">
        <v>1726</v>
      </c>
      <c r="C633" s="15" t="s">
        <v>47</v>
      </c>
      <c r="D633" s="15" t="s">
        <v>463</v>
      </c>
      <c r="E633" s="16">
        <v>529.98</v>
      </c>
      <c r="F633" s="17">
        <v>0</v>
      </c>
      <c r="G633" s="18">
        <v>0</v>
      </c>
      <c r="H633" s="19">
        <v>4.5999999999999996</v>
      </c>
      <c r="I633" s="18">
        <v>9</v>
      </c>
      <c r="J633" s="38" t="str">
        <f>HYPERLINK("https://amazon.com/dp/B0BGL5PGXX","View on Amazon")</f>
        <v>View on Amazon</v>
      </c>
      <c r="K633" s="15" t="s">
        <v>463</v>
      </c>
      <c r="L633" s="20" t="s">
        <v>460</v>
      </c>
    </row>
    <row r="634" spans="1:12" ht="51" x14ac:dyDescent="0.2">
      <c r="A634" s="21" t="s">
        <v>1727</v>
      </c>
      <c r="B634" s="22" t="s">
        <v>1728</v>
      </c>
      <c r="C634" s="23" t="s">
        <v>306</v>
      </c>
      <c r="D634" s="23" t="s">
        <v>463</v>
      </c>
      <c r="E634" s="24">
        <v>99.99</v>
      </c>
      <c r="F634" s="25">
        <v>0</v>
      </c>
      <c r="G634" s="26">
        <v>0</v>
      </c>
      <c r="H634" s="27">
        <v>4.2</v>
      </c>
      <c r="I634" s="26">
        <v>13</v>
      </c>
      <c r="J634" s="39" t="str">
        <f>HYPERLINK("https://amazon.com/dp/B0DRHW81G6","View on Amazon")</f>
        <v>View on Amazon</v>
      </c>
      <c r="K634" s="23" t="s">
        <v>463</v>
      </c>
      <c r="L634" s="28" t="s">
        <v>460</v>
      </c>
    </row>
    <row r="635" spans="1:12" ht="51" x14ac:dyDescent="0.2">
      <c r="A635" s="13" t="s">
        <v>1729</v>
      </c>
      <c r="B635" s="14" t="s">
        <v>1730</v>
      </c>
      <c r="C635" s="15" t="s">
        <v>49</v>
      </c>
      <c r="D635" s="15" t="s">
        <v>463</v>
      </c>
      <c r="E635" s="16">
        <v>75.989999999999995</v>
      </c>
      <c r="F635" s="17">
        <v>0</v>
      </c>
      <c r="G635" s="18">
        <v>0</v>
      </c>
      <c r="H635" s="19">
        <v>3.6</v>
      </c>
      <c r="I635" s="18">
        <v>15</v>
      </c>
      <c r="J635" s="38" t="str">
        <f>HYPERLINK("https://amazon.com/dp/B0DNCPCDGN","View on Amazon")</f>
        <v>View on Amazon</v>
      </c>
      <c r="K635" s="15" t="s">
        <v>463</v>
      </c>
      <c r="L635" s="20" t="s">
        <v>460</v>
      </c>
    </row>
    <row r="636" spans="1:12" ht="68" x14ac:dyDescent="0.2">
      <c r="A636" s="21" t="s">
        <v>1731</v>
      </c>
      <c r="B636" s="22" t="s">
        <v>1732</v>
      </c>
      <c r="C636" s="23" t="s">
        <v>307</v>
      </c>
      <c r="D636" s="23" t="s">
        <v>463</v>
      </c>
      <c r="E636" s="24">
        <v>99.99</v>
      </c>
      <c r="F636" s="25">
        <v>0</v>
      </c>
      <c r="G636" s="26">
        <v>0</v>
      </c>
      <c r="H636" s="27">
        <v>0</v>
      </c>
      <c r="I636" s="26">
        <v>0</v>
      </c>
      <c r="J636" s="39" t="str">
        <f>HYPERLINK("https://amazon.com/dp/B0DMFBYZTN","View on Amazon")</f>
        <v>View on Amazon</v>
      </c>
      <c r="K636" s="23" t="s">
        <v>463</v>
      </c>
      <c r="L636" s="28" t="s">
        <v>220</v>
      </c>
    </row>
    <row r="637" spans="1:12" ht="68" x14ac:dyDescent="0.2">
      <c r="A637" s="13" t="s">
        <v>1733</v>
      </c>
      <c r="B637" s="14" t="s">
        <v>1734</v>
      </c>
      <c r="C637" s="15" t="s">
        <v>54</v>
      </c>
      <c r="D637" s="15" t="s">
        <v>463</v>
      </c>
      <c r="E637" s="16">
        <v>99.39</v>
      </c>
      <c r="F637" s="17">
        <v>0</v>
      </c>
      <c r="G637" s="18">
        <v>0</v>
      </c>
      <c r="H637" s="19">
        <v>4.4000000000000004</v>
      </c>
      <c r="I637" s="18">
        <v>35</v>
      </c>
      <c r="J637" s="38" t="str">
        <f>HYPERLINK("https://amazon.com/dp/B0D6K41TY7","View on Amazon")</f>
        <v>View on Amazon</v>
      </c>
      <c r="K637" s="15" t="s">
        <v>463</v>
      </c>
      <c r="L637" s="20" t="s">
        <v>460</v>
      </c>
    </row>
    <row r="638" spans="1:12" ht="51" x14ac:dyDescent="0.2">
      <c r="A638" s="21" t="s">
        <v>1735</v>
      </c>
      <c r="B638" s="22" t="s">
        <v>1736</v>
      </c>
      <c r="C638" s="23" t="s">
        <v>308</v>
      </c>
      <c r="D638" s="23" t="s">
        <v>463</v>
      </c>
      <c r="E638" s="24">
        <v>34.99</v>
      </c>
      <c r="F638" s="25">
        <v>0</v>
      </c>
      <c r="G638" s="26">
        <v>0</v>
      </c>
      <c r="H638" s="27">
        <v>3.2</v>
      </c>
      <c r="I638" s="26">
        <v>34</v>
      </c>
      <c r="J638" s="39" t="str">
        <f>HYPERLINK("https://amazon.com/dp/B09XWLVMVX","View on Amazon")</f>
        <v>View on Amazon</v>
      </c>
      <c r="K638" s="23" t="s">
        <v>463</v>
      </c>
      <c r="L638" s="28" t="s">
        <v>460</v>
      </c>
    </row>
    <row r="639" spans="1:12" ht="51" x14ac:dyDescent="0.2">
      <c r="A639" s="13" t="s">
        <v>1737</v>
      </c>
      <c r="B639" s="14" t="s">
        <v>1738</v>
      </c>
      <c r="C639" s="15" t="s">
        <v>157</v>
      </c>
      <c r="D639" s="15" t="s">
        <v>459</v>
      </c>
      <c r="E639" s="16">
        <v>45.99</v>
      </c>
      <c r="F639" s="17">
        <v>0</v>
      </c>
      <c r="G639" s="18">
        <v>0</v>
      </c>
      <c r="H639" s="19">
        <v>3.9</v>
      </c>
      <c r="I639" s="18">
        <v>21</v>
      </c>
      <c r="J639" s="38" t="str">
        <f>HYPERLINK("https://amazon.com/dp/B0CRSQRN5S","View on Amazon")</f>
        <v>View on Amazon</v>
      </c>
      <c r="K639" s="15" t="s">
        <v>459</v>
      </c>
      <c r="L639" s="20" t="s">
        <v>460</v>
      </c>
    </row>
    <row r="640" spans="1:12" ht="68" x14ac:dyDescent="0.2">
      <c r="A640" s="21" t="s">
        <v>1739</v>
      </c>
      <c r="B640" s="22" t="s">
        <v>1740</v>
      </c>
      <c r="C640" s="23" t="s">
        <v>54</v>
      </c>
      <c r="D640" s="23" t="s">
        <v>463</v>
      </c>
      <c r="E640" s="24">
        <v>59.8</v>
      </c>
      <c r="F640" s="25">
        <v>0</v>
      </c>
      <c r="G640" s="26">
        <v>0</v>
      </c>
      <c r="H640" s="27">
        <v>4.5</v>
      </c>
      <c r="I640" s="26">
        <v>17</v>
      </c>
      <c r="J640" s="39" t="str">
        <f>HYPERLINK("https://amazon.com/dp/B0D69ZN24L","View on Amazon")</f>
        <v>View on Amazon</v>
      </c>
      <c r="K640" s="23" t="s">
        <v>463</v>
      </c>
      <c r="L640" s="28" t="s">
        <v>460</v>
      </c>
    </row>
    <row r="641" spans="1:12" ht="68" x14ac:dyDescent="0.2">
      <c r="A641" s="13" t="s">
        <v>1741</v>
      </c>
      <c r="B641" s="14" t="s">
        <v>1742</v>
      </c>
      <c r="C641" s="15" t="s">
        <v>309</v>
      </c>
      <c r="D641" s="15" t="s">
        <v>463</v>
      </c>
      <c r="E641" s="16">
        <v>36.9</v>
      </c>
      <c r="F641" s="17">
        <v>0</v>
      </c>
      <c r="G641" s="18">
        <v>0</v>
      </c>
      <c r="H641" s="19">
        <v>4</v>
      </c>
      <c r="I641" s="18">
        <v>3</v>
      </c>
      <c r="J641" s="38" t="str">
        <f>HYPERLINK("https://amazon.com/dp/B0D79J616L","View on Amazon")</f>
        <v>View on Amazon</v>
      </c>
      <c r="K641" s="15" t="s">
        <v>463</v>
      </c>
      <c r="L641" s="20" t="s">
        <v>460</v>
      </c>
    </row>
    <row r="642" spans="1:12" ht="68" x14ac:dyDescent="0.2">
      <c r="A642" s="21" t="s">
        <v>1743</v>
      </c>
      <c r="B642" s="22" t="s">
        <v>1744</v>
      </c>
      <c r="C642" s="23" t="s">
        <v>310</v>
      </c>
      <c r="D642" s="23" t="s">
        <v>463</v>
      </c>
      <c r="E642" s="24">
        <v>69.989999999999995</v>
      </c>
      <c r="F642" s="25">
        <v>0</v>
      </c>
      <c r="G642" s="26">
        <v>0</v>
      </c>
      <c r="H642" s="27">
        <v>4.7</v>
      </c>
      <c r="I642" s="26">
        <v>18</v>
      </c>
      <c r="J642" s="39" t="str">
        <f>HYPERLINK("https://amazon.com/dp/B0DFH7KR7B","View on Amazon")</f>
        <v>View on Amazon</v>
      </c>
      <c r="K642" s="23" t="s">
        <v>463</v>
      </c>
      <c r="L642" s="28" t="s">
        <v>460</v>
      </c>
    </row>
    <row r="643" spans="1:12" ht="51" x14ac:dyDescent="0.2">
      <c r="A643" s="13" t="s">
        <v>1745</v>
      </c>
      <c r="B643" s="14" t="s">
        <v>1746</v>
      </c>
      <c r="C643" s="15" t="s">
        <v>132</v>
      </c>
      <c r="D643" s="15" t="s">
        <v>459</v>
      </c>
      <c r="E643" s="16">
        <v>120</v>
      </c>
      <c r="F643" s="17">
        <v>0</v>
      </c>
      <c r="G643" s="18">
        <v>0</v>
      </c>
      <c r="H643" s="19">
        <v>3.2</v>
      </c>
      <c r="I643" s="18">
        <v>10</v>
      </c>
      <c r="J643" s="38" t="str">
        <f>HYPERLINK("https://amazon.com/dp/B0D49JZQZ8","View on Amazon")</f>
        <v>View on Amazon</v>
      </c>
      <c r="K643" s="15" t="s">
        <v>459</v>
      </c>
      <c r="L643" s="20" t="s">
        <v>220</v>
      </c>
    </row>
    <row r="644" spans="1:12" ht="34" x14ac:dyDescent="0.2">
      <c r="A644" s="21" t="s">
        <v>1747</v>
      </c>
      <c r="B644" s="22" t="s">
        <v>1748</v>
      </c>
      <c r="C644" s="23" t="s">
        <v>234</v>
      </c>
      <c r="D644" s="23" t="s">
        <v>463</v>
      </c>
      <c r="E644" s="24">
        <v>38.880000000000003</v>
      </c>
      <c r="F644" s="25">
        <v>0</v>
      </c>
      <c r="G644" s="26">
        <v>0</v>
      </c>
      <c r="H644" s="27">
        <v>4.5999999999999996</v>
      </c>
      <c r="I644" s="26">
        <v>10</v>
      </c>
      <c r="J644" s="39" t="str">
        <f>HYPERLINK("https://amazon.com/dp/B0CN2Z48WV","View on Amazon")</f>
        <v>View on Amazon</v>
      </c>
      <c r="K644" s="23" t="s">
        <v>463</v>
      </c>
      <c r="L644" s="28" t="s">
        <v>460</v>
      </c>
    </row>
    <row r="645" spans="1:12" ht="68" x14ac:dyDescent="0.2">
      <c r="A645" s="13" t="s">
        <v>1749</v>
      </c>
      <c r="B645" s="14" t="s">
        <v>1750</v>
      </c>
      <c r="C645" s="15" t="s">
        <v>174</v>
      </c>
      <c r="D645" s="15" t="s">
        <v>463</v>
      </c>
      <c r="E645" s="16">
        <v>49.99</v>
      </c>
      <c r="F645" s="17">
        <v>0</v>
      </c>
      <c r="G645" s="18">
        <v>0</v>
      </c>
      <c r="H645" s="19">
        <v>0</v>
      </c>
      <c r="I645" s="18">
        <v>0</v>
      </c>
      <c r="J645" s="38" t="str">
        <f>HYPERLINK("https://amazon.com/dp/B0DL31Z77X","View on Amazon")</f>
        <v>View on Amazon</v>
      </c>
      <c r="K645" s="15" t="s">
        <v>463</v>
      </c>
      <c r="L645" s="20" t="s">
        <v>460</v>
      </c>
    </row>
    <row r="646" spans="1:12" ht="34" x14ac:dyDescent="0.2">
      <c r="A646" s="21" t="s">
        <v>1751</v>
      </c>
      <c r="B646" s="22" t="s">
        <v>1752</v>
      </c>
      <c r="C646" s="23" t="s">
        <v>311</v>
      </c>
      <c r="D646" s="23" t="s">
        <v>1753</v>
      </c>
      <c r="E646" s="24">
        <v>39.97</v>
      </c>
      <c r="F646" s="25">
        <v>0</v>
      </c>
      <c r="G646" s="26">
        <v>0</v>
      </c>
      <c r="H646" s="27">
        <v>4.3</v>
      </c>
      <c r="I646" s="26">
        <v>24</v>
      </c>
      <c r="J646" s="39" t="str">
        <f>HYPERLINK("https://amazon.com/dp/B09J4VSGXQ","View on Amazon")</f>
        <v>View on Amazon</v>
      </c>
      <c r="K646" s="23" t="s">
        <v>1753</v>
      </c>
      <c r="L646" s="28" t="s">
        <v>220</v>
      </c>
    </row>
    <row r="647" spans="1:12" ht="51" x14ac:dyDescent="0.2">
      <c r="A647" s="13" t="s">
        <v>1754</v>
      </c>
      <c r="B647" s="14" t="s">
        <v>1755</v>
      </c>
      <c r="C647" s="15" t="s">
        <v>88</v>
      </c>
      <c r="D647" s="15" t="s">
        <v>463</v>
      </c>
      <c r="E647" s="16">
        <v>41.99</v>
      </c>
      <c r="F647" s="17">
        <v>0</v>
      </c>
      <c r="G647" s="18">
        <v>0</v>
      </c>
      <c r="H647" s="19">
        <v>0</v>
      </c>
      <c r="I647" s="18">
        <v>0</v>
      </c>
      <c r="J647" s="38" t="str">
        <f>HYPERLINK("https://amazon.com/dp/B0CBPFGGH2","View on Amazon")</f>
        <v>View on Amazon</v>
      </c>
      <c r="K647" s="15" t="s">
        <v>463</v>
      </c>
      <c r="L647" s="20" t="s">
        <v>460</v>
      </c>
    </row>
    <row r="648" spans="1:12" ht="51" x14ac:dyDescent="0.2">
      <c r="A648" s="21" t="s">
        <v>1756</v>
      </c>
      <c r="B648" s="22" t="s">
        <v>1757</v>
      </c>
      <c r="C648" s="23" t="s">
        <v>312</v>
      </c>
      <c r="D648" s="23" t="s">
        <v>463</v>
      </c>
      <c r="E648" s="24">
        <v>199.98</v>
      </c>
      <c r="F648" s="25">
        <v>0</v>
      </c>
      <c r="G648" s="26">
        <v>0</v>
      </c>
      <c r="H648" s="27">
        <v>3.7</v>
      </c>
      <c r="I648" s="26">
        <v>316</v>
      </c>
      <c r="J648" s="39" t="str">
        <f>HYPERLINK("https://amazon.com/dp/B0829FH5DF","View on Amazon")</f>
        <v>View on Amazon</v>
      </c>
      <c r="K648" s="23" t="s">
        <v>463</v>
      </c>
      <c r="L648" s="28" t="s">
        <v>460</v>
      </c>
    </row>
    <row r="649" spans="1:12" ht="51" x14ac:dyDescent="0.2">
      <c r="A649" s="13" t="s">
        <v>1758</v>
      </c>
      <c r="B649" s="14" t="s">
        <v>1759</v>
      </c>
      <c r="C649" s="15" t="s">
        <v>43</v>
      </c>
      <c r="D649" s="15" t="s">
        <v>459</v>
      </c>
      <c r="E649" s="16">
        <v>899.99</v>
      </c>
      <c r="F649" s="17">
        <v>0</v>
      </c>
      <c r="G649" s="18">
        <v>0</v>
      </c>
      <c r="H649" s="19">
        <v>3.3</v>
      </c>
      <c r="I649" s="18">
        <v>3</v>
      </c>
      <c r="J649" s="38" t="str">
        <f>HYPERLINK("https://amazon.com/dp/B0DDXYT9ML","View on Amazon")</f>
        <v>View on Amazon</v>
      </c>
      <c r="K649" s="15" t="s">
        <v>459</v>
      </c>
      <c r="L649" s="20" t="s">
        <v>460</v>
      </c>
    </row>
    <row r="650" spans="1:12" ht="51" x14ac:dyDescent="0.2">
      <c r="A650" s="21" t="s">
        <v>1760</v>
      </c>
      <c r="B650" s="22" t="s">
        <v>1761</v>
      </c>
      <c r="C650" s="23" t="s">
        <v>313</v>
      </c>
      <c r="D650" s="23" t="s">
        <v>463</v>
      </c>
      <c r="E650" s="24">
        <v>29.99</v>
      </c>
      <c r="F650" s="25">
        <v>0</v>
      </c>
      <c r="G650" s="26">
        <v>0</v>
      </c>
      <c r="H650" s="27">
        <v>4.0999999999999996</v>
      </c>
      <c r="I650" s="26">
        <v>26</v>
      </c>
      <c r="J650" s="39" t="str">
        <f>HYPERLINK("https://amazon.com/dp/B0873CC25S","View on Amazon")</f>
        <v>View on Amazon</v>
      </c>
      <c r="K650" s="23" t="s">
        <v>463</v>
      </c>
      <c r="L650" s="28" t="s">
        <v>460</v>
      </c>
    </row>
    <row r="651" spans="1:12" ht="51" x14ac:dyDescent="0.2">
      <c r="A651" s="13" t="s">
        <v>1762</v>
      </c>
      <c r="B651" s="14" t="s">
        <v>1763</v>
      </c>
      <c r="C651" s="15" t="s">
        <v>313</v>
      </c>
      <c r="D651" s="15" t="s">
        <v>463</v>
      </c>
      <c r="E651" s="16">
        <v>27.99</v>
      </c>
      <c r="F651" s="17">
        <v>0</v>
      </c>
      <c r="G651" s="18">
        <v>0</v>
      </c>
      <c r="H651" s="19">
        <v>4.0999999999999996</v>
      </c>
      <c r="I651" s="18">
        <v>26</v>
      </c>
      <c r="J651" s="38" t="str">
        <f>HYPERLINK("https://amazon.com/dp/B0873N35YC","View on Amazon")</f>
        <v>View on Amazon</v>
      </c>
      <c r="K651" s="15" t="s">
        <v>463</v>
      </c>
      <c r="L651" s="20" t="s">
        <v>460</v>
      </c>
    </row>
    <row r="652" spans="1:12" ht="68" x14ac:dyDescent="0.2">
      <c r="A652" s="21" t="s">
        <v>1764</v>
      </c>
      <c r="B652" s="22" t="s">
        <v>1765</v>
      </c>
      <c r="C652" s="23" t="s">
        <v>43</v>
      </c>
      <c r="D652" s="23" t="s">
        <v>459</v>
      </c>
      <c r="E652" s="24">
        <v>999</v>
      </c>
      <c r="F652" s="25">
        <v>0</v>
      </c>
      <c r="G652" s="26">
        <v>0</v>
      </c>
      <c r="H652" s="27">
        <v>3.5</v>
      </c>
      <c r="I652" s="26">
        <v>7</v>
      </c>
      <c r="J652" s="39" t="str">
        <f>HYPERLINK("https://amazon.com/dp/B0DDXSDMX3","View on Amazon")</f>
        <v>View on Amazon</v>
      </c>
      <c r="K652" s="23" t="s">
        <v>459</v>
      </c>
      <c r="L652" s="28" t="s">
        <v>460</v>
      </c>
    </row>
    <row r="653" spans="1:12" ht="51" x14ac:dyDescent="0.2">
      <c r="A653" s="13" t="s">
        <v>1766</v>
      </c>
      <c r="B653" s="14" t="s">
        <v>1767</v>
      </c>
      <c r="C653" s="15" t="s">
        <v>314</v>
      </c>
      <c r="D653" s="15" t="s">
        <v>463</v>
      </c>
      <c r="E653" s="16">
        <v>19.989999999999998</v>
      </c>
      <c r="F653" s="17">
        <v>0</v>
      </c>
      <c r="G653" s="18">
        <v>0</v>
      </c>
      <c r="H653" s="19">
        <v>3.8</v>
      </c>
      <c r="I653" s="18">
        <v>9</v>
      </c>
      <c r="J653" s="38" t="str">
        <f>HYPERLINK("https://amazon.com/dp/B0DNDRJ79P","View on Amazon")</f>
        <v>View on Amazon</v>
      </c>
      <c r="K653" s="15" t="s">
        <v>463</v>
      </c>
      <c r="L653" s="20" t="s">
        <v>460</v>
      </c>
    </row>
    <row r="654" spans="1:12" ht="51" x14ac:dyDescent="0.2">
      <c r="A654" s="21" t="s">
        <v>1768</v>
      </c>
      <c r="B654" s="22" t="s">
        <v>1769</v>
      </c>
      <c r="C654" s="23" t="s">
        <v>140</v>
      </c>
      <c r="D654" s="23" t="s">
        <v>463</v>
      </c>
      <c r="E654" s="24">
        <v>49.99</v>
      </c>
      <c r="F654" s="25">
        <v>0</v>
      </c>
      <c r="G654" s="26">
        <v>0</v>
      </c>
      <c r="H654" s="27">
        <v>3.6</v>
      </c>
      <c r="I654" s="26">
        <v>12</v>
      </c>
      <c r="J654" s="39" t="str">
        <f>HYPERLINK("https://amazon.com/dp/B0D8VXYYQ9","View on Amazon")</f>
        <v>View on Amazon</v>
      </c>
      <c r="K654" s="23" t="s">
        <v>463</v>
      </c>
      <c r="L654" s="28" t="s">
        <v>460</v>
      </c>
    </row>
    <row r="655" spans="1:12" ht="68" x14ac:dyDescent="0.2">
      <c r="A655" s="13" t="s">
        <v>1770</v>
      </c>
      <c r="B655" s="14" t="s">
        <v>1771</v>
      </c>
      <c r="C655" s="15" t="s">
        <v>315</v>
      </c>
      <c r="D655" s="15" t="s">
        <v>459</v>
      </c>
      <c r="E655" s="16">
        <v>90</v>
      </c>
      <c r="F655" s="17">
        <v>0</v>
      </c>
      <c r="G655" s="18">
        <v>0</v>
      </c>
      <c r="H655" s="19">
        <v>3.5</v>
      </c>
      <c r="I655" s="18">
        <v>11</v>
      </c>
      <c r="J655" s="38" t="str">
        <f>HYPERLINK("https://amazon.com/dp/B0CRZ5N21G","View on Amazon")</f>
        <v>View on Amazon</v>
      </c>
      <c r="K655" s="15" t="s">
        <v>459</v>
      </c>
      <c r="L655" s="20" t="s">
        <v>220</v>
      </c>
    </row>
    <row r="656" spans="1:12" ht="68" x14ac:dyDescent="0.2">
      <c r="A656" s="21" t="s">
        <v>1772</v>
      </c>
      <c r="B656" s="22" t="s">
        <v>1773</v>
      </c>
      <c r="C656" s="23" t="s">
        <v>156</v>
      </c>
      <c r="D656" s="23" t="s">
        <v>463</v>
      </c>
      <c r="E656" s="24">
        <v>69.989999999999995</v>
      </c>
      <c r="F656" s="25">
        <v>0</v>
      </c>
      <c r="G656" s="26">
        <v>0</v>
      </c>
      <c r="H656" s="27">
        <v>5</v>
      </c>
      <c r="I656" s="26">
        <v>6</v>
      </c>
      <c r="J656" s="39" t="str">
        <f>HYPERLINK("https://amazon.com/dp/B0DCZGK886","View on Amazon")</f>
        <v>View on Amazon</v>
      </c>
      <c r="K656" s="23" t="s">
        <v>463</v>
      </c>
      <c r="L656" s="28" t="s">
        <v>460</v>
      </c>
    </row>
    <row r="657" spans="1:12" ht="17" x14ac:dyDescent="0.2">
      <c r="A657" s="13" t="s">
        <v>1774</v>
      </c>
      <c r="B657" s="14" t="s">
        <v>1775</v>
      </c>
      <c r="C657" s="15" t="s">
        <v>144</v>
      </c>
      <c r="D657" s="15" t="s">
        <v>463</v>
      </c>
      <c r="E657" s="16">
        <v>21.99</v>
      </c>
      <c r="F657" s="17">
        <v>0</v>
      </c>
      <c r="G657" s="18">
        <v>0</v>
      </c>
      <c r="H657" s="19">
        <v>3.8</v>
      </c>
      <c r="I657" s="18">
        <v>28</v>
      </c>
      <c r="J657" s="38" t="str">
        <f>HYPERLINK("https://amazon.com/dp/B01MG2EYN4","View on Amazon")</f>
        <v>View on Amazon</v>
      </c>
      <c r="K657" s="15" t="s">
        <v>463</v>
      </c>
      <c r="L657" s="20" t="s">
        <v>460</v>
      </c>
    </row>
    <row r="658" spans="1:12" ht="68" x14ac:dyDescent="0.2">
      <c r="A658" s="21" t="s">
        <v>1776</v>
      </c>
      <c r="B658" s="22" t="s">
        <v>1777</v>
      </c>
      <c r="C658" s="23" t="s">
        <v>316</v>
      </c>
      <c r="D658" s="23" t="s">
        <v>463</v>
      </c>
      <c r="E658" s="24">
        <v>65.989999999999995</v>
      </c>
      <c r="F658" s="25">
        <v>0</v>
      </c>
      <c r="G658" s="26">
        <v>0</v>
      </c>
      <c r="H658" s="27">
        <v>4.5999999999999996</v>
      </c>
      <c r="I658" s="26">
        <v>2</v>
      </c>
      <c r="J658" s="39" t="str">
        <f>HYPERLINK("https://amazon.com/dp/B0D91H2QZZ","View on Amazon")</f>
        <v>View on Amazon</v>
      </c>
      <c r="K658" s="23" t="s">
        <v>463</v>
      </c>
      <c r="L658" s="28" t="s">
        <v>220</v>
      </c>
    </row>
    <row r="659" spans="1:12" ht="68" x14ac:dyDescent="0.2">
      <c r="A659" s="13" t="s">
        <v>1778</v>
      </c>
      <c r="B659" s="14" t="s">
        <v>1779</v>
      </c>
      <c r="C659" s="15" t="s">
        <v>149</v>
      </c>
      <c r="D659" s="15" t="s">
        <v>463</v>
      </c>
      <c r="E659" s="16">
        <v>89.99</v>
      </c>
      <c r="F659" s="17">
        <v>0</v>
      </c>
      <c r="G659" s="18">
        <v>0</v>
      </c>
      <c r="H659" s="19">
        <v>4.3</v>
      </c>
      <c r="I659" s="18">
        <v>10</v>
      </c>
      <c r="J659" s="38" t="str">
        <f>HYPERLINK("https://amazon.com/dp/B0FMJRMB3N","View on Amazon")</f>
        <v>View on Amazon</v>
      </c>
      <c r="K659" s="15" t="s">
        <v>463</v>
      </c>
      <c r="L659" s="20" t="s">
        <v>460</v>
      </c>
    </row>
    <row r="660" spans="1:12" ht="51" x14ac:dyDescent="0.2">
      <c r="A660" s="21" t="s">
        <v>1780</v>
      </c>
      <c r="B660" s="22" t="s">
        <v>1781</v>
      </c>
      <c r="C660" s="23" t="s">
        <v>242</v>
      </c>
      <c r="D660" s="23" t="s">
        <v>463</v>
      </c>
      <c r="E660" s="24">
        <v>89.99</v>
      </c>
      <c r="F660" s="25">
        <v>0</v>
      </c>
      <c r="G660" s="26">
        <v>0</v>
      </c>
      <c r="H660" s="27">
        <v>4</v>
      </c>
      <c r="I660" s="26">
        <v>16</v>
      </c>
      <c r="J660" s="39" t="str">
        <f>HYPERLINK("https://amazon.com/dp/B0DXV24JR4","View on Amazon")</f>
        <v>View on Amazon</v>
      </c>
      <c r="K660" s="23" t="s">
        <v>463</v>
      </c>
      <c r="L660" s="28" t="s">
        <v>460</v>
      </c>
    </row>
    <row r="661" spans="1:12" ht="51" x14ac:dyDescent="0.2">
      <c r="A661" s="13" t="s">
        <v>1782</v>
      </c>
      <c r="B661" s="14" t="s">
        <v>1783</v>
      </c>
      <c r="C661" s="15" t="s">
        <v>316</v>
      </c>
      <c r="D661" s="15" t="s">
        <v>463</v>
      </c>
      <c r="E661" s="16">
        <v>56.99</v>
      </c>
      <c r="F661" s="17">
        <v>0</v>
      </c>
      <c r="G661" s="18">
        <v>0</v>
      </c>
      <c r="H661" s="19">
        <v>4.5999999999999996</v>
      </c>
      <c r="I661" s="18">
        <v>2</v>
      </c>
      <c r="J661" s="38" t="str">
        <f>HYPERLINK("https://amazon.com/dp/B0D8L74NPZ","View on Amazon")</f>
        <v>View on Amazon</v>
      </c>
      <c r="K661" s="15" t="s">
        <v>463</v>
      </c>
      <c r="L661" s="20" t="s">
        <v>220</v>
      </c>
    </row>
    <row r="662" spans="1:12" ht="51" x14ac:dyDescent="0.2">
      <c r="A662" s="21" t="s">
        <v>1784</v>
      </c>
      <c r="B662" s="22" t="s">
        <v>1785</v>
      </c>
      <c r="C662" s="23" t="s">
        <v>317</v>
      </c>
      <c r="D662" s="23" t="s">
        <v>459</v>
      </c>
      <c r="E662" s="24">
        <v>34.99</v>
      </c>
      <c r="F662" s="25">
        <v>0</v>
      </c>
      <c r="G662" s="26">
        <v>0</v>
      </c>
      <c r="H662" s="27">
        <v>3.2</v>
      </c>
      <c r="I662" s="26">
        <v>14</v>
      </c>
      <c r="J662" s="39" t="str">
        <f>HYPERLINK("https://amazon.com/dp/B0BPC5NP95","View on Amazon")</f>
        <v>View on Amazon</v>
      </c>
      <c r="K662" s="23" t="s">
        <v>459</v>
      </c>
      <c r="L662" s="28" t="s">
        <v>460</v>
      </c>
    </row>
    <row r="663" spans="1:12" ht="68" x14ac:dyDescent="0.2">
      <c r="A663" s="13" t="s">
        <v>1786</v>
      </c>
      <c r="B663" s="14" t="s">
        <v>1787</v>
      </c>
      <c r="C663" s="15" t="s">
        <v>35</v>
      </c>
      <c r="D663" s="15" t="s">
        <v>459</v>
      </c>
      <c r="E663" s="16">
        <v>399</v>
      </c>
      <c r="F663" s="17">
        <v>0</v>
      </c>
      <c r="G663" s="18">
        <v>0</v>
      </c>
      <c r="H663" s="19">
        <v>3.5</v>
      </c>
      <c r="I663" s="18">
        <v>28</v>
      </c>
      <c r="J663" s="38" t="str">
        <f>HYPERLINK("https://amazon.com/dp/B0DKTVR79B","View on Amazon")</f>
        <v>View on Amazon</v>
      </c>
      <c r="K663" s="15" t="s">
        <v>459</v>
      </c>
      <c r="L663" s="20" t="s">
        <v>460</v>
      </c>
    </row>
    <row r="664" spans="1:12" ht="51" x14ac:dyDescent="0.2">
      <c r="A664" s="21" t="s">
        <v>1788</v>
      </c>
      <c r="B664" s="22" t="s">
        <v>1789</v>
      </c>
      <c r="C664" s="23" t="s">
        <v>88</v>
      </c>
      <c r="D664" s="23" t="s">
        <v>463</v>
      </c>
      <c r="E664" s="24">
        <v>30</v>
      </c>
      <c r="F664" s="25">
        <v>0</v>
      </c>
      <c r="G664" s="26">
        <v>0</v>
      </c>
      <c r="H664" s="27">
        <v>4.2</v>
      </c>
      <c r="I664" s="26">
        <v>3</v>
      </c>
      <c r="J664" s="39" t="str">
        <f>HYPERLINK("https://amazon.com/dp/B0D6W4WPPZ","View on Amazon")</f>
        <v>View on Amazon</v>
      </c>
      <c r="K664" s="23" t="s">
        <v>463</v>
      </c>
      <c r="L664" s="28" t="s">
        <v>460</v>
      </c>
    </row>
    <row r="665" spans="1:12" ht="17" x14ac:dyDescent="0.2">
      <c r="A665" s="13" t="s">
        <v>1790</v>
      </c>
      <c r="B665" s="14" t="s">
        <v>1791</v>
      </c>
      <c r="C665" s="15" t="s">
        <v>17</v>
      </c>
      <c r="D665" s="15" t="s">
        <v>459</v>
      </c>
      <c r="E665" s="16">
        <v>656.79</v>
      </c>
      <c r="F665" s="17">
        <v>0</v>
      </c>
      <c r="G665" s="18">
        <v>0</v>
      </c>
      <c r="H665" s="19">
        <v>3.8</v>
      </c>
      <c r="I665" s="18">
        <v>67</v>
      </c>
      <c r="J665" s="38" t="str">
        <f>HYPERLINK("https://amazon.com/dp/B08MVSX9HW","View on Amazon")</f>
        <v>View on Amazon</v>
      </c>
      <c r="K665" s="15" t="s">
        <v>459</v>
      </c>
      <c r="L665" s="20" t="s">
        <v>460</v>
      </c>
    </row>
    <row r="666" spans="1:12" ht="34" x14ac:dyDescent="0.2">
      <c r="A666" s="21" t="s">
        <v>1792</v>
      </c>
      <c r="B666" s="22" t="s">
        <v>1793</v>
      </c>
      <c r="C666" s="23" t="s">
        <v>17</v>
      </c>
      <c r="D666" s="23" t="s">
        <v>459</v>
      </c>
      <c r="E666" s="24">
        <v>799.67</v>
      </c>
      <c r="F666" s="25">
        <v>0</v>
      </c>
      <c r="G666" s="26">
        <v>0</v>
      </c>
      <c r="H666" s="27">
        <v>3.8</v>
      </c>
      <c r="I666" s="26">
        <v>67</v>
      </c>
      <c r="J666" s="39" t="str">
        <f>HYPERLINK("https://amazon.com/dp/B08NCP25GK","View on Amazon")</f>
        <v>View on Amazon</v>
      </c>
      <c r="K666" s="23" t="s">
        <v>459</v>
      </c>
      <c r="L666" s="28" t="s">
        <v>460</v>
      </c>
    </row>
    <row r="667" spans="1:12" ht="34" x14ac:dyDescent="0.2">
      <c r="A667" s="13" t="s">
        <v>1794</v>
      </c>
      <c r="B667" s="14" t="s">
        <v>1795</v>
      </c>
      <c r="C667" s="15" t="s">
        <v>17</v>
      </c>
      <c r="D667" s="15" t="s">
        <v>459</v>
      </c>
      <c r="E667" s="16">
        <v>760.58</v>
      </c>
      <c r="F667" s="17">
        <v>0</v>
      </c>
      <c r="G667" s="18">
        <v>0</v>
      </c>
      <c r="H667" s="19">
        <v>3.8</v>
      </c>
      <c r="I667" s="18">
        <v>67</v>
      </c>
      <c r="J667" s="38" t="str">
        <f>HYPERLINK("https://amazon.com/dp/B08NC7PFPY","View on Amazon")</f>
        <v>View on Amazon</v>
      </c>
      <c r="K667" s="15" t="s">
        <v>459</v>
      </c>
      <c r="L667" s="20" t="s">
        <v>460</v>
      </c>
    </row>
    <row r="668" spans="1:12" ht="51" x14ac:dyDescent="0.2">
      <c r="A668" s="21" t="s">
        <v>1796</v>
      </c>
      <c r="B668" s="22" t="s">
        <v>1797</v>
      </c>
      <c r="C668" s="23" t="s">
        <v>316</v>
      </c>
      <c r="D668" s="23" t="s">
        <v>463</v>
      </c>
      <c r="E668" s="24">
        <v>56.99</v>
      </c>
      <c r="F668" s="25">
        <v>0</v>
      </c>
      <c r="G668" s="26">
        <v>0</v>
      </c>
      <c r="H668" s="27">
        <v>4.5999999999999996</v>
      </c>
      <c r="I668" s="26">
        <v>2</v>
      </c>
      <c r="J668" s="39" t="str">
        <f>HYPERLINK("https://amazon.com/dp/B0D8L772G4","View on Amazon")</f>
        <v>View on Amazon</v>
      </c>
      <c r="K668" s="23" t="s">
        <v>463</v>
      </c>
      <c r="L668" s="28" t="s">
        <v>460</v>
      </c>
    </row>
    <row r="669" spans="1:12" ht="17" x14ac:dyDescent="0.2">
      <c r="A669" s="13" t="s">
        <v>1798</v>
      </c>
      <c r="B669" s="14" t="s">
        <v>1799</v>
      </c>
      <c r="C669" s="15" t="s">
        <v>47</v>
      </c>
      <c r="D669" s="15" t="s">
        <v>463</v>
      </c>
      <c r="E669" s="16">
        <v>29.99</v>
      </c>
      <c r="F669" s="17">
        <v>0</v>
      </c>
      <c r="G669" s="18">
        <v>0</v>
      </c>
      <c r="H669" s="19">
        <v>5</v>
      </c>
      <c r="I669" s="18">
        <v>4</v>
      </c>
      <c r="J669" s="38" t="str">
        <f>HYPERLINK("https://amazon.com/dp/B0C4B1LKYX","View on Amazon")</f>
        <v>View on Amazon</v>
      </c>
      <c r="K669" s="15" t="s">
        <v>463</v>
      </c>
      <c r="L669" s="20" t="s">
        <v>460</v>
      </c>
    </row>
    <row r="670" spans="1:12" ht="34" x14ac:dyDescent="0.2">
      <c r="A670" s="21" t="s">
        <v>1800</v>
      </c>
      <c r="B670" s="22" t="s">
        <v>1801</v>
      </c>
      <c r="C670" s="23" t="s">
        <v>23</v>
      </c>
      <c r="D670" s="23" t="s">
        <v>463</v>
      </c>
      <c r="E670" s="24">
        <v>99.99</v>
      </c>
      <c r="F670" s="25">
        <v>0</v>
      </c>
      <c r="G670" s="26">
        <v>0</v>
      </c>
      <c r="H670" s="27">
        <v>1.6</v>
      </c>
      <c r="I670" s="26">
        <v>3</v>
      </c>
      <c r="J670" s="39" t="str">
        <f>HYPERLINK("https://amazon.com/dp/B0D59BY4ZN","View on Amazon")</f>
        <v>View on Amazon</v>
      </c>
      <c r="K670" s="23" t="s">
        <v>463</v>
      </c>
      <c r="L670" s="28" t="s">
        <v>460</v>
      </c>
    </row>
    <row r="671" spans="1:12" ht="17" x14ac:dyDescent="0.2">
      <c r="A671" s="13" t="s">
        <v>1802</v>
      </c>
      <c r="B671" s="14" t="s">
        <v>1803</v>
      </c>
      <c r="C671" s="15" t="s">
        <v>42</v>
      </c>
      <c r="D671" s="15" t="s">
        <v>459</v>
      </c>
      <c r="E671" s="16">
        <v>649.99</v>
      </c>
      <c r="F671" s="17">
        <v>0</v>
      </c>
      <c r="G671" s="18">
        <v>0</v>
      </c>
      <c r="H671" s="19">
        <v>4.2</v>
      </c>
      <c r="I671" s="18">
        <v>88</v>
      </c>
      <c r="J671" s="38" t="str">
        <f>HYPERLINK("https://amazon.com/dp/B0C7XVCQ71","View on Amazon")</f>
        <v>View on Amazon</v>
      </c>
      <c r="K671" s="15" t="s">
        <v>459</v>
      </c>
      <c r="L671" s="20" t="s">
        <v>220</v>
      </c>
    </row>
    <row r="672" spans="1:12" ht="34" x14ac:dyDescent="0.2">
      <c r="A672" s="21" t="s">
        <v>1804</v>
      </c>
      <c r="B672" s="22" t="s">
        <v>1805</v>
      </c>
      <c r="C672" s="23" t="s">
        <v>318</v>
      </c>
      <c r="D672" s="23" t="s">
        <v>503</v>
      </c>
      <c r="E672" s="24">
        <v>659</v>
      </c>
      <c r="F672" s="25">
        <v>0</v>
      </c>
      <c r="G672" s="26">
        <v>0</v>
      </c>
      <c r="H672" s="27">
        <v>0</v>
      </c>
      <c r="I672" s="26">
        <v>0</v>
      </c>
      <c r="J672" s="39" t="str">
        <f>HYPERLINK("https://amazon.com/dp/B0FS7CFQL4","View on Amazon")</f>
        <v>View on Amazon</v>
      </c>
      <c r="K672" s="23" t="s">
        <v>503</v>
      </c>
      <c r="L672" s="28" t="s">
        <v>220</v>
      </c>
    </row>
    <row r="673" spans="1:12" ht="68" x14ac:dyDescent="0.2">
      <c r="A673" s="13" t="s">
        <v>1806</v>
      </c>
      <c r="B673" s="14" t="s">
        <v>1807</v>
      </c>
      <c r="C673" s="15" t="s">
        <v>316</v>
      </c>
      <c r="D673" s="15" t="s">
        <v>463</v>
      </c>
      <c r="E673" s="16">
        <v>65.989999999999995</v>
      </c>
      <c r="F673" s="17">
        <v>0</v>
      </c>
      <c r="G673" s="18">
        <v>0</v>
      </c>
      <c r="H673" s="19">
        <v>4</v>
      </c>
      <c r="I673" s="18">
        <v>2</v>
      </c>
      <c r="J673" s="38" t="str">
        <f>HYPERLINK("https://amazon.com/dp/B0D91HD4GH","View on Amazon")</f>
        <v>View on Amazon</v>
      </c>
      <c r="K673" s="15" t="s">
        <v>463</v>
      </c>
      <c r="L673" s="20" t="s">
        <v>460</v>
      </c>
    </row>
    <row r="674" spans="1:12" ht="68" x14ac:dyDescent="0.2">
      <c r="A674" s="21" t="s">
        <v>1808</v>
      </c>
      <c r="B674" s="22" t="s">
        <v>1809</v>
      </c>
      <c r="C674" s="23" t="s">
        <v>151</v>
      </c>
      <c r="D674" s="23" t="s">
        <v>463</v>
      </c>
      <c r="E674" s="24">
        <v>148</v>
      </c>
      <c r="F674" s="25">
        <v>0</v>
      </c>
      <c r="G674" s="26">
        <v>0</v>
      </c>
      <c r="H674" s="27">
        <v>3.1</v>
      </c>
      <c r="I674" s="26">
        <v>5</v>
      </c>
      <c r="J674" s="39" t="str">
        <f>HYPERLINK("https://amazon.com/dp/B0CGQD82JV","View on Amazon")</f>
        <v>View on Amazon</v>
      </c>
      <c r="K674" s="23" t="s">
        <v>463</v>
      </c>
      <c r="L674" s="28" t="s">
        <v>220</v>
      </c>
    </row>
    <row r="675" spans="1:12" ht="68" x14ac:dyDescent="0.2">
      <c r="A675" s="13" t="s">
        <v>1810</v>
      </c>
      <c r="B675" s="14" t="s">
        <v>1811</v>
      </c>
      <c r="C675" s="15" t="s">
        <v>151</v>
      </c>
      <c r="D675" s="15" t="s">
        <v>463</v>
      </c>
      <c r="E675" s="16">
        <v>148</v>
      </c>
      <c r="F675" s="17">
        <v>0</v>
      </c>
      <c r="G675" s="18">
        <v>0</v>
      </c>
      <c r="H675" s="19">
        <v>3.1</v>
      </c>
      <c r="I675" s="18">
        <v>5</v>
      </c>
      <c r="J675" s="38" t="str">
        <f>HYPERLINK("https://amazon.com/dp/B0CGQDCKT3","View on Amazon")</f>
        <v>View on Amazon</v>
      </c>
      <c r="K675" s="15" t="s">
        <v>463</v>
      </c>
      <c r="L675" s="20" t="s">
        <v>220</v>
      </c>
    </row>
    <row r="676" spans="1:12" ht="34" x14ac:dyDescent="0.2">
      <c r="A676" s="21" t="s">
        <v>1812</v>
      </c>
      <c r="B676" s="22" t="s">
        <v>1813</v>
      </c>
      <c r="C676" s="23" t="s">
        <v>73</v>
      </c>
      <c r="D676" s="23" t="s">
        <v>463</v>
      </c>
      <c r="E676" s="24">
        <v>197.98</v>
      </c>
      <c r="F676" s="25">
        <v>0</v>
      </c>
      <c r="G676" s="26">
        <v>0</v>
      </c>
      <c r="H676" s="27">
        <v>3.6</v>
      </c>
      <c r="I676" s="26">
        <v>5</v>
      </c>
      <c r="J676" s="39" t="str">
        <f>HYPERLINK("https://amazon.com/dp/B0DHZVJ49V","View on Amazon")</f>
        <v>View on Amazon</v>
      </c>
      <c r="K676" s="23" t="s">
        <v>463</v>
      </c>
      <c r="L676" s="28" t="s">
        <v>460</v>
      </c>
    </row>
    <row r="677" spans="1:12" ht="68" x14ac:dyDescent="0.2">
      <c r="A677" s="13" t="s">
        <v>1814</v>
      </c>
      <c r="B677" s="14" t="s">
        <v>1815</v>
      </c>
      <c r="C677" s="15" t="s">
        <v>319</v>
      </c>
      <c r="D677" s="15" t="s">
        <v>463</v>
      </c>
      <c r="E677" s="16">
        <v>129.99</v>
      </c>
      <c r="F677" s="17">
        <v>0</v>
      </c>
      <c r="G677" s="18">
        <v>0</v>
      </c>
      <c r="H677" s="19">
        <v>5</v>
      </c>
      <c r="I677" s="18">
        <v>3</v>
      </c>
      <c r="J677" s="38" t="str">
        <f>HYPERLINK("https://amazon.com/dp/B0FWZTQ2DG","View on Amazon")</f>
        <v>View on Amazon</v>
      </c>
      <c r="K677" s="15" t="s">
        <v>463</v>
      </c>
      <c r="L677" s="20" t="s">
        <v>460</v>
      </c>
    </row>
    <row r="678" spans="1:12" ht="34" x14ac:dyDescent="0.2">
      <c r="A678" s="21" t="s">
        <v>1816</v>
      </c>
      <c r="B678" s="22" t="s">
        <v>1817</v>
      </c>
      <c r="C678" s="23" t="s">
        <v>267</v>
      </c>
      <c r="D678" s="23" t="s">
        <v>463</v>
      </c>
      <c r="E678" s="24">
        <v>24.98</v>
      </c>
      <c r="F678" s="25">
        <v>0</v>
      </c>
      <c r="G678" s="26">
        <v>0</v>
      </c>
      <c r="H678" s="27">
        <v>3.5</v>
      </c>
      <c r="I678" s="26">
        <v>9</v>
      </c>
      <c r="J678" s="39" t="str">
        <f>HYPERLINK("https://amazon.com/dp/B0DMT1GKM8","View on Amazon")</f>
        <v>View on Amazon</v>
      </c>
      <c r="K678" s="23" t="s">
        <v>463</v>
      </c>
      <c r="L678" s="28" t="s">
        <v>460</v>
      </c>
    </row>
    <row r="679" spans="1:12" ht="68" x14ac:dyDescent="0.2">
      <c r="A679" s="13" t="s">
        <v>1818</v>
      </c>
      <c r="B679" s="14" t="s">
        <v>1819</v>
      </c>
      <c r="C679" s="15" t="s">
        <v>131</v>
      </c>
      <c r="D679" s="15" t="s">
        <v>459</v>
      </c>
      <c r="E679" s="16">
        <v>559.99</v>
      </c>
      <c r="F679" s="17">
        <v>0</v>
      </c>
      <c r="G679" s="18">
        <v>0</v>
      </c>
      <c r="H679" s="19">
        <v>0</v>
      </c>
      <c r="I679" s="18">
        <v>0</v>
      </c>
      <c r="J679" s="38" t="str">
        <f>HYPERLINK("https://amazon.com/dp/B0DG1FSVHD","View on Amazon")</f>
        <v>View on Amazon</v>
      </c>
      <c r="K679" s="15" t="s">
        <v>459</v>
      </c>
      <c r="L679" s="20" t="s">
        <v>220</v>
      </c>
    </row>
    <row r="680" spans="1:12" ht="68" x14ac:dyDescent="0.2">
      <c r="A680" s="21" t="s">
        <v>1820</v>
      </c>
      <c r="B680" s="22" t="s">
        <v>1821</v>
      </c>
      <c r="C680" s="23" t="s">
        <v>47</v>
      </c>
      <c r="D680" s="23" t="s">
        <v>463</v>
      </c>
      <c r="E680" s="24">
        <v>299.98</v>
      </c>
      <c r="F680" s="25">
        <v>0</v>
      </c>
      <c r="G680" s="26">
        <v>0</v>
      </c>
      <c r="H680" s="27">
        <v>4</v>
      </c>
      <c r="I680" s="26">
        <v>26</v>
      </c>
      <c r="J680" s="39" t="str">
        <f>HYPERLINK("https://amazon.com/dp/B0BLSL9WW3","View on Amazon")</f>
        <v>View on Amazon</v>
      </c>
      <c r="K680" s="23" t="s">
        <v>463</v>
      </c>
      <c r="L680" s="28" t="s">
        <v>460</v>
      </c>
    </row>
    <row r="681" spans="1:12" ht="68" x14ac:dyDescent="0.2">
      <c r="A681" s="13" t="s">
        <v>1822</v>
      </c>
      <c r="B681" s="14" t="s">
        <v>1823</v>
      </c>
      <c r="C681" s="15" t="s">
        <v>107</v>
      </c>
      <c r="D681" s="15" t="s">
        <v>459</v>
      </c>
      <c r="E681" s="16">
        <v>490</v>
      </c>
      <c r="F681" s="17">
        <v>0</v>
      </c>
      <c r="G681" s="18">
        <v>0</v>
      </c>
      <c r="H681" s="19">
        <v>3.6</v>
      </c>
      <c r="I681" s="18">
        <v>9</v>
      </c>
      <c r="J681" s="38" t="str">
        <f>HYPERLINK("https://amazon.com/dp/B0DN5NV7V7","View on Amazon")</f>
        <v>View on Amazon</v>
      </c>
      <c r="K681" s="15" t="s">
        <v>459</v>
      </c>
      <c r="L681" s="20" t="s">
        <v>460</v>
      </c>
    </row>
    <row r="682" spans="1:12" ht="34" x14ac:dyDescent="0.2">
      <c r="A682" s="21" t="s">
        <v>1824</v>
      </c>
      <c r="B682" s="22" t="s">
        <v>1825</v>
      </c>
      <c r="C682" s="23" t="s">
        <v>91</v>
      </c>
      <c r="D682" s="23" t="s">
        <v>463</v>
      </c>
      <c r="E682" s="24">
        <v>52.99</v>
      </c>
      <c r="F682" s="25">
        <v>0</v>
      </c>
      <c r="G682" s="26">
        <v>0</v>
      </c>
      <c r="H682" s="27">
        <v>3.4</v>
      </c>
      <c r="I682" s="26">
        <v>6</v>
      </c>
      <c r="J682" s="39" t="str">
        <f>HYPERLINK("https://amazon.com/dp/B0D7MVMH4H","View on Amazon")</f>
        <v>View on Amazon</v>
      </c>
      <c r="K682" s="23" t="s">
        <v>463</v>
      </c>
      <c r="L682" s="28" t="s">
        <v>460</v>
      </c>
    </row>
    <row r="683" spans="1:12" ht="68" x14ac:dyDescent="0.2">
      <c r="A683" s="13" t="s">
        <v>1826</v>
      </c>
      <c r="B683" s="14" t="s">
        <v>1827</v>
      </c>
      <c r="C683" s="15" t="s">
        <v>103</v>
      </c>
      <c r="D683" s="15" t="s">
        <v>463</v>
      </c>
      <c r="E683" s="16">
        <v>99.59</v>
      </c>
      <c r="F683" s="17">
        <v>0</v>
      </c>
      <c r="G683" s="18">
        <v>0</v>
      </c>
      <c r="H683" s="19">
        <v>4.2</v>
      </c>
      <c r="I683" s="18">
        <v>3</v>
      </c>
      <c r="J683" s="38" t="str">
        <f>HYPERLINK("https://amazon.com/dp/B0DY1F9ZLP","View on Amazon")</f>
        <v>View on Amazon</v>
      </c>
      <c r="K683" s="15" t="s">
        <v>463</v>
      </c>
      <c r="L683" s="20" t="s">
        <v>460</v>
      </c>
    </row>
    <row r="684" spans="1:12" ht="51" x14ac:dyDescent="0.2">
      <c r="A684" s="21" t="s">
        <v>1828</v>
      </c>
      <c r="B684" s="22" t="s">
        <v>1829</v>
      </c>
      <c r="C684" s="23" t="s">
        <v>289</v>
      </c>
      <c r="D684" s="23" t="s">
        <v>463</v>
      </c>
      <c r="E684" s="24">
        <v>18.57</v>
      </c>
      <c r="F684" s="25">
        <v>0</v>
      </c>
      <c r="G684" s="26">
        <v>0</v>
      </c>
      <c r="H684" s="27">
        <v>3</v>
      </c>
      <c r="I684" s="26">
        <v>1</v>
      </c>
      <c r="J684" s="39" t="str">
        <f>HYPERLINK("https://amazon.com/dp/B0BCGXCCT4","View on Amazon")</f>
        <v>View on Amazon</v>
      </c>
      <c r="K684" s="23" t="s">
        <v>463</v>
      </c>
      <c r="L684" s="28" t="s">
        <v>460</v>
      </c>
    </row>
    <row r="685" spans="1:12" ht="51" x14ac:dyDescent="0.2">
      <c r="A685" s="13" t="s">
        <v>1830</v>
      </c>
      <c r="B685" s="14" t="s">
        <v>1831</v>
      </c>
      <c r="C685" s="15" t="s">
        <v>289</v>
      </c>
      <c r="D685" s="15" t="s">
        <v>463</v>
      </c>
      <c r="E685" s="16">
        <v>18.57</v>
      </c>
      <c r="F685" s="17">
        <v>0</v>
      </c>
      <c r="G685" s="18">
        <v>0</v>
      </c>
      <c r="H685" s="19">
        <v>3</v>
      </c>
      <c r="I685" s="18">
        <v>1</v>
      </c>
      <c r="J685" s="38" t="str">
        <f>HYPERLINK("https://amazon.com/dp/B0BCGVFG9W","View on Amazon")</f>
        <v>View on Amazon</v>
      </c>
      <c r="K685" s="15" t="s">
        <v>463</v>
      </c>
      <c r="L685" s="20" t="s">
        <v>460</v>
      </c>
    </row>
    <row r="686" spans="1:12" ht="51" x14ac:dyDescent="0.2">
      <c r="A686" s="21" t="s">
        <v>1832</v>
      </c>
      <c r="B686" s="22" t="s">
        <v>1833</v>
      </c>
      <c r="C686" s="23" t="s">
        <v>320</v>
      </c>
      <c r="D686" s="23" t="s">
        <v>463</v>
      </c>
      <c r="E686" s="24">
        <v>189.99</v>
      </c>
      <c r="F686" s="25">
        <v>0</v>
      </c>
      <c r="G686" s="26">
        <v>0</v>
      </c>
      <c r="H686" s="27">
        <v>4</v>
      </c>
      <c r="I686" s="26">
        <v>73</v>
      </c>
      <c r="J686" s="39" t="str">
        <f>HYPERLINK("https://amazon.com/dp/B08HXTM26W","View on Amazon")</f>
        <v>View on Amazon</v>
      </c>
      <c r="K686" s="23" t="s">
        <v>463</v>
      </c>
      <c r="L686" s="28" t="s">
        <v>460</v>
      </c>
    </row>
    <row r="687" spans="1:12" ht="68" x14ac:dyDescent="0.2">
      <c r="A687" s="13" t="s">
        <v>1834</v>
      </c>
      <c r="B687" s="14" t="s">
        <v>1835</v>
      </c>
      <c r="C687" s="15" t="s">
        <v>54</v>
      </c>
      <c r="D687" s="15" t="s">
        <v>463</v>
      </c>
      <c r="E687" s="16">
        <v>294.49</v>
      </c>
      <c r="F687" s="17">
        <v>0</v>
      </c>
      <c r="G687" s="18">
        <v>0</v>
      </c>
      <c r="H687" s="19">
        <v>4.4000000000000004</v>
      </c>
      <c r="I687" s="18">
        <v>7</v>
      </c>
      <c r="J687" s="38" t="str">
        <f>HYPERLINK("https://amazon.com/dp/B0CYH98PZ1","View on Amazon")</f>
        <v>View on Amazon</v>
      </c>
      <c r="K687" s="15" t="s">
        <v>463</v>
      </c>
      <c r="L687" s="20" t="s">
        <v>460</v>
      </c>
    </row>
    <row r="688" spans="1:12" ht="68" x14ac:dyDescent="0.2">
      <c r="A688" s="21" t="s">
        <v>1836</v>
      </c>
      <c r="B688" s="22" t="s">
        <v>1837</v>
      </c>
      <c r="C688" s="23" t="s">
        <v>321</v>
      </c>
      <c r="D688" s="23" t="s">
        <v>463</v>
      </c>
      <c r="E688" s="24">
        <v>307.98</v>
      </c>
      <c r="F688" s="25">
        <v>0</v>
      </c>
      <c r="G688" s="26">
        <v>0</v>
      </c>
      <c r="H688" s="27">
        <v>3.5</v>
      </c>
      <c r="I688" s="26">
        <v>35</v>
      </c>
      <c r="J688" s="39" t="str">
        <f>HYPERLINK("https://amazon.com/dp/B0CTCJJ6BZ","View on Amazon")</f>
        <v>View on Amazon</v>
      </c>
      <c r="K688" s="23" t="s">
        <v>463</v>
      </c>
      <c r="L688" s="28" t="s">
        <v>460</v>
      </c>
    </row>
    <row r="689" spans="1:12" ht="68" x14ac:dyDescent="0.2">
      <c r="A689" s="13" t="s">
        <v>1838</v>
      </c>
      <c r="B689" s="14" t="s">
        <v>1839</v>
      </c>
      <c r="C689" s="15" t="s">
        <v>322</v>
      </c>
      <c r="D689" s="15" t="s">
        <v>463</v>
      </c>
      <c r="E689" s="16">
        <v>59.99</v>
      </c>
      <c r="F689" s="17">
        <v>0</v>
      </c>
      <c r="G689" s="18">
        <v>0</v>
      </c>
      <c r="H689" s="19">
        <v>5</v>
      </c>
      <c r="I689" s="18">
        <v>4</v>
      </c>
      <c r="J689" s="38" t="str">
        <f>HYPERLINK("https://amazon.com/dp/B0DQGFMF54","View on Amazon")</f>
        <v>View on Amazon</v>
      </c>
      <c r="K689" s="15" t="s">
        <v>463</v>
      </c>
      <c r="L689" s="20" t="s">
        <v>460</v>
      </c>
    </row>
    <row r="690" spans="1:12" ht="51" x14ac:dyDescent="0.2">
      <c r="A690" s="21" t="s">
        <v>1840</v>
      </c>
      <c r="B690" s="22" t="s">
        <v>1841</v>
      </c>
      <c r="C690" s="23" t="s">
        <v>84</v>
      </c>
      <c r="D690" s="23" t="s">
        <v>463</v>
      </c>
      <c r="E690" s="24">
        <v>27.99</v>
      </c>
      <c r="F690" s="25">
        <v>0</v>
      </c>
      <c r="G690" s="26">
        <v>0</v>
      </c>
      <c r="H690" s="27">
        <v>4.2</v>
      </c>
      <c r="I690" s="26">
        <v>4</v>
      </c>
      <c r="J690" s="39" t="str">
        <f>HYPERLINK("https://amazon.com/dp/B0DXF8LBYR","View on Amazon")</f>
        <v>View on Amazon</v>
      </c>
      <c r="K690" s="23" t="s">
        <v>463</v>
      </c>
      <c r="L690" s="28" t="s">
        <v>460</v>
      </c>
    </row>
    <row r="691" spans="1:12" ht="51" x14ac:dyDescent="0.2">
      <c r="A691" s="13" t="s">
        <v>1842</v>
      </c>
      <c r="B691" s="14" t="s">
        <v>1843</v>
      </c>
      <c r="C691" s="15" t="s">
        <v>289</v>
      </c>
      <c r="D691" s="15" t="s">
        <v>463</v>
      </c>
      <c r="E691" s="16">
        <v>18.57</v>
      </c>
      <c r="F691" s="17">
        <v>0</v>
      </c>
      <c r="G691" s="18">
        <v>0</v>
      </c>
      <c r="H691" s="19">
        <v>3</v>
      </c>
      <c r="I691" s="18">
        <v>1</v>
      </c>
      <c r="J691" s="38" t="str">
        <f>HYPERLINK("https://amazon.com/dp/B0BCGYM9ZQ","View on Amazon")</f>
        <v>View on Amazon</v>
      </c>
      <c r="K691" s="15" t="s">
        <v>463</v>
      </c>
      <c r="L691" s="20" t="s">
        <v>460</v>
      </c>
    </row>
    <row r="692" spans="1:12" ht="51" x14ac:dyDescent="0.2">
      <c r="A692" s="21" t="s">
        <v>1844</v>
      </c>
      <c r="B692" s="22" t="s">
        <v>1845</v>
      </c>
      <c r="C692" s="23" t="s">
        <v>289</v>
      </c>
      <c r="D692" s="23" t="s">
        <v>463</v>
      </c>
      <c r="E692" s="24">
        <v>18.57</v>
      </c>
      <c r="F692" s="25">
        <v>0</v>
      </c>
      <c r="G692" s="26">
        <v>0</v>
      </c>
      <c r="H692" s="27">
        <v>3</v>
      </c>
      <c r="I692" s="26">
        <v>1</v>
      </c>
      <c r="J692" s="39" t="str">
        <f>HYPERLINK("https://amazon.com/dp/B0BCGXBQR7","View on Amazon")</f>
        <v>View on Amazon</v>
      </c>
      <c r="K692" s="23" t="s">
        <v>463</v>
      </c>
      <c r="L692" s="28" t="s">
        <v>460</v>
      </c>
    </row>
    <row r="693" spans="1:12" ht="68" x14ac:dyDescent="0.2">
      <c r="A693" s="13" t="s">
        <v>1846</v>
      </c>
      <c r="B693" s="14" t="s">
        <v>1847</v>
      </c>
      <c r="C693" s="15" t="s">
        <v>73</v>
      </c>
      <c r="D693" s="15" t="s">
        <v>463</v>
      </c>
      <c r="E693" s="16">
        <v>239.08</v>
      </c>
      <c r="F693" s="17">
        <v>0</v>
      </c>
      <c r="G693" s="18">
        <v>0</v>
      </c>
      <c r="H693" s="19">
        <v>4.2</v>
      </c>
      <c r="I693" s="18">
        <v>10</v>
      </c>
      <c r="J693" s="38" t="str">
        <f>HYPERLINK("https://amazon.com/dp/B0DJ73XZ78","View on Amazon")</f>
        <v>View on Amazon</v>
      </c>
      <c r="K693" s="15" t="s">
        <v>463</v>
      </c>
      <c r="L693" s="20" t="s">
        <v>460</v>
      </c>
    </row>
    <row r="694" spans="1:12" ht="51" x14ac:dyDescent="0.2">
      <c r="A694" s="21" t="s">
        <v>1848</v>
      </c>
      <c r="B694" s="22" t="s">
        <v>1849</v>
      </c>
      <c r="C694" s="23" t="s">
        <v>289</v>
      </c>
      <c r="D694" s="23" t="s">
        <v>463</v>
      </c>
      <c r="E694" s="24">
        <v>18.57</v>
      </c>
      <c r="F694" s="25">
        <v>0</v>
      </c>
      <c r="G694" s="26">
        <v>0</v>
      </c>
      <c r="H694" s="27">
        <v>3</v>
      </c>
      <c r="I694" s="26">
        <v>1</v>
      </c>
      <c r="J694" s="39" t="str">
        <f>HYPERLINK("https://amazon.com/dp/B0BCGVR2W1","View on Amazon")</f>
        <v>View on Amazon</v>
      </c>
      <c r="K694" s="23" t="s">
        <v>463</v>
      </c>
      <c r="L694" s="28" t="s">
        <v>460</v>
      </c>
    </row>
    <row r="695" spans="1:12" ht="51" x14ac:dyDescent="0.2">
      <c r="A695" s="13" t="s">
        <v>1850</v>
      </c>
      <c r="B695" s="14" t="s">
        <v>1851</v>
      </c>
      <c r="C695" s="15" t="s">
        <v>323</v>
      </c>
      <c r="D695" s="15" t="s">
        <v>463</v>
      </c>
      <c r="E695" s="16">
        <v>99</v>
      </c>
      <c r="F695" s="17">
        <v>0</v>
      </c>
      <c r="G695" s="18">
        <v>0</v>
      </c>
      <c r="H695" s="19">
        <v>0</v>
      </c>
      <c r="I695" s="18">
        <v>0</v>
      </c>
      <c r="J695" s="38" t="str">
        <f>HYPERLINK("https://amazon.com/dp/B0FPMHF7RC","View on Amazon")</f>
        <v>View on Amazon</v>
      </c>
      <c r="K695" s="15" t="s">
        <v>463</v>
      </c>
      <c r="L695" s="20" t="s">
        <v>460</v>
      </c>
    </row>
    <row r="696" spans="1:12" ht="68" x14ac:dyDescent="0.2">
      <c r="A696" s="21" t="s">
        <v>1852</v>
      </c>
      <c r="B696" s="22" t="s">
        <v>1853</v>
      </c>
      <c r="C696" s="23" t="s">
        <v>266</v>
      </c>
      <c r="D696" s="23" t="s">
        <v>459</v>
      </c>
      <c r="E696" s="24">
        <v>499</v>
      </c>
      <c r="F696" s="25">
        <v>0</v>
      </c>
      <c r="G696" s="26">
        <v>0</v>
      </c>
      <c r="H696" s="27">
        <v>4.0999999999999996</v>
      </c>
      <c r="I696" s="26">
        <v>130</v>
      </c>
      <c r="J696" s="39" t="str">
        <f>HYPERLINK("https://amazon.com/dp/B0DK5Z2M85","View on Amazon")</f>
        <v>View on Amazon</v>
      </c>
      <c r="K696" s="23" t="s">
        <v>459</v>
      </c>
      <c r="L696" s="28" t="s">
        <v>220</v>
      </c>
    </row>
    <row r="697" spans="1:12" ht="51" x14ac:dyDescent="0.2">
      <c r="A697" s="13" t="s">
        <v>1854</v>
      </c>
      <c r="B697" s="14" t="s">
        <v>1855</v>
      </c>
      <c r="C697" s="15" t="s">
        <v>266</v>
      </c>
      <c r="D697" s="15" t="s">
        <v>459</v>
      </c>
      <c r="E697" s="16">
        <v>399</v>
      </c>
      <c r="F697" s="17">
        <v>0</v>
      </c>
      <c r="G697" s="18">
        <v>0</v>
      </c>
      <c r="H697" s="19">
        <v>4.0999999999999996</v>
      </c>
      <c r="I697" s="18">
        <v>130</v>
      </c>
      <c r="J697" s="38" t="str">
        <f>HYPERLINK("https://amazon.com/dp/B004145A42","View on Amazon")</f>
        <v>View on Amazon</v>
      </c>
      <c r="K697" s="15" t="s">
        <v>459</v>
      </c>
      <c r="L697" s="20" t="s">
        <v>220</v>
      </c>
    </row>
    <row r="698" spans="1:12" ht="51" x14ac:dyDescent="0.2">
      <c r="A698" s="21" t="s">
        <v>1856</v>
      </c>
      <c r="B698" s="22" t="s">
        <v>1857</v>
      </c>
      <c r="C698" s="23" t="s">
        <v>284</v>
      </c>
      <c r="D698" s="23" t="s">
        <v>463</v>
      </c>
      <c r="E698" s="24">
        <v>7.99</v>
      </c>
      <c r="F698" s="25">
        <v>0</v>
      </c>
      <c r="G698" s="26">
        <v>0</v>
      </c>
      <c r="H698" s="27">
        <v>3.1</v>
      </c>
      <c r="I698" s="26">
        <v>26</v>
      </c>
      <c r="J698" s="39" t="str">
        <f>HYPERLINK("https://amazon.com/dp/B0BNJR3JM1","View on Amazon")</f>
        <v>View on Amazon</v>
      </c>
      <c r="K698" s="23" t="s">
        <v>463</v>
      </c>
      <c r="L698" s="28" t="s">
        <v>460</v>
      </c>
    </row>
    <row r="699" spans="1:12" ht="68" x14ac:dyDescent="0.2">
      <c r="A699" s="13" t="s">
        <v>1858</v>
      </c>
      <c r="B699" s="14" t="s">
        <v>1859</v>
      </c>
      <c r="C699" s="15" t="s">
        <v>38</v>
      </c>
      <c r="D699" s="15" t="s">
        <v>463</v>
      </c>
      <c r="E699" s="16">
        <v>179.99</v>
      </c>
      <c r="F699" s="17">
        <v>0</v>
      </c>
      <c r="G699" s="18">
        <v>0</v>
      </c>
      <c r="H699" s="19">
        <v>3</v>
      </c>
      <c r="I699" s="18">
        <v>5</v>
      </c>
      <c r="J699" s="38" t="str">
        <f>HYPERLINK("https://amazon.com/dp/B0DZN42XC8","View on Amazon")</f>
        <v>View on Amazon</v>
      </c>
      <c r="K699" s="15" t="s">
        <v>463</v>
      </c>
      <c r="L699" s="20" t="s">
        <v>460</v>
      </c>
    </row>
    <row r="700" spans="1:12" ht="51" x14ac:dyDescent="0.2">
      <c r="A700" s="21" t="s">
        <v>1860</v>
      </c>
      <c r="B700" s="22" t="s">
        <v>1861</v>
      </c>
      <c r="C700" s="23" t="s">
        <v>284</v>
      </c>
      <c r="D700" s="23" t="s">
        <v>463</v>
      </c>
      <c r="E700" s="24">
        <v>9.98</v>
      </c>
      <c r="F700" s="25">
        <v>0</v>
      </c>
      <c r="G700" s="26">
        <v>0</v>
      </c>
      <c r="H700" s="27">
        <v>3.1</v>
      </c>
      <c r="I700" s="26">
        <v>26</v>
      </c>
      <c r="J700" s="39" t="str">
        <f>HYPERLINK("https://amazon.com/dp/B0BNKBXMTM","View on Amazon")</f>
        <v>View on Amazon</v>
      </c>
      <c r="K700" s="23" t="s">
        <v>463</v>
      </c>
      <c r="L700" s="28" t="s">
        <v>460</v>
      </c>
    </row>
    <row r="701" spans="1:12" ht="68" x14ac:dyDescent="0.2">
      <c r="A701" s="13" t="s">
        <v>1862</v>
      </c>
      <c r="B701" s="14" t="s">
        <v>1863</v>
      </c>
      <c r="C701" s="15" t="s">
        <v>266</v>
      </c>
      <c r="D701" s="15" t="s">
        <v>459</v>
      </c>
      <c r="E701" s="16">
        <v>129</v>
      </c>
      <c r="F701" s="17">
        <v>0</v>
      </c>
      <c r="G701" s="18">
        <v>0</v>
      </c>
      <c r="H701" s="19">
        <v>0</v>
      </c>
      <c r="I701" s="18">
        <v>0</v>
      </c>
      <c r="J701" s="38" t="str">
        <f>HYPERLINK("https://amazon.com/dp/B0DK5LRS8W","View on Amazon")</f>
        <v>View on Amazon</v>
      </c>
      <c r="K701" s="15" t="s">
        <v>459</v>
      </c>
      <c r="L701" s="20" t="s">
        <v>460</v>
      </c>
    </row>
    <row r="702" spans="1:12" ht="68" x14ac:dyDescent="0.2">
      <c r="A702" s="21" t="s">
        <v>1864</v>
      </c>
      <c r="B702" s="22" t="s">
        <v>1865</v>
      </c>
      <c r="C702" s="23" t="s">
        <v>266</v>
      </c>
      <c r="D702" s="23" t="s">
        <v>459</v>
      </c>
      <c r="E702" s="24">
        <v>129</v>
      </c>
      <c r="F702" s="25">
        <v>0</v>
      </c>
      <c r="G702" s="26">
        <v>0</v>
      </c>
      <c r="H702" s="27">
        <v>0</v>
      </c>
      <c r="I702" s="26">
        <v>0</v>
      </c>
      <c r="J702" s="39" t="str">
        <f>HYPERLINK("https://amazon.com/dp/B0DJWT8XD7","View on Amazon")</f>
        <v>View on Amazon</v>
      </c>
      <c r="K702" s="23" t="s">
        <v>459</v>
      </c>
      <c r="L702" s="28" t="s">
        <v>460</v>
      </c>
    </row>
    <row r="703" spans="1:12" ht="34" x14ac:dyDescent="0.2">
      <c r="A703" s="13" t="s">
        <v>1866</v>
      </c>
      <c r="B703" s="14" t="s">
        <v>1867</v>
      </c>
      <c r="C703" s="15" t="s">
        <v>170</v>
      </c>
      <c r="D703" s="15" t="s">
        <v>463</v>
      </c>
      <c r="E703" s="16">
        <v>49.99</v>
      </c>
      <c r="F703" s="17">
        <v>0</v>
      </c>
      <c r="G703" s="18">
        <v>0</v>
      </c>
      <c r="H703" s="19">
        <v>1</v>
      </c>
      <c r="I703" s="18">
        <v>2</v>
      </c>
      <c r="J703" s="38" t="str">
        <f>HYPERLINK("https://amazon.com/dp/B0CNSQL5BT","View on Amazon")</f>
        <v>View on Amazon</v>
      </c>
      <c r="K703" s="15" t="s">
        <v>463</v>
      </c>
      <c r="L703" s="20" t="s">
        <v>460</v>
      </c>
    </row>
    <row r="704" spans="1:12" ht="17" x14ac:dyDescent="0.2">
      <c r="A704" s="21" t="s">
        <v>1868</v>
      </c>
      <c r="B704" s="22" t="s">
        <v>1869</v>
      </c>
      <c r="C704" s="23" t="s">
        <v>324</v>
      </c>
      <c r="D704" s="23" t="s">
        <v>512</v>
      </c>
      <c r="E704" s="24">
        <v>168</v>
      </c>
      <c r="F704" s="25">
        <v>0</v>
      </c>
      <c r="G704" s="26">
        <v>0</v>
      </c>
      <c r="H704" s="27">
        <v>3.7</v>
      </c>
      <c r="I704" s="26">
        <v>7</v>
      </c>
      <c r="J704" s="39" t="str">
        <f>HYPERLINK("https://amazon.com/dp/B08F2V28CN","View on Amazon")</f>
        <v>View on Amazon</v>
      </c>
      <c r="K704" s="23" t="s">
        <v>512</v>
      </c>
      <c r="L704" s="28" t="s">
        <v>460</v>
      </c>
    </row>
    <row r="705" spans="1:12" ht="68" x14ac:dyDescent="0.2">
      <c r="A705" s="13" t="s">
        <v>1870</v>
      </c>
      <c r="B705" s="14" t="s">
        <v>1871</v>
      </c>
      <c r="C705" s="15" t="s">
        <v>135</v>
      </c>
      <c r="D705" s="15" t="s">
        <v>463</v>
      </c>
      <c r="E705" s="16">
        <v>49.99</v>
      </c>
      <c r="F705" s="17">
        <v>0</v>
      </c>
      <c r="G705" s="18">
        <v>0</v>
      </c>
      <c r="H705" s="19">
        <v>0</v>
      </c>
      <c r="I705" s="18">
        <v>0</v>
      </c>
      <c r="J705" s="38" t="str">
        <f>HYPERLINK("https://amazon.com/dp/B0FS798S99","View on Amazon")</f>
        <v>View on Amazon</v>
      </c>
      <c r="K705" s="15" t="s">
        <v>463</v>
      </c>
      <c r="L705" s="20" t="s">
        <v>460</v>
      </c>
    </row>
    <row r="706" spans="1:12" ht="34" x14ac:dyDescent="0.2">
      <c r="A706" s="21" t="s">
        <v>1872</v>
      </c>
      <c r="B706" s="22" t="s">
        <v>1873</v>
      </c>
      <c r="C706" s="23" t="s">
        <v>325</v>
      </c>
      <c r="D706" s="23" t="s">
        <v>463</v>
      </c>
      <c r="E706" s="24">
        <v>15</v>
      </c>
      <c r="F706" s="25">
        <v>0</v>
      </c>
      <c r="G706" s="26">
        <v>0</v>
      </c>
      <c r="H706" s="27">
        <v>2.7</v>
      </c>
      <c r="I706" s="26">
        <v>36</v>
      </c>
      <c r="J706" s="39" t="str">
        <f>HYPERLINK("https://amazon.com/dp/B0727ZMXV1","View on Amazon")</f>
        <v>View on Amazon</v>
      </c>
      <c r="K706" s="23" t="s">
        <v>463</v>
      </c>
      <c r="L706" s="28" t="s">
        <v>1297</v>
      </c>
    </row>
    <row r="707" spans="1:12" ht="51" x14ac:dyDescent="0.2">
      <c r="A707" s="13" t="s">
        <v>1874</v>
      </c>
      <c r="B707" s="14" t="s">
        <v>1875</v>
      </c>
      <c r="C707" s="15" t="s">
        <v>88</v>
      </c>
      <c r="D707" s="15" t="s">
        <v>463</v>
      </c>
      <c r="E707" s="16">
        <v>86.99</v>
      </c>
      <c r="F707" s="17">
        <v>0</v>
      </c>
      <c r="G707" s="18">
        <v>0</v>
      </c>
      <c r="H707" s="19">
        <v>0</v>
      </c>
      <c r="I707" s="18">
        <v>0</v>
      </c>
      <c r="J707" s="38" t="str">
        <f>HYPERLINK("https://amazon.com/dp/B0CQ1KWM6T","View on Amazon")</f>
        <v>View on Amazon</v>
      </c>
      <c r="K707" s="15" t="s">
        <v>463</v>
      </c>
      <c r="L707" s="20" t="s">
        <v>460</v>
      </c>
    </row>
    <row r="708" spans="1:12" ht="68" x14ac:dyDescent="0.2">
      <c r="A708" s="21" t="s">
        <v>1876</v>
      </c>
      <c r="B708" s="22" t="s">
        <v>1877</v>
      </c>
      <c r="C708" s="23" t="s">
        <v>10</v>
      </c>
      <c r="D708" s="23" t="s">
        <v>459</v>
      </c>
      <c r="E708" s="24">
        <v>529</v>
      </c>
      <c r="F708" s="25">
        <v>0</v>
      </c>
      <c r="G708" s="26">
        <v>0</v>
      </c>
      <c r="H708" s="27">
        <v>3</v>
      </c>
      <c r="I708" s="26">
        <v>3</v>
      </c>
      <c r="J708" s="39" t="str">
        <f>HYPERLINK("https://amazon.com/dp/B0CWTPMVRM","View on Amazon")</f>
        <v>View on Amazon</v>
      </c>
      <c r="K708" s="23" t="s">
        <v>459</v>
      </c>
      <c r="L708" s="28" t="s">
        <v>220</v>
      </c>
    </row>
    <row r="709" spans="1:12" ht="68" x14ac:dyDescent="0.2">
      <c r="A709" s="13" t="s">
        <v>1878</v>
      </c>
      <c r="B709" s="14" t="s">
        <v>1879</v>
      </c>
      <c r="C709" s="15" t="s">
        <v>326</v>
      </c>
      <c r="D709" s="15" t="s">
        <v>463</v>
      </c>
      <c r="E709" s="16">
        <v>53.74</v>
      </c>
      <c r="F709" s="17">
        <v>0</v>
      </c>
      <c r="G709" s="18">
        <v>0</v>
      </c>
      <c r="H709" s="19">
        <v>2</v>
      </c>
      <c r="I709" s="18">
        <v>2</v>
      </c>
      <c r="J709" s="38" t="str">
        <f>HYPERLINK("https://amazon.com/dp/B0D5HNGNSS","View on Amazon")</f>
        <v>View on Amazon</v>
      </c>
      <c r="K709" s="15" t="s">
        <v>463</v>
      </c>
      <c r="L709" s="20" t="s">
        <v>460</v>
      </c>
    </row>
    <row r="710" spans="1:12" ht="68" x14ac:dyDescent="0.2">
      <c r="A710" s="21" t="s">
        <v>1880</v>
      </c>
      <c r="B710" s="22" t="s">
        <v>1881</v>
      </c>
      <c r="C710" s="23" t="s">
        <v>327</v>
      </c>
      <c r="D710" s="23" t="s">
        <v>463</v>
      </c>
      <c r="E710" s="24">
        <v>148.80000000000001</v>
      </c>
      <c r="F710" s="25">
        <v>0</v>
      </c>
      <c r="G710" s="26">
        <v>0</v>
      </c>
      <c r="H710" s="27">
        <v>4.2</v>
      </c>
      <c r="I710" s="26">
        <v>59</v>
      </c>
      <c r="J710" s="39" t="str">
        <f>HYPERLINK("https://amazon.com/dp/B0CFY21NBW","View on Amazon")</f>
        <v>View on Amazon</v>
      </c>
      <c r="K710" s="23" t="s">
        <v>463</v>
      </c>
      <c r="L710" s="28" t="s">
        <v>460</v>
      </c>
    </row>
    <row r="711" spans="1:12" ht="34" x14ac:dyDescent="0.2">
      <c r="A711" s="13" t="s">
        <v>1882</v>
      </c>
      <c r="B711" s="14" t="s">
        <v>1883</v>
      </c>
      <c r="C711" s="15" t="s">
        <v>328</v>
      </c>
      <c r="D711" s="15" t="s">
        <v>463</v>
      </c>
      <c r="E711" s="16">
        <v>17.989999999999998</v>
      </c>
      <c r="F711" s="17">
        <v>0</v>
      </c>
      <c r="G711" s="18">
        <v>0</v>
      </c>
      <c r="H711" s="19">
        <v>4.0999999999999996</v>
      </c>
      <c r="I711" s="18">
        <v>31</v>
      </c>
      <c r="J711" s="38" t="str">
        <f>HYPERLINK("https://amazon.com/dp/B0B789GB5W","View on Amazon")</f>
        <v>View on Amazon</v>
      </c>
      <c r="K711" s="15" t="s">
        <v>463</v>
      </c>
      <c r="L711" s="20" t="s">
        <v>220</v>
      </c>
    </row>
    <row r="712" spans="1:12" ht="34" x14ac:dyDescent="0.2">
      <c r="A712" s="21" t="s">
        <v>1884</v>
      </c>
      <c r="B712" s="22" t="s">
        <v>1885</v>
      </c>
      <c r="C712" s="23" t="s">
        <v>328</v>
      </c>
      <c r="D712" s="23" t="s">
        <v>463</v>
      </c>
      <c r="E712" s="24">
        <v>18.89</v>
      </c>
      <c r="F712" s="25">
        <v>0</v>
      </c>
      <c r="G712" s="26">
        <v>0</v>
      </c>
      <c r="H712" s="27">
        <v>4.0999999999999996</v>
      </c>
      <c r="I712" s="26">
        <v>31</v>
      </c>
      <c r="J712" s="39" t="str">
        <f>HYPERLINK("https://amazon.com/dp/B0B783PGYZ","View on Amazon")</f>
        <v>View on Amazon</v>
      </c>
      <c r="K712" s="23" t="s">
        <v>463</v>
      </c>
      <c r="L712" s="28" t="s">
        <v>220</v>
      </c>
    </row>
    <row r="713" spans="1:12" ht="34" x14ac:dyDescent="0.2">
      <c r="A713" s="13" t="s">
        <v>1886</v>
      </c>
      <c r="B713" s="14" t="s">
        <v>1883</v>
      </c>
      <c r="C713" s="15" t="s">
        <v>328</v>
      </c>
      <c r="D713" s="15" t="s">
        <v>463</v>
      </c>
      <c r="E713" s="16">
        <v>17.989999999999998</v>
      </c>
      <c r="F713" s="17">
        <v>0</v>
      </c>
      <c r="G713" s="18">
        <v>0</v>
      </c>
      <c r="H713" s="19">
        <v>4.0999999999999996</v>
      </c>
      <c r="I713" s="18">
        <v>31</v>
      </c>
      <c r="J713" s="38" t="str">
        <f>HYPERLINK("https://amazon.com/dp/B0B789SPJM","View on Amazon")</f>
        <v>View on Amazon</v>
      </c>
      <c r="K713" s="15" t="s">
        <v>463</v>
      </c>
      <c r="L713" s="20" t="s">
        <v>220</v>
      </c>
    </row>
    <row r="714" spans="1:12" ht="34" x14ac:dyDescent="0.2">
      <c r="A714" s="21" t="s">
        <v>1887</v>
      </c>
      <c r="B714" s="22" t="s">
        <v>1885</v>
      </c>
      <c r="C714" s="23" t="s">
        <v>328</v>
      </c>
      <c r="D714" s="23" t="s">
        <v>463</v>
      </c>
      <c r="E714" s="24">
        <v>18.89</v>
      </c>
      <c r="F714" s="25">
        <v>0</v>
      </c>
      <c r="G714" s="26">
        <v>0</v>
      </c>
      <c r="H714" s="27">
        <v>4.0999999999999996</v>
      </c>
      <c r="I714" s="26">
        <v>31</v>
      </c>
      <c r="J714" s="39" t="str">
        <f>HYPERLINK("https://amazon.com/dp/B0B789G362","View on Amazon")</f>
        <v>View on Amazon</v>
      </c>
      <c r="K714" s="23" t="s">
        <v>463</v>
      </c>
      <c r="L714" s="28" t="s">
        <v>220</v>
      </c>
    </row>
    <row r="715" spans="1:12" ht="68" x14ac:dyDescent="0.2">
      <c r="A715" s="13" t="s">
        <v>1888</v>
      </c>
      <c r="B715" s="14" t="s">
        <v>1889</v>
      </c>
      <c r="C715" s="15" t="s">
        <v>329</v>
      </c>
      <c r="D715" s="15" t="s">
        <v>486</v>
      </c>
      <c r="E715" s="16">
        <v>999</v>
      </c>
      <c r="F715" s="17">
        <v>0</v>
      </c>
      <c r="G715" s="18">
        <v>0</v>
      </c>
      <c r="H715" s="19">
        <v>5</v>
      </c>
      <c r="I715" s="18">
        <v>1</v>
      </c>
      <c r="J715" s="38" t="str">
        <f>HYPERLINK("https://amazon.com/dp/B0CL3GZ6CR","View on Amazon")</f>
        <v>View on Amazon</v>
      </c>
      <c r="K715" s="15" t="s">
        <v>486</v>
      </c>
      <c r="L715" s="20" t="s">
        <v>460</v>
      </c>
    </row>
    <row r="716" spans="1:12" ht="51" x14ac:dyDescent="0.2">
      <c r="A716" s="21" t="s">
        <v>1890</v>
      </c>
      <c r="B716" s="22" t="s">
        <v>1891</v>
      </c>
      <c r="C716" s="23" t="s">
        <v>311</v>
      </c>
      <c r="D716" s="23" t="s">
        <v>463</v>
      </c>
      <c r="E716" s="24">
        <v>59.98</v>
      </c>
      <c r="F716" s="25">
        <v>0</v>
      </c>
      <c r="G716" s="26">
        <v>0</v>
      </c>
      <c r="H716" s="27">
        <v>4.0999999999999996</v>
      </c>
      <c r="I716" s="26">
        <v>69</v>
      </c>
      <c r="J716" s="39" t="str">
        <f>HYPERLINK("https://amazon.com/dp/B09J4RLV8R","View on Amazon")</f>
        <v>View on Amazon</v>
      </c>
      <c r="K716" s="23" t="s">
        <v>463</v>
      </c>
      <c r="L716" s="28" t="s">
        <v>220</v>
      </c>
    </row>
    <row r="717" spans="1:12" ht="68" x14ac:dyDescent="0.2">
      <c r="A717" s="13" t="s">
        <v>1892</v>
      </c>
      <c r="B717" s="14" t="s">
        <v>1893</v>
      </c>
      <c r="C717" s="15" t="s">
        <v>140</v>
      </c>
      <c r="D717" s="15" t="s">
        <v>463</v>
      </c>
      <c r="E717" s="16">
        <v>149.99</v>
      </c>
      <c r="F717" s="17">
        <v>0</v>
      </c>
      <c r="G717" s="18">
        <v>0</v>
      </c>
      <c r="H717" s="19">
        <v>4.5999999999999996</v>
      </c>
      <c r="I717" s="18">
        <v>3</v>
      </c>
      <c r="J717" s="38" t="str">
        <f>HYPERLINK("https://amazon.com/dp/B0DFPT2K85","View on Amazon")</f>
        <v>View on Amazon</v>
      </c>
      <c r="K717" s="15" t="s">
        <v>463</v>
      </c>
      <c r="L717" s="20" t="s">
        <v>460</v>
      </c>
    </row>
    <row r="718" spans="1:12" ht="34" x14ac:dyDescent="0.2">
      <c r="A718" s="21" t="s">
        <v>1894</v>
      </c>
      <c r="B718" s="22" t="s">
        <v>1895</v>
      </c>
      <c r="C718" s="23" t="s">
        <v>244</v>
      </c>
      <c r="D718" s="23" t="s">
        <v>463</v>
      </c>
      <c r="E718" s="24">
        <v>69.89</v>
      </c>
      <c r="F718" s="25">
        <v>0</v>
      </c>
      <c r="G718" s="26">
        <v>0</v>
      </c>
      <c r="H718" s="27">
        <v>4.5999999999999996</v>
      </c>
      <c r="I718" s="26">
        <v>6</v>
      </c>
      <c r="J718" s="39" t="str">
        <f>HYPERLINK("https://amazon.com/dp/B0BZV2K73W","View on Amazon")</f>
        <v>View on Amazon</v>
      </c>
      <c r="K718" s="23" t="s">
        <v>463</v>
      </c>
      <c r="L718" s="28" t="s">
        <v>460</v>
      </c>
    </row>
    <row r="719" spans="1:12" ht="34" x14ac:dyDescent="0.2">
      <c r="A719" s="13" t="s">
        <v>1896</v>
      </c>
      <c r="B719" s="14" t="s">
        <v>1897</v>
      </c>
      <c r="C719" s="15" t="s">
        <v>202</v>
      </c>
      <c r="D719" s="15" t="s">
        <v>463</v>
      </c>
      <c r="E719" s="16">
        <v>23.71</v>
      </c>
      <c r="F719" s="17">
        <v>0</v>
      </c>
      <c r="G719" s="18">
        <v>0</v>
      </c>
      <c r="H719" s="19">
        <v>2.7</v>
      </c>
      <c r="I719" s="18">
        <v>3</v>
      </c>
      <c r="J719" s="38" t="str">
        <f>HYPERLINK("https://amazon.com/dp/B09333SNTH","View on Amazon")</f>
        <v>View on Amazon</v>
      </c>
      <c r="K719" s="15" t="s">
        <v>463</v>
      </c>
      <c r="L719" s="20" t="s">
        <v>220</v>
      </c>
    </row>
    <row r="720" spans="1:12" ht="34" x14ac:dyDescent="0.2">
      <c r="A720" s="21" t="s">
        <v>1898</v>
      </c>
      <c r="B720" s="22" t="s">
        <v>1899</v>
      </c>
      <c r="C720" s="23" t="s">
        <v>330</v>
      </c>
      <c r="D720" s="23" t="s">
        <v>1900</v>
      </c>
      <c r="E720" s="24">
        <v>184.99</v>
      </c>
      <c r="F720" s="25">
        <v>0</v>
      </c>
      <c r="G720" s="26">
        <v>0</v>
      </c>
      <c r="H720" s="27">
        <v>4.5</v>
      </c>
      <c r="I720" s="26">
        <v>41</v>
      </c>
      <c r="J720" s="39" t="str">
        <f>HYPERLINK("https://amazon.com/dp/B078NHJ9KW","View on Amazon")</f>
        <v>View on Amazon</v>
      </c>
      <c r="K720" s="23" t="s">
        <v>1900</v>
      </c>
      <c r="L720" s="28" t="s">
        <v>220</v>
      </c>
    </row>
    <row r="721" spans="1:12" ht="17" x14ac:dyDescent="0.2">
      <c r="A721" s="13" t="s">
        <v>1901</v>
      </c>
      <c r="B721" s="14" t="s">
        <v>1902</v>
      </c>
      <c r="C721" s="15" t="s">
        <v>331</v>
      </c>
      <c r="D721" s="15" t="s">
        <v>459</v>
      </c>
      <c r="E721" s="16">
        <v>199.99</v>
      </c>
      <c r="F721" s="17">
        <v>0</v>
      </c>
      <c r="G721" s="18">
        <v>0</v>
      </c>
      <c r="H721" s="19">
        <v>3.6</v>
      </c>
      <c r="I721" s="18">
        <v>335</v>
      </c>
      <c r="J721" s="38" t="str">
        <f>HYPERLINK("https://amazon.com/dp/B002BVUSSU","View on Amazon")</f>
        <v>View on Amazon</v>
      </c>
      <c r="K721" s="15" t="s">
        <v>459</v>
      </c>
      <c r="L721" s="20" t="s">
        <v>460</v>
      </c>
    </row>
    <row r="722" spans="1:12" ht="68" x14ac:dyDescent="0.2">
      <c r="A722" s="21" t="s">
        <v>1903</v>
      </c>
      <c r="B722" s="22" t="s">
        <v>1904</v>
      </c>
      <c r="C722" s="23" t="s">
        <v>332</v>
      </c>
      <c r="D722" s="23" t="s">
        <v>459</v>
      </c>
      <c r="E722" s="24">
        <v>499</v>
      </c>
      <c r="F722" s="25">
        <v>0</v>
      </c>
      <c r="G722" s="26">
        <v>0</v>
      </c>
      <c r="H722" s="27">
        <v>3.5</v>
      </c>
      <c r="I722" s="26">
        <v>5</v>
      </c>
      <c r="J722" s="39" t="str">
        <f>HYPERLINK("https://amazon.com/dp/B0DNQ93Z48","View on Amazon")</f>
        <v>View on Amazon</v>
      </c>
      <c r="K722" s="23" t="s">
        <v>459</v>
      </c>
      <c r="L722" s="28" t="s">
        <v>460</v>
      </c>
    </row>
    <row r="723" spans="1:12" ht="34" x14ac:dyDescent="0.2">
      <c r="A723" s="13" t="s">
        <v>1905</v>
      </c>
      <c r="B723" s="14" t="s">
        <v>1906</v>
      </c>
      <c r="C723" s="15" t="s">
        <v>333</v>
      </c>
      <c r="D723" s="15" t="s">
        <v>463</v>
      </c>
      <c r="E723" s="16">
        <v>15.99</v>
      </c>
      <c r="F723" s="17">
        <v>0</v>
      </c>
      <c r="G723" s="18">
        <v>0</v>
      </c>
      <c r="H723" s="19">
        <v>0</v>
      </c>
      <c r="I723" s="18">
        <v>0</v>
      </c>
      <c r="J723" s="38" t="str">
        <f>HYPERLINK("https://amazon.com/dp/B0DJBD1G4W","View on Amazon")</f>
        <v>View on Amazon</v>
      </c>
      <c r="K723" s="15" t="s">
        <v>463</v>
      </c>
      <c r="L723" s="20" t="s">
        <v>460</v>
      </c>
    </row>
    <row r="724" spans="1:12" ht="51" x14ac:dyDescent="0.2">
      <c r="A724" s="21" t="s">
        <v>1907</v>
      </c>
      <c r="B724" s="22" t="s">
        <v>1908</v>
      </c>
      <c r="C724" s="23" t="s">
        <v>113</v>
      </c>
      <c r="D724" s="23" t="s">
        <v>459</v>
      </c>
      <c r="E724" s="24">
        <v>949</v>
      </c>
      <c r="F724" s="25">
        <v>0</v>
      </c>
      <c r="G724" s="26">
        <v>0</v>
      </c>
      <c r="H724" s="27">
        <v>5</v>
      </c>
      <c r="I724" s="26">
        <v>5</v>
      </c>
      <c r="J724" s="39" t="str">
        <f>HYPERLINK("https://amazon.com/dp/B0C4YK81C2","View on Amazon")</f>
        <v>View on Amazon</v>
      </c>
      <c r="K724" s="23" t="s">
        <v>459</v>
      </c>
      <c r="L724" s="28" t="s">
        <v>460</v>
      </c>
    </row>
    <row r="725" spans="1:12" ht="68" x14ac:dyDescent="0.2">
      <c r="A725" s="13" t="s">
        <v>1909</v>
      </c>
      <c r="B725" s="14" t="s">
        <v>1910</v>
      </c>
      <c r="C725" s="15" t="s">
        <v>113</v>
      </c>
      <c r="D725" s="15" t="s">
        <v>459</v>
      </c>
      <c r="E725" s="16">
        <v>999</v>
      </c>
      <c r="F725" s="17">
        <v>0</v>
      </c>
      <c r="G725" s="18">
        <v>0</v>
      </c>
      <c r="H725" s="19">
        <v>5</v>
      </c>
      <c r="I725" s="18">
        <v>5</v>
      </c>
      <c r="J725" s="38" t="str">
        <f>HYPERLINK("https://amazon.com/dp/B0B1MYC1PL","View on Amazon")</f>
        <v>View on Amazon</v>
      </c>
      <c r="K725" s="15" t="s">
        <v>459</v>
      </c>
      <c r="L725" s="20" t="s">
        <v>460</v>
      </c>
    </row>
    <row r="726" spans="1:12" ht="51" x14ac:dyDescent="0.2">
      <c r="A726" s="21" t="s">
        <v>1911</v>
      </c>
      <c r="B726" s="22" t="s">
        <v>1912</v>
      </c>
      <c r="C726" s="23" t="s">
        <v>97</v>
      </c>
      <c r="D726" s="23" t="s">
        <v>463</v>
      </c>
      <c r="E726" s="24">
        <v>58.99</v>
      </c>
      <c r="F726" s="25">
        <v>0</v>
      </c>
      <c r="G726" s="26">
        <v>0</v>
      </c>
      <c r="H726" s="27">
        <v>0</v>
      </c>
      <c r="I726" s="26">
        <v>0</v>
      </c>
      <c r="J726" s="39" t="str">
        <f>HYPERLINK("https://amazon.com/dp/B0CHMF1DHT","View on Amazon")</f>
        <v>View on Amazon</v>
      </c>
      <c r="K726" s="23" t="s">
        <v>463</v>
      </c>
      <c r="L726" s="28" t="s">
        <v>460</v>
      </c>
    </row>
    <row r="727" spans="1:12" ht="34" x14ac:dyDescent="0.2">
      <c r="A727" s="13" t="s">
        <v>1913</v>
      </c>
      <c r="B727" s="14" t="s">
        <v>1914</v>
      </c>
      <c r="C727" s="15" t="s">
        <v>288</v>
      </c>
      <c r="D727" s="15" t="s">
        <v>463</v>
      </c>
      <c r="E727" s="16">
        <v>245</v>
      </c>
      <c r="F727" s="17">
        <v>0</v>
      </c>
      <c r="G727" s="18">
        <v>0</v>
      </c>
      <c r="H727" s="19">
        <v>4.4000000000000004</v>
      </c>
      <c r="I727" s="18">
        <v>51</v>
      </c>
      <c r="J727" s="38" t="str">
        <f>HYPERLINK("https://amazon.com/dp/B004UO6E0M","View on Amazon")</f>
        <v>View on Amazon</v>
      </c>
      <c r="K727" s="15" t="s">
        <v>463</v>
      </c>
      <c r="L727" s="20" t="s">
        <v>1297</v>
      </c>
    </row>
    <row r="728" spans="1:12" ht="51" x14ac:dyDescent="0.2">
      <c r="A728" s="21" t="s">
        <v>1915</v>
      </c>
      <c r="B728" s="22" t="s">
        <v>1916</v>
      </c>
      <c r="C728" s="23" t="s">
        <v>32</v>
      </c>
      <c r="D728" s="23" t="s">
        <v>459</v>
      </c>
      <c r="E728" s="24">
        <v>499</v>
      </c>
      <c r="F728" s="25">
        <v>0</v>
      </c>
      <c r="G728" s="26">
        <v>0</v>
      </c>
      <c r="H728" s="27">
        <v>3.5</v>
      </c>
      <c r="I728" s="26">
        <v>13</v>
      </c>
      <c r="J728" s="39" t="str">
        <f>HYPERLINK("https://amazon.com/dp/B09XMTYL4H","View on Amazon")</f>
        <v>View on Amazon</v>
      </c>
      <c r="K728" s="23" t="s">
        <v>459</v>
      </c>
      <c r="L728" s="28" t="s">
        <v>460</v>
      </c>
    </row>
    <row r="729" spans="1:12" ht="34" x14ac:dyDescent="0.2">
      <c r="A729" s="13" t="s">
        <v>1917</v>
      </c>
      <c r="B729" s="14" t="s">
        <v>1918</v>
      </c>
      <c r="C729" s="15" t="s">
        <v>333</v>
      </c>
      <c r="D729" s="15" t="s">
        <v>463</v>
      </c>
      <c r="E729" s="16">
        <v>15.99</v>
      </c>
      <c r="F729" s="17">
        <v>0</v>
      </c>
      <c r="G729" s="18">
        <v>0</v>
      </c>
      <c r="H729" s="19">
        <v>0</v>
      </c>
      <c r="I729" s="18">
        <v>0</v>
      </c>
      <c r="J729" s="38" t="str">
        <f>HYPERLINK("https://amazon.com/dp/B0DJBCB4WL","View on Amazon")</f>
        <v>View on Amazon</v>
      </c>
      <c r="K729" s="15" t="s">
        <v>463</v>
      </c>
      <c r="L729" s="20" t="s">
        <v>220</v>
      </c>
    </row>
    <row r="730" spans="1:12" ht="34" x14ac:dyDescent="0.2">
      <c r="A730" s="21" t="s">
        <v>1919</v>
      </c>
      <c r="B730" s="22" t="s">
        <v>1920</v>
      </c>
      <c r="C730" s="23" t="s">
        <v>333</v>
      </c>
      <c r="D730" s="23" t="s">
        <v>463</v>
      </c>
      <c r="E730" s="24">
        <v>15.99</v>
      </c>
      <c r="F730" s="25">
        <v>0</v>
      </c>
      <c r="G730" s="26">
        <v>0</v>
      </c>
      <c r="H730" s="27">
        <v>0</v>
      </c>
      <c r="I730" s="26">
        <v>0</v>
      </c>
      <c r="J730" s="39" t="str">
        <f>HYPERLINK("https://amazon.com/dp/B0DJBCVC4H","View on Amazon")</f>
        <v>View on Amazon</v>
      </c>
      <c r="K730" s="23" t="s">
        <v>463</v>
      </c>
      <c r="L730" s="28" t="s">
        <v>220</v>
      </c>
    </row>
    <row r="731" spans="1:12" ht="34" x14ac:dyDescent="0.2">
      <c r="A731" s="13" t="s">
        <v>1921</v>
      </c>
      <c r="B731" s="14" t="s">
        <v>1922</v>
      </c>
      <c r="C731" s="15" t="s">
        <v>333</v>
      </c>
      <c r="D731" s="15" t="s">
        <v>463</v>
      </c>
      <c r="E731" s="16">
        <v>15.99</v>
      </c>
      <c r="F731" s="17">
        <v>0</v>
      </c>
      <c r="G731" s="18">
        <v>0</v>
      </c>
      <c r="H731" s="19">
        <v>0</v>
      </c>
      <c r="I731" s="18">
        <v>0</v>
      </c>
      <c r="J731" s="38" t="str">
        <f>HYPERLINK("https://amazon.com/dp/B0DJBDFPMW","View on Amazon")</f>
        <v>View on Amazon</v>
      </c>
      <c r="K731" s="15" t="s">
        <v>463</v>
      </c>
      <c r="L731" s="20" t="s">
        <v>220</v>
      </c>
    </row>
    <row r="732" spans="1:12" ht="51" x14ac:dyDescent="0.2">
      <c r="A732" s="21" t="s">
        <v>1923</v>
      </c>
      <c r="B732" s="22" t="s">
        <v>1924</v>
      </c>
      <c r="C732" s="23" t="s">
        <v>91</v>
      </c>
      <c r="D732" s="23" t="s">
        <v>463</v>
      </c>
      <c r="E732" s="24">
        <v>49.99</v>
      </c>
      <c r="F732" s="25">
        <v>0</v>
      </c>
      <c r="G732" s="26">
        <v>0</v>
      </c>
      <c r="H732" s="27">
        <v>4</v>
      </c>
      <c r="I732" s="26">
        <v>1</v>
      </c>
      <c r="J732" s="39" t="str">
        <f>HYPERLINK("https://amazon.com/dp/B0DYDY5SWT","View on Amazon")</f>
        <v>View on Amazon</v>
      </c>
      <c r="K732" s="23" t="s">
        <v>463</v>
      </c>
      <c r="L732" s="28" t="s">
        <v>460</v>
      </c>
    </row>
    <row r="733" spans="1:12" ht="51" x14ac:dyDescent="0.2">
      <c r="A733" s="13" t="s">
        <v>1925</v>
      </c>
      <c r="B733" s="14" t="s">
        <v>1926</v>
      </c>
      <c r="C733" s="15" t="s">
        <v>334</v>
      </c>
      <c r="D733" s="15" t="s">
        <v>463</v>
      </c>
      <c r="E733" s="16">
        <v>6.99</v>
      </c>
      <c r="F733" s="17">
        <v>0</v>
      </c>
      <c r="G733" s="18">
        <v>0</v>
      </c>
      <c r="H733" s="19">
        <v>4</v>
      </c>
      <c r="I733" s="18">
        <v>2</v>
      </c>
      <c r="J733" s="38" t="str">
        <f>HYPERLINK("https://amazon.com/dp/B0D798Z856","View on Amazon")</f>
        <v>View on Amazon</v>
      </c>
      <c r="K733" s="15" t="s">
        <v>463</v>
      </c>
      <c r="L733" s="20" t="s">
        <v>460</v>
      </c>
    </row>
    <row r="734" spans="1:12" ht="34" x14ac:dyDescent="0.2">
      <c r="A734" s="21" t="s">
        <v>1927</v>
      </c>
      <c r="B734" s="22" t="s">
        <v>1928</v>
      </c>
      <c r="C734" s="23" t="s">
        <v>170</v>
      </c>
      <c r="D734" s="23" t="s">
        <v>463</v>
      </c>
      <c r="E734" s="24">
        <v>46.88</v>
      </c>
      <c r="F734" s="25">
        <v>0</v>
      </c>
      <c r="G734" s="26">
        <v>0</v>
      </c>
      <c r="H734" s="27">
        <v>5</v>
      </c>
      <c r="I734" s="26">
        <v>2</v>
      </c>
      <c r="J734" s="39" t="str">
        <f>HYPERLINK("https://amazon.com/dp/B0CQNM8HVZ","View on Amazon")</f>
        <v>View on Amazon</v>
      </c>
      <c r="K734" s="23" t="s">
        <v>463</v>
      </c>
      <c r="L734" s="28" t="s">
        <v>220</v>
      </c>
    </row>
    <row r="735" spans="1:12" ht="51" x14ac:dyDescent="0.2">
      <c r="A735" s="13" t="s">
        <v>1929</v>
      </c>
      <c r="B735" s="14" t="s">
        <v>1930</v>
      </c>
      <c r="C735" s="15" t="s">
        <v>246</v>
      </c>
      <c r="D735" s="15" t="s">
        <v>463</v>
      </c>
      <c r="E735" s="16">
        <v>49.99</v>
      </c>
      <c r="F735" s="17">
        <v>0</v>
      </c>
      <c r="G735" s="18">
        <v>0</v>
      </c>
      <c r="H735" s="19">
        <v>3.2</v>
      </c>
      <c r="I735" s="18">
        <v>7</v>
      </c>
      <c r="J735" s="38" t="str">
        <f>HYPERLINK("https://amazon.com/dp/B0CKSLZFKZ","View on Amazon")</f>
        <v>View on Amazon</v>
      </c>
      <c r="K735" s="15" t="s">
        <v>463</v>
      </c>
      <c r="L735" s="20" t="s">
        <v>460</v>
      </c>
    </row>
    <row r="736" spans="1:12" ht="68" x14ac:dyDescent="0.2">
      <c r="A736" s="21" t="s">
        <v>1931</v>
      </c>
      <c r="B736" s="22" t="s">
        <v>1932</v>
      </c>
      <c r="C736" s="23" t="s">
        <v>335</v>
      </c>
      <c r="D736" s="23" t="s">
        <v>463</v>
      </c>
      <c r="E736" s="24">
        <v>49.99</v>
      </c>
      <c r="F736" s="25">
        <v>0</v>
      </c>
      <c r="G736" s="26">
        <v>0</v>
      </c>
      <c r="H736" s="27">
        <v>0</v>
      </c>
      <c r="I736" s="26">
        <v>0</v>
      </c>
      <c r="J736" s="39" t="str">
        <f>HYPERLINK("https://amazon.com/dp/B0FRM17QZS","View on Amazon")</f>
        <v>View on Amazon</v>
      </c>
      <c r="K736" s="23" t="s">
        <v>463</v>
      </c>
      <c r="L736" s="28" t="s">
        <v>460</v>
      </c>
    </row>
    <row r="737" spans="1:12" ht="68" x14ac:dyDescent="0.2">
      <c r="A737" s="13" t="s">
        <v>1933</v>
      </c>
      <c r="B737" s="14" t="s">
        <v>1934</v>
      </c>
      <c r="C737" s="15" t="s">
        <v>54</v>
      </c>
      <c r="D737" s="15" t="s">
        <v>459</v>
      </c>
      <c r="E737" s="16">
        <v>159.99</v>
      </c>
      <c r="F737" s="17">
        <v>0</v>
      </c>
      <c r="G737" s="18">
        <v>0</v>
      </c>
      <c r="H737" s="19">
        <v>3.6</v>
      </c>
      <c r="I737" s="18">
        <v>4</v>
      </c>
      <c r="J737" s="38" t="str">
        <f>HYPERLINK("https://amazon.com/dp/B0D7GZP27N","View on Amazon")</f>
        <v>View on Amazon</v>
      </c>
      <c r="K737" s="15" t="s">
        <v>459</v>
      </c>
      <c r="L737" s="20" t="s">
        <v>460</v>
      </c>
    </row>
    <row r="738" spans="1:12" ht="34" x14ac:dyDescent="0.2">
      <c r="A738" s="21" t="s">
        <v>1935</v>
      </c>
      <c r="B738" s="22" t="s">
        <v>1936</v>
      </c>
      <c r="C738" s="23" t="s">
        <v>170</v>
      </c>
      <c r="D738" s="23" t="s">
        <v>463</v>
      </c>
      <c r="E738" s="24">
        <v>46.88</v>
      </c>
      <c r="F738" s="25">
        <v>0</v>
      </c>
      <c r="G738" s="26">
        <v>0</v>
      </c>
      <c r="H738" s="27">
        <v>5</v>
      </c>
      <c r="I738" s="26">
        <v>2</v>
      </c>
      <c r="J738" s="39" t="str">
        <f>HYPERLINK("https://amazon.com/dp/B0CQNJF7Q8","View on Amazon")</f>
        <v>View on Amazon</v>
      </c>
      <c r="K738" s="23" t="s">
        <v>463</v>
      </c>
      <c r="L738" s="28" t="s">
        <v>220</v>
      </c>
    </row>
    <row r="739" spans="1:12" ht="34" x14ac:dyDescent="0.2">
      <c r="A739" s="13" t="s">
        <v>1937</v>
      </c>
      <c r="B739" s="14" t="s">
        <v>1938</v>
      </c>
      <c r="C739" s="15" t="s">
        <v>175</v>
      </c>
      <c r="D739" s="15" t="s">
        <v>459</v>
      </c>
      <c r="E739" s="16">
        <v>164.99</v>
      </c>
      <c r="F739" s="17">
        <v>0</v>
      </c>
      <c r="G739" s="18">
        <v>0</v>
      </c>
      <c r="H739" s="19">
        <v>3.3</v>
      </c>
      <c r="I739" s="18">
        <v>5</v>
      </c>
      <c r="J739" s="38" t="str">
        <f>HYPERLINK("https://amazon.com/dp/B01MREL5ZC","View on Amazon")</f>
        <v>View on Amazon</v>
      </c>
      <c r="K739" s="15" t="s">
        <v>459</v>
      </c>
      <c r="L739" s="20" t="s">
        <v>220</v>
      </c>
    </row>
    <row r="740" spans="1:12" ht="34" x14ac:dyDescent="0.2">
      <c r="A740" s="21" t="s">
        <v>1939</v>
      </c>
      <c r="B740" s="22" t="s">
        <v>1940</v>
      </c>
      <c r="C740" s="23" t="s">
        <v>177</v>
      </c>
      <c r="D740" s="23" t="s">
        <v>463</v>
      </c>
      <c r="E740" s="24">
        <v>35</v>
      </c>
      <c r="F740" s="25">
        <v>0</v>
      </c>
      <c r="G740" s="26">
        <v>0</v>
      </c>
      <c r="H740" s="27">
        <v>0</v>
      </c>
      <c r="I740" s="26">
        <v>0</v>
      </c>
      <c r="J740" s="39" t="str">
        <f>HYPERLINK("https://amazon.com/dp/B0DCF4H4HK","View on Amazon")</f>
        <v>View on Amazon</v>
      </c>
      <c r="K740" s="23" t="s">
        <v>463</v>
      </c>
      <c r="L740" s="28" t="s">
        <v>220</v>
      </c>
    </row>
    <row r="741" spans="1:12" ht="68" x14ac:dyDescent="0.2">
      <c r="A741" s="13" t="s">
        <v>1941</v>
      </c>
      <c r="B741" s="14" t="s">
        <v>1942</v>
      </c>
      <c r="C741" s="15" t="s">
        <v>270</v>
      </c>
      <c r="D741" s="15" t="s">
        <v>459</v>
      </c>
      <c r="E741" s="16">
        <v>36.99</v>
      </c>
      <c r="F741" s="17">
        <v>0</v>
      </c>
      <c r="G741" s="18">
        <v>0</v>
      </c>
      <c r="H741" s="19">
        <v>1.5</v>
      </c>
      <c r="I741" s="18">
        <v>2</v>
      </c>
      <c r="J741" s="38" t="str">
        <f>HYPERLINK("https://amazon.com/dp/B0BQ31RHZM","View on Amazon")</f>
        <v>View on Amazon</v>
      </c>
      <c r="K741" s="15" t="s">
        <v>459</v>
      </c>
      <c r="L741" s="20" t="s">
        <v>460</v>
      </c>
    </row>
    <row r="742" spans="1:12" ht="34" x14ac:dyDescent="0.2">
      <c r="A742" s="21" t="s">
        <v>1943</v>
      </c>
      <c r="B742" s="22" t="s">
        <v>1944</v>
      </c>
      <c r="C742" s="23" t="s">
        <v>39</v>
      </c>
      <c r="D742" s="23" t="s">
        <v>463</v>
      </c>
      <c r="E742" s="24">
        <v>25.99</v>
      </c>
      <c r="F742" s="25">
        <v>0</v>
      </c>
      <c r="G742" s="26">
        <v>0</v>
      </c>
      <c r="H742" s="27">
        <v>3.5</v>
      </c>
      <c r="I742" s="26">
        <v>5</v>
      </c>
      <c r="J742" s="39" t="str">
        <f>HYPERLINK("https://amazon.com/dp/B0BXL38NTH","View on Amazon")</f>
        <v>View on Amazon</v>
      </c>
      <c r="K742" s="23" t="s">
        <v>463</v>
      </c>
      <c r="L742" s="28" t="s">
        <v>460</v>
      </c>
    </row>
    <row r="743" spans="1:12" ht="68" x14ac:dyDescent="0.2">
      <c r="A743" s="13" t="s">
        <v>1945</v>
      </c>
      <c r="B743" s="14" t="s">
        <v>1946</v>
      </c>
      <c r="C743" s="15" t="s">
        <v>223</v>
      </c>
      <c r="D743" s="15" t="s">
        <v>463</v>
      </c>
      <c r="E743" s="16">
        <v>79.989999999999995</v>
      </c>
      <c r="F743" s="17">
        <v>0</v>
      </c>
      <c r="G743" s="18">
        <v>0</v>
      </c>
      <c r="H743" s="19">
        <v>4.2</v>
      </c>
      <c r="I743" s="18">
        <v>4</v>
      </c>
      <c r="J743" s="38" t="str">
        <f>HYPERLINK("https://amazon.com/dp/B0F8QM6ZXP","View on Amazon")</f>
        <v>View on Amazon</v>
      </c>
      <c r="K743" s="15" t="s">
        <v>463</v>
      </c>
      <c r="L743" s="20" t="s">
        <v>460</v>
      </c>
    </row>
    <row r="744" spans="1:12" ht="68" x14ac:dyDescent="0.2">
      <c r="A744" s="21" t="s">
        <v>1947</v>
      </c>
      <c r="B744" s="22" t="s">
        <v>1948</v>
      </c>
      <c r="C744" s="23" t="s">
        <v>254</v>
      </c>
      <c r="D744" s="23" t="s">
        <v>463</v>
      </c>
      <c r="E744" s="24">
        <v>10.9</v>
      </c>
      <c r="F744" s="25">
        <v>0</v>
      </c>
      <c r="G744" s="26">
        <v>0</v>
      </c>
      <c r="H744" s="27">
        <v>0</v>
      </c>
      <c r="I744" s="26">
        <v>0</v>
      </c>
      <c r="J744" s="39" t="str">
        <f>HYPERLINK("https://amazon.com/dp/B0D7MFNZ69","View on Amazon")</f>
        <v>View on Amazon</v>
      </c>
      <c r="K744" s="23" t="s">
        <v>463</v>
      </c>
      <c r="L744" s="28" t="s">
        <v>460</v>
      </c>
    </row>
    <row r="745" spans="1:12" ht="34" x14ac:dyDescent="0.2">
      <c r="A745" s="13" t="s">
        <v>1949</v>
      </c>
      <c r="B745" s="14" t="s">
        <v>1950</v>
      </c>
      <c r="C745" s="15" t="s">
        <v>242</v>
      </c>
      <c r="D745" s="15" t="s">
        <v>463</v>
      </c>
      <c r="E745" s="16">
        <v>84.78</v>
      </c>
      <c r="F745" s="17">
        <v>0</v>
      </c>
      <c r="G745" s="18">
        <v>0</v>
      </c>
      <c r="H745" s="19">
        <v>4.2</v>
      </c>
      <c r="I745" s="18">
        <v>32</v>
      </c>
      <c r="J745" s="38" t="str">
        <f>HYPERLINK("https://amazon.com/dp/B0DY7S115F","View on Amazon")</f>
        <v>View on Amazon</v>
      </c>
      <c r="K745" s="15" t="s">
        <v>463</v>
      </c>
      <c r="L745" s="20" t="s">
        <v>460</v>
      </c>
    </row>
    <row r="746" spans="1:12" ht="68" x14ac:dyDescent="0.2">
      <c r="A746" s="21" t="s">
        <v>1951</v>
      </c>
      <c r="B746" s="22" t="s">
        <v>1952</v>
      </c>
      <c r="C746" s="23" t="s">
        <v>193</v>
      </c>
      <c r="D746" s="23" t="s">
        <v>463</v>
      </c>
      <c r="E746" s="24">
        <v>69.989999999999995</v>
      </c>
      <c r="F746" s="25">
        <v>0</v>
      </c>
      <c r="G746" s="26">
        <v>0</v>
      </c>
      <c r="H746" s="27">
        <v>4.2</v>
      </c>
      <c r="I746" s="26">
        <v>22</v>
      </c>
      <c r="J746" s="39" t="str">
        <f>HYPERLINK("https://amazon.com/dp/B0C9HTTNT2","View on Amazon")</f>
        <v>View on Amazon</v>
      </c>
      <c r="K746" s="23" t="s">
        <v>463</v>
      </c>
      <c r="L746" s="28" t="s">
        <v>460</v>
      </c>
    </row>
    <row r="747" spans="1:12" ht="51" x14ac:dyDescent="0.2">
      <c r="A747" s="13" t="s">
        <v>1953</v>
      </c>
      <c r="B747" s="14" t="s">
        <v>1954</v>
      </c>
      <c r="C747" s="15" t="s">
        <v>336</v>
      </c>
      <c r="D747" s="15" t="s">
        <v>463</v>
      </c>
      <c r="E747" s="16">
        <v>65.98</v>
      </c>
      <c r="F747" s="17">
        <v>0</v>
      </c>
      <c r="G747" s="18">
        <v>0</v>
      </c>
      <c r="H747" s="19">
        <v>0</v>
      </c>
      <c r="I747" s="18">
        <v>0</v>
      </c>
      <c r="J747" s="38" t="str">
        <f>HYPERLINK("https://amazon.com/dp/B0DMF5BWJV","View on Amazon")</f>
        <v>View on Amazon</v>
      </c>
      <c r="K747" s="15" t="s">
        <v>463</v>
      </c>
      <c r="L747" s="20" t="s">
        <v>220</v>
      </c>
    </row>
    <row r="748" spans="1:12" ht="51" x14ac:dyDescent="0.2">
      <c r="A748" s="21" t="s">
        <v>1955</v>
      </c>
      <c r="B748" s="22" t="s">
        <v>1954</v>
      </c>
      <c r="C748" s="23" t="s">
        <v>336</v>
      </c>
      <c r="D748" s="23" t="s">
        <v>463</v>
      </c>
      <c r="E748" s="24">
        <v>65.98</v>
      </c>
      <c r="F748" s="25">
        <v>0</v>
      </c>
      <c r="G748" s="26">
        <v>0</v>
      </c>
      <c r="H748" s="27">
        <v>0</v>
      </c>
      <c r="I748" s="26">
        <v>0</v>
      </c>
      <c r="J748" s="39" t="str">
        <f>HYPERLINK("https://amazon.com/dp/B0DMF8HZ9J","View on Amazon")</f>
        <v>View on Amazon</v>
      </c>
      <c r="K748" s="23" t="s">
        <v>463</v>
      </c>
      <c r="L748" s="28" t="s">
        <v>220</v>
      </c>
    </row>
    <row r="749" spans="1:12" ht="51" x14ac:dyDescent="0.2">
      <c r="A749" s="13" t="s">
        <v>1956</v>
      </c>
      <c r="B749" s="14" t="s">
        <v>1954</v>
      </c>
      <c r="C749" s="15" t="s">
        <v>336</v>
      </c>
      <c r="D749" s="15" t="s">
        <v>463</v>
      </c>
      <c r="E749" s="16">
        <v>54.98</v>
      </c>
      <c r="F749" s="17">
        <v>0</v>
      </c>
      <c r="G749" s="18">
        <v>0</v>
      </c>
      <c r="H749" s="19">
        <v>0</v>
      </c>
      <c r="I749" s="18">
        <v>0</v>
      </c>
      <c r="J749" s="38" t="str">
        <f>HYPERLINK("https://amazon.com/dp/B0DMFBG9BB","View on Amazon")</f>
        <v>View on Amazon</v>
      </c>
      <c r="K749" s="15" t="s">
        <v>463</v>
      </c>
      <c r="L749" s="20" t="s">
        <v>220</v>
      </c>
    </row>
    <row r="750" spans="1:12" ht="68" x14ac:dyDescent="0.2">
      <c r="A750" s="21" t="s">
        <v>1957</v>
      </c>
      <c r="B750" s="22" t="s">
        <v>1958</v>
      </c>
      <c r="C750" s="23" t="s">
        <v>337</v>
      </c>
      <c r="D750" s="23" t="s">
        <v>459</v>
      </c>
      <c r="E750" s="24">
        <v>279.99</v>
      </c>
      <c r="F750" s="25">
        <v>0</v>
      </c>
      <c r="G750" s="26">
        <v>0</v>
      </c>
      <c r="H750" s="27">
        <v>3.6</v>
      </c>
      <c r="I750" s="26">
        <v>38</v>
      </c>
      <c r="J750" s="39" t="str">
        <f>HYPERLINK("https://amazon.com/dp/B0BC4CQKNC","View on Amazon")</f>
        <v>View on Amazon</v>
      </c>
      <c r="K750" s="23" t="s">
        <v>459</v>
      </c>
      <c r="L750" s="28" t="s">
        <v>460</v>
      </c>
    </row>
    <row r="751" spans="1:12" ht="68" x14ac:dyDescent="0.2">
      <c r="A751" s="13" t="s">
        <v>1959</v>
      </c>
      <c r="B751" s="14" t="s">
        <v>1960</v>
      </c>
      <c r="C751" s="15" t="s">
        <v>162</v>
      </c>
      <c r="D751" s="15" t="s">
        <v>463</v>
      </c>
      <c r="E751" s="16">
        <v>55.98</v>
      </c>
      <c r="F751" s="17">
        <v>0</v>
      </c>
      <c r="G751" s="18">
        <v>0</v>
      </c>
      <c r="H751" s="19">
        <v>0</v>
      </c>
      <c r="I751" s="18">
        <v>0</v>
      </c>
      <c r="J751" s="38" t="str">
        <f>HYPERLINK("https://amazon.com/dp/B0DJXSJ1N1","View on Amazon")</f>
        <v>View on Amazon</v>
      </c>
      <c r="K751" s="15" t="s">
        <v>463</v>
      </c>
      <c r="L751" s="20" t="s">
        <v>460</v>
      </c>
    </row>
    <row r="752" spans="1:12" ht="68" x14ac:dyDescent="0.2">
      <c r="A752" s="21" t="s">
        <v>1961</v>
      </c>
      <c r="B752" s="22" t="s">
        <v>1962</v>
      </c>
      <c r="C752" s="23" t="s">
        <v>162</v>
      </c>
      <c r="D752" s="23" t="s">
        <v>463</v>
      </c>
      <c r="E752" s="24">
        <v>55.98</v>
      </c>
      <c r="F752" s="25">
        <v>0</v>
      </c>
      <c r="G752" s="26">
        <v>0</v>
      </c>
      <c r="H752" s="27">
        <v>0</v>
      </c>
      <c r="I752" s="26">
        <v>0</v>
      </c>
      <c r="J752" s="39" t="str">
        <f>HYPERLINK("https://amazon.com/dp/B0DJXPBVHT","View on Amazon")</f>
        <v>View on Amazon</v>
      </c>
      <c r="K752" s="23" t="s">
        <v>463</v>
      </c>
      <c r="L752" s="28" t="s">
        <v>460</v>
      </c>
    </row>
    <row r="753" spans="1:12" ht="34" x14ac:dyDescent="0.2">
      <c r="A753" s="13" t="s">
        <v>1963</v>
      </c>
      <c r="B753" s="14" t="s">
        <v>1964</v>
      </c>
      <c r="C753" s="15" t="s">
        <v>338</v>
      </c>
      <c r="D753" s="15" t="s">
        <v>463</v>
      </c>
      <c r="E753" s="16">
        <v>29.99</v>
      </c>
      <c r="F753" s="17">
        <v>0</v>
      </c>
      <c r="G753" s="18">
        <v>0</v>
      </c>
      <c r="H753" s="19">
        <v>3.5</v>
      </c>
      <c r="I753" s="18">
        <v>2</v>
      </c>
      <c r="J753" s="38" t="str">
        <f>HYPERLINK("https://amazon.com/dp/B0CG9851GF","View on Amazon")</f>
        <v>View on Amazon</v>
      </c>
      <c r="K753" s="15" t="s">
        <v>463</v>
      </c>
      <c r="L753" s="20" t="s">
        <v>460</v>
      </c>
    </row>
    <row r="754" spans="1:12" ht="34" x14ac:dyDescent="0.2">
      <c r="A754" s="21" t="s">
        <v>1965</v>
      </c>
      <c r="B754" s="22" t="s">
        <v>1964</v>
      </c>
      <c r="C754" s="23" t="s">
        <v>338</v>
      </c>
      <c r="D754" s="23" t="s">
        <v>463</v>
      </c>
      <c r="E754" s="24">
        <v>29.99</v>
      </c>
      <c r="F754" s="25">
        <v>0</v>
      </c>
      <c r="G754" s="26">
        <v>0</v>
      </c>
      <c r="H754" s="27">
        <v>3.5</v>
      </c>
      <c r="I754" s="26">
        <v>2</v>
      </c>
      <c r="J754" s="39" t="str">
        <f>HYPERLINK("https://amazon.com/dp/B0CG983BW5","View on Amazon")</f>
        <v>View on Amazon</v>
      </c>
      <c r="K754" s="23" t="s">
        <v>463</v>
      </c>
      <c r="L754" s="28" t="s">
        <v>460</v>
      </c>
    </row>
    <row r="755" spans="1:12" ht="51" x14ac:dyDescent="0.2">
      <c r="A755" s="13" t="s">
        <v>1966</v>
      </c>
      <c r="B755" s="14" t="s">
        <v>1967</v>
      </c>
      <c r="C755" s="15" t="s">
        <v>338</v>
      </c>
      <c r="D755" s="15" t="s">
        <v>463</v>
      </c>
      <c r="E755" s="16">
        <v>29.99</v>
      </c>
      <c r="F755" s="17">
        <v>0</v>
      </c>
      <c r="G755" s="18">
        <v>0</v>
      </c>
      <c r="H755" s="19">
        <v>3.5</v>
      </c>
      <c r="I755" s="18">
        <v>2</v>
      </c>
      <c r="J755" s="38" t="str">
        <f>HYPERLINK("https://amazon.com/dp/B0CG982DQ1","View on Amazon")</f>
        <v>View on Amazon</v>
      </c>
      <c r="K755" s="15" t="s">
        <v>463</v>
      </c>
      <c r="L755" s="20" t="s">
        <v>460</v>
      </c>
    </row>
    <row r="756" spans="1:12" ht="34" x14ac:dyDescent="0.2">
      <c r="A756" s="21" t="s">
        <v>1968</v>
      </c>
      <c r="B756" s="22" t="s">
        <v>1969</v>
      </c>
      <c r="C756" s="23" t="s">
        <v>172</v>
      </c>
      <c r="D756" s="23" t="s">
        <v>463</v>
      </c>
      <c r="E756" s="24">
        <v>39.99</v>
      </c>
      <c r="F756" s="25">
        <v>0</v>
      </c>
      <c r="G756" s="26">
        <v>0</v>
      </c>
      <c r="H756" s="27">
        <v>0</v>
      </c>
      <c r="I756" s="26">
        <v>0</v>
      </c>
      <c r="J756" s="39" t="str">
        <f>HYPERLINK("https://amazon.com/dp/B01N29QZ26","View on Amazon")</f>
        <v>View on Amazon</v>
      </c>
      <c r="K756" s="23" t="s">
        <v>463</v>
      </c>
      <c r="L756" s="28" t="s">
        <v>460</v>
      </c>
    </row>
    <row r="757" spans="1:12" ht="68" x14ac:dyDescent="0.2">
      <c r="A757" s="13" t="s">
        <v>1970</v>
      </c>
      <c r="B757" s="14" t="s">
        <v>1971</v>
      </c>
      <c r="C757" s="15" t="s">
        <v>102</v>
      </c>
      <c r="D757" s="15" t="s">
        <v>463</v>
      </c>
      <c r="E757" s="16">
        <v>219</v>
      </c>
      <c r="F757" s="17">
        <v>0</v>
      </c>
      <c r="G757" s="18">
        <v>0</v>
      </c>
      <c r="H757" s="19">
        <v>4.7</v>
      </c>
      <c r="I757" s="18">
        <v>4</v>
      </c>
      <c r="J757" s="38" t="str">
        <f>HYPERLINK("https://amazon.com/dp/B0DCJYVJPH","View on Amazon")</f>
        <v>View on Amazon</v>
      </c>
      <c r="K757" s="15" t="s">
        <v>463</v>
      </c>
      <c r="L757" s="20" t="s">
        <v>220</v>
      </c>
    </row>
    <row r="758" spans="1:12" ht="51" x14ac:dyDescent="0.2">
      <c r="A758" s="21" t="s">
        <v>1972</v>
      </c>
      <c r="B758" s="22" t="s">
        <v>1973</v>
      </c>
      <c r="C758" s="23" t="s">
        <v>339</v>
      </c>
      <c r="D758" s="23" t="s">
        <v>463</v>
      </c>
      <c r="E758" s="24">
        <v>19</v>
      </c>
      <c r="F758" s="25">
        <v>0</v>
      </c>
      <c r="G758" s="26">
        <v>0</v>
      </c>
      <c r="H758" s="27">
        <v>4.3</v>
      </c>
      <c r="I758" s="26">
        <v>23</v>
      </c>
      <c r="J758" s="39" t="str">
        <f>HYPERLINK("https://amazon.com/dp/B07MPC17VV","View on Amazon")</f>
        <v>View on Amazon</v>
      </c>
      <c r="K758" s="23" t="s">
        <v>463</v>
      </c>
      <c r="L758" s="28" t="s">
        <v>460</v>
      </c>
    </row>
    <row r="759" spans="1:12" ht="51" x14ac:dyDescent="0.2">
      <c r="A759" s="13" t="s">
        <v>1974</v>
      </c>
      <c r="B759" s="14" t="s">
        <v>1975</v>
      </c>
      <c r="C759" s="15" t="s">
        <v>140</v>
      </c>
      <c r="D759" s="15" t="s">
        <v>459</v>
      </c>
      <c r="E759" s="16">
        <v>539.99</v>
      </c>
      <c r="F759" s="17">
        <v>0</v>
      </c>
      <c r="G759" s="18">
        <v>0</v>
      </c>
      <c r="H759" s="19">
        <v>5</v>
      </c>
      <c r="I759" s="18">
        <v>1</v>
      </c>
      <c r="J759" s="38" t="str">
        <f>HYPERLINK("https://amazon.com/dp/B0DLNST3L1","View on Amazon")</f>
        <v>View on Amazon</v>
      </c>
      <c r="K759" s="15" t="s">
        <v>459</v>
      </c>
      <c r="L759" s="20" t="s">
        <v>220</v>
      </c>
    </row>
    <row r="760" spans="1:12" ht="68" x14ac:dyDescent="0.2">
      <c r="A760" s="21" t="s">
        <v>1976</v>
      </c>
      <c r="B760" s="22" t="s">
        <v>1977</v>
      </c>
      <c r="C760" s="23" t="s">
        <v>160</v>
      </c>
      <c r="D760" s="23" t="s">
        <v>459</v>
      </c>
      <c r="E760" s="24">
        <v>79.95</v>
      </c>
      <c r="F760" s="25">
        <v>0</v>
      </c>
      <c r="G760" s="26">
        <v>0</v>
      </c>
      <c r="H760" s="27">
        <v>3.9</v>
      </c>
      <c r="I760" s="26">
        <v>89</v>
      </c>
      <c r="J760" s="39" t="str">
        <f>HYPERLINK("https://amazon.com/dp/B08TC3BXS6","View on Amazon")</f>
        <v>View on Amazon</v>
      </c>
      <c r="K760" s="23" t="s">
        <v>459</v>
      </c>
      <c r="L760" s="28" t="s">
        <v>460</v>
      </c>
    </row>
    <row r="761" spans="1:12" ht="68" x14ac:dyDescent="0.2">
      <c r="A761" s="13" t="s">
        <v>1978</v>
      </c>
      <c r="B761" s="14" t="s">
        <v>1979</v>
      </c>
      <c r="C761" s="15" t="s">
        <v>200</v>
      </c>
      <c r="D761" s="15" t="s">
        <v>463</v>
      </c>
      <c r="E761" s="16">
        <v>69.989999999999995</v>
      </c>
      <c r="F761" s="17">
        <v>0</v>
      </c>
      <c r="G761" s="18">
        <v>0</v>
      </c>
      <c r="H761" s="19">
        <v>3.8</v>
      </c>
      <c r="I761" s="18">
        <v>8</v>
      </c>
      <c r="J761" s="38" t="str">
        <f>HYPERLINK("https://amazon.com/dp/B0CY2422CT","View on Amazon")</f>
        <v>View on Amazon</v>
      </c>
      <c r="K761" s="15" t="s">
        <v>463</v>
      </c>
      <c r="L761" s="20" t="s">
        <v>460</v>
      </c>
    </row>
    <row r="762" spans="1:12" ht="51" x14ac:dyDescent="0.2">
      <c r="A762" s="21" t="s">
        <v>1980</v>
      </c>
      <c r="B762" s="22" t="s">
        <v>1981</v>
      </c>
      <c r="C762" s="23" t="s">
        <v>340</v>
      </c>
      <c r="D762" s="23" t="s">
        <v>463</v>
      </c>
      <c r="E762" s="24">
        <v>49.99</v>
      </c>
      <c r="F762" s="25">
        <v>0</v>
      </c>
      <c r="G762" s="26">
        <v>0</v>
      </c>
      <c r="H762" s="27">
        <v>4.0999999999999996</v>
      </c>
      <c r="I762" s="26">
        <v>28</v>
      </c>
      <c r="J762" s="39" t="str">
        <f>HYPERLINK("https://amazon.com/dp/B0FNK5HK84","View on Amazon")</f>
        <v>View on Amazon</v>
      </c>
      <c r="K762" s="23" t="s">
        <v>463</v>
      </c>
      <c r="L762" s="28" t="s">
        <v>460</v>
      </c>
    </row>
    <row r="763" spans="1:12" ht="51" x14ac:dyDescent="0.2">
      <c r="A763" s="13" t="s">
        <v>1982</v>
      </c>
      <c r="B763" s="14" t="s">
        <v>1983</v>
      </c>
      <c r="C763" s="15" t="s">
        <v>109</v>
      </c>
      <c r="D763" s="15" t="s">
        <v>463</v>
      </c>
      <c r="E763" s="16">
        <v>49.99</v>
      </c>
      <c r="F763" s="17">
        <v>0</v>
      </c>
      <c r="G763" s="18">
        <v>0</v>
      </c>
      <c r="H763" s="19">
        <v>0</v>
      </c>
      <c r="I763" s="18">
        <v>0</v>
      </c>
      <c r="J763" s="38" t="str">
        <f>HYPERLINK("https://amazon.com/dp/B0DB8BMNM1","View on Amazon")</f>
        <v>View on Amazon</v>
      </c>
      <c r="K763" s="15" t="s">
        <v>463</v>
      </c>
      <c r="L763" s="20" t="s">
        <v>220</v>
      </c>
    </row>
    <row r="764" spans="1:12" ht="51" x14ac:dyDescent="0.2">
      <c r="A764" s="21" t="s">
        <v>1984</v>
      </c>
      <c r="B764" s="22" t="s">
        <v>1985</v>
      </c>
      <c r="C764" s="23" t="s">
        <v>341</v>
      </c>
      <c r="D764" s="23" t="s">
        <v>463</v>
      </c>
      <c r="E764" s="24">
        <v>59.99</v>
      </c>
      <c r="F764" s="25">
        <v>0</v>
      </c>
      <c r="G764" s="26">
        <v>0</v>
      </c>
      <c r="H764" s="27">
        <v>4.7</v>
      </c>
      <c r="I764" s="26">
        <v>3</v>
      </c>
      <c r="J764" s="39" t="str">
        <f>HYPERLINK("https://amazon.com/dp/B0CN452ZJ6","View on Amazon")</f>
        <v>View on Amazon</v>
      </c>
      <c r="K764" s="23" t="s">
        <v>463</v>
      </c>
      <c r="L764" s="28" t="s">
        <v>220</v>
      </c>
    </row>
    <row r="765" spans="1:12" ht="34" x14ac:dyDescent="0.2">
      <c r="A765" s="13" t="s">
        <v>1986</v>
      </c>
      <c r="B765" s="14" t="s">
        <v>1987</v>
      </c>
      <c r="C765" s="15" t="s">
        <v>165</v>
      </c>
      <c r="D765" s="15" t="s">
        <v>463</v>
      </c>
      <c r="E765" s="16">
        <v>179.99</v>
      </c>
      <c r="F765" s="17">
        <v>0</v>
      </c>
      <c r="G765" s="18">
        <v>0</v>
      </c>
      <c r="H765" s="19">
        <v>3.4</v>
      </c>
      <c r="I765" s="18">
        <v>27</v>
      </c>
      <c r="J765" s="38" t="str">
        <f>HYPERLINK("https://amazon.com/dp/B00STABS40","View on Amazon")</f>
        <v>View on Amazon</v>
      </c>
      <c r="K765" s="15" t="s">
        <v>463</v>
      </c>
      <c r="L765" s="20" t="s">
        <v>460</v>
      </c>
    </row>
    <row r="766" spans="1:12" ht="68" x14ac:dyDescent="0.2">
      <c r="A766" s="21" t="s">
        <v>1988</v>
      </c>
      <c r="B766" s="22" t="s">
        <v>1989</v>
      </c>
      <c r="C766" s="23" t="s">
        <v>151</v>
      </c>
      <c r="D766" s="23" t="s">
        <v>463</v>
      </c>
      <c r="E766" s="24">
        <v>19.98</v>
      </c>
      <c r="F766" s="25">
        <v>0</v>
      </c>
      <c r="G766" s="26">
        <v>0</v>
      </c>
      <c r="H766" s="27">
        <v>2.6</v>
      </c>
      <c r="I766" s="26">
        <v>2</v>
      </c>
      <c r="J766" s="39" t="str">
        <f>HYPERLINK("https://amazon.com/dp/B0CYS75L1M","View on Amazon")</f>
        <v>View on Amazon</v>
      </c>
      <c r="K766" s="23" t="s">
        <v>463</v>
      </c>
      <c r="L766" s="28" t="s">
        <v>1297</v>
      </c>
    </row>
    <row r="767" spans="1:12" ht="68" x14ac:dyDescent="0.2">
      <c r="A767" s="13" t="s">
        <v>1990</v>
      </c>
      <c r="B767" s="14" t="s">
        <v>1991</v>
      </c>
      <c r="C767" s="15" t="s">
        <v>32</v>
      </c>
      <c r="D767" s="15" t="s">
        <v>463</v>
      </c>
      <c r="E767" s="16">
        <v>199</v>
      </c>
      <c r="F767" s="17">
        <v>0</v>
      </c>
      <c r="G767" s="18">
        <v>0</v>
      </c>
      <c r="H767" s="19">
        <v>4.5</v>
      </c>
      <c r="I767" s="18">
        <v>3</v>
      </c>
      <c r="J767" s="38" t="str">
        <f>HYPERLINK("https://amazon.com/dp/B0FXX9P4FT","View on Amazon")</f>
        <v>View on Amazon</v>
      </c>
      <c r="K767" s="15" t="s">
        <v>463</v>
      </c>
      <c r="L767" s="20" t="s">
        <v>460</v>
      </c>
    </row>
    <row r="768" spans="1:12" ht="68" x14ac:dyDescent="0.2">
      <c r="A768" s="21" t="s">
        <v>1992</v>
      </c>
      <c r="B768" s="22" t="s">
        <v>1991</v>
      </c>
      <c r="C768" s="23" t="s">
        <v>32</v>
      </c>
      <c r="D768" s="23" t="s">
        <v>463</v>
      </c>
      <c r="E768" s="24">
        <v>199</v>
      </c>
      <c r="F768" s="25">
        <v>0</v>
      </c>
      <c r="G768" s="26">
        <v>0</v>
      </c>
      <c r="H768" s="27">
        <v>3.2</v>
      </c>
      <c r="I768" s="26">
        <v>3</v>
      </c>
      <c r="J768" s="39" t="str">
        <f>HYPERLINK("https://amazon.com/dp/B0FCS6F82W","View on Amazon")</f>
        <v>View on Amazon</v>
      </c>
      <c r="K768" s="23" t="s">
        <v>463</v>
      </c>
      <c r="L768" s="28" t="s">
        <v>460</v>
      </c>
    </row>
    <row r="769" spans="1:12" ht="51" x14ac:dyDescent="0.2">
      <c r="A769" s="13" t="s">
        <v>1993</v>
      </c>
      <c r="B769" s="14" t="s">
        <v>1994</v>
      </c>
      <c r="C769" s="15" t="s">
        <v>342</v>
      </c>
      <c r="D769" s="15" t="s">
        <v>463</v>
      </c>
      <c r="E769" s="16">
        <v>54.99</v>
      </c>
      <c r="F769" s="17">
        <v>0</v>
      </c>
      <c r="G769" s="18">
        <v>0</v>
      </c>
      <c r="H769" s="19">
        <v>5</v>
      </c>
      <c r="I769" s="18">
        <v>1</v>
      </c>
      <c r="J769" s="38" t="str">
        <f>HYPERLINK("https://amazon.com/dp/B0DFL7QQTZ","View on Amazon")</f>
        <v>View on Amazon</v>
      </c>
      <c r="K769" s="15" t="s">
        <v>463</v>
      </c>
      <c r="L769" s="20" t="s">
        <v>220</v>
      </c>
    </row>
    <row r="770" spans="1:12" ht="34" x14ac:dyDescent="0.2">
      <c r="A770" s="21" t="s">
        <v>1995</v>
      </c>
      <c r="B770" s="22" t="s">
        <v>1996</v>
      </c>
      <c r="C770" s="23" t="s">
        <v>343</v>
      </c>
      <c r="D770" s="23" t="s">
        <v>463</v>
      </c>
      <c r="E770" s="24">
        <v>64</v>
      </c>
      <c r="F770" s="25">
        <v>0</v>
      </c>
      <c r="G770" s="26">
        <v>0</v>
      </c>
      <c r="H770" s="27">
        <v>0</v>
      </c>
      <c r="I770" s="26">
        <v>0</v>
      </c>
      <c r="J770" s="39" t="str">
        <f>HYPERLINK("https://amazon.com/dp/B0DBL2VQ4Z","View on Amazon")</f>
        <v>View on Amazon</v>
      </c>
      <c r="K770" s="23" t="s">
        <v>463</v>
      </c>
      <c r="L770" s="28" t="s">
        <v>220</v>
      </c>
    </row>
    <row r="771" spans="1:12" ht="34" x14ac:dyDescent="0.2">
      <c r="A771" s="13" t="s">
        <v>1997</v>
      </c>
      <c r="B771" s="14" t="s">
        <v>1998</v>
      </c>
      <c r="C771" s="15" t="s">
        <v>343</v>
      </c>
      <c r="D771" s="15" t="s">
        <v>463</v>
      </c>
      <c r="E771" s="16">
        <v>64</v>
      </c>
      <c r="F771" s="17">
        <v>0</v>
      </c>
      <c r="G771" s="18">
        <v>0</v>
      </c>
      <c r="H771" s="19">
        <v>0</v>
      </c>
      <c r="I771" s="18">
        <v>0</v>
      </c>
      <c r="J771" s="38" t="str">
        <f>HYPERLINK("https://amazon.com/dp/B0DBL682J7","View on Amazon")</f>
        <v>View on Amazon</v>
      </c>
      <c r="K771" s="15" t="s">
        <v>463</v>
      </c>
      <c r="L771" s="20" t="s">
        <v>220</v>
      </c>
    </row>
    <row r="772" spans="1:12" ht="17" x14ac:dyDescent="0.2">
      <c r="A772" s="21" t="s">
        <v>1999</v>
      </c>
      <c r="B772" s="22" t="s">
        <v>2000</v>
      </c>
      <c r="C772" s="23" t="s">
        <v>344</v>
      </c>
      <c r="D772" s="23" t="s">
        <v>463</v>
      </c>
      <c r="E772" s="24">
        <v>5.71</v>
      </c>
      <c r="F772" s="25">
        <v>0</v>
      </c>
      <c r="G772" s="26">
        <v>0</v>
      </c>
      <c r="H772" s="27">
        <v>3.5</v>
      </c>
      <c r="I772" s="26">
        <v>57</v>
      </c>
      <c r="J772" s="39" t="str">
        <f>HYPERLINK("https://amazon.com/dp/B01J8BI3R8","View on Amazon")</f>
        <v>View on Amazon</v>
      </c>
      <c r="K772" s="23" t="s">
        <v>463</v>
      </c>
      <c r="L772" s="28" t="s">
        <v>460</v>
      </c>
    </row>
    <row r="773" spans="1:12" ht="34" x14ac:dyDescent="0.2">
      <c r="A773" s="13" t="s">
        <v>2001</v>
      </c>
      <c r="B773" s="14" t="s">
        <v>2002</v>
      </c>
      <c r="C773" s="15" t="s">
        <v>175</v>
      </c>
      <c r="D773" s="15" t="s">
        <v>459</v>
      </c>
      <c r="E773" s="16">
        <v>137.28</v>
      </c>
      <c r="F773" s="17">
        <v>0</v>
      </c>
      <c r="G773" s="18">
        <v>0</v>
      </c>
      <c r="H773" s="19">
        <v>0</v>
      </c>
      <c r="I773" s="18">
        <v>0</v>
      </c>
      <c r="J773" s="38" t="str">
        <f>HYPERLINK("https://amazon.com/dp/B01MRENM00","View on Amazon")</f>
        <v>View on Amazon</v>
      </c>
      <c r="K773" s="15" t="s">
        <v>459</v>
      </c>
      <c r="L773" s="20" t="s">
        <v>460</v>
      </c>
    </row>
    <row r="774" spans="1:12" ht="34" x14ac:dyDescent="0.2">
      <c r="A774" s="21" t="s">
        <v>2003</v>
      </c>
      <c r="B774" s="22" t="s">
        <v>2004</v>
      </c>
      <c r="C774" s="23" t="s">
        <v>345</v>
      </c>
      <c r="D774" s="23" t="s">
        <v>463</v>
      </c>
      <c r="E774" s="24">
        <v>16.98</v>
      </c>
      <c r="F774" s="25">
        <v>0</v>
      </c>
      <c r="G774" s="26">
        <v>0</v>
      </c>
      <c r="H774" s="27">
        <v>3.4</v>
      </c>
      <c r="I774" s="26">
        <v>25</v>
      </c>
      <c r="J774" s="39" t="str">
        <f>HYPERLINK("https://amazon.com/dp/B08HCMY63M","View on Amazon")</f>
        <v>View on Amazon</v>
      </c>
      <c r="K774" s="23" t="s">
        <v>463</v>
      </c>
      <c r="L774" s="28" t="s">
        <v>460</v>
      </c>
    </row>
    <row r="775" spans="1:12" ht="51" x14ac:dyDescent="0.2">
      <c r="A775" s="13" t="s">
        <v>2005</v>
      </c>
      <c r="B775" s="14" t="s">
        <v>2006</v>
      </c>
      <c r="C775" s="15" t="s">
        <v>246</v>
      </c>
      <c r="D775" s="15" t="s">
        <v>463</v>
      </c>
      <c r="E775" s="16">
        <v>39.99</v>
      </c>
      <c r="F775" s="17">
        <v>0</v>
      </c>
      <c r="G775" s="18">
        <v>0</v>
      </c>
      <c r="H775" s="19">
        <v>3.2</v>
      </c>
      <c r="I775" s="18">
        <v>6</v>
      </c>
      <c r="J775" s="38" t="str">
        <f>HYPERLINK("https://amazon.com/dp/B0CKT5RWBR","View on Amazon")</f>
        <v>View on Amazon</v>
      </c>
      <c r="K775" s="15" t="s">
        <v>463</v>
      </c>
      <c r="L775" s="20" t="s">
        <v>460</v>
      </c>
    </row>
    <row r="776" spans="1:12" ht="51" x14ac:dyDescent="0.2">
      <c r="A776" s="21" t="s">
        <v>2007</v>
      </c>
      <c r="B776" s="22" t="s">
        <v>2008</v>
      </c>
      <c r="C776" s="23" t="s">
        <v>346</v>
      </c>
      <c r="D776" s="23" t="s">
        <v>463</v>
      </c>
      <c r="E776" s="24">
        <v>42.99</v>
      </c>
      <c r="F776" s="25">
        <v>0</v>
      </c>
      <c r="G776" s="26">
        <v>0</v>
      </c>
      <c r="H776" s="27">
        <v>5</v>
      </c>
      <c r="I776" s="26">
        <v>1</v>
      </c>
      <c r="J776" s="39" t="str">
        <f>HYPERLINK("https://amazon.com/dp/B0BNTZBF6F","View on Amazon")</f>
        <v>View on Amazon</v>
      </c>
      <c r="K776" s="23" t="s">
        <v>463</v>
      </c>
      <c r="L776" s="28" t="s">
        <v>460</v>
      </c>
    </row>
    <row r="777" spans="1:12" ht="34" x14ac:dyDescent="0.2">
      <c r="A777" s="13" t="s">
        <v>2009</v>
      </c>
      <c r="B777" s="14" t="s">
        <v>2010</v>
      </c>
      <c r="C777" s="15" t="s">
        <v>151</v>
      </c>
      <c r="D777" s="15" t="s">
        <v>463</v>
      </c>
      <c r="E777" s="16">
        <v>56.99</v>
      </c>
      <c r="F777" s="17">
        <v>0</v>
      </c>
      <c r="G777" s="18">
        <v>0</v>
      </c>
      <c r="H777" s="19">
        <v>0</v>
      </c>
      <c r="I777" s="18">
        <v>0</v>
      </c>
      <c r="J777" s="38" t="str">
        <f>HYPERLINK("https://amazon.com/dp/B0CP4RKGP7","View on Amazon")</f>
        <v>View on Amazon</v>
      </c>
      <c r="K777" s="15" t="s">
        <v>463</v>
      </c>
      <c r="L777" s="20" t="s">
        <v>1297</v>
      </c>
    </row>
    <row r="778" spans="1:12" ht="17" x14ac:dyDescent="0.2">
      <c r="A778" s="21" t="s">
        <v>2011</v>
      </c>
      <c r="B778" s="22" t="s">
        <v>2012</v>
      </c>
      <c r="C778" s="23" t="s">
        <v>347</v>
      </c>
      <c r="D778" s="23" t="s">
        <v>463</v>
      </c>
      <c r="E778" s="24">
        <v>19.989999999999998</v>
      </c>
      <c r="F778" s="25">
        <v>0</v>
      </c>
      <c r="G778" s="26">
        <v>0</v>
      </c>
      <c r="H778" s="27">
        <v>3.5</v>
      </c>
      <c r="I778" s="26">
        <v>17</v>
      </c>
      <c r="J778" s="39" t="str">
        <f>HYPERLINK("https://amazon.com/dp/B00JV5GSVK","View on Amazon")</f>
        <v>View on Amazon</v>
      </c>
      <c r="K778" s="23" t="s">
        <v>463</v>
      </c>
      <c r="L778" s="28" t="s">
        <v>460</v>
      </c>
    </row>
    <row r="779" spans="1:12" ht="34" x14ac:dyDescent="0.2">
      <c r="A779" s="13" t="s">
        <v>2013</v>
      </c>
      <c r="B779" s="14" t="s">
        <v>2014</v>
      </c>
      <c r="C779" s="15" t="s">
        <v>39</v>
      </c>
      <c r="D779" s="15" t="s">
        <v>463</v>
      </c>
      <c r="E779" s="16">
        <v>65.989999999999995</v>
      </c>
      <c r="F779" s="17">
        <v>0</v>
      </c>
      <c r="G779" s="18">
        <v>0</v>
      </c>
      <c r="H779" s="19">
        <v>0</v>
      </c>
      <c r="I779" s="18">
        <v>0</v>
      </c>
      <c r="J779" s="38" t="str">
        <f>HYPERLINK("https://amazon.com/dp/B0D3131SDD","View on Amazon")</f>
        <v>View on Amazon</v>
      </c>
      <c r="K779" s="15" t="s">
        <v>463</v>
      </c>
      <c r="L779" s="20" t="s">
        <v>460</v>
      </c>
    </row>
    <row r="780" spans="1:12" ht="68" x14ac:dyDescent="0.2">
      <c r="A780" s="21" t="s">
        <v>2015</v>
      </c>
      <c r="B780" s="22" t="s">
        <v>2016</v>
      </c>
      <c r="C780" s="23" t="s">
        <v>132</v>
      </c>
      <c r="D780" s="23" t="s">
        <v>459</v>
      </c>
      <c r="E780" s="24">
        <v>8.59</v>
      </c>
      <c r="F780" s="25">
        <v>0</v>
      </c>
      <c r="G780" s="26">
        <v>0</v>
      </c>
      <c r="H780" s="27">
        <v>1</v>
      </c>
      <c r="I780" s="26">
        <v>1</v>
      </c>
      <c r="J780" s="39" t="str">
        <f>HYPERLINK("https://amazon.com/dp/B0DMV5JSD7","View on Amazon")</f>
        <v>View on Amazon</v>
      </c>
      <c r="K780" s="23" t="s">
        <v>459</v>
      </c>
      <c r="L780" s="28" t="s">
        <v>460</v>
      </c>
    </row>
    <row r="781" spans="1:12" ht="51" x14ac:dyDescent="0.2">
      <c r="A781" s="13" t="s">
        <v>2017</v>
      </c>
      <c r="B781" s="14" t="s">
        <v>2018</v>
      </c>
      <c r="C781" s="15" t="s">
        <v>246</v>
      </c>
      <c r="D781" s="15" t="s">
        <v>463</v>
      </c>
      <c r="E781" s="16">
        <v>218.99</v>
      </c>
      <c r="F781" s="17">
        <v>0</v>
      </c>
      <c r="G781" s="18">
        <v>0</v>
      </c>
      <c r="H781" s="19">
        <v>5</v>
      </c>
      <c r="I781" s="18">
        <v>1</v>
      </c>
      <c r="J781" s="38" t="str">
        <f>HYPERLINK("https://amazon.com/dp/B0CKT9MMP6","View on Amazon")</f>
        <v>View on Amazon</v>
      </c>
      <c r="K781" s="15" t="s">
        <v>463</v>
      </c>
      <c r="L781" s="20" t="s">
        <v>460</v>
      </c>
    </row>
    <row r="782" spans="1:12" ht="51" x14ac:dyDescent="0.2">
      <c r="A782" s="21" t="s">
        <v>2019</v>
      </c>
      <c r="B782" s="22" t="s">
        <v>2020</v>
      </c>
      <c r="C782" s="23" t="s">
        <v>102</v>
      </c>
      <c r="D782" s="23" t="s">
        <v>463</v>
      </c>
      <c r="E782" s="24">
        <v>219</v>
      </c>
      <c r="F782" s="25">
        <v>0</v>
      </c>
      <c r="G782" s="26">
        <v>0</v>
      </c>
      <c r="H782" s="27">
        <v>4.7</v>
      </c>
      <c r="I782" s="26">
        <v>3</v>
      </c>
      <c r="J782" s="39" t="str">
        <f>HYPERLINK("https://amazon.com/dp/B0DHZT42T2","View on Amazon")</f>
        <v>View on Amazon</v>
      </c>
      <c r="K782" s="23" t="s">
        <v>463</v>
      </c>
      <c r="L782" s="28" t="s">
        <v>220</v>
      </c>
    </row>
    <row r="783" spans="1:12" ht="51" x14ac:dyDescent="0.2">
      <c r="A783" s="13" t="s">
        <v>2021</v>
      </c>
      <c r="B783" s="14" t="s">
        <v>2022</v>
      </c>
      <c r="C783" s="15" t="s">
        <v>91</v>
      </c>
      <c r="D783" s="15" t="s">
        <v>463</v>
      </c>
      <c r="E783" s="16">
        <v>52.99</v>
      </c>
      <c r="F783" s="17">
        <v>0</v>
      </c>
      <c r="G783" s="18">
        <v>0</v>
      </c>
      <c r="H783" s="19">
        <v>3.1</v>
      </c>
      <c r="I783" s="18">
        <v>6</v>
      </c>
      <c r="J783" s="38" t="str">
        <f>HYPERLINK("https://amazon.com/dp/B0DYDWQGSX","View on Amazon")</f>
        <v>View on Amazon</v>
      </c>
      <c r="K783" s="15" t="s">
        <v>463</v>
      </c>
      <c r="L783" s="20" t="s">
        <v>460</v>
      </c>
    </row>
    <row r="784" spans="1:12" ht="68" x14ac:dyDescent="0.2">
      <c r="A784" s="21" t="s">
        <v>2023</v>
      </c>
      <c r="B784" s="22" t="s">
        <v>2024</v>
      </c>
      <c r="C784" s="23" t="s">
        <v>10</v>
      </c>
      <c r="D784" s="23" t="s">
        <v>459</v>
      </c>
      <c r="E784" s="24">
        <v>369</v>
      </c>
      <c r="F784" s="25">
        <v>0</v>
      </c>
      <c r="G784" s="26">
        <v>0</v>
      </c>
      <c r="H784" s="27">
        <v>3.9</v>
      </c>
      <c r="I784" s="26">
        <v>7</v>
      </c>
      <c r="J784" s="39" t="str">
        <f>HYPERLINK("https://amazon.com/dp/B0CBV6V43B","View on Amazon")</f>
        <v>View on Amazon</v>
      </c>
      <c r="K784" s="23" t="s">
        <v>459</v>
      </c>
      <c r="L784" s="28" t="s">
        <v>460</v>
      </c>
    </row>
    <row r="785" spans="1:12" ht="34" x14ac:dyDescent="0.2">
      <c r="A785" s="13" t="s">
        <v>2025</v>
      </c>
      <c r="B785" s="14" t="s">
        <v>2026</v>
      </c>
      <c r="C785" s="15" t="s">
        <v>144</v>
      </c>
      <c r="D785" s="15" t="s">
        <v>459</v>
      </c>
      <c r="E785" s="16">
        <v>269</v>
      </c>
      <c r="F785" s="17">
        <v>0</v>
      </c>
      <c r="G785" s="18">
        <v>0</v>
      </c>
      <c r="H785" s="19">
        <v>0</v>
      </c>
      <c r="I785" s="18">
        <v>0</v>
      </c>
      <c r="J785" s="38" t="str">
        <f>HYPERLINK("https://amazon.com/dp/B0D3QPQ2Q7","View on Amazon")</f>
        <v>View on Amazon</v>
      </c>
      <c r="K785" s="15" t="s">
        <v>459</v>
      </c>
      <c r="L785" s="20" t="s">
        <v>220</v>
      </c>
    </row>
    <row r="786" spans="1:12" ht="68" x14ac:dyDescent="0.2">
      <c r="A786" s="21" t="s">
        <v>2027</v>
      </c>
      <c r="B786" s="22" t="s">
        <v>2028</v>
      </c>
      <c r="C786" s="23" t="s">
        <v>67</v>
      </c>
      <c r="D786" s="23" t="s">
        <v>463</v>
      </c>
      <c r="E786" s="24">
        <v>99.99</v>
      </c>
      <c r="F786" s="25">
        <v>0</v>
      </c>
      <c r="G786" s="26">
        <v>0</v>
      </c>
      <c r="H786" s="27">
        <v>5</v>
      </c>
      <c r="I786" s="26">
        <v>1</v>
      </c>
      <c r="J786" s="39" t="str">
        <f>HYPERLINK("https://amazon.com/dp/B0D7S97G8V","View on Amazon")</f>
        <v>View on Amazon</v>
      </c>
      <c r="K786" s="23" t="s">
        <v>463</v>
      </c>
      <c r="L786" s="28" t="s">
        <v>460</v>
      </c>
    </row>
    <row r="787" spans="1:12" ht="51" x14ac:dyDescent="0.2">
      <c r="A787" s="13" t="s">
        <v>2029</v>
      </c>
      <c r="B787" s="14" t="s">
        <v>2030</v>
      </c>
      <c r="C787" s="15" t="s">
        <v>348</v>
      </c>
      <c r="D787" s="15" t="s">
        <v>459</v>
      </c>
      <c r="E787" s="16">
        <v>61.84</v>
      </c>
      <c r="F787" s="17">
        <v>0</v>
      </c>
      <c r="G787" s="18">
        <v>0</v>
      </c>
      <c r="H787" s="19">
        <v>3.3</v>
      </c>
      <c r="I787" s="18">
        <v>5</v>
      </c>
      <c r="J787" s="38" t="str">
        <f>HYPERLINK("https://amazon.com/dp/B0FVTFHBGF","View on Amazon")</f>
        <v>View on Amazon</v>
      </c>
      <c r="K787" s="15" t="s">
        <v>459</v>
      </c>
      <c r="L787" s="20" t="s">
        <v>460</v>
      </c>
    </row>
    <row r="788" spans="1:12" ht="68" x14ac:dyDescent="0.2">
      <c r="A788" s="21" t="s">
        <v>2031</v>
      </c>
      <c r="B788" s="22" t="s">
        <v>2032</v>
      </c>
      <c r="C788" s="23" t="s">
        <v>349</v>
      </c>
      <c r="D788" s="23" t="s">
        <v>459</v>
      </c>
      <c r="E788" s="24">
        <v>799</v>
      </c>
      <c r="F788" s="25">
        <v>0</v>
      </c>
      <c r="G788" s="26">
        <v>0</v>
      </c>
      <c r="H788" s="27">
        <v>0</v>
      </c>
      <c r="I788" s="26">
        <v>0</v>
      </c>
      <c r="J788" s="39" t="str">
        <f>HYPERLINK("https://amazon.com/dp/B0DYHPZYSY","View on Amazon")</f>
        <v>View on Amazon</v>
      </c>
      <c r="K788" s="23" t="s">
        <v>459</v>
      </c>
      <c r="L788" s="28" t="s">
        <v>460</v>
      </c>
    </row>
    <row r="789" spans="1:12" ht="17" x14ac:dyDescent="0.2">
      <c r="A789" s="13" t="s">
        <v>2033</v>
      </c>
      <c r="B789" s="14" t="s">
        <v>2034</v>
      </c>
      <c r="C789" s="15" t="s">
        <v>17</v>
      </c>
      <c r="D789" s="15" t="s">
        <v>459</v>
      </c>
      <c r="E789" s="16">
        <v>99</v>
      </c>
      <c r="F789" s="17">
        <v>0</v>
      </c>
      <c r="G789" s="18">
        <v>0</v>
      </c>
      <c r="H789" s="19">
        <v>5</v>
      </c>
      <c r="I789" s="18">
        <v>1</v>
      </c>
      <c r="J789" s="38" t="str">
        <f>HYPERLINK("https://amazon.com/dp/B0BCQ4T7G2","View on Amazon")</f>
        <v>View on Amazon</v>
      </c>
      <c r="K789" s="15" t="s">
        <v>459</v>
      </c>
      <c r="L789" s="20" t="s">
        <v>1297</v>
      </c>
    </row>
    <row r="790" spans="1:12" ht="68" x14ac:dyDescent="0.2">
      <c r="A790" s="21" t="s">
        <v>2035</v>
      </c>
      <c r="B790" s="22" t="s">
        <v>2036</v>
      </c>
      <c r="C790" s="23" t="s">
        <v>159</v>
      </c>
      <c r="D790" s="23" t="s">
        <v>463</v>
      </c>
      <c r="E790" s="24">
        <v>49.99</v>
      </c>
      <c r="F790" s="25">
        <v>0</v>
      </c>
      <c r="G790" s="26">
        <v>0</v>
      </c>
      <c r="H790" s="27">
        <v>3.5</v>
      </c>
      <c r="I790" s="26">
        <v>2</v>
      </c>
      <c r="J790" s="39" t="str">
        <f>HYPERLINK("https://amazon.com/dp/B0DNQJ857V","View on Amazon")</f>
        <v>View on Amazon</v>
      </c>
      <c r="K790" s="23" t="s">
        <v>463</v>
      </c>
      <c r="L790" s="28" t="s">
        <v>460</v>
      </c>
    </row>
    <row r="791" spans="1:12" ht="68" x14ac:dyDescent="0.2">
      <c r="A791" s="13" t="s">
        <v>2037</v>
      </c>
      <c r="B791" s="14" t="s">
        <v>2038</v>
      </c>
      <c r="C791" s="15" t="s">
        <v>107</v>
      </c>
      <c r="D791" s="15" t="s">
        <v>459</v>
      </c>
      <c r="E791" s="16">
        <v>235</v>
      </c>
      <c r="F791" s="17">
        <v>0</v>
      </c>
      <c r="G791" s="18">
        <v>0</v>
      </c>
      <c r="H791" s="19">
        <v>3.4</v>
      </c>
      <c r="I791" s="18">
        <v>3</v>
      </c>
      <c r="J791" s="38" t="str">
        <f>HYPERLINK("https://amazon.com/dp/B0CKVK23HW","View on Amazon")</f>
        <v>View on Amazon</v>
      </c>
      <c r="K791" s="15" t="s">
        <v>459</v>
      </c>
      <c r="L791" s="20" t="s">
        <v>460</v>
      </c>
    </row>
    <row r="792" spans="1:12" ht="51" x14ac:dyDescent="0.2">
      <c r="A792" s="21" t="s">
        <v>2039</v>
      </c>
      <c r="B792" s="22" t="s">
        <v>2040</v>
      </c>
      <c r="C792" s="23" t="s">
        <v>350</v>
      </c>
      <c r="D792" s="23" t="s">
        <v>463</v>
      </c>
      <c r="E792" s="24">
        <v>139.99</v>
      </c>
      <c r="F792" s="25">
        <v>0</v>
      </c>
      <c r="G792" s="26">
        <v>0</v>
      </c>
      <c r="H792" s="27">
        <v>4.5999999999999996</v>
      </c>
      <c r="I792" s="26">
        <v>5</v>
      </c>
      <c r="J792" s="39" t="str">
        <f>HYPERLINK("https://amazon.com/dp/B0FMRP7MWZ","View on Amazon")</f>
        <v>View on Amazon</v>
      </c>
      <c r="K792" s="23" t="s">
        <v>463</v>
      </c>
      <c r="L792" s="28" t="s">
        <v>460</v>
      </c>
    </row>
    <row r="793" spans="1:12" ht="51" x14ac:dyDescent="0.2">
      <c r="A793" s="13" t="s">
        <v>2041</v>
      </c>
      <c r="B793" s="14" t="s">
        <v>2042</v>
      </c>
      <c r="C793" s="15" t="s">
        <v>151</v>
      </c>
      <c r="D793" s="15" t="s">
        <v>463</v>
      </c>
      <c r="E793" s="16">
        <v>28.9</v>
      </c>
      <c r="F793" s="17">
        <v>0</v>
      </c>
      <c r="G793" s="18">
        <v>0</v>
      </c>
      <c r="H793" s="19">
        <v>1</v>
      </c>
      <c r="I793" s="18">
        <v>1</v>
      </c>
      <c r="J793" s="38" t="str">
        <f>HYPERLINK("https://amazon.com/dp/B0CMV9NZC8","View on Amazon")</f>
        <v>View on Amazon</v>
      </c>
      <c r="K793" s="15" t="s">
        <v>463</v>
      </c>
      <c r="L793" s="20" t="s">
        <v>1297</v>
      </c>
    </row>
    <row r="794" spans="1:12" ht="68" x14ac:dyDescent="0.2">
      <c r="A794" s="21" t="s">
        <v>2043</v>
      </c>
      <c r="B794" s="22" t="s">
        <v>2044</v>
      </c>
      <c r="C794" s="23" t="s">
        <v>351</v>
      </c>
      <c r="D794" s="23" t="s">
        <v>459</v>
      </c>
      <c r="E794" s="24">
        <v>449.99</v>
      </c>
      <c r="F794" s="25">
        <v>0</v>
      </c>
      <c r="G794" s="26">
        <v>0</v>
      </c>
      <c r="H794" s="27">
        <v>0</v>
      </c>
      <c r="I794" s="26">
        <v>0</v>
      </c>
      <c r="J794" s="39" t="str">
        <f>HYPERLINK("https://amazon.com/dp/B0DDCRGTVJ","View on Amazon")</f>
        <v>View on Amazon</v>
      </c>
      <c r="K794" s="23" t="s">
        <v>459</v>
      </c>
      <c r="L794" s="28" t="s">
        <v>460</v>
      </c>
    </row>
    <row r="795" spans="1:12" ht="51" x14ac:dyDescent="0.2">
      <c r="A795" s="13" t="s">
        <v>2045</v>
      </c>
      <c r="B795" s="14" t="s">
        <v>2046</v>
      </c>
      <c r="C795" s="15" t="s">
        <v>192</v>
      </c>
      <c r="D795" s="15" t="s">
        <v>463</v>
      </c>
      <c r="E795" s="16">
        <v>55.99</v>
      </c>
      <c r="F795" s="17">
        <v>0</v>
      </c>
      <c r="G795" s="18">
        <v>0</v>
      </c>
      <c r="H795" s="19">
        <v>3</v>
      </c>
      <c r="I795" s="18">
        <v>1</v>
      </c>
      <c r="J795" s="38" t="str">
        <f>HYPERLINK("https://amazon.com/dp/B0D475DNTP","View on Amazon")</f>
        <v>View on Amazon</v>
      </c>
      <c r="K795" s="15" t="s">
        <v>463</v>
      </c>
      <c r="L795" s="20" t="s">
        <v>460</v>
      </c>
    </row>
    <row r="796" spans="1:12" ht="51" x14ac:dyDescent="0.2">
      <c r="A796" s="21" t="s">
        <v>2047</v>
      </c>
      <c r="B796" s="22" t="s">
        <v>2048</v>
      </c>
      <c r="C796" s="23" t="s">
        <v>352</v>
      </c>
      <c r="D796" s="23" t="s">
        <v>463</v>
      </c>
      <c r="E796" s="24">
        <v>528.99</v>
      </c>
      <c r="F796" s="25">
        <v>0</v>
      </c>
      <c r="G796" s="26">
        <v>0</v>
      </c>
      <c r="H796" s="27">
        <v>3</v>
      </c>
      <c r="I796" s="26">
        <v>1</v>
      </c>
      <c r="J796" s="39" t="str">
        <f>HYPERLINK("https://amazon.com/dp/B0CDC9BF6Z","View on Amazon")</f>
        <v>View on Amazon</v>
      </c>
      <c r="K796" s="23" t="s">
        <v>463</v>
      </c>
      <c r="L796" s="28" t="s">
        <v>220</v>
      </c>
    </row>
    <row r="797" spans="1:12" ht="68" x14ac:dyDescent="0.2">
      <c r="A797" s="13" t="s">
        <v>2049</v>
      </c>
      <c r="B797" s="14" t="s">
        <v>2050</v>
      </c>
      <c r="C797" s="15" t="s">
        <v>10</v>
      </c>
      <c r="D797" s="15" t="s">
        <v>459</v>
      </c>
      <c r="E797" s="16">
        <v>549</v>
      </c>
      <c r="F797" s="17">
        <v>0</v>
      </c>
      <c r="G797" s="18">
        <v>0</v>
      </c>
      <c r="H797" s="19">
        <v>0</v>
      </c>
      <c r="I797" s="18">
        <v>0</v>
      </c>
      <c r="J797" s="38" t="str">
        <f>HYPERLINK("https://amazon.com/dp/B0CP3C49VZ","View on Amazon")</f>
        <v>View on Amazon</v>
      </c>
      <c r="K797" s="15" t="s">
        <v>459</v>
      </c>
      <c r="L797" s="20" t="s">
        <v>460</v>
      </c>
    </row>
    <row r="798" spans="1:12" ht="51" x14ac:dyDescent="0.2">
      <c r="A798" s="21" t="s">
        <v>2051</v>
      </c>
      <c r="B798" s="22" t="s">
        <v>2052</v>
      </c>
      <c r="C798" s="23" t="s">
        <v>246</v>
      </c>
      <c r="D798" s="23" t="s">
        <v>463</v>
      </c>
      <c r="E798" s="24">
        <v>19.989999999999998</v>
      </c>
      <c r="F798" s="25">
        <v>0</v>
      </c>
      <c r="G798" s="26">
        <v>0</v>
      </c>
      <c r="H798" s="27">
        <v>0</v>
      </c>
      <c r="I798" s="26">
        <v>0</v>
      </c>
      <c r="J798" s="39" t="str">
        <f>HYPERLINK("https://amazon.com/dp/B0CGV6M54W","View on Amazon")</f>
        <v>View on Amazon</v>
      </c>
      <c r="K798" s="23" t="s">
        <v>463</v>
      </c>
      <c r="L798" s="28" t="s">
        <v>460</v>
      </c>
    </row>
    <row r="799" spans="1:12" ht="51" x14ac:dyDescent="0.2">
      <c r="A799" s="13" t="s">
        <v>2053</v>
      </c>
      <c r="B799" s="14" t="s">
        <v>2054</v>
      </c>
      <c r="C799" s="15" t="s">
        <v>246</v>
      </c>
      <c r="D799" s="15" t="s">
        <v>463</v>
      </c>
      <c r="E799" s="16">
        <v>19.989999999999998</v>
      </c>
      <c r="F799" s="17">
        <v>0</v>
      </c>
      <c r="G799" s="18">
        <v>0</v>
      </c>
      <c r="H799" s="19">
        <v>0</v>
      </c>
      <c r="I799" s="18">
        <v>0</v>
      </c>
      <c r="J799" s="38" t="str">
        <f>HYPERLINK("https://amazon.com/dp/B0CGV7QP38","View on Amazon")</f>
        <v>View on Amazon</v>
      </c>
      <c r="K799" s="15" t="s">
        <v>463</v>
      </c>
      <c r="L799" s="20" t="s">
        <v>460</v>
      </c>
    </row>
    <row r="800" spans="1:12" ht="34" x14ac:dyDescent="0.2">
      <c r="A800" s="21" t="s">
        <v>2055</v>
      </c>
      <c r="B800" s="22" t="s">
        <v>2056</v>
      </c>
      <c r="C800" s="23" t="s">
        <v>276</v>
      </c>
      <c r="D800" s="23" t="s">
        <v>463</v>
      </c>
      <c r="E800" s="24">
        <v>12.99</v>
      </c>
      <c r="F800" s="25">
        <v>0</v>
      </c>
      <c r="G800" s="26">
        <v>0</v>
      </c>
      <c r="H800" s="27">
        <v>3</v>
      </c>
      <c r="I800" s="26">
        <v>1</v>
      </c>
      <c r="J800" s="39" t="str">
        <f>HYPERLINK("https://amazon.com/dp/B0759TK6CF","View on Amazon")</f>
        <v>View on Amazon</v>
      </c>
      <c r="K800" s="23" t="s">
        <v>463</v>
      </c>
      <c r="L800" s="28" t="s">
        <v>1297</v>
      </c>
    </row>
    <row r="801" spans="1:12" ht="34" x14ac:dyDescent="0.2">
      <c r="A801" s="13" t="s">
        <v>2057</v>
      </c>
      <c r="B801" s="14" t="s">
        <v>2058</v>
      </c>
      <c r="C801" s="15" t="s">
        <v>202</v>
      </c>
      <c r="D801" s="15" t="s">
        <v>463</v>
      </c>
      <c r="E801" s="16">
        <v>7.38</v>
      </c>
      <c r="F801" s="17">
        <v>0</v>
      </c>
      <c r="G801" s="18">
        <v>0</v>
      </c>
      <c r="H801" s="19">
        <v>5</v>
      </c>
      <c r="I801" s="18">
        <v>2</v>
      </c>
      <c r="J801" s="38" t="str">
        <f>HYPERLINK("https://amazon.com/dp/B091GJC18T","View on Amazon")</f>
        <v>View on Amazon</v>
      </c>
      <c r="K801" s="15" t="s">
        <v>463</v>
      </c>
      <c r="L801" s="20" t="s">
        <v>220</v>
      </c>
    </row>
    <row r="802" spans="1:12" ht="51" x14ac:dyDescent="0.2">
      <c r="A802" s="21" t="s">
        <v>2059</v>
      </c>
      <c r="B802" s="22" t="s">
        <v>2060</v>
      </c>
      <c r="C802" s="23" t="s">
        <v>353</v>
      </c>
      <c r="D802" s="23" t="s">
        <v>463</v>
      </c>
      <c r="E802" s="24">
        <v>129.99</v>
      </c>
      <c r="F802" s="25">
        <v>0</v>
      </c>
      <c r="G802" s="26">
        <v>0</v>
      </c>
      <c r="H802" s="27">
        <v>1</v>
      </c>
      <c r="I802" s="26">
        <v>1</v>
      </c>
      <c r="J802" s="39" t="str">
        <f>HYPERLINK("https://amazon.com/dp/B0DPRDM9GJ","View on Amazon")</f>
        <v>View on Amazon</v>
      </c>
      <c r="K802" s="23" t="s">
        <v>463</v>
      </c>
      <c r="L802" s="28" t="s">
        <v>460</v>
      </c>
    </row>
    <row r="803" spans="1:12" ht="68" x14ac:dyDescent="0.2">
      <c r="A803" s="13" t="s">
        <v>2061</v>
      </c>
      <c r="B803" s="14" t="s">
        <v>2062</v>
      </c>
      <c r="C803" s="15" t="s">
        <v>354</v>
      </c>
      <c r="D803" s="15" t="s">
        <v>463</v>
      </c>
      <c r="E803" s="16">
        <v>122.88</v>
      </c>
      <c r="F803" s="17">
        <v>0</v>
      </c>
      <c r="G803" s="18">
        <v>0</v>
      </c>
      <c r="H803" s="19">
        <v>0</v>
      </c>
      <c r="I803" s="18">
        <v>0</v>
      </c>
      <c r="J803" s="38" t="str">
        <f>HYPERLINK("https://amazon.com/dp/B0D9VW4L8S","View on Amazon")</f>
        <v>View on Amazon</v>
      </c>
      <c r="K803" s="15" t="s">
        <v>463</v>
      </c>
      <c r="L803" s="20" t="s">
        <v>460</v>
      </c>
    </row>
    <row r="804" spans="1:12" ht="68" x14ac:dyDescent="0.2">
      <c r="A804" s="21" t="s">
        <v>2063</v>
      </c>
      <c r="B804" s="22" t="s">
        <v>2064</v>
      </c>
      <c r="C804" s="23" t="s">
        <v>151</v>
      </c>
      <c r="D804" s="23" t="s">
        <v>463</v>
      </c>
      <c r="E804" s="24">
        <v>49.99</v>
      </c>
      <c r="F804" s="25">
        <v>0</v>
      </c>
      <c r="G804" s="26">
        <v>0</v>
      </c>
      <c r="H804" s="27">
        <v>5</v>
      </c>
      <c r="I804" s="26">
        <v>1</v>
      </c>
      <c r="J804" s="39" t="str">
        <f>HYPERLINK("https://amazon.com/dp/B0CGKLKDNK","View on Amazon")</f>
        <v>View on Amazon</v>
      </c>
      <c r="K804" s="23" t="s">
        <v>463</v>
      </c>
      <c r="L804" s="28" t="s">
        <v>220</v>
      </c>
    </row>
    <row r="805" spans="1:12" ht="68" x14ac:dyDescent="0.2">
      <c r="A805" s="13" t="s">
        <v>2065</v>
      </c>
      <c r="B805" s="14" t="s">
        <v>2066</v>
      </c>
      <c r="C805" s="15" t="s">
        <v>213</v>
      </c>
      <c r="D805" s="15" t="s">
        <v>463</v>
      </c>
      <c r="E805" s="16">
        <v>119.98</v>
      </c>
      <c r="F805" s="17">
        <v>0</v>
      </c>
      <c r="G805" s="18">
        <v>0</v>
      </c>
      <c r="H805" s="19">
        <v>0</v>
      </c>
      <c r="I805" s="18">
        <v>0</v>
      </c>
      <c r="J805" s="38" t="str">
        <f>HYPERLINK("https://amazon.com/dp/B0CRZ2BG1M","View on Amazon")</f>
        <v>View on Amazon</v>
      </c>
      <c r="K805" s="15" t="s">
        <v>463</v>
      </c>
      <c r="L805" s="20" t="s">
        <v>220</v>
      </c>
    </row>
    <row r="806" spans="1:12" ht="68" x14ac:dyDescent="0.2">
      <c r="A806" s="21" t="s">
        <v>2067</v>
      </c>
      <c r="B806" s="22" t="s">
        <v>2068</v>
      </c>
      <c r="C806" s="23" t="s">
        <v>131</v>
      </c>
      <c r="D806" s="23" t="s">
        <v>459</v>
      </c>
      <c r="E806" s="24">
        <v>139.99</v>
      </c>
      <c r="F806" s="25">
        <v>0</v>
      </c>
      <c r="G806" s="26">
        <v>0</v>
      </c>
      <c r="H806" s="27">
        <v>0</v>
      </c>
      <c r="I806" s="26">
        <v>0</v>
      </c>
      <c r="J806" s="39" t="str">
        <f>HYPERLINK("https://amazon.com/dp/B0DPMLSLDF","View on Amazon")</f>
        <v>View on Amazon</v>
      </c>
      <c r="K806" s="23" t="s">
        <v>459</v>
      </c>
      <c r="L806" s="28" t="s">
        <v>220</v>
      </c>
    </row>
    <row r="807" spans="1:12" ht="17" x14ac:dyDescent="0.2">
      <c r="A807" s="13" t="s">
        <v>2069</v>
      </c>
      <c r="B807" s="14" t="s">
        <v>2070</v>
      </c>
      <c r="C807" s="15" t="s">
        <v>53</v>
      </c>
      <c r="D807" s="15" t="s">
        <v>463</v>
      </c>
      <c r="E807" s="16">
        <v>439</v>
      </c>
      <c r="F807" s="17">
        <v>0</v>
      </c>
      <c r="G807" s="18">
        <v>0</v>
      </c>
      <c r="H807" s="19">
        <v>5</v>
      </c>
      <c r="I807" s="18">
        <v>1</v>
      </c>
      <c r="J807" s="38" t="str">
        <f>HYPERLINK("https://amazon.com/dp/B07YCSKQHC","View on Amazon")</f>
        <v>View on Amazon</v>
      </c>
      <c r="K807" s="15" t="s">
        <v>463</v>
      </c>
      <c r="L807" s="20" t="s">
        <v>460</v>
      </c>
    </row>
    <row r="808" spans="1:12" ht="51" x14ac:dyDescent="0.2">
      <c r="A808" s="21" t="s">
        <v>2071</v>
      </c>
      <c r="B808" s="22" t="s">
        <v>2072</v>
      </c>
      <c r="C808" s="23" t="s">
        <v>355</v>
      </c>
      <c r="D808" s="23" t="s">
        <v>463</v>
      </c>
      <c r="E808" s="24">
        <v>45.99</v>
      </c>
      <c r="F808" s="25">
        <v>0</v>
      </c>
      <c r="G808" s="26">
        <v>0</v>
      </c>
      <c r="H808" s="27">
        <v>2</v>
      </c>
      <c r="I808" s="26">
        <v>1</v>
      </c>
      <c r="J808" s="39" t="str">
        <f>HYPERLINK("https://amazon.com/dp/B0DLNVYX4S","View on Amazon")</f>
        <v>View on Amazon</v>
      </c>
      <c r="K808" s="23" t="s">
        <v>463</v>
      </c>
      <c r="L808" s="28" t="s">
        <v>220</v>
      </c>
    </row>
    <row r="809" spans="1:12" ht="51" x14ac:dyDescent="0.2">
      <c r="A809" s="13" t="s">
        <v>2073</v>
      </c>
      <c r="B809" s="14" t="s">
        <v>2074</v>
      </c>
      <c r="C809" s="15" t="s">
        <v>355</v>
      </c>
      <c r="D809" s="15" t="s">
        <v>463</v>
      </c>
      <c r="E809" s="16">
        <v>45.99</v>
      </c>
      <c r="F809" s="17">
        <v>0</v>
      </c>
      <c r="G809" s="18">
        <v>0</v>
      </c>
      <c r="H809" s="19">
        <v>2</v>
      </c>
      <c r="I809" s="18">
        <v>1</v>
      </c>
      <c r="J809" s="38" t="str">
        <f>HYPERLINK("https://amazon.com/dp/B0DLNXV5ST","View on Amazon")</f>
        <v>View on Amazon</v>
      </c>
      <c r="K809" s="15" t="s">
        <v>463</v>
      </c>
      <c r="L809" s="20" t="s">
        <v>220</v>
      </c>
    </row>
    <row r="810" spans="1:12" ht="34" x14ac:dyDescent="0.2">
      <c r="A810" s="21" t="s">
        <v>2075</v>
      </c>
      <c r="B810" s="22" t="s">
        <v>2076</v>
      </c>
      <c r="C810" s="23" t="s">
        <v>356</v>
      </c>
      <c r="D810" s="23" t="s">
        <v>463</v>
      </c>
      <c r="E810" s="24">
        <v>21.99</v>
      </c>
      <c r="F810" s="25">
        <v>0</v>
      </c>
      <c r="G810" s="26">
        <v>0</v>
      </c>
      <c r="H810" s="27">
        <v>3.9</v>
      </c>
      <c r="I810" s="26">
        <v>23</v>
      </c>
      <c r="J810" s="39" t="str">
        <f>HYPERLINK("https://amazon.com/dp/B0C89SGP57","View on Amazon")</f>
        <v>View on Amazon</v>
      </c>
      <c r="K810" s="23" t="s">
        <v>463</v>
      </c>
      <c r="L810" s="28" t="s">
        <v>460</v>
      </c>
    </row>
    <row r="811" spans="1:12" ht="68" x14ac:dyDescent="0.2">
      <c r="A811" s="13" t="s">
        <v>2077</v>
      </c>
      <c r="B811" s="14" t="s">
        <v>2078</v>
      </c>
      <c r="C811" s="15" t="s">
        <v>170</v>
      </c>
      <c r="D811" s="15" t="s">
        <v>463</v>
      </c>
      <c r="E811" s="16">
        <v>149.88</v>
      </c>
      <c r="F811" s="17">
        <v>0</v>
      </c>
      <c r="G811" s="18">
        <v>0</v>
      </c>
      <c r="H811" s="19">
        <v>0</v>
      </c>
      <c r="I811" s="18">
        <v>0</v>
      </c>
      <c r="J811" s="38" t="str">
        <f>HYPERLINK("https://amazon.com/dp/B0D9K6GH71","View on Amazon")</f>
        <v>View on Amazon</v>
      </c>
      <c r="K811" s="15" t="s">
        <v>463</v>
      </c>
      <c r="L811" s="20" t="s">
        <v>220</v>
      </c>
    </row>
    <row r="812" spans="1:12" ht="68" x14ac:dyDescent="0.2">
      <c r="A812" s="21" t="s">
        <v>2079</v>
      </c>
      <c r="B812" s="22" t="s">
        <v>2080</v>
      </c>
      <c r="C812" s="23" t="s">
        <v>170</v>
      </c>
      <c r="D812" s="23" t="s">
        <v>463</v>
      </c>
      <c r="E812" s="24">
        <v>149.88</v>
      </c>
      <c r="F812" s="25">
        <v>0</v>
      </c>
      <c r="G812" s="26">
        <v>0</v>
      </c>
      <c r="H812" s="27">
        <v>0</v>
      </c>
      <c r="I812" s="26">
        <v>0</v>
      </c>
      <c r="J812" s="39" t="str">
        <f>HYPERLINK("https://amazon.com/dp/B0D9K5W9H1","View on Amazon")</f>
        <v>View on Amazon</v>
      </c>
      <c r="K812" s="23" t="s">
        <v>463</v>
      </c>
      <c r="L812" s="28" t="s">
        <v>220</v>
      </c>
    </row>
    <row r="813" spans="1:12" ht="68" x14ac:dyDescent="0.2">
      <c r="A813" s="13" t="s">
        <v>2081</v>
      </c>
      <c r="B813" s="14" t="s">
        <v>1893</v>
      </c>
      <c r="C813" s="15" t="s">
        <v>140</v>
      </c>
      <c r="D813" s="15" t="s">
        <v>463</v>
      </c>
      <c r="E813" s="16">
        <v>145.99</v>
      </c>
      <c r="F813" s="17">
        <v>0</v>
      </c>
      <c r="G813" s="18">
        <v>0</v>
      </c>
      <c r="H813" s="19">
        <v>0</v>
      </c>
      <c r="I813" s="18">
        <v>0</v>
      </c>
      <c r="J813" s="38" t="str">
        <f>HYPERLINK("https://amazon.com/dp/B0DFH3FVSR","View on Amazon")</f>
        <v>View on Amazon</v>
      </c>
      <c r="K813" s="15" t="s">
        <v>463</v>
      </c>
      <c r="L813" s="20" t="s">
        <v>220</v>
      </c>
    </row>
    <row r="814" spans="1:12" ht="34" x14ac:dyDescent="0.2">
      <c r="A814" s="21" t="s">
        <v>2082</v>
      </c>
      <c r="B814" s="22" t="s">
        <v>2083</v>
      </c>
      <c r="C814" s="23" t="s">
        <v>202</v>
      </c>
      <c r="D814" s="23" t="s">
        <v>463</v>
      </c>
      <c r="E814" s="24">
        <v>49.98</v>
      </c>
      <c r="F814" s="25">
        <v>0</v>
      </c>
      <c r="G814" s="26">
        <v>0</v>
      </c>
      <c r="H814" s="27">
        <v>0</v>
      </c>
      <c r="I814" s="26">
        <v>0</v>
      </c>
      <c r="J814" s="39" t="str">
        <f>HYPERLINK("https://amazon.com/dp/B0CDBK9WMH","View on Amazon")</f>
        <v>View on Amazon</v>
      </c>
      <c r="K814" s="23" t="s">
        <v>463</v>
      </c>
      <c r="L814" s="28" t="s">
        <v>220</v>
      </c>
    </row>
    <row r="815" spans="1:12" ht="68" x14ac:dyDescent="0.2">
      <c r="A815" s="13" t="s">
        <v>2084</v>
      </c>
      <c r="B815" s="14" t="s">
        <v>2085</v>
      </c>
      <c r="C815" s="15" t="s">
        <v>307</v>
      </c>
      <c r="D815" s="15" t="s">
        <v>463</v>
      </c>
      <c r="E815" s="16">
        <v>65.989999999999995</v>
      </c>
      <c r="F815" s="17">
        <v>0</v>
      </c>
      <c r="G815" s="18">
        <v>0</v>
      </c>
      <c r="H815" s="19">
        <v>0</v>
      </c>
      <c r="I815" s="18">
        <v>0</v>
      </c>
      <c r="J815" s="38" t="str">
        <f>HYPERLINK("https://amazon.com/dp/B0DNQDZP2G","View on Amazon")</f>
        <v>View on Amazon</v>
      </c>
      <c r="K815" s="15" t="s">
        <v>463</v>
      </c>
      <c r="L815" s="20" t="s">
        <v>220</v>
      </c>
    </row>
    <row r="816" spans="1:12" ht="51" x14ac:dyDescent="0.2">
      <c r="A816" s="21" t="s">
        <v>2086</v>
      </c>
      <c r="B816" s="22" t="s">
        <v>2087</v>
      </c>
      <c r="C816" s="23" t="s">
        <v>294</v>
      </c>
      <c r="D816" s="23" t="s">
        <v>463</v>
      </c>
      <c r="E816" s="24">
        <v>45.99</v>
      </c>
      <c r="F816" s="25">
        <v>0</v>
      </c>
      <c r="G816" s="26">
        <v>0</v>
      </c>
      <c r="H816" s="27">
        <v>0</v>
      </c>
      <c r="I816" s="26">
        <v>0</v>
      </c>
      <c r="J816" s="39" t="str">
        <f>HYPERLINK("https://amazon.com/dp/B0FFGS8XST","View on Amazon")</f>
        <v>View on Amazon</v>
      </c>
      <c r="K816" s="23" t="s">
        <v>463</v>
      </c>
      <c r="L816" s="28" t="s">
        <v>220</v>
      </c>
    </row>
    <row r="817" spans="1:12" ht="68" x14ac:dyDescent="0.2">
      <c r="A817" s="13" t="s">
        <v>2088</v>
      </c>
      <c r="B817" s="14" t="s">
        <v>2089</v>
      </c>
      <c r="C817" s="15" t="s">
        <v>357</v>
      </c>
      <c r="D817" s="15" t="s">
        <v>459</v>
      </c>
      <c r="E817" s="16">
        <v>198.88</v>
      </c>
      <c r="F817" s="17">
        <v>0</v>
      </c>
      <c r="G817" s="18">
        <v>0</v>
      </c>
      <c r="H817" s="19">
        <v>5</v>
      </c>
      <c r="I817" s="18">
        <v>3</v>
      </c>
      <c r="J817" s="38" t="str">
        <f>HYPERLINK("https://amazon.com/dp/B0DJNSCPMD","View on Amazon")</f>
        <v>View on Amazon</v>
      </c>
      <c r="K817" s="15" t="s">
        <v>459</v>
      </c>
      <c r="L817" s="20" t="s">
        <v>460</v>
      </c>
    </row>
    <row r="818" spans="1:12" ht="68" x14ac:dyDescent="0.2">
      <c r="A818" s="21" t="s">
        <v>2090</v>
      </c>
      <c r="B818" s="22" t="s">
        <v>2091</v>
      </c>
      <c r="C818" s="23" t="s">
        <v>132</v>
      </c>
      <c r="D818" s="23" t="s">
        <v>463</v>
      </c>
      <c r="E818" s="24">
        <v>108</v>
      </c>
      <c r="F818" s="25">
        <v>0</v>
      </c>
      <c r="G818" s="26">
        <v>0</v>
      </c>
      <c r="H818" s="27">
        <v>0</v>
      </c>
      <c r="I818" s="26">
        <v>0</v>
      </c>
      <c r="J818" s="39" t="str">
        <f>HYPERLINK("https://amazon.com/dp/B0D499R583","View on Amazon")</f>
        <v>View on Amazon</v>
      </c>
      <c r="K818" s="23" t="s">
        <v>463</v>
      </c>
      <c r="L818" s="28" t="s">
        <v>220</v>
      </c>
    </row>
    <row r="819" spans="1:12" ht="68" x14ac:dyDescent="0.2">
      <c r="A819" s="13" t="s">
        <v>2092</v>
      </c>
      <c r="B819" s="14" t="s">
        <v>2093</v>
      </c>
      <c r="C819" s="15" t="s">
        <v>193</v>
      </c>
      <c r="D819" s="15" t="s">
        <v>463</v>
      </c>
      <c r="E819" s="16">
        <v>69.989999999999995</v>
      </c>
      <c r="F819" s="17">
        <v>0</v>
      </c>
      <c r="G819" s="18">
        <v>0</v>
      </c>
      <c r="H819" s="19">
        <v>4.2</v>
      </c>
      <c r="I819" s="18">
        <v>10</v>
      </c>
      <c r="J819" s="38" t="str">
        <f>HYPERLINK("https://amazon.com/dp/B0DPQL2QKL","View on Amazon")</f>
        <v>View on Amazon</v>
      </c>
      <c r="K819" s="15" t="s">
        <v>463</v>
      </c>
      <c r="L819" s="20" t="s">
        <v>460</v>
      </c>
    </row>
    <row r="820" spans="1:12" ht="68" x14ac:dyDescent="0.2">
      <c r="A820" s="21" t="s">
        <v>2094</v>
      </c>
      <c r="B820" s="22" t="s">
        <v>2095</v>
      </c>
      <c r="C820" s="23" t="s">
        <v>95</v>
      </c>
      <c r="D820" s="23" t="s">
        <v>459</v>
      </c>
      <c r="E820" s="24">
        <v>499</v>
      </c>
      <c r="F820" s="25">
        <v>0</v>
      </c>
      <c r="G820" s="26">
        <v>0</v>
      </c>
      <c r="H820" s="27">
        <v>0</v>
      </c>
      <c r="I820" s="26">
        <v>0</v>
      </c>
      <c r="J820" s="39" t="str">
        <f>HYPERLINK("https://amazon.com/dp/B0GCJWC2XZ","View on Amazon")</f>
        <v>View on Amazon</v>
      </c>
      <c r="K820" s="23" t="s">
        <v>459</v>
      </c>
      <c r="L820" s="28" t="s">
        <v>220</v>
      </c>
    </row>
    <row r="821" spans="1:12" ht="68" x14ac:dyDescent="0.2">
      <c r="A821" s="13" t="s">
        <v>2096</v>
      </c>
      <c r="B821" s="14" t="s">
        <v>2097</v>
      </c>
      <c r="C821" s="15" t="s">
        <v>132</v>
      </c>
      <c r="D821" s="15" t="s">
        <v>459</v>
      </c>
      <c r="E821" s="16">
        <v>59.9</v>
      </c>
      <c r="F821" s="17">
        <v>0</v>
      </c>
      <c r="G821" s="18">
        <v>0</v>
      </c>
      <c r="H821" s="19">
        <v>0</v>
      </c>
      <c r="I821" s="18">
        <v>0</v>
      </c>
      <c r="J821" s="38" t="str">
        <f>HYPERLINK("https://amazon.com/dp/B0FBM5V5LD","View on Amazon")</f>
        <v>View on Amazon</v>
      </c>
      <c r="K821" s="15" t="s">
        <v>459</v>
      </c>
      <c r="L821" s="20" t="s">
        <v>460</v>
      </c>
    </row>
    <row r="822" spans="1:12" ht="68" x14ac:dyDescent="0.2">
      <c r="A822" s="21" t="s">
        <v>2098</v>
      </c>
      <c r="B822" s="22" t="s">
        <v>2099</v>
      </c>
      <c r="C822" s="23" t="s">
        <v>358</v>
      </c>
      <c r="D822" s="23" t="s">
        <v>459</v>
      </c>
      <c r="E822" s="24">
        <v>88.99</v>
      </c>
      <c r="F822" s="25">
        <v>0</v>
      </c>
      <c r="G822" s="26">
        <v>0</v>
      </c>
      <c r="H822" s="27">
        <v>5</v>
      </c>
      <c r="I822" s="26">
        <v>1</v>
      </c>
      <c r="J822" s="39" t="str">
        <f>HYPERLINK("https://amazon.com/dp/B0CFV58PD6","View on Amazon")</f>
        <v>View on Amazon</v>
      </c>
      <c r="K822" s="23" t="s">
        <v>459</v>
      </c>
      <c r="L822" s="28" t="s">
        <v>220</v>
      </c>
    </row>
    <row r="823" spans="1:12" ht="34" x14ac:dyDescent="0.2">
      <c r="A823" s="13" t="s">
        <v>2100</v>
      </c>
      <c r="B823" s="14" t="s">
        <v>2101</v>
      </c>
      <c r="C823" s="15" t="s">
        <v>104</v>
      </c>
      <c r="D823" s="15" t="s">
        <v>463</v>
      </c>
      <c r="E823" s="16">
        <v>40.14</v>
      </c>
      <c r="F823" s="17">
        <v>0</v>
      </c>
      <c r="G823" s="18">
        <v>0</v>
      </c>
      <c r="H823" s="19">
        <v>3.2</v>
      </c>
      <c r="I823" s="18">
        <v>9</v>
      </c>
      <c r="J823" s="38" t="str">
        <f>HYPERLINK("https://amazon.com/dp/B0FF9LN6LZ","View on Amazon")</f>
        <v>View on Amazon</v>
      </c>
      <c r="K823" s="15" t="s">
        <v>463</v>
      </c>
      <c r="L823" s="20" t="s">
        <v>460</v>
      </c>
    </row>
    <row r="824" spans="1:12" ht="68" x14ac:dyDescent="0.2">
      <c r="A824" s="21" t="s">
        <v>2102</v>
      </c>
      <c r="B824" s="22" t="s">
        <v>2103</v>
      </c>
      <c r="C824" s="23" t="s">
        <v>211</v>
      </c>
      <c r="D824" s="23" t="s">
        <v>463</v>
      </c>
      <c r="E824" s="24">
        <v>164.99</v>
      </c>
      <c r="F824" s="25">
        <v>0</v>
      </c>
      <c r="G824" s="26">
        <v>0</v>
      </c>
      <c r="H824" s="27">
        <v>0</v>
      </c>
      <c r="I824" s="26">
        <v>0</v>
      </c>
      <c r="J824" s="39" t="str">
        <f>HYPERLINK("https://amazon.com/dp/B0DJSPWVRY","View on Amazon")</f>
        <v>View on Amazon</v>
      </c>
      <c r="K824" s="23" t="s">
        <v>463</v>
      </c>
      <c r="L824" s="28" t="s">
        <v>220</v>
      </c>
    </row>
    <row r="825" spans="1:12" ht="51" x14ac:dyDescent="0.2">
      <c r="A825" s="13" t="s">
        <v>2104</v>
      </c>
      <c r="B825" s="14" t="s">
        <v>2105</v>
      </c>
      <c r="C825" s="15" t="s">
        <v>102</v>
      </c>
      <c r="D825" s="15" t="s">
        <v>463</v>
      </c>
      <c r="E825" s="16">
        <v>189</v>
      </c>
      <c r="F825" s="17">
        <v>0</v>
      </c>
      <c r="G825" s="18">
        <v>0</v>
      </c>
      <c r="H825" s="19">
        <v>5</v>
      </c>
      <c r="I825" s="18">
        <v>1</v>
      </c>
      <c r="J825" s="38" t="str">
        <f>HYPERLINK("https://amazon.com/dp/B0DPWYRX96","View on Amazon")</f>
        <v>View on Amazon</v>
      </c>
      <c r="K825" s="15" t="s">
        <v>463</v>
      </c>
      <c r="L825" s="20" t="s">
        <v>220</v>
      </c>
    </row>
    <row r="826" spans="1:12" ht="34" x14ac:dyDescent="0.2">
      <c r="A826" s="21" t="s">
        <v>2106</v>
      </c>
      <c r="B826" s="22" t="s">
        <v>2107</v>
      </c>
      <c r="C826" s="23" t="s">
        <v>202</v>
      </c>
      <c r="D826" s="23" t="s">
        <v>463</v>
      </c>
      <c r="E826" s="24">
        <v>16.98</v>
      </c>
      <c r="F826" s="25">
        <v>0</v>
      </c>
      <c r="G826" s="26">
        <v>0</v>
      </c>
      <c r="H826" s="27">
        <v>0</v>
      </c>
      <c r="I826" s="26">
        <v>0</v>
      </c>
      <c r="J826" s="39" t="str">
        <f>HYPERLINK("https://amazon.com/dp/B08RNNXDHG","View on Amazon")</f>
        <v>View on Amazon</v>
      </c>
      <c r="K826" s="23" t="s">
        <v>463</v>
      </c>
      <c r="L826" s="28" t="s">
        <v>220</v>
      </c>
    </row>
    <row r="827" spans="1:12" ht="34" x14ac:dyDescent="0.2">
      <c r="A827" s="13" t="s">
        <v>2108</v>
      </c>
      <c r="B827" s="14" t="s">
        <v>2109</v>
      </c>
      <c r="C827" s="15" t="s">
        <v>202</v>
      </c>
      <c r="D827" s="15" t="s">
        <v>463</v>
      </c>
      <c r="E827" s="16">
        <v>59.68</v>
      </c>
      <c r="F827" s="17">
        <v>0</v>
      </c>
      <c r="G827" s="18">
        <v>0</v>
      </c>
      <c r="H827" s="19">
        <v>3.5</v>
      </c>
      <c r="I827" s="18">
        <v>25</v>
      </c>
      <c r="J827" s="38" t="str">
        <f>HYPERLINK("https://amazon.com/dp/B09156VR1C","View on Amazon")</f>
        <v>View on Amazon</v>
      </c>
      <c r="K827" s="15" t="s">
        <v>463</v>
      </c>
      <c r="L827" s="20" t="s">
        <v>220</v>
      </c>
    </row>
    <row r="828" spans="1:12" ht="68" x14ac:dyDescent="0.2">
      <c r="A828" s="21" t="s">
        <v>2110</v>
      </c>
      <c r="B828" s="22" t="s">
        <v>2111</v>
      </c>
      <c r="C828" s="23" t="s">
        <v>359</v>
      </c>
      <c r="D828" s="23" t="s">
        <v>463</v>
      </c>
      <c r="E828" s="24">
        <v>899.95</v>
      </c>
      <c r="F828" s="25">
        <v>0</v>
      </c>
      <c r="G828" s="26">
        <v>0</v>
      </c>
      <c r="H828" s="27">
        <v>0</v>
      </c>
      <c r="I828" s="26">
        <v>0</v>
      </c>
      <c r="J828" s="39" t="str">
        <f>HYPERLINK("https://amazon.com/dp/B0FNKVTNH8","View on Amazon")</f>
        <v>View on Amazon</v>
      </c>
      <c r="K828" s="23" t="s">
        <v>463</v>
      </c>
      <c r="L828" s="28" t="s">
        <v>460</v>
      </c>
    </row>
    <row r="829" spans="1:12" ht="34" x14ac:dyDescent="0.2">
      <c r="A829" s="13" t="s">
        <v>2112</v>
      </c>
      <c r="B829" s="14" t="s">
        <v>2113</v>
      </c>
      <c r="C829" s="15" t="s">
        <v>47</v>
      </c>
      <c r="D829" s="15" t="s">
        <v>463</v>
      </c>
      <c r="E829" s="16">
        <v>658</v>
      </c>
      <c r="F829" s="17">
        <v>0</v>
      </c>
      <c r="G829" s="18">
        <v>0</v>
      </c>
      <c r="H829" s="19">
        <v>4</v>
      </c>
      <c r="I829" s="18">
        <v>1</v>
      </c>
      <c r="J829" s="38" t="str">
        <f>HYPERLINK("https://amazon.com/dp/B0D7PZWF76","View on Amazon")</f>
        <v>View on Amazon</v>
      </c>
      <c r="K829" s="15" t="s">
        <v>463</v>
      </c>
      <c r="L829" s="20" t="s">
        <v>460</v>
      </c>
    </row>
    <row r="830" spans="1:12" ht="51" x14ac:dyDescent="0.2">
      <c r="A830" s="21" t="s">
        <v>2114</v>
      </c>
      <c r="B830" s="22" t="s">
        <v>2115</v>
      </c>
      <c r="C830" s="23" t="s">
        <v>341</v>
      </c>
      <c r="D830" s="23" t="s">
        <v>463</v>
      </c>
      <c r="E830" s="24">
        <v>49.99</v>
      </c>
      <c r="F830" s="25">
        <v>0</v>
      </c>
      <c r="G830" s="26">
        <v>0</v>
      </c>
      <c r="H830" s="27">
        <v>3</v>
      </c>
      <c r="I830" s="26">
        <v>1</v>
      </c>
      <c r="J830" s="39" t="str">
        <f>HYPERLINK("https://amazon.com/dp/B0CN44M68K","View on Amazon")</f>
        <v>View on Amazon</v>
      </c>
      <c r="K830" s="23" t="s">
        <v>463</v>
      </c>
      <c r="L830" s="28" t="s">
        <v>220</v>
      </c>
    </row>
    <row r="831" spans="1:12" ht="34" x14ac:dyDescent="0.2">
      <c r="A831" s="13" t="s">
        <v>2116</v>
      </c>
      <c r="B831" s="14" t="s">
        <v>2117</v>
      </c>
      <c r="C831" s="15" t="s">
        <v>145</v>
      </c>
      <c r="D831" s="15" t="s">
        <v>503</v>
      </c>
      <c r="E831" s="16">
        <v>59.95</v>
      </c>
      <c r="F831" s="17">
        <v>0</v>
      </c>
      <c r="G831" s="18">
        <v>0</v>
      </c>
      <c r="H831" s="19">
        <v>4</v>
      </c>
      <c r="I831" s="18">
        <v>6</v>
      </c>
      <c r="J831" s="38" t="str">
        <f>HYPERLINK("https://amazon.com/dp/B01GOXRWUW","View on Amazon")</f>
        <v>View on Amazon</v>
      </c>
      <c r="K831" s="15" t="s">
        <v>503</v>
      </c>
      <c r="L831" s="20" t="s">
        <v>460</v>
      </c>
    </row>
    <row r="832" spans="1:12" ht="34" x14ac:dyDescent="0.2">
      <c r="A832" s="21" t="s">
        <v>2118</v>
      </c>
      <c r="B832" s="22" t="s">
        <v>2119</v>
      </c>
      <c r="C832" s="23" t="s">
        <v>145</v>
      </c>
      <c r="D832" s="23" t="s">
        <v>463</v>
      </c>
      <c r="E832" s="24">
        <v>59.95</v>
      </c>
      <c r="F832" s="25">
        <v>0</v>
      </c>
      <c r="G832" s="26">
        <v>0</v>
      </c>
      <c r="H832" s="27">
        <v>4</v>
      </c>
      <c r="I832" s="26">
        <v>6</v>
      </c>
      <c r="J832" s="39" t="str">
        <f>HYPERLINK("https://amazon.com/dp/B01GOXRWVQ","View on Amazon")</f>
        <v>View on Amazon</v>
      </c>
      <c r="K832" s="23" t="s">
        <v>463</v>
      </c>
      <c r="L832" s="28" t="s">
        <v>460</v>
      </c>
    </row>
    <row r="833" spans="1:12" ht="51" x14ac:dyDescent="0.2">
      <c r="A833" s="13" t="s">
        <v>2120</v>
      </c>
      <c r="B833" s="14" t="s">
        <v>2121</v>
      </c>
      <c r="C833" s="15" t="s">
        <v>360</v>
      </c>
      <c r="D833" s="15" t="s">
        <v>463</v>
      </c>
      <c r="E833" s="16">
        <v>54.99</v>
      </c>
      <c r="F833" s="17">
        <v>0</v>
      </c>
      <c r="G833" s="18">
        <v>0</v>
      </c>
      <c r="H833" s="19">
        <v>4.0999999999999996</v>
      </c>
      <c r="I833" s="18">
        <v>4</v>
      </c>
      <c r="J833" s="38" t="str">
        <f>HYPERLINK("https://amazon.com/dp/B0CZL6DMCF","View on Amazon")</f>
        <v>View on Amazon</v>
      </c>
      <c r="K833" s="15" t="s">
        <v>463</v>
      </c>
      <c r="L833" s="20" t="s">
        <v>460</v>
      </c>
    </row>
    <row r="834" spans="1:12" ht="51" x14ac:dyDescent="0.2">
      <c r="A834" s="21" t="s">
        <v>2122</v>
      </c>
      <c r="B834" s="22" t="s">
        <v>2123</v>
      </c>
      <c r="C834" s="23" t="s">
        <v>361</v>
      </c>
      <c r="D834" s="23" t="s">
        <v>463</v>
      </c>
      <c r="E834" s="24">
        <v>46.72</v>
      </c>
      <c r="F834" s="25">
        <v>0</v>
      </c>
      <c r="G834" s="26">
        <v>0</v>
      </c>
      <c r="H834" s="27">
        <v>0</v>
      </c>
      <c r="I834" s="26">
        <v>0</v>
      </c>
      <c r="J834" s="39" t="str">
        <f>HYPERLINK("https://amazon.com/dp/B0D93W3WYY","View on Amazon")</f>
        <v>View on Amazon</v>
      </c>
      <c r="K834" s="23" t="s">
        <v>463</v>
      </c>
      <c r="L834" s="28" t="s">
        <v>460</v>
      </c>
    </row>
    <row r="835" spans="1:12" ht="68" x14ac:dyDescent="0.2">
      <c r="A835" s="13" t="s">
        <v>2124</v>
      </c>
      <c r="B835" s="14" t="s">
        <v>2125</v>
      </c>
      <c r="C835" s="15" t="s">
        <v>95</v>
      </c>
      <c r="D835" s="15" t="s">
        <v>459</v>
      </c>
      <c r="E835" s="16">
        <v>599</v>
      </c>
      <c r="F835" s="17">
        <v>0</v>
      </c>
      <c r="G835" s="18">
        <v>0</v>
      </c>
      <c r="H835" s="19">
        <v>5</v>
      </c>
      <c r="I835" s="18">
        <v>1</v>
      </c>
      <c r="J835" s="38" t="str">
        <f>HYPERLINK("https://amazon.com/dp/B0DKTJNR5G","View on Amazon")</f>
        <v>View on Amazon</v>
      </c>
      <c r="K835" s="15" t="s">
        <v>459</v>
      </c>
      <c r="L835" s="20" t="s">
        <v>460</v>
      </c>
    </row>
    <row r="836" spans="1:12" ht="51" x14ac:dyDescent="0.2">
      <c r="A836" s="21" t="s">
        <v>2126</v>
      </c>
      <c r="B836" s="22" t="s">
        <v>2127</v>
      </c>
      <c r="C836" s="23" t="s">
        <v>103</v>
      </c>
      <c r="D836" s="23" t="s">
        <v>459</v>
      </c>
      <c r="E836" s="24">
        <v>99.99</v>
      </c>
      <c r="F836" s="25">
        <v>0</v>
      </c>
      <c r="G836" s="26">
        <v>0</v>
      </c>
      <c r="H836" s="27">
        <v>0</v>
      </c>
      <c r="I836" s="26">
        <v>0</v>
      </c>
      <c r="J836" s="39" t="str">
        <f>HYPERLINK("https://amazon.com/dp/B0F1L8MMWJ","View on Amazon")</f>
        <v>View on Amazon</v>
      </c>
      <c r="K836" s="23" t="s">
        <v>459</v>
      </c>
      <c r="L836" s="28" t="s">
        <v>220</v>
      </c>
    </row>
    <row r="837" spans="1:12" ht="51" x14ac:dyDescent="0.2">
      <c r="A837" s="13" t="s">
        <v>2128</v>
      </c>
      <c r="B837" s="14" t="s">
        <v>2129</v>
      </c>
      <c r="C837" s="15" t="s">
        <v>362</v>
      </c>
      <c r="D837" s="15" t="s">
        <v>463</v>
      </c>
      <c r="E837" s="16">
        <v>42.99</v>
      </c>
      <c r="F837" s="17">
        <v>0</v>
      </c>
      <c r="G837" s="18">
        <v>0</v>
      </c>
      <c r="H837" s="19">
        <v>0</v>
      </c>
      <c r="I837" s="18">
        <v>0</v>
      </c>
      <c r="J837" s="38" t="str">
        <f>HYPERLINK("https://amazon.com/dp/B0D72YRD8R","View on Amazon")</f>
        <v>View on Amazon</v>
      </c>
      <c r="K837" s="15" t="s">
        <v>463</v>
      </c>
      <c r="L837" s="20" t="s">
        <v>460</v>
      </c>
    </row>
    <row r="838" spans="1:12" ht="51" x14ac:dyDescent="0.2">
      <c r="A838" s="21" t="s">
        <v>2130</v>
      </c>
      <c r="B838" s="22" t="s">
        <v>2129</v>
      </c>
      <c r="C838" s="23" t="s">
        <v>362</v>
      </c>
      <c r="D838" s="23" t="s">
        <v>463</v>
      </c>
      <c r="E838" s="24">
        <v>49.99</v>
      </c>
      <c r="F838" s="25">
        <v>0</v>
      </c>
      <c r="G838" s="26">
        <v>0</v>
      </c>
      <c r="H838" s="27">
        <v>0</v>
      </c>
      <c r="I838" s="26">
        <v>0</v>
      </c>
      <c r="J838" s="39" t="str">
        <f>HYPERLINK("https://amazon.com/dp/B0D72XGX13","View on Amazon")</f>
        <v>View on Amazon</v>
      </c>
      <c r="K838" s="23" t="s">
        <v>463</v>
      </c>
      <c r="L838" s="28" t="s">
        <v>460</v>
      </c>
    </row>
    <row r="839" spans="1:12" ht="68" x14ac:dyDescent="0.2">
      <c r="A839" s="13" t="s">
        <v>2131</v>
      </c>
      <c r="B839" s="14" t="s">
        <v>2132</v>
      </c>
      <c r="C839" s="15" t="s">
        <v>102</v>
      </c>
      <c r="D839" s="15" t="s">
        <v>463</v>
      </c>
      <c r="E839" s="16">
        <v>198</v>
      </c>
      <c r="F839" s="17">
        <v>0</v>
      </c>
      <c r="G839" s="18">
        <v>0</v>
      </c>
      <c r="H839" s="19">
        <v>5</v>
      </c>
      <c r="I839" s="18">
        <v>1</v>
      </c>
      <c r="J839" s="38" t="str">
        <f>HYPERLINK("https://amazon.com/dp/B0DC3S3DK2","View on Amazon")</f>
        <v>View on Amazon</v>
      </c>
      <c r="K839" s="15" t="s">
        <v>463</v>
      </c>
      <c r="L839" s="20" t="s">
        <v>220</v>
      </c>
    </row>
    <row r="840" spans="1:12" ht="68" x14ac:dyDescent="0.2">
      <c r="A840" s="21" t="s">
        <v>2133</v>
      </c>
      <c r="B840" s="22" t="s">
        <v>2134</v>
      </c>
      <c r="C840" s="23" t="s">
        <v>159</v>
      </c>
      <c r="D840" s="23" t="s">
        <v>463</v>
      </c>
      <c r="E840" s="24">
        <v>49.99</v>
      </c>
      <c r="F840" s="25">
        <v>0</v>
      </c>
      <c r="G840" s="26">
        <v>0</v>
      </c>
      <c r="H840" s="27">
        <v>4</v>
      </c>
      <c r="I840" s="26">
        <v>1</v>
      </c>
      <c r="J840" s="39" t="str">
        <f>HYPERLINK("https://amazon.com/dp/B0DCVS1489","View on Amazon")</f>
        <v>View on Amazon</v>
      </c>
      <c r="K840" s="23" t="s">
        <v>463</v>
      </c>
      <c r="L840" s="28" t="s">
        <v>460</v>
      </c>
    </row>
    <row r="841" spans="1:12" ht="51" x14ac:dyDescent="0.2">
      <c r="A841" s="13" t="s">
        <v>2135</v>
      </c>
      <c r="B841" s="14" t="s">
        <v>2136</v>
      </c>
      <c r="C841" s="15" t="s">
        <v>363</v>
      </c>
      <c r="D841" s="15" t="s">
        <v>463</v>
      </c>
      <c r="E841" s="16">
        <v>345.55</v>
      </c>
      <c r="F841" s="17">
        <v>0</v>
      </c>
      <c r="G841" s="18">
        <v>0</v>
      </c>
      <c r="H841" s="19">
        <v>0</v>
      </c>
      <c r="I841" s="18">
        <v>0</v>
      </c>
      <c r="J841" s="38" t="str">
        <f>HYPERLINK("https://amazon.com/dp/B0DPHLR4JY","View on Amazon")</f>
        <v>View on Amazon</v>
      </c>
      <c r="K841" s="15" t="s">
        <v>463</v>
      </c>
      <c r="L841" s="20" t="s">
        <v>220</v>
      </c>
    </row>
    <row r="842" spans="1:12" ht="51" x14ac:dyDescent="0.2">
      <c r="A842" s="21" t="s">
        <v>2137</v>
      </c>
      <c r="B842" s="22" t="s">
        <v>2138</v>
      </c>
      <c r="C842" s="23" t="s">
        <v>88</v>
      </c>
      <c r="D842" s="23" t="s">
        <v>463</v>
      </c>
      <c r="E842" s="24">
        <v>313</v>
      </c>
      <c r="F842" s="25">
        <v>0</v>
      </c>
      <c r="G842" s="26">
        <v>0</v>
      </c>
      <c r="H842" s="27">
        <v>1</v>
      </c>
      <c r="I842" s="26">
        <v>2</v>
      </c>
      <c r="J842" s="39" t="str">
        <f>HYPERLINK("https://amazon.com/dp/B0CBP2XY45","View on Amazon")</f>
        <v>View on Amazon</v>
      </c>
      <c r="K842" s="23" t="s">
        <v>463</v>
      </c>
      <c r="L842" s="28" t="s">
        <v>460</v>
      </c>
    </row>
    <row r="843" spans="1:12" ht="68" x14ac:dyDescent="0.2">
      <c r="A843" s="13" t="s">
        <v>2139</v>
      </c>
      <c r="B843" s="14" t="s">
        <v>2140</v>
      </c>
      <c r="C843" s="15" t="s">
        <v>140</v>
      </c>
      <c r="D843" s="15" t="s">
        <v>459</v>
      </c>
      <c r="E843" s="16">
        <v>549.99</v>
      </c>
      <c r="F843" s="17">
        <v>0</v>
      </c>
      <c r="G843" s="18">
        <v>0</v>
      </c>
      <c r="H843" s="19">
        <v>0</v>
      </c>
      <c r="I843" s="18">
        <v>0</v>
      </c>
      <c r="J843" s="38" t="str">
        <f>HYPERLINK("https://amazon.com/dp/B0DBZVM4Z3","View on Amazon")</f>
        <v>View on Amazon</v>
      </c>
      <c r="K843" s="15" t="s">
        <v>459</v>
      </c>
      <c r="L843" s="20" t="s">
        <v>220</v>
      </c>
    </row>
    <row r="844" spans="1:12" ht="51" x14ac:dyDescent="0.2">
      <c r="A844" s="21" t="s">
        <v>2141</v>
      </c>
      <c r="B844" s="22" t="s">
        <v>2142</v>
      </c>
      <c r="C844" s="23" t="s">
        <v>140</v>
      </c>
      <c r="D844" s="23" t="s">
        <v>463</v>
      </c>
      <c r="E844" s="24">
        <v>219.99</v>
      </c>
      <c r="F844" s="25">
        <v>0</v>
      </c>
      <c r="G844" s="26">
        <v>0</v>
      </c>
      <c r="H844" s="27">
        <v>0</v>
      </c>
      <c r="I844" s="26">
        <v>0</v>
      </c>
      <c r="J844" s="39" t="str">
        <f>HYPERLINK("https://amazon.com/dp/B0DCJRM53T","View on Amazon")</f>
        <v>View on Amazon</v>
      </c>
      <c r="K844" s="23" t="s">
        <v>463</v>
      </c>
      <c r="L844" s="28" t="s">
        <v>220</v>
      </c>
    </row>
    <row r="845" spans="1:12" ht="51" x14ac:dyDescent="0.2">
      <c r="A845" s="13" t="s">
        <v>2143</v>
      </c>
      <c r="B845" s="14" t="s">
        <v>2144</v>
      </c>
      <c r="C845" s="15" t="s">
        <v>104</v>
      </c>
      <c r="D845" s="15" t="s">
        <v>463</v>
      </c>
      <c r="E845" s="16">
        <v>449</v>
      </c>
      <c r="F845" s="17">
        <v>0</v>
      </c>
      <c r="G845" s="18">
        <v>0</v>
      </c>
      <c r="H845" s="19">
        <v>5</v>
      </c>
      <c r="I845" s="18">
        <v>1</v>
      </c>
      <c r="J845" s="38" t="str">
        <f>HYPERLINK("https://amazon.com/dp/B0FG2YFNNG","View on Amazon")</f>
        <v>View on Amazon</v>
      </c>
      <c r="K845" s="15" t="s">
        <v>463</v>
      </c>
      <c r="L845" s="20" t="s">
        <v>460</v>
      </c>
    </row>
    <row r="846" spans="1:12" ht="51" x14ac:dyDescent="0.2">
      <c r="A846" s="21" t="s">
        <v>2145</v>
      </c>
      <c r="B846" s="22" t="s">
        <v>2146</v>
      </c>
      <c r="C846" s="23" t="s">
        <v>364</v>
      </c>
      <c r="D846" s="23" t="s">
        <v>463</v>
      </c>
      <c r="E846" s="24">
        <v>225</v>
      </c>
      <c r="F846" s="25">
        <v>0</v>
      </c>
      <c r="G846" s="26">
        <v>0</v>
      </c>
      <c r="H846" s="27">
        <v>4.4000000000000004</v>
      </c>
      <c r="I846" s="26">
        <v>2</v>
      </c>
      <c r="J846" s="39" t="str">
        <f>HYPERLINK("https://amazon.com/dp/B0CS68BDNP","View on Amazon")</f>
        <v>View on Amazon</v>
      </c>
      <c r="K846" s="23" t="s">
        <v>463</v>
      </c>
      <c r="L846" s="28" t="s">
        <v>220</v>
      </c>
    </row>
    <row r="847" spans="1:12" ht="51" x14ac:dyDescent="0.2">
      <c r="A847" s="13" t="s">
        <v>2147</v>
      </c>
      <c r="B847" s="14" t="s">
        <v>2148</v>
      </c>
      <c r="C847" s="15" t="s">
        <v>365</v>
      </c>
      <c r="D847" s="15" t="s">
        <v>463</v>
      </c>
      <c r="E847" s="16">
        <v>99.99</v>
      </c>
      <c r="F847" s="17">
        <v>0</v>
      </c>
      <c r="G847" s="18">
        <v>0</v>
      </c>
      <c r="H847" s="19">
        <v>4.5</v>
      </c>
      <c r="I847" s="18">
        <v>10</v>
      </c>
      <c r="J847" s="38" t="str">
        <f>HYPERLINK("https://amazon.com/dp/B0F3C5LBQ5","View on Amazon")</f>
        <v>View on Amazon</v>
      </c>
      <c r="K847" s="15" t="s">
        <v>463</v>
      </c>
      <c r="L847" s="20" t="s">
        <v>460</v>
      </c>
    </row>
    <row r="848" spans="1:12" ht="34" x14ac:dyDescent="0.2">
      <c r="A848" s="21" t="s">
        <v>2149</v>
      </c>
      <c r="B848" s="22" t="s">
        <v>2150</v>
      </c>
      <c r="C848" s="23" t="s">
        <v>202</v>
      </c>
      <c r="D848" s="23" t="s">
        <v>463</v>
      </c>
      <c r="E848" s="24">
        <v>29.68</v>
      </c>
      <c r="F848" s="25">
        <v>0</v>
      </c>
      <c r="G848" s="26">
        <v>0</v>
      </c>
      <c r="H848" s="27">
        <v>0</v>
      </c>
      <c r="I848" s="26">
        <v>0</v>
      </c>
      <c r="J848" s="39" t="str">
        <f>HYPERLINK("https://amazon.com/dp/B09ZTP3CQ6","View on Amazon")</f>
        <v>View on Amazon</v>
      </c>
      <c r="K848" s="23" t="s">
        <v>463</v>
      </c>
      <c r="L848" s="28" t="s">
        <v>220</v>
      </c>
    </row>
    <row r="849" spans="1:12" ht="51" x14ac:dyDescent="0.2">
      <c r="A849" s="13" t="s">
        <v>2151</v>
      </c>
      <c r="B849" s="14" t="s">
        <v>2152</v>
      </c>
      <c r="C849" s="15" t="s">
        <v>10</v>
      </c>
      <c r="D849" s="15" t="s">
        <v>463</v>
      </c>
      <c r="E849" s="16">
        <v>79.989999999999995</v>
      </c>
      <c r="F849" s="17">
        <v>0</v>
      </c>
      <c r="G849" s="18">
        <v>0</v>
      </c>
      <c r="H849" s="19">
        <v>0</v>
      </c>
      <c r="I849" s="18">
        <v>0</v>
      </c>
      <c r="J849" s="38" t="str">
        <f>HYPERLINK("https://amazon.com/dp/B0CX8RHBV7","View on Amazon")</f>
        <v>View on Amazon</v>
      </c>
      <c r="K849" s="15" t="s">
        <v>463</v>
      </c>
      <c r="L849" s="20" t="s">
        <v>460</v>
      </c>
    </row>
    <row r="850" spans="1:12" ht="51" x14ac:dyDescent="0.2">
      <c r="A850" s="21" t="s">
        <v>2153</v>
      </c>
      <c r="B850" s="22" t="s">
        <v>2154</v>
      </c>
      <c r="C850" s="23" t="s">
        <v>215</v>
      </c>
      <c r="D850" s="23" t="s">
        <v>463</v>
      </c>
      <c r="E850" s="24">
        <v>99.95</v>
      </c>
      <c r="F850" s="25">
        <v>0</v>
      </c>
      <c r="G850" s="26">
        <v>0</v>
      </c>
      <c r="H850" s="27">
        <v>5</v>
      </c>
      <c r="I850" s="26">
        <v>1</v>
      </c>
      <c r="J850" s="39" t="str">
        <f>HYPERLINK("https://amazon.com/dp/B0CV62FQ82","View on Amazon")</f>
        <v>View on Amazon</v>
      </c>
      <c r="K850" s="23" t="s">
        <v>463</v>
      </c>
      <c r="L850" s="28" t="s">
        <v>220</v>
      </c>
    </row>
    <row r="851" spans="1:12" ht="34" x14ac:dyDescent="0.2">
      <c r="A851" s="13" t="s">
        <v>2155</v>
      </c>
      <c r="B851" s="14" t="s">
        <v>2156</v>
      </c>
      <c r="C851" s="15" t="s">
        <v>132</v>
      </c>
      <c r="D851" s="15" t="s">
        <v>463</v>
      </c>
      <c r="E851" s="16">
        <v>250</v>
      </c>
      <c r="F851" s="17">
        <v>0</v>
      </c>
      <c r="G851" s="18">
        <v>0</v>
      </c>
      <c r="H851" s="19">
        <v>0</v>
      </c>
      <c r="I851" s="18">
        <v>0</v>
      </c>
      <c r="J851" s="38" t="str">
        <f>HYPERLINK("https://amazon.com/dp/B0BWSGPJDK","View on Amazon")</f>
        <v>View on Amazon</v>
      </c>
      <c r="K851" s="15" t="s">
        <v>463</v>
      </c>
      <c r="L851" s="20" t="s">
        <v>220</v>
      </c>
    </row>
    <row r="852" spans="1:12" ht="34" x14ac:dyDescent="0.2">
      <c r="A852" s="21" t="s">
        <v>2157</v>
      </c>
      <c r="B852" s="22" t="s">
        <v>2158</v>
      </c>
      <c r="C852" s="23" t="s">
        <v>307</v>
      </c>
      <c r="D852" s="23" t="s">
        <v>503</v>
      </c>
      <c r="E852" s="24">
        <v>99.99</v>
      </c>
      <c r="F852" s="25">
        <v>0</v>
      </c>
      <c r="G852" s="26">
        <v>0</v>
      </c>
      <c r="H852" s="27">
        <v>5</v>
      </c>
      <c r="I852" s="26">
        <v>1</v>
      </c>
      <c r="J852" s="39" t="str">
        <f>HYPERLINK("https://amazon.com/dp/B0DQKSMDPG","View on Amazon")</f>
        <v>View on Amazon</v>
      </c>
      <c r="K852" s="23" t="s">
        <v>503</v>
      </c>
      <c r="L852" s="28" t="s">
        <v>220</v>
      </c>
    </row>
    <row r="853" spans="1:12" ht="68" x14ac:dyDescent="0.2">
      <c r="A853" s="13" t="s">
        <v>2159</v>
      </c>
      <c r="B853" s="14" t="s">
        <v>2160</v>
      </c>
      <c r="C853" s="15" t="s">
        <v>88</v>
      </c>
      <c r="D853" s="15" t="s">
        <v>463</v>
      </c>
      <c r="E853" s="16">
        <v>46.99</v>
      </c>
      <c r="F853" s="17">
        <v>0</v>
      </c>
      <c r="G853" s="18">
        <v>0</v>
      </c>
      <c r="H853" s="19">
        <v>0</v>
      </c>
      <c r="I853" s="18">
        <v>0</v>
      </c>
      <c r="J853" s="38" t="str">
        <f>HYPERLINK("https://amazon.com/dp/B0CGDH3DTC","View on Amazon")</f>
        <v>View on Amazon</v>
      </c>
      <c r="K853" s="15" t="s">
        <v>463</v>
      </c>
      <c r="L853" s="20" t="s">
        <v>220</v>
      </c>
    </row>
    <row r="854" spans="1:12" ht="68" x14ac:dyDescent="0.2">
      <c r="A854" s="21" t="s">
        <v>2161</v>
      </c>
      <c r="B854" s="22" t="s">
        <v>2162</v>
      </c>
      <c r="C854" s="23" t="s">
        <v>88</v>
      </c>
      <c r="D854" s="23" t="s">
        <v>463</v>
      </c>
      <c r="E854" s="24">
        <v>52.99</v>
      </c>
      <c r="F854" s="25">
        <v>0</v>
      </c>
      <c r="G854" s="26">
        <v>0</v>
      </c>
      <c r="H854" s="27">
        <v>0</v>
      </c>
      <c r="I854" s="26">
        <v>0</v>
      </c>
      <c r="J854" s="39" t="str">
        <f>HYPERLINK("https://amazon.com/dp/B0CGDLCVY2","View on Amazon")</f>
        <v>View on Amazon</v>
      </c>
      <c r="K854" s="23" t="s">
        <v>463</v>
      </c>
      <c r="L854" s="28" t="s">
        <v>220</v>
      </c>
    </row>
    <row r="855" spans="1:12" ht="68" x14ac:dyDescent="0.2">
      <c r="A855" s="13" t="s">
        <v>2163</v>
      </c>
      <c r="B855" s="14" t="s">
        <v>2164</v>
      </c>
      <c r="C855" s="15" t="s">
        <v>88</v>
      </c>
      <c r="D855" s="15" t="s">
        <v>463</v>
      </c>
      <c r="E855" s="16">
        <v>52.99</v>
      </c>
      <c r="F855" s="17">
        <v>0</v>
      </c>
      <c r="G855" s="18">
        <v>0</v>
      </c>
      <c r="H855" s="19">
        <v>0</v>
      </c>
      <c r="I855" s="18">
        <v>0</v>
      </c>
      <c r="J855" s="38" t="str">
        <f>HYPERLINK("https://amazon.com/dp/B0CGDGHZ6F","View on Amazon")</f>
        <v>View on Amazon</v>
      </c>
      <c r="K855" s="15" t="s">
        <v>463</v>
      </c>
      <c r="L855" s="20" t="s">
        <v>220</v>
      </c>
    </row>
    <row r="856" spans="1:12" ht="51" x14ac:dyDescent="0.2">
      <c r="A856" s="21" t="s">
        <v>2165</v>
      </c>
      <c r="B856" s="22" t="s">
        <v>2166</v>
      </c>
      <c r="C856" s="23" t="s">
        <v>366</v>
      </c>
      <c r="D856" s="23" t="s">
        <v>463</v>
      </c>
      <c r="E856" s="24">
        <v>35.99</v>
      </c>
      <c r="F856" s="25">
        <v>0</v>
      </c>
      <c r="G856" s="26">
        <v>0</v>
      </c>
      <c r="H856" s="27">
        <v>4.5999999999999996</v>
      </c>
      <c r="I856" s="26">
        <v>3</v>
      </c>
      <c r="J856" s="39" t="str">
        <f>HYPERLINK("https://amazon.com/dp/B0BXG1HB1F","View on Amazon")</f>
        <v>View on Amazon</v>
      </c>
      <c r="K856" s="23" t="s">
        <v>463</v>
      </c>
      <c r="L856" s="28" t="s">
        <v>220</v>
      </c>
    </row>
    <row r="857" spans="1:12" ht="51" x14ac:dyDescent="0.2">
      <c r="A857" s="13" t="s">
        <v>2167</v>
      </c>
      <c r="B857" s="14" t="s">
        <v>2168</v>
      </c>
      <c r="C857" s="15" t="s">
        <v>145</v>
      </c>
      <c r="D857" s="15" t="s">
        <v>463</v>
      </c>
      <c r="E857" s="16">
        <v>59.95</v>
      </c>
      <c r="F857" s="17">
        <v>0</v>
      </c>
      <c r="G857" s="18">
        <v>0</v>
      </c>
      <c r="H857" s="19">
        <v>4</v>
      </c>
      <c r="I857" s="18">
        <v>13</v>
      </c>
      <c r="J857" s="38" t="str">
        <f>HYPERLINK("https://amazon.com/dp/B01IDXG2DO","View on Amazon")</f>
        <v>View on Amazon</v>
      </c>
      <c r="K857" s="15" t="s">
        <v>463</v>
      </c>
      <c r="L857" s="20" t="s">
        <v>1297</v>
      </c>
    </row>
    <row r="858" spans="1:12" ht="68" x14ac:dyDescent="0.2">
      <c r="A858" s="21" t="s">
        <v>2169</v>
      </c>
      <c r="B858" s="22" t="s">
        <v>2170</v>
      </c>
      <c r="C858" s="23" t="s">
        <v>157</v>
      </c>
      <c r="D858" s="23" t="s">
        <v>463</v>
      </c>
      <c r="E858" s="24">
        <v>89.99</v>
      </c>
      <c r="F858" s="25">
        <v>0</v>
      </c>
      <c r="G858" s="26">
        <v>0</v>
      </c>
      <c r="H858" s="27">
        <v>3.7</v>
      </c>
      <c r="I858" s="26">
        <v>3</v>
      </c>
      <c r="J858" s="39" t="str">
        <f>HYPERLINK("https://amazon.com/dp/B0D59L43MN","View on Amazon")</f>
        <v>View on Amazon</v>
      </c>
      <c r="K858" s="23" t="s">
        <v>463</v>
      </c>
      <c r="L858" s="28" t="s">
        <v>460</v>
      </c>
    </row>
    <row r="859" spans="1:12" ht="51" x14ac:dyDescent="0.2">
      <c r="A859" s="13" t="s">
        <v>2171</v>
      </c>
      <c r="B859" s="14" t="s">
        <v>2172</v>
      </c>
      <c r="C859" s="15" t="s">
        <v>184</v>
      </c>
      <c r="D859" s="15" t="s">
        <v>463</v>
      </c>
      <c r="E859" s="16">
        <v>599</v>
      </c>
      <c r="F859" s="17">
        <v>0</v>
      </c>
      <c r="G859" s="18">
        <v>0</v>
      </c>
      <c r="H859" s="19">
        <v>0</v>
      </c>
      <c r="I859" s="18">
        <v>0</v>
      </c>
      <c r="J859" s="38" t="str">
        <f>HYPERLINK("https://amazon.com/dp/B0CPRRJYDT","View on Amazon")</f>
        <v>View on Amazon</v>
      </c>
      <c r="K859" s="15" t="s">
        <v>463</v>
      </c>
      <c r="L859" s="20" t="s">
        <v>2173</v>
      </c>
    </row>
    <row r="860" spans="1:12" ht="51" x14ac:dyDescent="0.2">
      <c r="A860" s="21" t="s">
        <v>2174</v>
      </c>
      <c r="B860" s="22" t="s">
        <v>2175</v>
      </c>
      <c r="C860" s="23" t="s">
        <v>367</v>
      </c>
      <c r="D860" s="23" t="s">
        <v>463</v>
      </c>
      <c r="E860" s="24">
        <v>179</v>
      </c>
      <c r="F860" s="25">
        <v>0</v>
      </c>
      <c r="G860" s="26">
        <v>0</v>
      </c>
      <c r="H860" s="27">
        <v>5</v>
      </c>
      <c r="I860" s="26">
        <v>3</v>
      </c>
      <c r="J860" s="39" t="str">
        <f>HYPERLINK("https://amazon.com/dp/B0D9S1N97T","View on Amazon")</f>
        <v>View on Amazon</v>
      </c>
      <c r="K860" s="23" t="s">
        <v>463</v>
      </c>
      <c r="L860" s="28" t="s">
        <v>460</v>
      </c>
    </row>
    <row r="861" spans="1:12" ht="68" x14ac:dyDescent="0.2">
      <c r="A861" s="13" t="s">
        <v>2176</v>
      </c>
      <c r="B861" s="14" t="s">
        <v>2177</v>
      </c>
      <c r="C861" s="15" t="s">
        <v>368</v>
      </c>
      <c r="D861" s="15" t="s">
        <v>463</v>
      </c>
      <c r="E861" s="16">
        <v>189.99</v>
      </c>
      <c r="F861" s="17">
        <v>0</v>
      </c>
      <c r="G861" s="18">
        <v>0</v>
      </c>
      <c r="H861" s="19">
        <v>5</v>
      </c>
      <c r="I861" s="18">
        <v>1</v>
      </c>
      <c r="J861" s="38" t="str">
        <f>HYPERLINK("https://amazon.com/dp/B0FDQLP4YG","View on Amazon")</f>
        <v>View on Amazon</v>
      </c>
      <c r="K861" s="15" t="s">
        <v>463</v>
      </c>
      <c r="L861" s="20" t="s">
        <v>220</v>
      </c>
    </row>
    <row r="862" spans="1:12" ht="68" x14ac:dyDescent="0.2">
      <c r="A862" s="21" t="s">
        <v>2178</v>
      </c>
      <c r="B862" s="22" t="s">
        <v>2179</v>
      </c>
      <c r="C862" s="23" t="s">
        <v>131</v>
      </c>
      <c r="D862" s="23" t="s">
        <v>459</v>
      </c>
      <c r="E862" s="24">
        <v>129.99</v>
      </c>
      <c r="F862" s="25">
        <v>0</v>
      </c>
      <c r="G862" s="26">
        <v>0</v>
      </c>
      <c r="H862" s="27">
        <v>0</v>
      </c>
      <c r="I862" s="26">
        <v>0</v>
      </c>
      <c r="J862" s="39" t="str">
        <f>HYPERLINK("https://amazon.com/dp/B0DPQJ58BF","View on Amazon")</f>
        <v>View on Amazon</v>
      </c>
      <c r="K862" s="23" t="s">
        <v>459</v>
      </c>
      <c r="L862" s="28" t="s">
        <v>220</v>
      </c>
    </row>
    <row r="863" spans="1:12" ht="68" x14ac:dyDescent="0.2">
      <c r="A863" s="13" t="s">
        <v>2180</v>
      </c>
      <c r="B863" s="14" t="s">
        <v>2181</v>
      </c>
      <c r="C863" s="15" t="s">
        <v>367</v>
      </c>
      <c r="D863" s="15" t="s">
        <v>463</v>
      </c>
      <c r="E863" s="16">
        <v>399</v>
      </c>
      <c r="F863" s="17">
        <v>0</v>
      </c>
      <c r="G863" s="18">
        <v>0</v>
      </c>
      <c r="H863" s="19">
        <v>1</v>
      </c>
      <c r="I863" s="18">
        <v>1</v>
      </c>
      <c r="J863" s="38" t="str">
        <f>HYPERLINK("https://amazon.com/dp/B0D4M1XZML","View on Amazon")</f>
        <v>View on Amazon</v>
      </c>
      <c r="K863" s="15" t="s">
        <v>463</v>
      </c>
      <c r="L863" s="20" t="s">
        <v>460</v>
      </c>
    </row>
    <row r="864" spans="1:12" ht="68" x14ac:dyDescent="0.2">
      <c r="A864" s="21" t="s">
        <v>2182</v>
      </c>
      <c r="B864" s="22" t="s">
        <v>2183</v>
      </c>
      <c r="C864" s="23" t="s">
        <v>131</v>
      </c>
      <c r="D864" s="23" t="s">
        <v>459</v>
      </c>
      <c r="E864" s="24">
        <v>149.97999999999999</v>
      </c>
      <c r="F864" s="25">
        <v>0</v>
      </c>
      <c r="G864" s="26">
        <v>0</v>
      </c>
      <c r="H864" s="27">
        <v>0</v>
      </c>
      <c r="I864" s="26">
        <v>0</v>
      </c>
      <c r="J864" s="39" t="str">
        <f>HYPERLINK("https://amazon.com/dp/B0DPQH7QQ1","View on Amazon")</f>
        <v>View on Amazon</v>
      </c>
      <c r="K864" s="23" t="s">
        <v>459</v>
      </c>
      <c r="L864" s="28" t="s">
        <v>220</v>
      </c>
    </row>
    <row r="865" spans="1:12" ht="51" x14ac:dyDescent="0.2">
      <c r="A865" s="13" t="s">
        <v>2184</v>
      </c>
      <c r="B865" s="14" t="s">
        <v>2185</v>
      </c>
      <c r="C865" s="15" t="s">
        <v>140</v>
      </c>
      <c r="D865" s="15" t="s">
        <v>463</v>
      </c>
      <c r="E865" s="16">
        <v>295.99</v>
      </c>
      <c r="F865" s="17">
        <v>0</v>
      </c>
      <c r="G865" s="18">
        <v>0</v>
      </c>
      <c r="H865" s="19">
        <v>0</v>
      </c>
      <c r="I865" s="18">
        <v>0</v>
      </c>
      <c r="J865" s="38" t="str">
        <f>HYPERLINK("https://amazon.com/dp/B0DJVZ4Q2T","View on Amazon")</f>
        <v>View on Amazon</v>
      </c>
      <c r="K865" s="15" t="s">
        <v>463</v>
      </c>
      <c r="L865" s="20" t="s">
        <v>220</v>
      </c>
    </row>
    <row r="866" spans="1:12" ht="68" x14ac:dyDescent="0.2">
      <c r="A866" s="21" t="s">
        <v>2186</v>
      </c>
      <c r="B866" s="22" t="s">
        <v>2187</v>
      </c>
      <c r="C866" s="23" t="s">
        <v>369</v>
      </c>
      <c r="D866" s="23" t="s">
        <v>463</v>
      </c>
      <c r="E866" s="24">
        <v>149.99</v>
      </c>
      <c r="F866" s="25">
        <v>0</v>
      </c>
      <c r="G866" s="26">
        <v>0</v>
      </c>
      <c r="H866" s="27">
        <v>0</v>
      </c>
      <c r="I866" s="26">
        <v>0</v>
      </c>
      <c r="J866" s="39" t="str">
        <f>HYPERLINK("https://amazon.com/dp/B0DKS5PS12","View on Amazon")</f>
        <v>View on Amazon</v>
      </c>
      <c r="K866" s="23" t="s">
        <v>463</v>
      </c>
      <c r="L866" s="28" t="s">
        <v>220</v>
      </c>
    </row>
    <row r="867" spans="1:12" ht="68" x14ac:dyDescent="0.2">
      <c r="A867" s="13" t="s">
        <v>2188</v>
      </c>
      <c r="B867" s="14" t="s">
        <v>2189</v>
      </c>
      <c r="C867" s="15" t="s">
        <v>312</v>
      </c>
      <c r="D867" s="15" t="s">
        <v>463</v>
      </c>
      <c r="E867" s="16">
        <v>199.99</v>
      </c>
      <c r="F867" s="17">
        <v>0</v>
      </c>
      <c r="G867" s="18">
        <v>0</v>
      </c>
      <c r="H867" s="19">
        <v>3.8</v>
      </c>
      <c r="I867" s="18">
        <v>9</v>
      </c>
      <c r="J867" s="38" t="str">
        <f>HYPERLINK("https://amazon.com/dp/B08GWGF9KL","View on Amazon")</f>
        <v>View on Amazon</v>
      </c>
      <c r="K867" s="15" t="s">
        <v>463</v>
      </c>
      <c r="L867" s="20" t="s">
        <v>460</v>
      </c>
    </row>
    <row r="868" spans="1:12" ht="68" x14ac:dyDescent="0.2">
      <c r="A868" s="21" t="s">
        <v>2190</v>
      </c>
      <c r="B868" s="22" t="s">
        <v>2191</v>
      </c>
      <c r="C868" s="23" t="s">
        <v>10</v>
      </c>
      <c r="D868" s="23" t="s">
        <v>459</v>
      </c>
      <c r="E868" s="24">
        <v>899</v>
      </c>
      <c r="F868" s="25">
        <v>0</v>
      </c>
      <c r="G868" s="26">
        <v>0</v>
      </c>
      <c r="H868" s="27">
        <v>3.2</v>
      </c>
      <c r="I868" s="26">
        <v>3</v>
      </c>
      <c r="J868" s="39" t="str">
        <f>HYPERLINK("https://amazon.com/dp/B0CFV2H85F","View on Amazon")</f>
        <v>View on Amazon</v>
      </c>
      <c r="K868" s="23" t="s">
        <v>459</v>
      </c>
      <c r="L868" s="28" t="s">
        <v>220</v>
      </c>
    </row>
    <row r="869" spans="1:12" ht="34" x14ac:dyDescent="0.2">
      <c r="A869" s="13" t="s">
        <v>2192</v>
      </c>
      <c r="B869" s="14" t="s">
        <v>2193</v>
      </c>
      <c r="C869" s="15" t="s">
        <v>370</v>
      </c>
      <c r="D869" s="15" t="s">
        <v>459</v>
      </c>
      <c r="E869" s="16">
        <v>15.49</v>
      </c>
      <c r="F869" s="17">
        <v>0</v>
      </c>
      <c r="G869" s="18">
        <v>0</v>
      </c>
      <c r="H869" s="19">
        <v>0</v>
      </c>
      <c r="I869" s="18">
        <v>0</v>
      </c>
      <c r="J869" s="38" t="str">
        <f>HYPERLINK("https://amazon.com/dp/B0DJ1S5PGH","View on Amazon")</f>
        <v>View on Amazon</v>
      </c>
      <c r="K869" s="15" t="s">
        <v>459</v>
      </c>
      <c r="L869" s="20" t="s">
        <v>460</v>
      </c>
    </row>
    <row r="870" spans="1:12" ht="51" x14ac:dyDescent="0.2">
      <c r="A870" s="21" t="s">
        <v>2194</v>
      </c>
      <c r="B870" s="22" t="s">
        <v>2195</v>
      </c>
      <c r="C870" s="23" t="s">
        <v>371</v>
      </c>
      <c r="D870" s="23" t="s">
        <v>463</v>
      </c>
      <c r="E870" s="24">
        <v>36.799999999999997</v>
      </c>
      <c r="F870" s="25">
        <v>0</v>
      </c>
      <c r="G870" s="26">
        <v>0</v>
      </c>
      <c r="H870" s="27">
        <v>0</v>
      </c>
      <c r="I870" s="26">
        <v>0</v>
      </c>
      <c r="J870" s="39" t="str">
        <f>HYPERLINK("https://amazon.com/dp/B0CJ2ZF71W","View on Amazon")</f>
        <v>View on Amazon</v>
      </c>
      <c r="K870" s="23" t="s">
        <v>463</v>
      </c>
      <c r="L870" s="28" t="s">
        <v>220</v>
      </c>
    </row>
    <row r="871" spans="1:12" ht="34" x14ac:dyDescent="0.2">
      <c r="A871" s="13" t="s">
        <v>2196</v>
      </c>
      <c r="B871" s="14" t="s">
        <v>2197</v>
      </c>
      <c r="C871" s="15" t="s">
        <v>372</v>
      </c>
      <c r="D871" s="15" t="s">
        <v>463</v>
      </c>
      <c r="E871" s="16">
        <v>5.98</v>
      </c>
      <c r="F871" s="17">
        <v>0</v>
      </c>
      <c r="G871" s="18">
        <v>0</v>
      </c>
      <c r="H871" s="19">
        <v>2.9</v>
      </c>
      <c r="I871" s="18">
        <v>10</v>
      </c>
      <c r="J871" s="38" t="str">
        <f>HYPERLINK("https://amazon.com/dp/B000S6OHKK","View on Amazon")</f>
        <v>View on Amazon</v>
      </c>
      <c r="K871" s="15" t="s">
        <v>463</v>
      </c>
      <c r="L871" s="20" t="s">
        <v>460</v>
      </c>
    </row>
    <row r="872" spans="1:12" ht="68" x14ac:dyDescent="0.2">
      <c r="A872" s="21" t="s">
        <v>2198</v>
      </c>
      <c r="B872" s="22" t="s">
        <v>2199</v>
      </c>
      <c r="C872" s="23" t="s">
        <v>228</v>
      </c>
      <c r="D872" s="23" t="s">
        <v>463</v>
      </c>
      <c r="E872" s="24">
        <v>99.99</v>
      </c>
      <c r="F872" s="25">
        <v>0</v>
      </c>
      <c r="G872" s="26">
        <v>0</v>
      </c>
      <c r="H872" s="27">
        <v>0</v>
      </c>
      <c r="I872" s="26">
        <v>0</v>
      </c>
      <c r="J872" s="39" t="str">
        <f>HYPERLINK("https://amazon.com/dp/B0CRQK499Q","View on Amazon")</f>
        <v>View on Amazon</v>
      </c>
      <c r="K872" s="23" t="s">
        <v>463</v>
      </c>
      <c r="L872" s="28" t="s">
        <v>460</v>
      </c>
    </row>
    <row r="873" spans="1:12" ht="51" x14ac:dyDescent="0.2">
      <c r="A873" s="13" t="s">
        <v>2200</v>
      </c>
      <c r="B873" s="14" t="s">
        <v>2201</v>
      </c>
      <c r="C873" s="15" t="s">
        <v>215</v>
      </c>
      <c r="D873" s="15" t="s">
        <v>463</v>
      </c>
      <c r="E873" s="16">
        <v>74.95</v>
      </c>
      <c r="F873" s="17">
        <v>0</v>
      </c>
      <c r="G873" s="18">
        <v>0</v>
      </c>
      <c r="H873" s="19">
        <v>1</v>
      </c>
      <c r="I873" s="18">
        <v>2</v>
      </c>
      <c r="J873" s="38" t="str">
        <f>HYPERLINK("https://amazon.com/dp/B0CV63LCN2","View on Amazon")</f>
        <v>View on Amazon</v>
      </c>
      <c r="K873" s="15" t="s">
        <v>463</v>
      </c>
      <c r="L873" s="20" t="s">
        <v>220</v>
      </c>
    </row>
    <row r="874" spans="1:12" ht="51" x14ac:dyDescent="0.2">
      <c r="A874" s="21" t="s">
        <v>2202</v>
      </c>
      <c r="B874" s="22" t="s">
        <v>2203</v>
      </c>
      <c r="C874" s="23" t="s">
        <v>215</v>
      </c>
      <c r="D874" s="23" t="s">
        <v>463</v>
      </c>
      <c r="E874" s="24">
        <v>74.95</v>
      </c>
      <c r="F874" s="25">
        <v>0</v>
      </c>
      <c r="G874" s="26">
        <v>0</v>
      </c>
      <c r="H874" s="27">
        <v>1</v>
      </c>
      <c r="I874" s="26">
        <v>2</v>
      </c>
      <c r="J874" s="39" t="str">
        <f>HYPERLINK("https://amazon.com/dp/B0CV644GTM","View on Amazon")</f>
        <v>View on Amazon</v>
      </c>
      <c r="K874" s="23" t="s">
        <v>463</v>
      </c>
      <c r="L874" s="28" t="s">
        <v>220</v>
      </c>
    </row>
    <row r="875" spans="1:12" ht="68" x14ac:dyDescent="0.2">
      <c r="A875" s="13" t="s">
        <v>2204</v>
      </c>
      <c r="B875" s="14" t="s">
        <v>2205</v>
      </c>
      <c r="C875" s="15" t="s">
        <v>354</v>
      </c>
      <c r="D875" s="15" t="s">
        <v>463</v>
      </c>
      <c r="E875" s="16">
        <v>138.29</v>
      </c>
      <c r="F875" s="17">
        <v>0</v>
      </c>
      <c r="G875" s="18">
        <v>0</v>
      </c>
      <c r="H875" s="19">
        <v>5</v>
      </c>
      <c r="I875" s="18">
        <v>2</v>
      </c>
      <c r="J875" s="38" t="str">
        <f>HYPERLINK("https://amazon.com/dp/B0F299G3B9","View on Amazon")</f>
        <v>View on Amazon</v>
      </c>
      <c r="K875" s="15" t="s">
        <v>463</v>
      </c>
      <c r="L875" s="20" t="s">
        <v>460</v>
      </c>
    </row>
    <row r="876" spans="1:12" ht="51" x14ac:dyDescent="0.2">
      <c r="A876" s="21" t="s">
        <v>2206</v>
      </c>
      <c r="B876" s="22" t="s">
        <v>2207</v>
      </c>
      <c r="C876" s="23" t="s">
        <v>373</v>
      </c>
      <c r="D876" s="23" t="s">
        <v>463</v>
      </c>
      <c r="E876" s="24">
        <v>19.57</v>
      </c>
      <c r="F876" s="25">
        <v>0</v>
      </c>
      <c r="G876" s="26">
        <v>0</v>
      </c>
      <c r="H876" s="27">
        <v>5</v>
      </c>
      <c r="I876" s="26">
        <v>1</v>
      </c>
      <c r="J876" s="39" t="str">
        <f>HYPERLINK("https://amazon.com/dp/B0BC9S2BR7","View on Amazon")</f>
        <v>View on Amazon</v>
      </c>
      <c r="K876" s="23" t="s">
        <v>463</v>
      </c>
      <c r="L876" s="28" t="s">
        <v>460</v>
      </c>
    </row>
    <row r="877" spans="1:12" ht="51" x14ac:dyDescent="0.2">
      <c r="A877" s="13" t="s">
        <v>2208</v>
      </c>
      <c r="B877" s="14" t="s">
        <v>2209</v>
      </c>
      <c r="C877" s="15" t="s">
        <v>54</v>
      </c>
      <c r="D877" s="15" t="s">
        <v>463</v>
      </c>
      <c r="E877" s="16">
        <v>224.99</v>
      </c>
      <c r="F877" s="17">
        <v>0</v>
      </c>
      <c r="G877" s="18">
        <v>0</v>
      </c>
      <c r="H877" s="19">
        <v>5</v>
      </c>
      <c r="I877" s="18">
        <v>4</v>
      </c>
      <c r="J877" s="38" t="str">
        <f>HYPERLINK("https://amazon.com/dp/B0DY7PQ72Z","View on Amazon")</f>
        <v>View on Amazon</v>
      </c>
      <c r="K877" s="15" t="s">
        <v>463</v>
      </c>
      <c r="L877" s="20" t="s">
        <v>460</v>
      </c>
    </row>
    <row r="878" spans="1:12" ht="51" x14ac:dyDescent="0.2">
      <c r="A878" s="21" t="s">
        <v>2210</v>
      </c>
      <c r="B878" s="22" t="s">
        <v>2211</v>
      </c>
      <c r="C878" s="23" t="s">
        <v>311</v>
      </c>
      <c r="D878" s="23" t="s">
        <v>463</v>
      </c>
      <c r="E878" s="24">
        <v>59.98</v>
      </c>
      <c r="F878" s="25">
        <v>0</v>
      </c>
      <c r="G878" s="26">
        <v>0</v>
      </c>
      <c r="H878" s="27">
        <v>3.6</v>
      </c>
      <c r="I878" s="26">
        <v>22</v>
      </c>
      <c r="J878" s="39" t="str">
        <f>HYPERLINK("https://amazon.com/dp/B09J4S3CZL","View on Amazon")</f>
        <v>View on Amazon</v>
      </c>
      <c r="K878" s="23" t="s">
        <v>463</v>
      </c>
      <c r="L878" s="28" t="s">
        <v>220</v>
      </c>
    </row>
    <row r="879" spans="1:12" ht="51" x14ac:dyDescent="0.2">
      <c r="A879" s="13" t="s">
        <v>2212</v>
      </c>
      <c r="B879" s="14" t="s">
        <v>2213</v>
      </c>
      <c r="C879" s="15" t="s">
        <v>184</v>
      </c>
      <c r="D879" s="15" t="s">
        <v>463</v>
      </c>
      <c r="E879" s="16">
        <v>599</v>
      </c>
      <c r="F879" s="17">
        <v>0</v>
      </c>
      <c r="G879" s="18">
        <v>0</v>
      </c>
      <c r="H879" s="19">
        <v>0</v>
      </c>
      <c r="I879" s="18">
        <v>0</v>
      </c>
      <c r="J879" s="38" t="str">
        <f>HYPERLINK("https://amazon.com/dp/B0CPR9ZWGM","View on Amazon")</f>
        <v>View on Amazon</v>
      </c>
      <c r="K879" s="15" t="s">
        <v>463</v>
      </c>
      <c r="L879" s="20" t="s">
        <v>460</v>
      </c>
    </row>
    <row r="880" spans="1:12" ht="51" x14ac:dyDescent="0.2">
      <c r="A880" s="21" t="s">
        <v>2214</v>
      </c>
      <c r="B880" s="22" t="s">
        <v>2215</v>
      </c>
      <c r="C880" s="23" t="s">
        <v>235</v>
      </c>
      <c r="D880" s="23" t="s">
        <v>463</v>
      </c>
      <c r="E880" s="24">
        <v>55.26</v>
      </c>
      <c r="F880" s="25">
        <v>0</v>
      </c>
      <c r="G880" s="26">
        <v>0</v>
      </c>
      <c r="H880" s="27">
        <v>0</v>
      </c>
      <c r="I880" s="26">
        <v>0</v>
      </c>
      <c r="J880" s="39" t="str">
        <f>HYPERLINK("https://amazon.com/dp/B0CX8NV8SG","View on Amazon")</f>
        <v>View on Amazon</v>
      </c>
      <c r="K880" s="23" t="s">
        <v>463</v>
      </c>
      <c r="L880" s="28" t="s">
        <v>1297</v>
      </c>
    </row>
    <row r="881" spans="1:12" ht="51" x14ac:dyDescent="0.2">
      <c r="A881" s="13" t="s">
        <v>2216</v>
      </c>
      <c r="B881" s="14" t="s">
        <v>2217</v>
      </c>
      <c r="C881" s="15" t="s">
        <v>374</v>
      </c>
      <c r="D881" s="15" t="s">
        <v>463</v>
      </c>
      <c r="E881" s="16">
        <v>39.99</v>
      </c>
      <c r="F881" s="17">
        <v>0</v>
      </c>
      <c r="G881" s="18">
        <v>0</v>
      </c>
      <c r="H881" s="19">
        <v>4</v>
      </c>
      <c r="I881" s="18">
        <v>272</v>
      </c>
      <c r="J881" s="38" t="str">
        <f>HYPERLINK("https://amazon.com/dp/B081CWC47R","View on Amazon")</f>
        <v>View on Amazon</v>
      </c>
      <c r="K881" s="15" t="s">
        <v>463</v>
      </c>
      <c r="L881" s="20" t="s">
        <v>460</v>
      </c>
    </row>
    <row r="882" spans="1:12" ht="68" x14ac:dyDescent="0.2">
      <c r="A882" s="21" t="s">
        <v>2218</v>
      </c>
      <c r="B882" s="22" t="s">
        <v>2219</v>
      </c>
      <c r="C882" s="23" t="s">
        <v>54</v>
      </c>
      <c r="D882" s="23" t="s">
        <v>463</v>
      </c>
      <c r="E882" s="24">
        <v>109.79</v>
      </c>
      <c r="F882" s="25">
        <v>0</v>
      </c>
      <c r="G882" s="26">
        <v>0</v>
      </c>
      <c r="H882" s="27">
        <v>4.4000000000000004</v>
      </c>
      <c r="I882" s="26">
        <v>35</v>
      </c>
      <c r="J882" s="39" t="str">
        <f>HYPERLINK("https://amazon.com/dp/B0F9KVBYRD","View on Amazon")</f>
        <v>View on Amazon</v>
      </c>
      <c r="K882" s="23" t="s">
        <v>463</v>
      </c>
      <c r="L882" s="28" t="s">
        <v>460</v>
      </c>
    </row>
    <row r="883" spans="1:12" ht="51" x14ac:dyDescent="0.2">
      <c r="A883" s="13" t="s">
        <v>2220</v>
      </c>
      <c r="B883" s="14" t="s">
        <v>2221</v>
      </c>
      <c r="C883" s="15" t="s">
        <v>294</v>
      </c>
      <c r="D883" s="15" t="s">
        <v>463</v>
      </c>
      <c r="E883" s="16">
        <v>45.99</v>
      </c>
      <c r="F883" s="17">
        <v>0</v>
      </c>
      <c r="G883" s="18">
        <v>0</v>
      </c>
      <c r="H883" s="19">
        <v>0</v>
      </c>
      <c r="I883" s="18">
        <v>0</v>
      </c>
      <c r="J883" s="38" t="str">
        <f>HYPERLINK("https://amazon.com/dp/B0FF2BPDPF","View on Amazon")</f>
        <v>View on Amazon</v>
      </c>
      <c r="K883" s="15" t="s">
        <v>463</v>
      </c>
      <c r="L883" s="20" t="s">
        <v>220</v>
      </c>
    </row>
    <row r="884" spans="1:12" ht="34" x14ac:dyDescent="0.2">
      <c r="A884" s="21" t="s">
        <v>2222</v>
      </c>
      <c r="B884" s="22" t="s">
        <v>2223</v>
      </c>
      <c r="C884" s="23" t="s">
        <v>97</v>
      </c>
      <c r="D884" s="23" t="s">
        <v>459</v>
      </c>
      <c r="E884" s="24">
        <v>170.99</v>
      </c>
      <c r="F884" s="25">
        <v>0</v>
      </c>
      <c r="G884" s="26">
        <v>0</v>
      </c>
      <c r="H884" s="27">
        <v>3.5</v>
      </c>
      <c r="I884" s="26">
        <v>2</v>
      </c>
      <c r="J884" s="39" t="str">
        <f>HYPERLINK("https://amazon.com/dp/B0CHVGR9RN","View on Amazon")</f>
        <v>View on Amazon</v>
      </c>
      <c r="K884" s="23" t="s">
        <v>459</v>
      </c>
      <c r="L884" s="28" t="s">
        <v>460</v>
      </c>
    </row>
    <row r="885" spans="1:12" ht="68" x14ac:dyDescent="0.2">
      <c r="A885" s="13" t="s">
        <v>2224</v>
      </c>
      <c r="B885" s="14" t="s">
        <v>2225</v>
      </c>
      <c r="C885" s="15" t="s">
        <v>375</v>
      </c>
      <c r="D885" s="15" t="s">
        <v>459</v>
      </c>
      <c r="E885" s="16">
        <v>381.53</v>
      </c>
      <c r="F885" s="17">
        <v>0</v>
      </c>
      <c r="G885" s="18">
        <v>0</v>
      </c>
      <c r="H885" s="19">
        <v>0</v>
      </c>
      <c r="I885" s="18">
        <v>0</v>
      </c>
      <c r="J885" s="38" t="str">
        <f>HYPERLINK("https://amazon.com/dp/B07S45NKXZ","View on Amazon")</f>
        <v>View on Amazon</v>
      </c>
      <c r="K885" s="15" t="s">
        <v>459</v>
      </c>
      <c r="L885" s="20" t="s">
        <v>460</v>
      </c>
    </row>
    <row r="886" spans="1:12" ht="51" x14ac:dyDescent="0.2">
      <c r="A886" s="21" t="s">
        <v>2226</v>
      </c>
      <c r="B886" s="22" t="s">
        <v>2227</v>
      </c>
      <c r="C886" s="23" t="s">
        <v>376</v>
      </c>
      <c r="D886" s="23" t="s">
        <v>459</v>
      </c>
      <c r="E886" s="24">
        <v>65.989999999999995</v>
      </c>
      <c r="F886" s="25">
        <v>0</v>
      </c>
      <c r="G886" s="26">
        <v>0</v>
      </c>
      <c r="H886" s="27">
        <v>5</v>
      </c>
      <c r="I886" s="26">
        <v>1</v>
      </c>
      <c r="J886" s="39" t="str">
        <f>HYPERLINK("https://amazon.com/dp/B0CFLS6XMT","View on Amazon")</f>
        <v>View on Amazon</v>
      </c>
      <c r="K886" s="23" t="s">
        <v>459</v>
      </c>
      <c r="L886" s="28" t="s">
        <v>220</v>
      </c>
    </row>
    <row r="887" spans="1:12" ht="51" x14ac:dyDescent="0.2">
      <c r="A887" s="13" t="s">
        <v>2228</v>
      </c>
      <c r="B887" s="14" t="s">
        <v>2229</v>
      </c>
      <c r="C887" s="15" t="s">
        <v>209</v>
      </c>
      <c r="D887" s="15" t="s">
        <v>463</v>
      </c>
      <c r="E887" s="16">
        <v>89.99</v>
      </c>
      <c r="F887" s="17">
        <v>0</v>
      </c>
      <c r="G887" s="18">
        <v>0</v>
      </c>
      <c r="H887" s="19">
        <v>0</v>
      </c>
      <c r="I887" s="18">
        <v>0</v>
      </c>
      <c r="J887" s="38" t="str">
        <f>HYPERLINK("https://amazon.com/dp/B0CZ9QVS8D","View on Amazon")</f>
        <v>View on Amazon</v>
      </c>
      <c r="K887" s="15" t="s">
        <v>463</v>
      </c>
      <c r="L887" s="20" t="s">
        <v>220</v>
      </c>
    </row>
    <row r="888" spans="1:12" ht="34" x14ac:dyDescent="0.2">
      <c r="A888" s="21" t="s">
        <v>2230</v>
      </c>
      <c r="B888" s="22" t="s">
        <v>2231</v>
      </c>
      <c r="C888" s="23" t="s">
        <v>377</v>
      </c>
      <c r="D888" s="23" t="s">
        <v>463</v>
      </c>
      <c r="E888" s="24">
        <v>119</v>
      </c>
      <c r="F888" s="25">
        <v>0</v>
      </c>
      <c r="G888" s="26">
        <v>0</v>
      </c>
      <c r="H888" s="27">
        <v>0</v>
      </c>
      <c r="I888" s="26">
        <v>0</v>
      </c>
      <c r="J888" s="39" t="str">
        <f>HYPERLINK("https://amazon.com/dp/B0FBLMC4ZT","View on Amazon")</f>
        <v>View on Amazon</v>
      </c>
      <c r="K888" s="23" t="s">
        <v>463</v>
      </c>
      <c r="L888" s="28" t="s">
        <v>220</v>
      </c>
    </row>
    <row r="889" spans="1:12" ht="68" x14ac:dyDescent="0.2">
      <c r="A889" s="13" t="s">
        <v>2232</v>
      </c>
      <c r="B889" s="14" t="s">
        <v>2233</v>
      </c>
      <c r="C889" s="15" t="s">
        <v>32</v>
      </c>
      <c r="D889" s="15" t="s">
        <v>463</v>
      </c>
      <c r="E889" s="16">
        <v>999</v>
      </c>
      <c r="F889" s="17">
        <v>0</v>
      </c>
      <c r="G889" s="18">
        <v>0</v>
      </c>
      <c r="H889" s="19">
        <v>0</v>
      </c>
      <c r="I889" s="18">
        <v>0</v>
      </c>
      <c r="J889" s="38" t="str">
        <f>HYPERLINK("https://amazon.com/dp/B0FNYDSM9X","View on Amazon")</f>
        <v>View on Amazon</v>
      </c>
      <c r="K889" s="15" t="s">
        <v>463</v>
      </c>
      <c r="L889" s="20" t="s">
        <v>220</v>
      </c>
    </row>
    <row r="890" spans="1:12" ht="51" x14ac:dyDescent="0.2">
      <c r="A890" s="21" t="s">
        <v>2234</v>
      </c>
      <c r="B890" s="22" t="s">
        <v>2235</v>
      </c>
      <c r="C890" s="23" t="s">
        <v>58</v>
      </c>
      <c r="D890" s="23" t="s">
        <v>463</v>
      </c>
      <c r="E890" s="24">
        <v>219</v>
      </c>
      <c r="F890" s="25">
        <v>0</v>
      </c>
      <c r="G890" s="26">
        <v>0</v>
      </c>
      <c r="H890" s="27">
        <v>0</v>
      </c>
      <c r="I890" s="26">
        <v>0</v>
      </c>
      <c r="J890" s="39" t="str">
        <f>HYPERLINK("https://amazon.com/dp/B0CQ2ZNFPX","View on Amazon")</f>
        <v>View on Amazon</v>
      </c>
      <c r="K890" s="23" t="s">
        <v>463</v>
      </c>
      <c r="L890" s="28" t="s">
        <v>220</v>
      </c>
    </row>
    <row r="891" spans="1:12" ht="68" x14ac:dyDescent="0.2">
      <c r="A891" s="13" t="s">
        <v>2236</v>
      </c>
      <c r="B891" s="14" t="s">
        <v>2237</v>
      </c>
      <c r="C891" s="15" t="s">
        <v>378</v>
      </c>
      <c r="D891" s="15" t="s">
        <v>463</v>
      </c>
      <c r="E891" s="16">
        <v>29.9</v>
      </c>
      <c r="F891" s="17">
        <v>0</v>
      </c>
      <c r="G891" s="18">
        <v>0</v>
      </c>
      <c r="H891" s="19">
        <v>0</v>
      </c>
      <c r="I891" s="18">
        <v>0</v>
      </c>
      <c r="J891" s="38" t="str">
        <f>HYPERLINK("https://amazon.com/dp/B0BKFHHFM2","View on Amazon")</f>
        <v>View on Amazon</v>
      </c>
      <c r="K891" s="15" t="s">
        <v>463</v>
      </c>
      <c r="L891" s="20" t="s">
        <v>220</v>
      </c>
    </row>
    <row r="892" spans="1:12" ht="51" x14ac:dyDescent="0.2">
      <c r="A892" s="21" t="s">
        <v>2238</v>
      </c>
      <c r="B892" s="22" t="s">
        <v>2239</v>
      </c>
      <c r="C892" s="23" t="s">
        <v>209</v>
      </c>
      <c r="D892" s="23" t="s">
        <v>463</v>
      </c>
      <c r="E892" s="24">
        <v>129.66</v>
      </c>
      <c r="F892" s="25">
        <v>0</v>
      </c>
      <c r="G892" s="26">
        <v>0</v>
      </c>
      <c r="H892" s="27">
        <v>0</v>
      </c>
      <c r="I892" s="26">
        <v>0</v>
      </c>
      <c r="J892" s="39" t="str">
        <f>HYPERLINK("https://amazon.com/dp/B0DC45CZMX","View on Amazon")</f>
        <v>View on Amazon</v>
      </c>
      <c r="K892" s="23" t="s">
        <v>463</v>
      </c>
      <c r="L892" s="28" t="s">
        <v>220</v>
      </c>
    </row>
    <row r="893" spans="1:12" ht="34" x14ac:dyDescent="0.2">
      <c r="A893" s="13" t="s">
        <v>2240</v>
      </c>
      <c r="B893" s="14" t="s">
        <v>2241</v>
      </c>
      <c r="C893" s="15" t="s">
        <v>379</v>
      </c>
      <c r="D893" s="15" t="s">
        <v>459</v>
      </c>
      <c r="E893" s="16">
        <v>9.77</v>
      </c>
      <c r="F893" s="17">
        <v>0</v>
      </c>
      <c r="G893" s="18">
        <v>0</v>
      </c>
      <c r="H893" s="19">
        <v>0</v>
      </c>
      <c r="I893" s="18">
        <v>0</v>
      </c>
      <c r="J893" s="38" t="str">
        <f>HYPERLINK("https://amazon.com/dp/B0DKFWLQG7","View on Amazon")</f>
        <v>View on Amazon</v>
      </c>
      <c r="K893" s="15" t="s">
        <v>459</v>
      </c>
      <c r="L893" s="20" t="s">
        <v>220</v>
      </c>
    </row>
    <row r="894" spans="1:12" ht="17" x14ac:dyDescent="0.2">
      <c r="A894" s="21" t="s">
        <v>2242</v>
      </c>
      <c r="B894" s="22" t="s">
        <v>2243</v>
      </c>
      <c r="C894" s="23" t="s">
        <v>53</v>
      </c>
      <c r="D894" s="23" t="s">
        <v>463</v>
      </c>
      <c r="E894" s="24">
        <v>315</v>
      </c>
      <c r="F894" s="25">
        <v>0</v>
      </c>
      <c r="G894" s="26">
        <v>0</v>
      </c>
      <c r="H894" s="27">
        <v>0</v>
      </c>
      <c r="I894" s="26">
        <v>0</v>
      </c>
      <c r="J894" s="39" t="str">
        <f>HYPERLINK("https://amazon.com/dp/B08TV8K3J3","View on Amazon")</f>
        <v>View on Amazon</v>
      </c>
      <c r="K894" s="23" t="s">
        <v>463</v>
      </c>
      <c r="L894" s="28" t="s">
        <v>220</v>
      </c>
    </row>
    <row r="895" spans="1:12" ht="68" x14ac:dyDescent="0.2">
      <c r="A895" s="13" t="s">
        <v>2244</v>
      </c>
      <c r="B895" s="14" t="s">
        <v>2245</v>
      </c>
      <c r="C895" s="15" t="s">
        <v>140</v>
      </c>
      <c r="D895" s="15" t="s">
        <v>463</v>
      </c>
      <c r="E895" s="16">
        <v>299.99</v>
      </c>
      <c r="F895" s="17">
        <v>0</v>
      </c>
      <c r="G895" s="18">
        <v>0</v>
      </c>
      <c r="H895" s="19">
        <v>0</v>
      </c>
      <c r="I895" s="18">
        <v>0</v>
      </c>
      <c r="J895" s="38" t="str">
        <f>HYPERLINK("https://amazon.com/dp/B0DHP3H72R","View on Amazon")</f>
        <v>View on Amazon</v>
      </c>
      <c r="K895" s="15" t="s">
        <v>463</v>
      </c>
      <c r="L895" s="20" t="s">
        <v>220</v>
      </c>
    </row>
    <row r="896" spans="1:12" ht="68" x14ac:dyDescent="0.2">
      <c r="A896" s="21" t="s">
        <v>2246</v>
      </c>
      <c r="B896" s="22" t="s">
        <v>2247</v>
      </c>
      <c r="C896" s="23" t="s">
        <v>380</v>
      </c>
      <c r="D896" s="23" t="s">
        <v>463</v>
      </c>
      <c r="E896" s="24">
        <v>72</v>
      </c>
      <c r="F896" s="25">
        <v>0</v>
      </c>
      <c r="G896" s="26">
        <v>0</v>
      </c>
      <c r="H896" s="27">
        <v>4</v>
      </c>
      <c r="I896" s="26">
        <v>1</v>
      </c>
      <c r="J896" s="39" t="str">
        <f>HYPERLINK("https://amazon.com/dp/B0C8MK527L","View on Amazon")</f>
        <v>View on Amazon</v>
      </c>
      <c r="K896" s="23" t="s">
        <v>463</v>
      </c>
      <c r="L896" s="28" t="s">
        <v>460</v>
      </c>
    </row>
    <row r="897" spans="1:12" ht="34" x14ac:dyDescent="0.2">
      <c r="A897" s="13" t="s">
        <v>2248</v>
      </c>
      <c r="B897" s="14" t="s">
        <v>2249</v>
      </c>
      <c r="C897" s="15" t="s">
        <v>202</v>
      </c>
      <c r="D897" s="15" t="s">
        <v>463</v>
      </c>
      <c r="E897" s="16">
        <v>64.98</v>
      </c>
      <c r="F897" s="17">
        <v>0</v>
      </c>
      <c r="G897" s="18">
        <v>0</v>
      </c>
      <c r="H897" s="19">
        <v>5</v>
      </c>
      <c r="I897" s="18">
        <v>1</v>
      </c>
      <c r="J897" s="38" t="str">
        <f>HYPERLINK("https://amazon.com/dp/B077F892XV","View on Amazon")</f>
        <v>View on Amazon</v>
      </c>
      <c r="K897" s="15" t="s">
        <v>463</v>
      </c>
      <c r="L897" s="20" t="s">
        <v>460</v>
      </c>
    </row>
    <row r="898" spans="1:12" ht="68" x14ac:dyDescent="0.2">
      <c r="A898" s="21" t="s">
        <v>2250</v>
      </c>
      <c r="B898" s="22" t="s">
        <v>2251</v>
      </c>
      <c r="C898" s="23" t="s">
        <v>381</v>
      </c>
      <c r="D898" s="23" t="s">
        <v>463</v>
      </c>
      <c r="E898" s="24">
        <v>20.49</v>
      </c>
      <c r="F898" s="25">
        <v>0</v>
      </c>
      <c r="G898" s="26">
        <v>0</v>
      </c>
      <c r="H898" s="27">
        <v>0</v>
      </c>
      <c r="I898" s="26">
        <v>0</v>
      </c>
      <c r="J898" s="39" t="str">
        <f>HYPERLINK("https://amazon.com/dp/B0DK341DQ3","View on Amazon")</f>
        <v>View on Amazon</v>
      </c>
      <c r="K898" s="23" t="s">
        <v>463</v>
      </c>
      <c r="L898" s="28" t="s">
        <v>460</v>
      </c>
    </row>
    <row r="899" spans="1:12" ht="51" x14ac:dyDescent="0.2">
      <c r="A899" s="13" t="s">
        <v>2252</v>
      </c>
      <c r="B899" s="14" t="s">
        <v>2253</v>
      </c>
      <c r="C899" s="15" t="s">
        <v>246</v>
      </c>
      <c r="D899" s="15" t="s">
        <v>463</v>
      </c>
      <c r="E899" s="16">
        <v>149.99</v>
      </c>
      <c r="F899" s="17">
        <v>0</v>
      </c>
      <c r="G899" s="18">
        <v>0</v>
      </c>
      <c r="H899" s="19">
        <v>0</v>
      </c>
      <c r="I899" s="18">
        <v>0</v>
      </c>
      <c r="J899" s="38" t="str">
        <f>HYPERLINK("https://amazon.com/dp/B0CKT862WD","View on Amazon")</f>
        <v>View on Amazon</v>
      </c>
      <c r="K899" s="15" t="s">
        <v>463</v>
      </c>
      <c r="L899" s="20" t="s">
        <v>460</v>
      </c>
    </row>
    <row r="900" spans="1:12" ht="51" x14ac:dyDescent="0.2">
      <c r="A900" s="21" t="s">
        <v>2254</v>
      </c>
      <c r="B900" s="22" t="s">
        <v>2255</v>
      </c>
      <c r="C900" s="23" t="s">
        <v>165</v>
      </c>
      <c r="D900" s="23" t="s">
        <v>463</v>
      </c>
      <c r="E900" s="24">
        <v>79.95</v>
      </c>
      <c r="F900" s="25">
        <v>0</v>
      </c>
      <c r="G900" s="26">
        <v>0</v>
      </c>
      <c r="H900" s="27">
        <v>4</v>
      </c>
      <c r="I900" s="26">
        <v>138</v>
      </c>
      <c r="J900" s="39" t="str">
        <f>HYPERLINK("https://amazon.com/dp/B000Y8DY1K","View on Amazon")</f>
        <v>View on Amazon</v>
      </c>
      <c r="K900" s="23" t="s">
        <v>463</v>
      </c>
      <c r="L900" s="28" t="s">
        <v>460</v>
      </c>
    </row>
    <row r="901" spans="1:12" ht="51" x14ac:dyDescent="0.2">
      <c r="A901" s="13" t="s">
        <v>2256</v>
      </c>
      <c r="B901" s="14" t="s">
        <v>2257</v>
      </c>
      <c r="C901" s="15" t="s">
        <v>368</v>
      </c>
      <c r="D901" s="15" t="s">
        <v>503</v>
      </c>
      <c r="E901" s="16">
        <v>189.99</v>
      </c>
      <c r="F901" s="17">
        <v>0</v>
      </c>
      <c r="G901" s="18">
        <v>0</v>
      </c>
      <c r="H901" s="19">
        <v>0</v>
      </c>
      <c r="I901" s="18">
        <v>0</v>
      </c>
      <c r="J901" s="38" t="str">
        <f>HYPERLINK("https://amazon.com/dp/B0CWZYRB8L","View on Amazon")</f>
        <v>View on Amazon</v>
      </c>
      <c r="K901" s="15" t="s">
        <v>503</v>
      </c>
      <c r="L901" s="20" t="s">
        <v>220</v>
      </c>
    </row>
    <row r="902" spans="1:12" ht="51" x14ac:dyDescent="0.2">
      <c r="A902" s="21" t="s">
        <v>2258</v>
      </c>
      <c r="B902" s="22" t="s">
        <v>2259</v>
      </c>
      <c r="C902" s="23" t="s">
        <v>341</v>
      </c>
      <c r="D902" s="23" t="s">
        <v>463</v>
      </c>
      <c r="E902" s="24">
        <v>59.99</v>
      </c>
      <c r="F902" s="25">
        <v>0</v>
      </c>
      <c r="G902" s="26">
        <v>0</v>
      </c>
      <c r="H902" s="27">
        <v>0</v>
      </c>
      <c r="I902" s="26">
        <v>0</v>
      </c>
      <c r="J902" s="39" t="str">
        <f>HYPERLINK("https://amazon.com/dp/B0CN45RQVS","View on Amazon")</f>
        <v>View on Amazon</v>
      </c>
      <c r="K902" s="23" t="s">
        <v>463</v>
      </c>
      <c r="L902" s="28" t="s">
        <v>220</v>
      </c>
    </row>
    <row r="903" spans="1:12" ht="68" x14ac:dyDescent="0.2">
      <c r="A903" s="13" t="s">
        <v>2260</v>
      </c>
      <c r="B903" s="14" t="s">
        <v>2261</v>
      </c>
      <c r="C903" s="15" t="s">
        <v>151</v>
      </c>
      <c r="D903" s="15" t="s">
        <v>463</v>
      </c>
      <c r="E903" s="16">
        <v>169</v>
      </c>
      <c r="F903" s="17">
        <v>0</v>
      </c>
      <c r="G903" s="18">
        <v>0</v>
      </c>
      <c r="H903" s="19">
        <v>0</v>
      </c>
      <c r="I903" s="18">
        <v>0</v>
      </c>
      <c r="J903" s="38" t="str">
        <f>HYPERLINK("https://amazon.com/dp/B0CXJKM2KJ","View on Amazon")</f>
        <v>View on Amazon</v>
      </c>
      <c r="K903" s="15" t="s">
        <v>463</v>
      </c>
      <c r="L903" s="20" t="s">
        <v>460</v>
      </c>
    </row>
    <row r="904" spans="1:12" ht="51" x14ac:dyDescent="0.2">
      <c r="A904" s="21" t="s">
        <v>2262</v>
      </c>
      <c r="B904" s="22" t="s">
        <v>2263</v>
      </c>
      <c r="C904" s="23" t="s">
        <v>382</v>
      </c>
      <c r="D904" s="23" t="s">
        <v>459</v>
      </c>
      <c r="E904" s="24">
        <v>66</v>
      </c>
      <c r="F904" s="25">
        <v>0</v>
      </c>
      <c r="G904" s="26">
        <v>0</v>
      </c>
      <c r="H904" s="27">
        <v>0</v>
      </c>
      <c r="I904" s="26">
        <v>0</v>
      </c>
      <c r="J904" s="39" t="str">
        <f>HYPERLINK("https://amazon.com/dp/B0DPJ6YYZG","View on Amazon")</f>
        <v>View on Amazon</v>
      </c>
      <c r="K904" s="23" t="s">
        <v>459</v>
      </c>
      <c r="L904" s="28" t="s">
        <v>220</v>
      </c>
    </row>
    <row r="905" spans="1:12" ht="34" x14ac:dyDescent="0.2">
      <c r="A905" s="13" t="s">
        <v>2264</v>
      </c>
      <c r="B905" s="14" t="s">
        <v>2265</v>
      </c>
      <c r="C905" s="15" t="s">
        <v>202</v>
      </c>
      <c r="D905" s="15" t="s">
        <v>463</v>
      </c>
      <c r="E905" s="16">
        <v>39.99</v>
      </c>
      <c r="F905" s="17">
        <v>0</v>
      </c>
      <c r="G905" s="18">
        <v>0</v>
      </c>
      <c r="H905" s="19">
        <v>3.9</v>
      </c>
      <c r="I905" s="18">
        <v>30</v>
      </c>
      <c r="J905" s="38" t="str">
        <f>HYPERLINK("https://amazon.com/dp/B07X2JSYLY","View on Amazon")</f>
        <v>View on Amazon</v>
      </c>
      <c r="K905" s="15" t="s">
        <v>463</v>
      </c>
      <c r="L905" s="20" t="s">
        <v>220</v>
      </c>
    </row>
    <row r="906" spans="1:12" ht="51" x14ac:dyDescent="0.2">
      <c r="A906" s="21" t="s">
        <v>2266</v>
      </c>
      <c r="B906" s="22" t="s">
        <v>2267</v>
      </c>
      <c r="C906" s="23" t="s">
        <v>383</v>
      </c>
      <c r="D906" s="23" t="s">
        <v>459</v>
      </c>
      <c r="E906" s="24">
        <v>198.89</v>
      </c>
      <c r="F906" s="25">
        <v>0</v>
      </c>
      <c r="G906" s="26">
        <v>0</v>
      </c>
      <c r="H906" s="27">
        <v>0</v>
      </c>
      <c r="I906" s="26">
        <v>0</v>
      </c>
      <c r="J906" s="39" t="str">
        <f>HYPERLINK("https://amazon.com/dp/B0FLTSR7BF","View on Amazon")</f>
        <v>View on Amazon</v>
      </c>
      <c r="K906" s="23" t="s">
        <v>459</v>
      </c>
      <c r="L906" s="28" t="s">
        <v>220</v>
      </c>
    </row>
    <row r="907" spans="1:12" ht="68" x14ac:dyDescent="0.2">
      <c r="A907" s="13" t="s">
        <v>2268</v>
      </c>
      <c r="B907" s="14" t="s">
        <v>2269</v>
      </c>
      <c r="C907" s="15" t="s">
        <v>363</v>
      </c>
      <c r="D907" s="15" t="s">
        <v>459</v>
      </c>
      <c r="E907" s="16">
        <v>118.27</v>
      </c>
      <c r="F907" s="17">
        <v>0</v>
      </c>
      <c r="G907" s="18">
        <v>0</v>
      </c>
      <c r="H907" s="19">
        <v>4</v>
      </c>
      <c r="I907" s="18">
        <v>1</v>
      </c>
      <c r="J907" s="38" t="str">
        <f>HYPERLINK("https://amazon.com/dp/B0DPCCJFFT","View on Amazon")</f>
        <v>View on Amazon</v>
      </c>
      <c r="K907" s="15" t="s">
        <v>459</v>
      </c>
      <c r="L907" s="20" t="s">
        <v>220</v>
      </c>
    </row>
    <row r="908" spans="1:12" ht="68" x14ac:dyDescent="0.2">
      <c r="A908" s="21" t="s">
        <v>2270</v>
      </c>
      <c r="B908" s="22" t="s">
        <v>2271</v>
      </c>
      <c r="C908" s="23" t="s">
        <v>384</v>
      </c>
      <c r="D908" s="23" t="s">
        <v>459</v>
      </c>
      <c r="E908" s="24">
        <v>41.39</v>
      </c>
      <c r="F908" s="25">
        <v>0</v>
      </c>
      <c r="G908" s="26">
        <v>0</v>
      </c>
      <c r="H908" s="27">
        <v>0</v>
      </c>
      <c r="I908" s="26">
        <v>0</v>
      </c>
      <c r="J908" s="39" t="str">
        <f>HYPERLINK("https://amazon.com/dp/B0CTMJZWTJ","View on Amazon")</f>
        <v>View on Amazon</v>
      </c>
      <c r="K908" s="23" t="s">
        <v>459</v>
      </c>
      <c r="L908" s="28" t="s">
        <v>460</v>
      </c>
    </row>
    <row r="909" spans="1:12" ht="51" x14ac:dyDescent="0.2">
      <c r="A909" s="13" t="s">
        <v>2272</v>
      </c>
      <c r="B909" s="14" t="s">
        <v>2273</v>
      </c>
      <c r="C909" s="15" t="s">
        <v>235</v>
      </c>
      <c r="D909" s="15" t="s">
        <v>459</v>
      </c>
      <c r="E909" s="16">
        <v>48.62</v>
      </c>
      <c r="F909" s="17">
        <v>0</v>
      </c>
      <c r="G909" s="18">
        <v>0</v>
      </c>
      <c r="H909" s="19">
        <v>0</v>
      </c>
      <c r="I909" s="18">
        <v>0</v>
      </c>
      <c r="J909" s="38" t="str">
        <f>HYPERLINK("https://amazon.com/dp/B0CX8D3SQV","View on Amazon")</f>
        <v>View on Amazon</v>
      </c>
      <c r="K909" s="15" t="s">
        <v>459</v>
      </c>
      <c r="L909" s="20" t="s">
        <v>1297</v>
      </c>
    </row>
    <row r="910" spans="1:12" ht="17" x14ac:dyDescent="0.2">
      <c r="A910" s="21" t="s">
        <v>2274</v>
      </c>
      <c r="B910" s="22" t="s">
        <v>2275</v>
      </c>
      <c r="C910" s="23" t="s">
        <v>385</v>
      </c>
      <c r="D910" s="23" t="s">
        <v>463</v>
      </c>
      <c r="E910" s="24">
        <v>89.99</v>
      </c>
      <c r="F910" s="25">
        <v>0</v>
      </c>
      <c r="G910" s="26">
        <v>0</v>
      </c>
      <c r="H910" s="27">
        <v>5</v>
      </c>
      <c r="I910" s="26">
        <v>1</v>
      </c>
      <c r="J910" s="39" t="str">
        <f>HYPERLINK("https://amazon.com/dp/B091CZ8KH4","View on Amazon")</f>
        <v>View on Amazon</v>
      </c>
      <c r="K910" s="23" t="s">
        <v>463</v>
      </c>
      <c r="L910" s="28" t="s">
        <v>220</v>
      </c>
    </row>
    <row r="911" spans="1:12" ht="51" x14ac:dyDescent="0.2">
      <c r="A911" s="13" t="s">
        <v>2276</v>
      </c>
      <c r="B911" s="14" t="s">
        <v>2277</v>
      </c>
      <c r="C911" s="15" t="s">
        <v>88</v>
      </c>
      <c r="D911" s="15" t="s">
        <v>459</v>
      </c>
      <c r="E911" s="16">
        <v>130</v>
      </c>
      <c r="F911" s="17">
        <v>0</v>
      </c>
      <c r="G911" s="18">
        <v>0</v>
      </c>
      <c r="H911" s="19">
        <v>4.5999999999999996</v>
      </c>
      <c r="I911" s="18">
        <v>3</v>
      </c>
      <c r="J911" s="38" t="str">
        <f>HYPERLINK("https://amazon.com/dp/B0BY2XD17D","View on Amazon")</f>
        <v>View on Amazon</v>
      </c>
      <c r="K911" s="15" t="s">
        <v>459</v>
      </c>
      <c r="L911" s="20" t="s">
        <v>460</v>
      </c>
    </row>
    <row r="912" spans="1:12" ht="51" x14ac:dyDescent="0.2">
      <c r="A912" s="21" t="s">
        <v>2278</v>
      </c>
      <c r="B912" s="22" t="s">
        <v>2279</v>
      </c>
      <c r="C912" s="23" t="s">
        <v>140</v>
      </c>
      <c r="D912" s="23" t="s">
        <v>459</v>
      </c>
      <c r="E912" s="24">
        <v>154.99</v>
      </c>
      <c r="F912" s="25">
        <v>0</v>
      </c>
      <c r="G912" s="26">
        <v>0</v>
      </c>
      <c r="H912" s="27">
        <v>1</v>
      </c>
      <c r="I912" s="26">
        <v>1</v>
      </c>
      <c r="J912" s="39" t="str">
        <f>HYPERLINK("https://amazon.com/dp/B0DXL2GWHL","View on Amazon")</f>
        <v>View on Amazon</v>
      </c>
      <c r="K912" s="23" t="s">
        <v>459</v>
      </c>
      <c r="L912" s="28" t="s">
        <v>220</v>
      </c>
    </row>
    <row r="913" spans="1:12" ht="51" x14ac:dyDescent="0.2">
      <c r="A913" s="13" t="s">
        <v>2280</v>
      </c>
      <c r="B913" s="14" t="s">
        <v>2281</v>
      </c>
      <c r="C913" s="15" t="s">
        <v>294</v>
      </c>
      <c r="D913" s="15" t="s">
        <v>463</v>
      </c>
      <c r="E913" s="16">
        <v>18.989999999999998</v>
      </c>
      <c r="F913" s="17">
        <v>0</v>
      </c>
      <c r="G913" s="18">
        <v>0</v>
      </c>
      <c r="H913" s="19">
        <v>0</v>
      </c>
      <c r="I913" s="18">
        <v>0</v>
      </c>
      <c r="J913" s="38" t="str">
        <f>HYPERLINK("https://amazon.com/dp/B0FF1ZNJXZ","View on Amazon")</f>
        <v>View on Amazon</v>
      </c>
      <c r="K913" s="15" t="s">
        <v>463</v>
      </c>
      <c r="L913" s="20" t="s">
        <v>220</v>
      </c>
    </row>
    <row r="914" spans="1:12" ht="51" x14ac:dyDescent="0.2">
      <c r="A914" s="21" t="s">
        <v>2282</v>
      </c>
      <c r="B914" s="22" t="s">
        <v>2283</v>
      </c>
      <c r="C914" s="23" t="s">
        <v>131</v>
      </c>
      <c r="D914" s="23" t="s">
        <v>463</v>
      </c>
      <c r="E914" s="24">
        <v>199.99</v>
      </c>
      <c r="F914" s="25">
        <v>0</v>
      </c>
      <c r="G914" s="26">
        <v>0</v>
      </c>
      <c r="H914" s="27">
        <v>0</v>
      </c>
      <c r="I914" s="26">
        <v>0</v>
      </c>
      <c r="J914" s="39" t="str">
        <f>HYPERLINK("https://amazon.com/dp/B0DM958GLP","View on Amazon")</f>
        <v>View on Amazon</v>
      </c>
      <c r="K914" s="23" t="s">
        <v>463</v>
      </c>
      <c r="L914" s="28" t="s">
        <v>220</v>
      </c>
    </row>
    <row r="915" spans="1:12" ht="68" x14ac:dyDescent="0.2">
      <c r="A915" s="13" t="s">
        <v>2284</v>
      </c>
      <c r="B915" s="14" t="s">
        <v>2285</v>
      </c>
      <c r="C915" s="15" t="s">
        <v>368</v>
      </c>
      <c r="D915" s="15" t="s">
        <v>463</v>
      </c>
      <c r="E915" s="16">
        <v>179.99</v>
      </c>
      <c r="F915" s="17">
        <v>0</v>
      </c>
      <c r="G915" s="18">
        <v>0</v>
      </c>
      <c r="H915" s="19">
        <v>0</v>
      </c>
      <c r="I915" s="18">
        <v>0</v>
      </c>
      <c r="J915" s="38" t="str">
        <f>HYPERLINK("https://amazon.com/dp/B0CX13WTKH","View on Amazon")</f>
        <v>View on Amazon</v>
      </c>
      <c r="K915" s="15" t="s">
        <v>463</v>
      </c>
      <c r="L915" s="20" t="s">
        <v>220</v>
      </c>
    </row>
    <row r="916" spans="1:12" ht="34" x14ac:dyDescent="0.2">
      <c r="A916" s="21" t="s">
        <v>2286</v>
      </c>
      <c r="B916" s="22" t="s">
        <v>2287</v>
      </c>
      <c r="C916" s="23" t="s">
        <v>257</v>
      </c>
      <c r="D916" s="23" t="s">
        <v>463</v>
      </c>
      <c r="E916" s="24">
        <v>12.99</v>
      </c>
      <c r="F916" s="25">
        <v>0</v>
      </c>
      <c r="G916" s="26">
        <v>0</v>
      </c>
      <c r="H916" s="27">
        <v>0</v>
      </c>
      <c r="I916" s="26">
        <v>0</v>
      </c>
      <c r="J916" s="39" t="str">
        <f>HYPERLINK("https://amazon.com/dp/B0DD7J1XVT","View on Amazon")</f>
        <v>View on Amazon</v>
      </c>
      <c r="K916" s="23" t="s">
        <v>463</v>
      </c>
      <c r="L916" s="28" t="s">
        <v>460</v>
      </c>
    </row>
    <row r="917" spans="1:12" ht="51" x14ac:dyDescent="0.2">
      <c r="A917" s="13" t="s">
        <v>2288</v>
      </c>
      <c r="B917" s="14" t="s">
        <v>2289</v>
      </c>
      <c r="C917" s="15" t="s">
        <v>102</v>
      </c>
      <c r="D917" s="15" t="s">
        <v>463</v>
      </c>
      <c r="E917" s="16">
        <v>299</v>
      </c>
      <c r="F917" s="17">
        <v>0</v>
      </c>
      <c r="G917" s="18">
        <v>0</v>
      </c>
      <c r="H917" s="19">
        <v>0</v>
      </c>
      <c r="I917" s="18">
        <v>0</v>
      </c>
      <c r="J917" s="38" t="str">
        <f>HYPERLINK("https://amazon.com/dp/B0D9GBDFK9","View on Amazon")</f>
        <v>View on Amazon</v>
      </c>
      <c r="K917" s="15" t="s">
        <v>463</v>
      </c>
      <c r="L917" s="20" t="s">
        <v>220</v>
      </c>
    </row>
    <row r="918" spans="1:12" ht="34" x14ac:dyDescent="0.2">
      <c r="A918" s="21" t="s">
        <v>2290</v>
      </c>
      <c r="B918" s="22" t="s">
        <v>2291</v>
      </c>
      <c r="C918" s="23" t="s">
        <v>386</v>
      </c>
      <c r="D918" s="23" t="s">
        <v>459</v>
      </c>
      <c r="E918" s="24">
        <v>102.28</v>
      </c>
      <c r="F918" s="25">
        <v>0</v>
      </c>
      <c r="G918" s="26">
        <v>0</v>
      </c>
      <c r="H918" s="27">
        <v>0</v>
      </c>
      <c r="I918" s="26">
        <v>0</v>
      </c>
      <c r="J918" s="39" t="str">
        <f>HYPERLINK("https://amazon.com/dp/B0CX4PWR6S","View on Amazon")</f>
        <v>View on Amazon</v>
      </c>
      <c r="K918" s="23" t="s">
        <v>459</v>
      </c>
      <c r="L918" s="28" t="s">
        <v>220</v>
      </c>
    </row>
    <row r="919" spans="1:12" ht="51" x14ac:dyDescent="0.2">
      <c r="A919" s="13" t="s">
        <v>2292</v>
      </c>
      <c r="B919" s="14" t="s">
        <v>2293</v>
      </c>
      <c r="C919" s="15" t="s">
        <v>315</v>
      </c>
      <c r="D919" s="15" t="s">
        <v>459</v>
      </c>
      <c r="E919" s="16">
        <v>119</v>
      </c>
      <c r="F919" s="17">
        <v>0</v>
      </c>
      <c r="G919" s="18">
        <v>0</v>
      </c>
      <c r="H919" s="19">
        <v>0</v>
      </c>
      <c r="I919" s="18">
        <v>0</v>
      </c>
      <c r="J919" s="38" t="str">
        <f>HYPERLINK("https://amazon.com/dp/B0CS67LQYQ","View on Amazon")</f>
        <v>View on Amazon</v>
      </c>
      <c r="K919" s="15" t="s">
        <v>459</v>
      </c>
      <c r="L919" s="20" t="s">
        <v>220</v>
      </c>
    </row>
    <row r="920" spans="1:12" ht="17" x14ac:dyDescent="0.2">
      <c r="A920" s="21" t="s">
        <v>2294</v>
      </c>
      <c r="B920" s="22" t="s">
        <v>2295</v>
      </c>
      <c r="C920" s="23" t="s">
        <v>387</v>
      </c>
      <c r="D920" s="23" t="s">
        <v>463</v>
      </c>
      <c r="E920" s="24">
        <v>49.99</v>
      </c>
      <c r="F920" s="25">
        <v>0</v>
      </c>
      <c r="G920" s="26">
        <v>0</v>
      </c>
      <c r="H920" s="27">
        <v>0</v>
      </c>
      <c r="I920" s="26">
        <v>0</v>
      </c>
      <c r="J920" s="39" t="str">
        <f>HYPERLINK("https://amazon.com/dp/B07DGKMYN5","View on Amazon")</f>
        <v>View on Amazon</v>
      </c>
      <c r="K920" s="23" t="s">
        <v>463</v>
      </c>
      <c r="L920" s="28" t="s">
        <v>220</v>
      </c>
    </row>
    <row r="921" spans="1:12" ht="34" x14ac:dyDescent="0.2">
      <c r="A921" s="13" t="s">
        <v>2296</v>
      </c>
      <c r="B921" s="14" t="s">
        <v>2297</v>
      </c>
      <c r="C921" s="15" t="s">
        <v>29</v>
      </c>
      <c r="D921" s="15" t="s">
        <v>459</v>
      </c>
      <c r="E921" s="16">
        <v>979</v>
      </c>
      <c r="F921" s="17">
        <v>0</v>
      </c>
      <c r="G921" s="18">
        <v>0</v>
      </c>
      <c r="H921" s="19">
        <v>4.2</v>
      </c>
      <c r="I921" s="18">
        <v>1207</v>
      </c>
      <c r="J921" s="38" t="str">
        <f>HYPERLINK("https://amazon.com/dp/B00I9CDTZO","View on Amazon")</f>
        <v>View on Amazon</v>
      </c>
      <c r="K921" s="15" t="s">
        <v>459</v>
      </c>
      <c r="L921" s="20" t="s">
        <v>460</v>
      </c>
    </row>
    <row r="922" spans="1:12" ht="51" x14ac:dyDescent="0.2">
      <c r="A922" s="21" t="s">
        <v>2298</v>
      </c>
      <c r="B922" s="22" t="s">
        <v>2299</v>
      </c>
      <c r="C922" s="23" t="s">
        <v>275</v>
      </c>
      <c r="D922" s="23" t="s">
        <v>463</v>
      </c>
      <c r="E922" s="24">
        <v>69.89</v>
      </c>
      <c r="F922" s="25">
        <v>0</v>
      </c>
      <c r="G922" s="26">
        <v>0</v>
      </c>
      <c r="H922" s="27">
        <v>4</v>
      </c>
      <c r="I922" s="26">
        <v>1</v>
      </c>
      <c r="J922" s="39" t="str">
        <f>HYPERLINK("https://amazon.com/dp/B0CB4GYFJF","View on Amazon")</f>
        <v>View on Amazon</v>
      </c>
      <c r="K922" s="23" t="s">
        <v>463</v>
      </c>
      <c r="L922" s="28" t="s">
        <v>460</v>
      </c>
    </row>
    <row r="923" spans="1:12" ht="68" x14ac:dyDescent="0.2">
      <c r="A923" s="13" t="s">
        <v>2300</v>
      </c>
      <c r="B923" s="14" t="s">
        <v>2301</v>
      </c>
      <c r="C923" s="15" t="s">
        <v>209</v>
      </c>
      <c r="D923" s="15" t="s">
        <v>463</v>
      </c>
      <c r="E923" s="16">
        <v>259.98</v>
      </c>
      <c r="F923" s="17">
        <v>0</v>
      </c>
      <c r="G923" s="18">
        <v>0</v>
      </c>
      <c r="H923" s="19">
        <v>3</v>
      </c>
      <c r="I923" s="18">
        <v>1</v>
      </c>
      <c r="J923" s="38" t="str">
        <f>HYPERLINK("https://amazon.com/dp/B0CX9883NV","View on Amazon")</f>
        <v>View on Amazon</v>
      </c>
      <c r="K923" s="15" t="s">
        <v>463</v>
      </c>
      <c r="L923" s="20" t="s">
        <v>220</v>
      </c>
    </row>
    <row r="924" spans="1:12" ht="34" x14ac:dyDescent="0.2">
      <c r="A924" s="21" t="s">
        <v>2302</v>
      </c>
      <c r="B924" s="22" t="s">
        <v>2303</v>
      </c>
      <c r="C924" s="23" t="s">
        <v>330</v>
      </c>
      <c r="D924" s="23" t="s">
        <v>503</v>
      </c>
      <c r="E924" s="24">
        <v>199.99</v>
      </c>
      <c r="F924" s="25">
        <v>0</v>
      </c>
      <c r="G924" s="26">
        <v>0</v>
      </c>
      <c r="H924" s="27">
        <v>5</v>
      </c>
      <c r="I924" s="26">
        <v>2</v>
      </c>
      <c r="J924" s="39" t="str">
        <f>HYPERLINK("https://amazon.com/dp/B07DPVNKW8","View on Amazon")</f>
        <v>View on Amazon</v>
      </c>
      <c r="K924" s="23" t="s">
        <v>503</v>
      </c>
      <c r="L924" s="28" t="s">
        <v>220</v>
      </c>
    </row>
    <row r="925" spans="1:12" ht="51" x14ac:dyDescent="0.2">
      <c r="A925" s="13" t="s">
        <v>2304</v>
      </c>
      <c r="B925" s="14" t="s">
        <v>2305</v>
      </c>
      <c r="C925" s="15" t="s">
        <v>170</v>
      </c>
      <c r="D925" s="15" t="s">
        <v>463</v>
      </c>
      <c r="E925" s="16">
        <v>69.88</v>
      </c>
      <c r="F925" s="17">
        <v>0</v>
      </c>
      <c r="G925" s="18">
        <v>0</v>
      </c>
      <c r="H925" s="19">
        <v>5</v>
      </c>
      <c r="I925" s="18">
        <v>1</v>
      </c>
      <c r="J925" s="38" t="str">
        <f>HYPERLINK("https://amazon.com/dp/B0D9TJBKPM","View on Amazon")</f>
        <v>View on Amazon</v>
      </c>
      <c r="K925" s="15" t="s">
        <v>463</v>
      </c>
      <c r="L925" s="20" t="s">
        <v>220</v>
      </c>
    </row>
    <row r="926" spans="1:12" ht="68" x14ac:dyDescent="0.2">
      <c r="A926" s="21" t="s">
        <v>2306</v>
      </c>
      <c r="B926" s="22" t="s">
        <v>2307</v>
      </c>
      <c r="C926" s="23" t="s">
        <v>159</v>
      </c>
      <c r="D926" s="23" t="s">
        <v>459</v>
      </c>
      <c r="E926" s="24">
        <v>39.99</v>
      </c>
      <c r="F926" s="25">
        <v>0</v>
      </c>
      <c r="G926" s="26">
        <v>0</v>
      </c>
      <c r="H926" s="27">
        <v>5</v>
      </c>
      <c r="I926" s="26">
        <v>1</v>
      </c>
      <c r="J926" s="39" t="str">
        <f>HYPERLINK("https://amazon.com/dp/B0DNQ6G22W","View on Amazon")</f>
        <v>View on Amazon</v>
      </c>
      <c r="K926" s="23" t="s">
        <v>459</v>
      </c>
      <c r="L926" s="28" t="s">
        <v>460</v>
      </c>
    </row>
    <row r="927" spans="1:12" ht="51" x14ac:dyDescent="0.2">
      <c r="A927" s="13" t="s">
        <v>2308</v>
      </c>
      <c r="B927" s="14" t="s">
        <v>2309</v>
      </c>
      <c r="C927" s="15" t="s">
        <v>102</v>
      </c>
      <c r="D927" s="15" t="s">
        <v>463</v>
      </c>
      <c r="E927" s="16">
        <v>209</v>
      </c>
      <c r="F927" s="17">
        <v>0</v>
      </c>
      <c r="G927" s="18">
        <v>0</v>
      </c>
      <c r="H927" s="19">
        <v>1</v>
      </c>
      <c r="I927" s="18">
        <v>1</v>
      </c>
      <c r="J927" s="38" t="str">
        <f>HYPERLINK("https://amazon.com/dp/B0DJW65ZZ2","View on Amazon")</f>
        <v>View on Amazon</v>
      </c>
      <c r="K927" s="15" t="s">
        <v>463</v>
      </c>
      <c r="L927" s="20" t="s">
        <v>220</v>
      </c>
    </row>
    <row r="928" spans="1:12" ht="68" x14ac:dyDescent="0.2">
      <c r="A928" s="21" t="s">
        <v>2310</v>
      </c>
      <c r="B928" s="22" t="s">
        <v>2311</v>
      </c>
      <c r="C928" s="23" t="s">
        <v>369</v>
      </c>
      <c r="D928" s="23" t="s">
        <v>463</v>
      </c>
      <c r="E928" s="24">
        <v>159.99</v>
      </c>
      <c r="F928" s="25">
        <v>0</v>
      </c>
      <c r="G928" s="26">
        <v>0</v>
      </c>
      <c r="H928" s="27">
        <v>0</v>
      </c>
      <c r="I928" s="26">
        <v>0</v>
      </c>
      <c r="J928" s="39" t="str">
        <f>HYPERLINK("https://amazon.com/dp/B0DKNYSGTY","View on Amazon")</f>
        <v>View on Amazon</v>
      </c>
      <c r="K928" s="23" t="s">
        <v>463</v>
      </c>
      <c r="L928" s="28" t="s">
        <v>220</v>
      </c>
    </row>
    <row r="929" spans="1:12" ht="51" x14ac:dyDescent="0.2">
      <c r="A929" s="13" t="s">
        <v>2312</v>
      </c>
      <c r="B929" s="14" t="s">
        <v>2313</v>
      </c>
      <c r="C929" s="15" t="s">
        <v>132</v>
      </c>
      <c r="D929" s="15" t="s">
        <v>463</v>
      </c>
      <c r="E929" s="16">
        <v>88</v>
      </c>
      <c r="F929" s="17">
        <v>0</v>
      </c>
      <c r="G929" s="18">
        <v>0</v>
      </c>
      <c r="H929" s="19">
        <v>0</v>
      </c>
      <c r="I929" s="18">
        <v>0</v>
      </c>
      <c r="J929" s="38" t="str">
        <f>HYPERLINK("https://amazon.com/dp/B09SCZMBC7","View on Amazon")</f>
        <v>View on Amazon</v>
      </c>
      <c r="K929" s="15" t="s">
        <v>463</v>
      </c>
      <c r="L929" s="20" t="s">
        <v>220</v>
      </c>
    </row>
    <row r="930" spans="1:12" ht="51" x14ac:dyDescent="0.2">
      <c r="A930" s="21" t="s">
        <v>2314</v>
      </c>
      <c r="B930" s="22" t="s">
        <v>2315</v>
      </c>
      <c r="C930" s="23" t="s">
        <v>202</v>
      </c>
      <c r="D930" s="23" t="s">
        <v>463</v>
      </c>
      <c r="E930" s="24">
        <v>56.98</v>
      </c>
      <c r="F930" s="25">
        <v>0</v>
      </c>
      <c r="G930" s="26">
        <v>0</v>
      </c>
      <c r="H930" s="27">
        <v>3.7</v>
      </c>
      <c r="I930" s="26">
        <v>4</v>
      </c>
      <c r="J930" s="39" t="str">
        <f>HYPERLINK("https://amazon.com/dp/B08RJ9DWN2","View on Amazon")</f>
        <v>View on Amazon</v>
      </c>
      <c r="K930" s="23" t="s">
        <v>463</v>
      </c>
      <c r="L930" s="28" t="s">
        <v>220</v>
      </c>
    </row>
    <row r="931" spans="1:12" ht="51" x14ac:dyDescent="0.2">
      <c r="A931" s="13" t="s">
        <v>2316</v>
      </c>
      <c r="B931" s="14" t="s">
        <v>2317</v>
      </c>
      <c r="C931" s="15" t="s">
        <v>369</v>
      </c>
      <c r="D931" s="15" t="s">
        <v>459</v>
      </c>
      <c r="E931" s="16">
        <v>49.99</v>
      </c>
      <c r="F931" s="17">
        <v>0</v>
      </c>
      <c r="G931" s="18">
        <v>0</v>
      </c>
      <c r="H931" s="19">
        <v>0</v>
      </c>
      <c r="I931" s="18">
        <v>0</v>
      </c>
      <c r="J931" s="38" t="str">
        <f>HYPERLINK("https://amazon.com/dp/B0DKNNT9T8","View on Amazon")</f>
        <v>View on Amazon</v>
      </c>
      <c r="K931" s="15" t="s">
        <v>459</v>
      </c>
      <c r="L931" s="20" t="s">
        <v>220</v>
      </c>
    </row>
    <row r="932" spans="1:12" ht="51" x14ac:dyDescent="0.2">
      <c r="A932" s="21" t="s">
        <v>2318</v>
      </c>
      <c r="B932" s="22" t="s">
        <v>2319</v>
      </c>
      <c r="C932" s="23" t="s">
        <v>388</v>
      </c>
      <c r="D932" s="23" t="s">
        <v>463</v>
      </c>
      <c r="E932" s="24">
        <v>159</v>
      </c>
      <c r="F932" s="25">
        <v>0</v>
      </c>
      <c r="G932" s="26">
        <v>0</v>
      </c>
      <c r="H932" s="27">
        <v>3.8</v>
      </c>
      <c r="I932" s="26">
        <v>22</v>
      </c>
      <c r="J932" s="39" t="str">
        <f>HYPERLINK("https://amazon.com/dp/B07W91FF3Y","View on Amazon")</f>
        <v>View on Amazon</v>
      </c>
      <c r="K932" s="23" t="s">
        <v>463</v>
      </c>
      <c r="L932" s="28" t="s">
        <v>460</v>
      </c>
    </row>
    <row r="933" spans="1:12" ht="34" x14ac:dyDescent="0.2">
      <c r="A933" s="13" t="s">
        <v>2320</v>
      </c>
      <c r="B933" s="14" t="s">
        <v>2321</v>
      </c>
      <c r="C933" s="15" t="s">
        <v>132</v>
      </c>
      <c r="D933" s="15" t="s">
        <v>463</v>
      </c>
      <c r="E933" s="16">
        <v>120</v>
      </c>
      <c r="F933" s="17">
        <v>0</v>
      </c>
      <c r="G933" s="18">
        <v>0</v>
      </c>
      <c r="H933" s="19">
        <v>0</v>
      </c>
      <c r="I933" s="18">
        <v>0</v>
      </c>
      <c r="J933" s="38" t="str">
        <f>HYPERLINK("https://amazon.com/dp/B0DC6WGV4M","View on Amazon")</f>
        <v>View on Amazon</v>
      </c>
      <c r="K933" s="15" t="s">
        <v>463</v>
      </c>
      <c r="L933" s="20" t="s">
        <v>220</v>
      </c>
    </row>
    <row r="934" spans="1:12" ht="68" x14ac:dyDescent="0.2">
      <c r="A934" s="21" t="s">
        <v>2322</v>
      </c>
      <c r="B934" s="22" t="s">
        <v>2323</v>
      </c>
      <c r="C934" s="23" t="s">
        <v>389</v>
      </c>
      <c r="D934" s="23" t="s">
        <v>463</v>
      </c>
      <c r="E934" s="24">
        <v>109.99</v>
      </c>
      <c r="F934" s="25">
        <v>0</v>
      </c>
      <c r="G934" s="26">
        <v>0</v>
      </c>
      <c r="H934" s="27">
        <v>3.5</v>
      </c>
      <c r="I934" s="26">
        <v>18</v>
      </c>
      <c r="J934" s="39" t="str">
        <f>HYPERLINK("https://amazon.com/dp/B08QRSYPHR","View on Amazon")</f>
        <v>View on Amazon</v>
      </c>
      <c r="K934" s="23" t="s">
        <v>463</v>
      </c>
      <c r="L934" s="28" t="s">
        <v>460</v>
      </c>
    </row>
    <row r="935" spans="1:12" ht="51" x14ac:dyDescent="0.2">
      <c r="A935" s="13" t="s">
        <v>2324</v>
      </c>
      <c r="B935" s="14" t="s">
        <v>2325</v>
      </c>
      <c r="C935" s="15" t="s">
        <v>389</v>
      </c>
      <c r="D935" s="15" t="s">
        <v>463</v>
      </c>
      <c r="E935" s="16">
        <v>119.99</v>
      </c>
      <c r="F935" s="17">
        <v>0</v>
      </c>
      <c r="G935" s="18">
        <v>0</v>
      </c>
      <c r="H935" s="19">
        <v>3.5</v>
      </c>
      <c r="I935" s="18">
        <v>18</v>
      </c>
      <c r="J935" s="38" t="str">
        <f>HYPERLINK("https://amazon.com/dp/B09QSC4DQP","View on Amazon")</f>
        <v>View on Amazon</v>
      </c>
      <c r="K935" s="15" t="s">
        <v>463</v>
      </c>
      <c r="L935" s="20" t="s">
        <v>460</v>
      </c>
    </row>
    <row r="936" spans="1:12" ht="68" x14ac:dyDescent="0.2">
      <c r="A936" s="21" t="s">
        <v>2326</v>
      </c>
      <c r="B936" s="22" t="s">
        <v>2327</v>
      </c>
      <c r="C936" s="23" t="s">
        <v>151</v>
      </c>
      <c r="D936" s="23" t="s">
        <v>459</v>
      </c>
      <c r="E936" s="24">
        <v>229.9</v>
      </c>
      <c r="F936" s="25">
        <v>0</v>
      </c>
      <c r="G936" s="26">
        <v>0</v>
      </c>
      <c r="H936" s="27">
        <v>2.9</v>
      </c>
      <c r="I936" s="26">
        <v>6</v>
      </c>
      <c r="J936" s="39" t="str">
        <f>HYPERLINK("https://amazon.com/dp/B0CLR1G44T","View on Amazon")</f>
        <v>View on Amazon</v>
      </c>
      <c r="K936" s="23" t="s">
        <v>459</v>
      </c>
      <c r="L936" s="28" t="s">
        <v>460</v>
      </c>
    </row>
    <row r="937" spans="1:12" ht="68" x14ac:dyDescent="0.2">
      <c r="A937" s="13" t="s">
        <v>2328</v>
      </c>
      <c r="B937" s="14" t="s">
        <v>2329</v>
      </c>
      <c r="C937" s="15" t="s">
        <v>307</v>
      </c>
      <c r="D937" s="15" t="s">
        <v>463</v>
      </c>
      <c r="E937" s="16">
        <v>49.99</v>
      </c>
      <c r="F937" s="17">
        <v>0</v>
      </c>
      <c r="G937" s="18">
        <v>0</v>
      </c>
      <c r="H937" s="19">
        <v>0</v>
      </c>
      <c r="I937" s="18">
        <v>0</v>
      </c>
      <c r="J937" s="38" t="str">
        <f>HYPERLINK("https://amazon.com/dp/B0CK1YNKQH","View on Amazon")</f>
        <v>View on Amazon</v>
      </c>
      <c r="K937" s="15" t="s">
        <v>463</v>
      </c>
      <c r="L937" s="20" t="s">
        <v>220</v>
      </c>
    </row>
    <row r="938" spans="1:12" ht="51" x14ac:dyDescent="0.2">
      <c r="A938" s="21" t="s">
        <v>2330</v>
      </c>
      <c r="B938" s="22" t="s">
        <v>2331</v>
      </c>
      <c r="C938" s="23" t="s">
        <v>209</v>
      </c>
      <c r="D938" s="23" t="s">
        <v>463</v>
      </c>
      <c r="E938" s="24">
        <v>103.99</v>
      </c>
      <c r="F938" s="25">
        <v>0</v>
      </c>
      <c r="G938" s="26">
        <v>0</v>
      </c>
      <c r="H938" s="27">
        <v>0</v>
      </c>
      <c r="I938" s="26">
        <v>0</v>
      </c>
      <c r="J938" s="39" t="str">
        <f>HYPERLINK("https://amazon.com/dp/B0CZ9SD1ZN","View on Amazon")</f>
        <v>View on Amazon</v>
      </c>
      <c r="K938" s="23" t="s">
        <v>463</v>
      </c>
      <c r="L938" s="28" t="s">
        <v>220</v>
      </c>
    </row>
    <row r="939" spans="1:12" ht="51" x14ac:dyDescent="0.2">
      <c r="A939" s="13" t="s">
        <v>2332</v>
      </c>
      <c r="B939" s="14" t="s">
        <v>2333</v>
      </c>
      <c r="C939" s="15" t="s">
        <v>209</v>
      </c>
      <c r="D939" s="15" t="s">
        <v>463</v>
      </c>
      <c r="E939" s="16">
        <v>103.99</v>
      </c>
      <c r="F939" s="17">
        <v>0</v>
      </c>
      <c r="G939" s="18">
        <v>0</v>
      </c>
      <c r="H939" s="19">
        <v>0</v>
      </c>
      <c r="I939" s="18">
        <v>0</v>
      </c>
      <c r="J939" s="38" t="str">
        <f>HYPERLINK("https://amazon.com/dp/B0CZ9QSYGX","View on Amazon")</f>
        <v>View on Amazon</v>
      </c>
      <c r="K939" s="15" t="s">
        <v>463</v>
      </c>
      <c r="L939" s="20" t="s">
        <v>220</v>
      </c>
    </row>
    <row r="940" spans="1:12" ht="51" x14ac:dyDescent="0.2">
      <c r="A940" s="21" t="s">
        <v>2334</v>
      </c>
      <c r="B940" s="22" t="s">
        <v>2335</v>
      </c>
      <c r="C940" s="23" t="s">
        <v>151</v>
      </c>
      <c r="D940" s="23" t="s">
        <v>463</v>
      </c>
      <c r="E940" s="24">
        <v>127.75</v>
      </c>
      <c r="F940" s="25">
        <v>0</v>
      </c>
      <c r="G940" s="26">
        <v>0</v>
      </c>
      <c r="H940" s="27">
        <v>0</v>
      </c>
      <c r="I940" s="26">
        <v>0</v>
      </c>
      <c r="J940" s="39" t="str">
        <f>HYPERLINK("https://amazon.com/dp/B0CXR27ZRM","View on Amazon")</f>
        <v>View on Amazon</v>
      </c>
      <c r="K940" s="23" t="s">
        <v>463</v>
      </c>
      <c r="L940" s="28" t="s">
        <v>460</v>
      </c>
    </row>
    <row r="941" spans="1:12" ht="51" x14ac:dyDescent="0.2">
      <c r="A941" s="13" t="s">
        <v>2336</v>
      </c>
      <c r="B941" s="14" t="s">
        <v>2337</v>
      </c>
      <c r="C941" s="15" t="s">
        <v>131</v>
      </c>
      <c r="D941" s="15" t="s">
        <v>459</v>
      </c>
      <c r="E941" s="16">
        <v>219.99</v>
      </c>
      <c r="F941" s="17">
        <v>0</v>
      </c>
      <c r="G941" s="18">
        <v>0</v>
      </c>
      <c r="H941" s="19">
        <v>0</v>
      </c>
      <c r="I941" s="18">
        <v>0</v>
      </c>
      <c r="J941" s="38" t="str">
        <f>HYPERLINK("https://amazon.com/dp/B0DPG6WZH6","View on Amazon")</f>
        <v>View on Amazon</v>
      </c>
      <c r="K941" s="15" t="s">
        <v>459</v>
      </c>
      <c r="L941" s="20" t="s">
        <v>220</v>
      </c>
    </row>
    <row r="942" spans="1:12" ht="51" x14ac:dyDescent="0.2">
      <c r="A942" s="21" t="s">
        <v>2338</v>
      </c>
      <c r="B942" s="22" t="s">
        <v>2339</v>
      </c>
      <c r="C942" s="23" t="s">
        <v>390</v>
      </c>
      <c r="D942" s="23" t="s">
        <v>463</v>
      </c>
      <c r="E942" s="24">
        <v>19.989999999999998</v>
      </c>
      <c r="F942" s="25">
        <v>0</v>
      </c>
      <c r="G942" s="26">
        <v>0</v>
      </c>
      <c r="H942" s="27">
        <v>0</v>
      </c>
      <c r="I942" s="26">
        <v>0</v>
      </c>
      <c r="J942" s="39" t="str">
        <f>HYPERLINK("https://amazon.com/dp/B0D8KJGC3P","View on Amazon")</f>
        <v>View on Amazon</v>
      </c>
      <c r="K942" s="23" t="s">
        <v>463</v>
      </c>
      <c r="L942" s="28" t="s">
        <v>220</v>
      </c>
    </row>
    <row r="943" spans="1:12" ht="68" x14ac:dyDescent="0.2">
      <c r="A943" s="13" t="s">
        <v>2340</v>
      </c>
      <c r="B943" s="14" t="s">
        <v>2341</v>
      </c>
      <c r="C943" s="15" t="s">
        <v>132</v>
      </c>
      <c r="D943" s="15" t="s">
        <v>459</v>
      </c>
      <c r="E943" s="16">
        <v>169</v>
      </c>
      <c r="F943" s="17">
        <v>0</v>
      </c>
      <c r="G943" s="18">
        <v>0</v>
      </c>
      <c r="H943" s="19">
        <v>5</v>
      </c>
      <c r="I943" s="18">
        <v>1</v>
      </c>
      <c r="J943" s="38" t="str">
        <f>HYPERLINK("https://amazon.com/dp/B0CZ7LZMJR","View on Amazon")</f>
        <v>View on Amazon</v>
      </c>
      <c r="K943" s="15" t="s">
        <v>459</v>
      </c>
      <c r="L943" s="20" t="s">
        <v>220</v>
      </c>
    </row>
    <row r="944" spans="1:12" ht="68" x14ac:dyDescent="0.2">
      <c r="A944" s="21" t="s">
        <v>2342</v>
      </c>
      <c r="B944" s="22" t="s">
        <v>2343</v>
      </c>
      <c r="C944" s="23" t="s">
        <v>273</v>
      </c>
      <c r="D944" s="23" t="s">
        <v>463</v>
      </c>
      <c r="E944" s="24">
        <v>59.99</v>
      </c>
      <c r="F944" s="25">
        <v>0</v>
      </c>
      <c r="G944" s="26">
        <v>0</v>
      </c>
      <c r="H944" s="27">
        <v>2</v>
      </c>
      <c r="I944" s="26">
        <v>1</v>
      </c>
      <c r="J944" s="39" t="str">
        <f>HYPERLINK("https://amazon.com/dp/B0CHK354J5","View on Amazon")</f>
        <v>View on Amazon</v>
      </c>
      <c r="K944" s="23" t="s">
        <v>463</v>
      </c>
      <c r="L944" s="28" t="s">
        <v>460</v>
      </c>
    </row>
    <row r="945" spans="1:12" ht="51" x14ac:dyDescent="0.2">
      <c r="A945" s="13" t="s">
        <v>2344</v>
      </c>
      <c r="B945" s="14" t="s">
        <v>2345</v>
      </c>
      <c r="C945" s="15" t="s">
        <v>363</v>
      </c>
      <c r="D945" s="15" t="s">
        <v>463</v>
      </c>
      <c r="E945" s="16">
        <v>159.91999999999999</v>
      </c>
      <c r="F945" s="17">
        <v>0</v>
      </c>
      <c r="G945" s="18">
        <v>0</v>
      </c>
      <c r="H945" s="19">
        <v>0</v>
      </c>
      <c r="I945" s="18">
        <v>0</v>
      </c>
      <c r="J945" s="38" t="str">
        <f>HYPERLINK("https://amazon.com/dp/B0G5YJLBP9","View on Amazon")</f>
        <v>View on Amazon</v>
      </c>
      <c r="K945" s="15" t="s">
        <v>463</v>
      </c>
      <c r="L945" s="20" t="s">
        <v>220</v>
      </c>
    </row>
    <row r="946" spans="1:12" ht="51" x14ac:dyDescent="0.2">
      <c r="A946" s="21" t="s">
        <v>2346</v>
      </c>
      <c r="B946" s="22" t="s">
        <v>2347</v>
      </c>
      <c r="C946" s="23" t="s">
        <v>391</v>
      </c>
      <c r="D946" s="23" t="s">
        <v>463</v>
      </c>
      <c r="E946" s="24">
        <v>35.99</v>
      </c>
      <c r="F946" s="25">
        <v>0</v>
      </c>
      <c r="G946" s="26">
        <v>0</v>
      </c>
      <c r="H946" s="27">
        <v>0</v>
      </c>
      <c r="I946" s="26">
        <v>0</v>
      </c>
      <c r="J946" s="39" t="str">
        <f>HYPERLINK("https://amazon.com/dp/B0D7WS6GJM","View on Amazon")</f>
        <v>View on Amazon</v>
      </c>
      <c r="K946" s="23" t="s">
        <v>463</v>
      </c>
      <c r="L946" s="28" t="s">
        <v>460</v>
      </c>
    </row>
    <row r="947" spans="1:12" ht="51" x14ac:dyDescent="0.2">
      <c r="A947" s="13" t="s">
        <v>2348</v>
      </c>
      <c r="B947" s="14" t="s">
        <v>2349</v>
      </c>
      <c r="C947" s="15" t="s">
        <v>391</v>
      </c>
      <c r="D947" s="15" t="s">
        <v>463</v>
      </c>
      <c r="E947" s="16">
        <v>35.99</v>
      </c>
      <c r="F947" s="17">
        <v>0</v>
      </c>
      <c r="G947" s="18">
        <v>0</v>
      </c>
      <c r="H947" s="19">
        <v>0</v>
      </c>
      <c r="I947" s="18">
        <v>0</v>
      </c>
      <c r="J947" s="38" t="str">
        <f>HYPERLINK("https://amazon.com/dp/B0D7WYK9BG","View on Amazon")</f>
        <v>View on Amazon</v>
      </c>
      <c r="K947" s="15" t="s">
        <v>463</v>
      </c>
      <c r="L947" s="20" t="s">
        <v>460</v>
      </c>
    </row>
    <row r="948" spans="1:12" ht="34" x14ac:dyDescent="0.2">
      <c r="A948" s="21" t="s">
        <v>2350</v>
      </c>
      <c r="B948" s="22" t="s">
        <v>2351</v>
      </c>
      <c r="C948" s="23" t="s">
        <v>392</v>
      </c>
      <c r="D948" s="23" t="s">
        <v>463</v>
      </c>
      <c r="E948" s="24">
        <v>14.36</v>
      </c>
      <c r="F948" s="25">
        <v>0</v>
      </c>
      <c r="G948" s="26">
        <v>0</v>
      </c>
      <c r="H948" s="27">
        <v>3.3</v>
      </c>
      <c r="I948" s="26">
        <v>8</v>
      </c>
      <c r="J948" s="39" t="str">
        <f>HYPERLINK("https://amazon.com/dp/B07PKCKN3M","View on Amazon")</f>
        <v>View on Amazon</v>
      </c>
      <c r="K948" s="23" t="s">
        <v>463</v>
      </c>
      <c r="L948" s="28" t="s">
        <v>460</v>
      </c>
    </row>
    <row r="949" spans="1:12" ht="68" x14ac:dyDescent="0.2">
      <c r="A949" s="13" t="s">
        <v>2352</v>
      </c>
      <c r="B949" s="14" t="s">
        <v>2353</v>
      </c>
      <c r="C949" s="15" t="s">
        <v>36</v>
      </c>
      <c r="D949" s="15" t="s">
        <v>459</v>
      </c>
      <c r="E949" s="16">
        <v>499.98</v>
      </c>
      <c r="F949" s="17">
        <v>0</v>
      </c>
      <c r="G949" s="18">
        <v>0</v>
      </c>
      <c r="H949" s="19">
        <v>5</v>
      </c>
      <c r="I949" s="18">
        <v>1</v>
      </c>
      <c r="J949" s="38" t="str">
        <f>HYPERLINK("https://amazon.com/dp/B0CN6ZQN2M","View on Amazon")</f>
        <v>View on Amazon</v>
      </c>
      <c r="K949" s="15" t="s">
        <v>459</v>
      </c>
      <c r="L949" s="20" t="s">
        <v>460</v>
      </c>
    </row>
    <row r="950" spans="1:12" ht="34" x14ac:dyDescent="0.2">
      <c r="A950" s="21" t="s">
        <v>2354</v>
      </c>
      <c r="B950" s="22" t="s">
        <v>2355</v>
      </c>
      <c r="C950" s="23" t="s">
        <v>170</v>
      </c>
      <c r="D950" s="23" t="s">
        <v>463</v>
      </c>
      <c r="E950" s="24">
        <v>95.99</v>
      </c>
      <c r="F950" s="25">
        <v>0</v>
      </c>
      <c r="G950" s="26">
        <v>0</v>
      </c>
      <c r="H950" s="27">
        <v>0</v>
      </c>
      <c r="I950" s="26">
        <v>0</v>
      </c>
      <c r="J950" s="39" t="str">
        <f>HYPERLINK("https://amazon.com/dp/B0DPXCQ4WV","View on Amazon")</f>
        <v>View on Amazon</v>
      </c>
      <c r="K950" s="23" t="s">
        <v>463</v>
      </c>
      <c r="L950" s="28" t="s">
        <v>220</v>
      </c>
    </row>
    <row r="951" spans="1:12" ht="51" x14ac:dyDescent="0.2">
      <c r="A951" s="13" t="s">
        <v>2356</v>
      </c>
      <c r="B951" s="14" t="s">
        <v>2357</v>
      </c>
      <c r="C951" s="15" t="s">
        <v>393</v>
      </c>
      <c r="D951" s="15" t="s">
        <v>459</v>
      </c>
      <c r="E951" s="16">
        <v>699</v>
      </c>
      <c r="F951" s="17">
        <v>0</v>
      </c>
      <c r="G951" s="18">
        <v>0</v>
      </c>
      <c r="H951" s="19">
        <v>5</v>
      </c>
      <c r="I951" s="18">
        <v>1</v>
      </c>
      <c r="J951" s="38" t="str">
        <f>HYPERLINK("https://amazon.com/dp/B0DQWW2XKZ","View on Amazon")</f>
        <v>View on Amazon</v>
      </c>
      <c r="K951" s="15" t="s">
        <v>459</v>
      </c>
      <c r="L951" s="20" t="s">
        <v>220</v>
      </c>
    </row>
    <row r="952" spans="1:12" ht="68" x14ac:dyDescent="0.2">
      <c r="A952" s="21" t="s">
        <v>2358</v>
      </c>
      <c r="B952" s="22" t="s">
        <v>2359</v>
      </c>
      <c r="C952" s="23" t="s">
        <v>394</v>
      </c>
      <c r="D952" s="23" t="s">
        <v>463</v>
      </c>
      <c r="E952" s="24">
        <v>85.99</v>
      </c>
      <c r="F952" s="25">
        <v>0</v>
      </c>
      <c r="G952" s="26">
        <v>0</v>
      </c>
      <c r="H952" s="27">
        <v>5</v>
      </c>
      <c r="I952" s="26">
        <v>1</v>
      </c>
      <c r="J952" s="39" t="str">
        <f>HYPERLINK("https://amazon.com/dp/B0CPLLRHQC","View on Amazon")</f>
        <v>View on Amazon</v>
      </c>
      <c r="K952" s="23" t="s">
        <v>463</v>
      </c>
      <c r="L952" s="28" t="s">
        <v>460</v>
      </c>
    </row>
    <row r="953" spans="1:12" ht="34" x14ac:dyDescent="0.2">
      <c r="A953" s="13" t="s">
        <v>2360</v>
      </c>
      <c r="B953" s="14" t="s">
        <v>2361</v>
      </c>
      <c r="C953" s="15" t="s">
        <v>252</v>
      </c>
      <c r="D953" s="15" t="s">
        <v>463</v>
      </c>
      <c r="E953" s="16">
        <v>179.99</v>
      </c>
      <c r="F953" s="17">
        <v>0</v>
      </c>
      <c r="G953" s="18">
        <v>0</v>
      </c>
      <c r="H953" s="19">
        <v>0</v>
      </c>
      <c r="I953" s="18">
        <v>0</v>
      </c>
      <c r="J953" s="38" t="str">
        <f>HYPERLINK("https://amazon.com/dp/B0D7BYPHYJ","View on Amazon")</f>
        <v>View on Amazon</v>
      </c>
      <c r="K953" s="15" t="s">
        <v>463</v>
      </c>
      <c r="L953" s="20" t="s">
        <v>220</v>
      </c>
    </row>
    <row r="954" spans="1:12" ht="68" x14ac:dyDescent="0.2">
      <c r="A954" s="21" t="s">
        <v>2362</v>
      </c>
      <c r="B954" s="22" t="s">
        <v>2363</v>
      </c>
      <c r="C954" s="23" t="s">
        <v>159</v>
      </c>
      <c r="D954" s="23" t="s">
        <v>463</v>
      </c>
      <c r="E954" s="24">
        <v>79.989999999999995</v>
      </c>
      <c r="F954" s="25">
        <v>0</v>
      </c>
      <c r="G954" s="26">
        <v>0</v>
      </c>
      <c r="H954" s="27">
        <v>3</v>
      </c>
      <c r="I954" s="26">
        <v>2</v>
      </c>
      <c r="J954" s="39" t="str">
        <f>HYPERLINK("https://amazon.com/dp/B0DNQPDCZ3","View on Amazon")</f>
        <v>View on Amazon</v>
      </c>
      <c r="K954" s="23" t="s">
        <v>463</v>
      </c>
      <c r="L954" s="28" t="s">
        <v>460</v>
      </c>
    </row>
    <row r="955" spans="1:12" ht="51" x14ac:dyDescent="0.2">
      <c r="A955" s="13" t="s">
        <v>2364</v>
      </c>
      <c r="B955" s="14" t="s">
        <v>2365</v>
      </c>
      <c r="C955" s="15" t="s">
        <v>159</v>
      </c>
      <c r="D955" s="15" t="s">
        <v>463</v>
      </c>
      <c r="E955" s="16">
        <v>45.99</v>
      </c>
      <c r="F955" s="17">
        <v>0</v>
      </c>
      <c r="G955" s="18">
        <v>0</v>
      </c>
      <c r="H955" s="19">
        <v>0</v>
      </c>
      <c r="I955" s="18">
        <v>0</v>
      </c>
      <c r="J955" s="38" t="str">
        <f>HYPERLINK("https://amazon.com/dp/B0CDH6NFGW","View on Amazon")</f>
        <v>View on Amazon</v>
      </c>
      <c r="K955" s="15" t="s">
        <v>463</v>
      </c>
      <c r="L955" s="20" t="s">
        <v>460</v>
      </c>
    </row>
    <row r="956" spans="1:12" ht="51" x14ac:dyDescent="0.2">
      <c r="A956" s="21" t="s">
        <v>2366</v>
      </c>
      <c r="B956" s="22" t="s">
        <v>2367</v>
      </c>
      <c r="C956" s="23" t="s">
        <v>395</v>
      </c>
      <c r="D956" s="23" t="s">
        <v>463</v>
      </c>
      <c r="E956" s="24">
        <v>47.51</v>
      </c>
      <c r="F956" s="25">
        <v>0</v>
      </c>
      <c r="G956" s="26">
        <v>0</v>
      </c>
      <c r="H956" s="27">
        <v>0</v>
      </c>
      <c r="I956" s="26">
        <v>0</v>
      </c>
      <c r="J956" s="39" t="str">
        <f>HYPERLINK("https://amazon.com/dp/B0DD2VWKBV","View on Amazon")</f>
        <v>View on Amazon</v>
      </c>
      <c r="K956" s="23" t="s">
        <v>463</v>
      </c>
      <c r="L956" s="28" t="s">
        <v>460</v>
      </c>
    </row>
    <row r="957" spans="1:12" ht="34" x14ac:dyDescent="0.2">
      <c r="A957" s="13" t="s">
        <v>2368</v>
      </c>
      <c r="B957" s="14" t="s">
        <v>2369</v>
      </c>
      <c r="C957" s="15" t="s">
        <v>10</v>
      </c>
      <c r="D957" s="15" t="s">
        <v>463</v>
      </c>
      <c r="E957" s="16">
        <v>150.9</v>
      </c>
      <c r="F957" s="17">
        <v>0</v>
      </c>
      <c r="G957" s="18">
        <v>0</v>
      </c>
      <c r="H957" s="19">
        <v>0</v>
      </c>
      <c r="I957" s="18">
        <v>0</v>
      </c>
      <c r="J957" s="38" t="str">
        <f>HYPERLINK("https://amazon.com/dp/B0BX8DJVK2","View on Amazon")</f>
        <v>View on Amazon</v>
      </c>
      <c r="K957" s="15" t="s">
        <v>463</v>
      </c>
      <c r="L957" s="20" t="s">
        <v>220</v>
      </c>
    </row>
    <row r="958" spans="1:12" ht="68" x14ac:dyDescent="0.2">
      <c r="A958" s="21" t="s">
        <v>2370</v>
      </c>
      <c r="B958" s="22" t="s">
        <v>2371</v>
      </c>
      <c r="C958" s="23" t="s">
        <v>211</v>
      </c>
      <c r="D958" s="23" t="s">
        <v>459</v>
      </c>
      <c r="E958" s="24">
        <v>85.99</v>
      </c>
      <c r="F958" s="25">
        <v>0</v>
      </c>
      <c r="G958" s="26">
        <v>0</v>
      </c>
      <c r="H958" s="27">
        <v>0</v>
      </c>
      <c r="I958" s="26">
        <v>0</v>
      </c>
      <c r="J958" s="39" t="str">
        <f>HYPERLINK("https://amazon.com/dp/B0DHGJRCVC","View on Amazon")</f>
        <v>View on Amazon</v>
      </c>
      <c r="K958" s="23" t="s">
        <v>459</v>
      </c>
      <c r="L958" s="28" t="s">
        <v>220</v>
      </c>
    </row>
    <row r="959" spans="1:12" ht="34" x14ac:dyDescent="0.2">
      <c r="A959" s="13" t="s">
        <v>2372</v>
      </c>
      <c r="B959" s="14" t="s">
        <v>2373</v>
      </c>
      <c r="C959" s="15" t="s">
        <v>202</v>
      </c>
      <c r="D959" s="15" t="s">
        <v>463</v>
      </c>
      <c r="E959" s="16">
        <v>218.99</v>
      </c>
      <c r="F959" s="17">
        <v>0</v>
      </c>
      <c r="G959" s="18">
        <v>0</v>
      </c>
      <c r="H959" s="19">
        <v>5</v>
      </c>
      <c r="I959" s="18">
        <v>1</v>
      </c>
      <c r="J959" s="38" t="str">
        <f>HYPERLINK("https://amazon.com/dp/B0CH3D2SQQ","View on Amazon")</f>
        <v>View on Amazon</v>
      </c>
      <c r="K959" s="15" t="s">
        <v>463</v>
      </c>
      <c r="L959" s="20" t="s">
        <v>220</v>
      </c>
    </row>
    <row r="960" spans="1:12" ht="68" x14ac:dyDescent="0.2">
      <c r="A960" s="21" t="s">
        <v>2374</v>
      </c>
      <c r="B960" s="22" t="s">
        <v>2375</v>
      </c>
      <c r="C960" s="23" t="s">
        <v>10</v>
      </c>
      <c r="D960" s="23" t="s">
        <v>459</v>
      </c>
      <c r="E960" s="24">
        <v>149</v>
      </c>
      <c r="F960" s="25">
        <v>0</v>
      </c>
      <c r="G960" s="26">
        <v>0</v>
      </c>
      <c r="H960" s="27">
        <v>5</v>
      </c>
      <c r="I960" s="26">
        <v>1</v>
      </c>
      <c r="J960" s="39" t="str">
        <f>HYPERLINK("https://amazon.com/dp/B0CW1LVB59","View on Amazon")</f>
        <v>View on Amazon</v>
      </c>
      <c r="K960" s="23" t="s">
        <v>459</v>
      </c>
      <c r="L960" s="28" t="s">
        <v>460</v>
      </c>
    </row>
    <row r="961" spans="1:12" ht="34" x14ac:dyDescent="0.2">
      <c r="A961" s="13" t="s">
        <v>2376</v>
      </c>
      <c r="B961" s="14" t="s">
        <v>2377</v>
      </c>
      <c r="C961" s="15" t="s">
        <v>396</v>
      </c>
      <c r="D961" s="15" t="s">
        <v>463</v>
      </c>
      <c r="E961" s="16">
        <v>149.99</v>
      </c>
      <c r="F961" s="17">
        <v>0</v>
      </c>
      <c r="G961" s="18">
        <v>0</v>
      </c>
      <c r="H961" s="19">
        <v>5</v>
      </c>
      <c r="I961" s="18">
        <v>2</v>
      </c>
      <c r="J961" s="38" t="str">
        <f>HYPERLINK("https://amazon.com/dp/B089BXXJC5","View on Amazon")</f>
        <v>View on Amazon</v>
      </c>
      <c r="K961" s="15" t="s">
        <v>463</v>
      </c>
      <c r="L961" s="20" t="s">
        <v>1297</v>
      </c>
    </row>
    <row r="962" spans="1:12" ht="51" x14ac:dyDescent="0.2">
      <c r="A962" s="21" t="s">
        <v>2378</v>
      </c>
      <c r="B962" s="22" t="s">
        <v>2379</v>
      </c>
      <c r="C962" s="23" t="s">
        <v>246</v>
      </c>
      <c r="D962" s="23" t="s">
        <v>463</v>
      </c>
      <c r="E962" s="24">
        <v>259.99</v>
      </c>
      <c r="F962" s="25">
        <v>0</v>
      </c>
      <c r="G962" s="26">
        <v>0</v>
      </c>
      <c r="H962" s="27">
        <v>0</v>
      </c>
      <c r="I962" s="26">
        <v>0</v>
      </c>
      <c r="J962" s="39" t="str">
        <f>HYPERLINK("https://amazon.com/dp/B0CKT8RG67","View on Amazon")</f>
        <v>View on Amazon</v>
      </c>
      <c r="K962" s="23" t="s">
        <v>463</v>
      </c>
      <c r="L962" s="28" t="s">
        <v>460</v>
      </c>
    </row>
    <row r="963" spans="1:12" ht="34" x14ac:dyDescent="0.2">
      <c r="A963" s="13" t="s">
        <v>2380</v>
      </c>
      <c r="B963" s="14" t="s">
        <v>2381</v>
      </c>
      <c r="C963" s="15" t="s">
        <v>397</v>
      </c>
      <c r="D963" s="15" t="s">
        <v>463</v>
      </c>
      <c r="E963" s="16">
        <v>15.39</v>
      </c>
      <c r="F963" s="17">
        <v>0</v>
      </c>
      <c r="G963" s="18">
        <v>0</v>
      </c>
      <c r="H963" s="19">
        <v>0</v>
      </c>
      <c r="I963" s="18">
        <v>0</v>
      </c>
      <c r="J963" s="38" t="str">
        <f>HYPERLINK("https://amazon.com/dp/B0CY9Q77RX","View on Amazon")</f>
        <v>View on Amazon</v>
      </c>
      <c r="K963" s="15" t="s">
        <v>463</v>
      </c>
      <c r="L963" s="20" t="s">
        <v>220</v>
      </c>
    </row>
    <row r="964" spans="1:12" ht="34" x14ac:dyDescent="0.2">
      <c r="A964" s="21" t="s">
        <v>2382</v>
      </c>
      <c r="B964" s="22" t="s">
        <v>2383</v>
      </c>
      <c r="C964" s="23" t="s">
        <v>181</v>
      </c>
      <c r="D964" s="23" t="s">
        <v>463</v>
      </c>
      <c r="E964" s="24">
        <v>599.99</v>
      </c>
      <c r="F964" s="25">
        <v>0</v>
      </c>
      <c r="G964" s="26">
        <v>0</v>
      </c>
      <c r="H964" s="27">
        <v>3.7</v>
      </c>
      <c r="I964" s="26">
        <v>69</v>
      </c>
      <c r="J964" s="39" t="str">
        <f>HYPERLINK("https://amazon.com/dp/B082RF18V4","View on Amazon")</f>
        <v>View on Amazon</v>
      </c>
      <c r="K964" s="23" t="s">
        <v>463</v>
      </c>
      <c r="L964" s="28" t="s">
        <v>460</v>
      </c>
    </row>
    <row r="965" spans="1:12" ht="51" x14ac:dyDescent="0.2">
      <c r="A965" s="13" t="s">
        <v>2384</v>
      </c>
      <c r="B965" s="14" t="s">
        <v>2385</v>
      </c>
      <c r="C965" s="15" t="s">
        <v>209</v>
      </c>
      <c r="D965" s="15" t="s">
        <v>463</v>
      </c>
      <c r="E965" s="16">
        <v>209.99</v>
      </c>
      <c r="F965" s="17">
        <v>0</v>
      </c>
      <c r="G965" s="18">
        <v>0</v>
      </c>
      <c r="H965" s="19">
        <v>4</v>
      </c>
      <c r="I965" s="18">
        <v>3</v>
      </c>
      <c r="J965" s="38" t="str">
        <f>HYPERLINK("https://amazon.com/dp/B0CKTSGRQY","View on Amazon")</f>
        <v>View on Amazon</v>
      </c>
      <c r="K965" s="15" t="s">
        <v>463</v>
      </c>
      <c r="L965" s="20" t="s">
        <v>220</v>
      </c>
    </row>
    <row r="966" spans="1:12" ht="68" x14ac:dyDescent="0.2">
      <c r="A966" s="21" t="s">
        <v>2386</v>
      </c>
      <c r="B966" s="22" t="s">
        <v>2387</v>
      </c>
      <c r="C966" s="23" t="s">
        <v>131</v>
      </c>
      <c r="D966" s="23" t="s">
        <v>459</v>
      </c>
      <c r="E966" s="24">
        <v>289.99</v>
      </c>
      <c r="F966" s="25">
        <v>0</v>
      </c>
      <c r="G966" s="26">
        <v>0</v>
      </c>
      <c r="H966" s="27">
        <v>0</v>
      </c>
      <c r="I966" s="26">
        <v>0</v>
      </c>
      <c r="J966" s="39" t="str">
        <f>HYPERLINK("https://amazon.com/dp/B0DT9N2QFH","View on Amazon")</f>
        <v>View on Amazon</v>
      </c>
      <c r="K966" s="23" t="s">
        <v>459</v>
      </c>
      <c r="L966" s="28" t="s">
        <v>220</v>
      </c>
    </row>
    <row r="967" spans="1:12" ht="68" x14ac:dyDescent="0.2">
      <c r="A967" s="13" t="s">
        <v>2388</v>
      </c>
      <c r="B967" s="14" t="s">
        <v>2389</v>
      </c>
      <c r="C967" s="15" t="s">
        <v>398</v>
      </c>
      <c r="D967" s="15" t="s">
        <v>463</v>
      </c>
      <c r="E967" s="16">
        <v>150</v>
      </c>
      <c r="F967" s="17">
        <v>0</v>
      </c>
      <c r="G967" s="18">
        <v>0</v>
      </c>
      <c r="H967" s="19">
        <v>2.1</v>
      </c>
      <c r="I967" s="18">
        <v>2</v>
      </c>
      <c r="J967" s="38" t="str">
        <f>HYPERLINK("https://amazon.com/dp/B0B2D8G8FY","View on Amazon")</f>
        <v>View on Amazon</v>
      </c>
      <c r="K967" s="15" t="s">
        <v>463</v>
      </c>
      <c r="L967" s="20" t="s">
        <v>460</v>
      </c>
    </row>
    <row r="968" spans="1:12" ht="51" x14ac:dyDescent="0.2">
      <c r="A968" s="21" t="s">
        <v>2390</v>
      </c>
      <c r="B968" s="22" t="s">
        <v>2391</v>
      </c>
      <c r="C968" s="23" t="s">
        <v>318</v>
      </c>
      <c r="D968" s="23" t="s">
        <v>459</v>
      </c>
      <c r="E968" s="24">
        <v>129.99</v>
      </c>
      <c r="F968" s="25">
        <v>0</v>
      </c>
      <c r="G968" s="26">
        <v>0</v>
      </c>
      <c r="H968" s="27">
        <v>0</v>
      </c>
      <c r="I968" s="26">
        <v>0</v>
      </c>
      <c r="J968" s="39" t="str">
        <f>HYPERLINK("https://amazon.com/dp/B0FWK4LDC3","View on Amazon")</f>
        <v>View on Amazon</v>
      </c>
      <c r="K968" s="23" t="s">
        <v>459</v>
      </c>
      <c r="L968" s="28" t="s">
        <v>220</v>
      </c>
    </row>
    <row r="969" spans="1:12" ht="34" x14ac:dyDescent="0.2">
      <c r="A969" s="13" t="s">
        <v>2392</v>
      </c>
      <c r="B969" s="14" t="s">
        <v>2393</v>
      </c>
      <c r="C969" s="15" t="s">
        <v>399</v>
      </c>
      <c r="D969" s="15" t="s">
        <v>459</v>
      </c>
      <c r="E969" s="16">
        <v>625</v>
      </c>
      <c r="F969" s="17">
        <v>0</v>
      </c>
      <c r="G969" s="18">
        <v>0</v>
      </c>
      <c r="H969" s="19">
        <v>0</v>
      </c>
      <c r="I969" s="18">
        <v>0</v>
      </c>
      <c r="J969" s="38" t="str">
        <f>HYPERLINK("https://amazon.com/dp/B07DGM5FQ8","View on Amazon")</f>
        <v>View on Amazon</v>
      </c>
      <c r="K969" s="15" t="s">
        <v>459</v>
      </c>
      <c r="L969" s="20" t="s">
        <v>220</v>
      </c>
    </row>
    <row r="970" spans="1:12" ht="51" x14ac:dyDescent="0.2">
      <c r="A970" s="21" t="s">
        <v>2394</v>
      </c>
      <c r="B970" s="22" t="s">
        <v>2395</v>
      </c>
      <c r="C970" s="23" t="s">
        <v>369</v>
      </c>
      <c r="D970" s="23" t="s">
        <v>459</v>
      </c>
      <c r="E970" s="24">
        <v>45.99</v>
      </c>
      <c r="F970" s="25">
        <v>0</v>
      </c>
      <c r="G970" s="26">
        <v>0</v>
      </c>
      <c r="H970" s="27">
        <v>0</v>
      </c>
      <c r="I970" s="26">
        <v>0</v>
      </c>
      <c r="J970" s="39" t="str">
        <f>HYPERLINK("https://amazon.com/dp/B0DKN7R112","View on Amazon")</f>
        <v>View on Amazon</v>
      </c>
      <c r="K970" s="23" t="s">
        <v>459</v>
      </c>
      <c r="L970" s="28" t="s">
        <v>220</v>
      </c>
    </row>
    <row r="971" spans="1:12" ht="17" x14ac:dyDescent="0.2">
      <c r="A971" s="13" t="s">
        <v>2396</v>
      </c>
      <c r="B971" s="14" t="s">
        <v>2397</v>
      </c>
      <c r="C971" s="15" t="s">
        <v>88</v>
      </c>
      <c r="D971" s="15" t="s">
        <v>463</v>
      </c>
      <c r="E971" s="16">
        <v>219</v>
      </c>
      <c r="F971" s="17">
        <v>0</v>
      </c>
      <c r="G971" s="18">
        <v>0</v>
      </c>
      <c r="H971" s="19">
        <v>0</v>
      </c>
      <c r="I971" s="18">
        <v>0</v>
      </c>
      <c r="J971" s="38" t="str">
        <f>HYPERLINK("https://amazon.com/dp/B0D538YG7Z","View on Amazon")</f>
        <v>View on Amazon</v>
      </c>
      <c r="K971" s="15" t="s">
        <v>463</v>
      </c>
      <c r="L971" s="20" t="s">
        <v>460</v>
      </c>
    </row>
    <row r="972" spans="1:12" ht="34" x14ac:dyDescent="0.2">
      <c r="A972" s="21" t="s">
        <v>2398</v>
      </c>
      <c r="B972" s="22" t="s">
        <v>2399</v>
      </c>
      <c r="C972" s="23" t="s">
        <v>400</v>
      </c>
      <c r="D972" s="23" t="s">
        <v>463</v>
      </c>
      <c r="E972" s="24">
        <v>28.99</v>
      </c>
      <c r="F972" s="25">
        <v>0</v>
      </c>
      <c r="G972" s="26">
        <v>0</v>
      </c>
      <c r="H972" s="27">
        <v>0</v>
      </c>
      <c r="I972" s="26">
        <v>0</v>
      </c>
      <c r="J972" s="39" t="str">
        <f>HYPERLINK("https://amazon.com/dp/B07THMFMY4","View on Amazon")</f>
        <v>View on Amazon</v>
      </c>
      <c r="K972" s="23" t="s">
        <v>463</v>
      </c>
      <c r="L972" s="28" t="s">
        <v>220</v>
      </c>
    </row>
    <row r="973" spans="1:12" ht="51" x14ac:dyDescent="0.2">
      <c r="A973" s="13" t="s">
        <v>2400</v>
      </c>
      <c r="B973" s="14" t="s">
        <v>2401</v>
      </c>
      <c r="C973" s="15" t="s">
        <v>401</v>
      </c>
      <c r="D973" s="15" t="s">
        <v>459</v>
      </c>
      <c r="E973" s="16">
        <v>67.47</v>
      </c>
      <c r="F973" s="17">
        <v>0</v>
      </c>
      <c r="G973" s="18">
        <v>0</v>
      </c>
      <c r="H973" s="19">
        <v>0</v>
      </c>
      <c r="I973" s="18">
        <v>0</v>
      </c>
      <c r="J973" s="38" t="str">
        <f>HYPERLINK("https://amazon.com/dp/B0FVTLQ6Z3","View on Amazon")</f>
        <v>View on Amazon</v>
      </c>
      <c r="K973" s="15" t="s">
        <v>459</v>
      </c>
      <c r="L973" s="20" t="s">
        <v>460</v>
      </c>
    </row>
    <row r="974" spans="1:12" ht="34" x14ac:dyDescent="0.2">
      <c r="A974" s="21" t="s">
        <v>2402</v>
      </c>
      <c r="B974" s="22" t="s">
        <v>2403</v>
      </c>
      <c r="C974" s="23" t="s">
        <v>311</v>
      </c>
      <c r="D974" s="23" t="s">
        <v>463</v>
      </c>
      <c r="E974" s="24">
        <v>32.99</v>
      </c>
      <c r="F974" s="25">
        <v>0</v>
      </c>
      <c r="G974" s="26">
        <v>0</v>
      </c>
      <c r="H974" s="27">
        <v>0</v>
      </c>
      <c r="I974" s="26">
        <v>0</v>
      </c>
      <c r="J974" s="39" t="str">
        <f>HYPERLINK("https://amazon.com/dp/B0D14796Y2","View on Amazon")</f>
        <v>View on Amazon</v>
      </c>
      <c r="K974" s="23" t="s">
        <v>463</v>
      </c>
      <c r="L974" s="28" t="s">
        <v>220</v>
      </c>
    </row>
    <row r="975" spans="1:12" ht="68" x14ac:dyDescent="0.2">
      <c r="A975" s="13" t="s">
        <v>2404</v>
      </c>
      <c r="B975" s="14" t="s">
        <v>2405</v>
      </c>
      <c r="C975" s="15" t="s">
        <v>213</v>
      </c>
      <c r="D975" s="15" t="s">
        <v>463</v>
      </c>
      <c r="E975" s="16">
        <v>54.9</v>
      </c>
      <c r="F975" s="17">
        <v>0</v>
      </c>
      <c r="G975" s="18">
        <v>0</v>
      </c>
      <c r="H975" s="19">
        <v>0</v>
      </c>
      <c r="I975" s="18">
        <v>0</v>
      </c>
      <c r="J975" s="38" t="str">
        <f>HYPERLINK("https://amazon.com/dp/B0CQK4R2LQ","View on Amazon")</f>
        <v>View on Amazon</v>
      </c>
      <c r="K975" s="15" t="s">
        <v>463</v>
      </c>
      <c r="L975" s="20" t="s">
        <v>220</v>
      </c>
    </row>
    <row r="976" spans="1:12" ht="51" x14ac:dyDescent="0.2">
      <c r="A976" s="21" t="s">
        <v>2406</v>
      </c>
      <c r="B976" s="22" t="s">
        <v>2407</v>
      </c>
      <c r="C976" s="23" t="s">
        <v>209</v>
      </c>
      <c r="D976" s="23" t="s">
        <v>459</v>
      </c>
      <c r="E976" s="24">
        <v>139.99</v>
      </c>
      <c r="F976" s="25">
        <v>0</v>
      </c>
      <c r="G976" s="26">
        <v>0</v>
      </c>
      <c r="H976" s="27">
        <v>0</v>
      </c>
      <c r="I976" s="26">
        <v>0</v>
      </c>
      <c r="J976" s="39" t="str">
        <f>HYPERLINK("https://amazon.com/dp/B0CZ9DZHRP","View on Amazon")</f>
        <v>View on Amazon</v>
      </c>
      <c r="K976" s="23" t="s">
        <v>459</v>
      </c>
      <c r="L976" s="28" t="s">
        <v>220</v>
      </c>
    </row>
    <row r="977" spans="1:12" ht="51" x14ac:dyDescent="0.2">
      <c r="A977" s="13" t="s">
        <v>2408</v>
      </c>
      <c r="B977" s="14" t="s">
        <v>2409</v>
      </c>
      <c r="C977" s="15" t="s">
        <v>402</v>
      </c>
      <c r="D977" s="15" t="s">
        <v>463</v>
      </c>
      <c r="E977" s="16">
        <v>17.989999999999998</v>
      </c>
      <c r="F977" s="17">
        <v>0</v>
      </c>
      <c r="G977" s="18">
        <v>0</v>
      </c>
      <c r="H977" s="19">
        <v>0</v>
      </c>
      <c r="I977" s="18">
        <v>0</v>
      </c>
      <c r="J977" s="38" t="str">
        <f>HYPERLINK("https://amazon.com/dp/B0BTYCVN9H","View on Amazon")</f>
        <v>View on Amazon</v>
      </c>
      <c r="K977" s="15" t="s">
        <v>463</v>
      </c>
      <c r="L977" s="20" t="s">
        <v>460</v>
      </c>
    </row>
    <row r="978" spans="1:12" ht="34" x14ac:dyDescent="0.2">
      <c r="A978" s="21" t="s">
        <v>2410</v>
      </c>
      <c r="B978" s="22" t="s">
        <v>2411</v>
      </c>
      <c r="C978" s="23" t="s">
        <v>202</v>
      </c>
      <c r="D978" s="23" t="s">
        <v>463</v>
      </c>
      <c r="E978" s="24">
        <v>40.98</v>
      </c>
      <c r="F978" s="25">
        <v>0</v>
      </c>
      <c r="G978" s="26">
        <v>0</v>
      </c>
      <c r="H978" s="27">
        <v>5</v>
      </c>
      <c r="I978" s="26">
        <v>1</v>
      </c>
      <c r="J978" s="39" t="str">
        <f>HYPERLINK("https://amazon.com/dp/B07BRM6HCW","View on Amazon")</f>
        <v>View on Amazon</v>
      </c>
      <c r="K978" s="23" t="s">
        <v>463</v>
      </c>
      <c r="L978" s="28" t="s">
        <v>460</v>
      </c>
    </row>
    <row r="979" spans="1:12" ht="51" x14ac:dyDescent="0.2">
      <c r="A979" s="13" t="s">
        <v>2412</v>
      </c>
      <c r="B979" s="14" t="s">
        <v>2413</v>
      </c>
      <c r="C979" s="15" t="s">
        <v>58</v>
      </c>
      <c r="D979" s="15" t="s">
        <v>463</v>
      </c>
      <c r="E979" s="16">
        <v>219</v>
      </c>
      <c r="F979" s="17">
        <v>0</v>
      </c>
      <c r="G979" s="18">
        <v>0</v>
      </c>
      <c r="H979" s="19">
        <v>0</v>
      </c>
      <c r="I979" s="18">
        <v>0</v>
      </c>
      <c r="J979" s="38" t="str">
        <f>HYPERLINK("https://amazon.com/dp/B0CQ2Z88SY","View on Amazon")</f>
        <v>View on Amazon</v>
      </c>
      <c r="K979" s="15" t="s">
        <v>463</v>
      </c>
      <c r="L979" s="20" t="s">
        <v>220</v>
      </c>
    </row>
    <row r="980" spans="1:12" ht="68" x14ac:dyDescent="0.2">
      <c r="A980" s="21" t="s">
        <v>2414</v>
      </c>
      <c r="B980" s="22" t="s">
        <v>2415</v>
      </c>
      <c r="C980" s="23" t="s">
        <v>403</v>
      </c>
      <c r="D980" s="23" t="s">
        <v>463</v>
      </c>
      <c r="E980" s="24">
        <v>66.98</v>
      </c>
      <c r="F980" s="25">
        <v>0</v>
      </c>
      <c r="G980" s="26">
        <v>0</v>
      </c>
      <c r="H980" s="27">
        <v>0</v>
      </c>
      <c r="I980" s="26">
        <v>0</v>
      </c>
      <c r="J980" s="39" t="str">
        <f>HYPERLINK("https://amazon.com/dp/B0DMSNMSC8","View on Amazon")</f>
        <v>View on Amazon</v>
      </c>
      <c r="K980" s="23" t="s">
        <v>463</v>
      </c>
      <c r="L980" s="28" t="s">
        <v>220</v>
      </c>
    </row>
    <row r="981" spans="1:12" ht="51" x14ac:dyDescent="0.2">
      <c r="A981" s="13" t="s">
        <v>2416</v>
      </c>
      <c r="B981" s="14" t="s">
        <v>2417</v>
      </c>
      <c r="C981" s="15" t="s">
        <v>363</v>
      </c>
      <c r="D981" s="15" t="s">
        <v>463</v>
      </c>
      <c r="E981" s="16">
        <v>192.72</v>
      </c>
      <c r="F981" s="17">
        <v>0</v>
      </c>
      <c r="G981" s="18">
        <v>0</v>
      </c>
      <c r="H981" s="19">
        <v>0</v>
      </c>
      <c r="I981" s="18">
        <v>0</v>
      </c>
      <c r="J981" s="38" t="str">
        <f>HYPERLINK("https://amazon.com/dp/B0D3HRXG5H","View on Amazon")</f>
        <v>View on Amazon</v>
      </c>
      <c r="K981" s="15" t="s">
        <v>463</v>
      </c>
      <c r="L981" s="20" t="s">
        <v>220</v>
      </c>
    </row>
    <row r="982" spans="1:12" ht="51" x14ac:dyDescent="0.2">
      <c r="A982" s="21" t="s">
        <v>2418</v>
      </c>
      <c r="B982" s="22" t="s">
        <v>2419</v>
      </c>
      <c r="C982" s="23" t="s">
        <v>220</v>
      </c>
      <c r="D982" s="23" t="s">
        <v>463</v>
      </c>
      <c r="E982" s="24">
        <v>227</v>
      </c>
      <c r="F982" s="25">
        <v>0</v>
      </c>
      <c r="G982" s="26">
        <v>0</v>
      </c>
      <c r="H982" s="27">
        <v>0</v>
      </c>
      <c r="I982" s="26">
        <v>0</v>
      </c>
      <c r="J982" s="39" t="str">
        <f>HYPERLINK("https://amazon.com/dp/B0BKY9KPTD","View on Amazon")</f>
        <v>View on Amazon</v>
      </c>
      <c r="K982" s="23" t="s">
        <v>463</v>
      </c>
      <c r="L982" s="28" t="s">
        <v>220</v>
      </c>
    </row>
    <row r="983" spans="1:12" ht="68" x14ac:dyDescent="0.2">
      <c r="A983" s="13" t="s">
        <v>2420</v>
      </c>
      <c r="B983" s="14" t="s">
        <v>2421</v>
      </c>
      <c r="C983" s="15" t="s">
        <v>404</v>
      </c>
      <c r="D983" s="15" t="s">
        <v>459</v>
      </c>
      <c r="E983" s="16">
        <v>499</v>
      </c>
      <c r="F983" s="17">
        <v>0</v>
      </c>
      <c r="G983" s="18">
        <v>0</v>
      </c>
      <c r="H983" s="19">
        <v>5</v>
      </c>
      <c r="I983" s="18">
        <v>1</v>
      </c>
      <c r="J983" s="38" t="str">
        <f>HYPERLINK("https://amazon.com/dp/B0FRRT7QRK","View on Amazon")</f>
        <v>View on Amazon</v>
      </c>
      <c r="K983" s="15" t="s">
        <v>459</v>
      </c>
      <c r="L983" s="20" t="s">
        <v>460</v>
      </c>
    </row>
    <row r="984" spans="1:12" ht="34" x14ac:dyDescent="0.2">
      <c r="A984" s="21" t="s">
        <v>2422</v>
      </c>
      <c r="B984" s="22" t="s">
        <v>2423</v>
      </c>
      <c r="C984" s="23" t="s">
        <v>405</v>
      </c>
      <c r="D984" s="23" t="s">
        <v>463</v>
      </c>
      <c r="E984" s="24">
        <v>19.579999999999998</v>
      </c>
      <c r="F984" s="25">
        <v>0</v>
      </c>
      <c r="G984" s="26">
        <v>0</v>
      </c>
      <c r="H984" s="27">
        <v>0</v>
      </c>
      <c r="I984" s="26">
        <v>0</v>
      </c>
      <c r="J984" s="39" t="str">
        <f>HYPERLINK("https://amazon.com/dp/B0DKZ2YT1K","View on Amazon")</f>
        <v>View on Amazon</v>
      </c>
      <c r="K984" s="23" t="s">
        <v>463</v>
      </c>
      <c r="L984" s="28" t="s">
        <v>220</v>
      </c>
    </row>
    <row r="985" spans="1:12" ht="68" x14ac:dyDescent="0.2">
      <c r="A985" s="13" t="s">
        <v>2424</v>
      </c>
      <c r="B985" s="14" t="s">
        <v>2425</v>
      </c>
      <c r="C985" s="15" t="s">
        <v>102</v>
      </c>
      <c r="D985" s="15" t="s">
        <v>463</v>
      </c>
      <c r="E985" s="16">
        <v>209</v>
      </c>
      <c r="F985" s="17">
        <v>0</v>
      </c>
      <c r="G985" s="18">
        <v>0</v>
      </c>
      <c r="H985" s="19">
        <v>2.5</v>
      </c>
      <c r="I985" s="18">
        <v>2</v>
      </c>
      <c r="J985" s="38" t="str">
        <f>HYPERLINK("https://amazon.com/dp/B0DX21D8LY","View on Amazon")</f>
        <v>View on Amazon</v>
      </c>
      <c r="K985" s="15" t="s">
        <v>463</v>
      </c>
      <c r="L985" s="20" t="s">
        <v>220</v>
      </c>
    </row>
    <row r="986" spans="1:12" ht="51" x14ac:dyDescent="0.2">
      <c r="A986" s="21" t="s">
        <v>2426</v>
      </c>
      <c r="B986" s="22" t="s">
        <v>2427</v>
      </c>
      <c r="C986" s="23" t="s">
        <v>140</v>
      </c>
      <c r="D986" s="23" t="s">
        <v>459</v>
      </c>
      <c r="E986" s="24">
        <v>149.15</v>
      </c>
      <c r="F986" s="25">
        <v>0</v>
      </c>
      <c r="G986" s="26">
        <v>0</v>
      </c>
      <c r="H986" s="27">
        <v>0</v>
      </c>
      <c r="I986" s="26">
        <v>0</v>
      </c>
      <c r="J986" s="39" t="str">
        <f>HYPERLINK("https://amazon.com/dp/B0FJ1YHK6J","View on Amazon")</f>
        <v>View on Amazon</v>
      </c>
      <c r="K986" s="23" t="s">
        <v>459</v>
      </c>
      <c r="L986" s="28" t="s">
        <v>220</v>
      </c>
    </row>
    <row r="987" spans="1:12" ht="68" x14ac:dyDescent="0.2">
      <c r="A987" s="13" t="s">
        <v>2428</v>
      </c>
      <c r="B987" s="14" t="s">
        <v>2429</v>
      </c>
      <c r="C987" s="15" t="s">
        <v>406</v>
      </c>
      <c r="D987" s="15" t="s">
        <v>463</v>
      </c>
      <c r="E987" s="16">
        <v>465.97</v>
      </c>
      <c r="F987" s="17">
        <v>0</v>
      </c>
      <c r="G987" s="18">
        <v>0</v>
      </c>
      <c r="H987" s="19">
        <v>0</v>
      </c>
      <c r="I987" s="18">
        <v>0</v>
      </c>
      <c r="J987" s="38" t="str">
        <f>HYPERLINK("https://amazon.com/dp/B0CX4WWQKG","View on Amazon")</f>
        <v>View on Amazon</v>
      </c>
      <c r="K987" s="15" t="s">
        <v>463</v>
      </c>
      <c r="L987" s="20" t="s">
        <v>220</v>
      </c>
    </row>
    <row r="988" spans="1:12" ht="68" x14ac:dyDescent="0.2">
      <c r="A988" s="21" t="s">
        <v>2430</v>
      </c>
      <c r="B988" s="22" t="s">
        <v>2431</v>
      </c>
      <c r="C988" s="23" t="s">
        <v>407</v>
      </c>
      <c r="D988" s="23" t="s">
        <v>463</v>
      </c>
      <c r="E988" s="24">
        <v>213.85</v>
      </c>
      <c r="F988" s="25">
        <v>0</v>
      </c>
      <c r="G988" s="26">
        <v>0</v>
      </c>
      <c r="H988" s="27">
        <v>5</v>
      </c>
      <c r="I988" s="26">
        <v>1</v>
      </c>
      <c r="J988" s="39" t="str">
        <f>HYPERLINK("https://amazon.com/dp/B0CHM276J1","View on Amazon")</f>
        <v>View on Amazon</v>
      </c>
      <c r="K988" s="23" t="s">
        <v>463</v>
      </c>
      <c r="L988" s="28" t="s">
        <v>220</v>
      </c>
    </row>
    <row r="989" spans="1:12" ht="68" x14ac:dyDescent="0.2">
      <c r="A989" s="13" t="s">
        <v>2432</v>
      </c>
      <c r="B989" s="14" t="s">
        <v>2433</v>
      </c>
      <c r="C989" s="15" t="s">
        <v>408</v>
      </c>
      <c r="D989" s="15" t="s">
        <v>459</v>
      </c>
      <c r="E989" s="16">
        <v>45.99</v>
      </c>
      <c r="F989" s="17">
        <v>0</v>
      </c>
      <c r="G989" s="18">
        <v>0</v>
      </c>
      <c r="H989" s="19">
        <v>0</v>
      </c>
      <c r="I989" s="18">
        <v>0</v>
      </c>
      <c r="J989" s="38" t="str">
        <f>HYPERLINK("https://amazon.com/dp/B0D4V1R1NB","View on Amazon")</f>
        <v>View on Amazon</v>
      </c>
      <c r="K989" s="15" t="s">
        <v>459</v>
      </c>
      <c r="L989" s="20" t="s">
        <v>460</v>
      </c>
    </row>
    <row r="990" spans="1:12" ht="34" x14ac:dyDescent="0.2">
      <c r="A990" s="21" t="s">
        <v>2434</v>
      </c>
      <c r="B990" s="22" t="s">
        <v>2435</v>
      </c>
      <c r="C990" s="23" t="s">
        <v>409</v>
      </c>
      <c r="D990" s="23" t="s">
        <v>463</v>
      </c>
      <c r="E990" s="24">
        <v>53.99</v>
      </c>
      <c r="F990" s="25">
        <v>0</v>
      </c>
      <c r="G990" s="26">
        <v>0</v>
      </c>
      <c r="H990" s="27">
        <v>1.6</v>
      </c>
      <c r="I990" s="26">
        <v>2</v>
      </c>
      <c r="J990" s="39" t="str">
        <f>HYPERLINK("https://amazon.com/dp/B0CN9284QS","View on Amazon")</f>
        <v>View on Amazon</v>
      </c>
      <c r="K990" s="23" t="s">
        <v>463</v>
      </c>
      <c r="L990" s="28" t="s">
        <v>460</v>
      </c>
    </row>
    <row r="991" spans="1:12" ht="68" x14ac:dyDescent="0.2">
      <c r="A991" s="13" t="s">
        <v>2436</v>
      </c>
      <c r="B991" s="14" t="s">
        <v>2437</v>
      </c>
      <c r="C991" s="15" t="s">
        <v>410</v>
      </c>
      <c r="D991" s="15" t="s">
        <v>463</v>
      </c>
      <c r="E991" s="16">
        <v>80.98</v>
      </c>
      <c r="F991" s="17">
        <v>0</v>
      </c>
      <c r="G991" s="18">
        <v>0</v>
      </c>
      <c r="H991" s="19">
        <v>0</v>
      </c>
      <c r="I991" s="18">
        <v>0</v>
      </c>
      <c r="J991" s="38" t="str">
        <f>HYPERLINK("https://amazon.com/dp/B0CY8XLB6H","View on Amazon")</f>
        <v>View on Amazon</v>
      </c>
      <c r="K991" s="15" t="s">
        <v>463</v>
      </c>
      <c r="L991" s="20" t="s">
        <v>220</v>
      </c>
    </row>
    <row r="992" spans="1:12" ht="51" x14ac:dyDescent="0.2">
      <c r="A992" s="21" t="s">
        <v>2438</v>
      </c>
      <c r="B992" s="22" t="s">
        <v>2439</v>
      </c>
      <c r="C992" s="23" t="s">
        <v>411</v>
      </c>
      <c r="D992" s="23" t="s">
        <v>503</v>
      </c>
      <c r="E992" s="24">
        <v>84.65</v>
      </c>
      <c r="F992" s="25">
        <v>0</v>
      </c>
      <c r="G992" s="26">
        <v>0</v>
      </c>
      <c r="H992" s="27">
        <v>0</v>
      </c>
      <c r="I992" s="26">
        <v>0</v>
      </c>
      <c r="J992" s="39" t="str">
        <f>HYPERLINK("https://amazon.com/dp/B0FX4N47SG","View on Amazon")</f>
        <v>View on Amazon</v>
      </c>
      <c r="K992" s="23" t="s">
        <v>503</v>
      </c>
      <c r="L992" s="28" t="s">
        <v>460</v>
      </c>
    </row>
    <row r="993" spans="1:12" ht="51" x14ac:dyDescent="0.2">
      <c r="A993" s="13" t="s">
        <v>2440</v>
      </c>
      <c r="B993" s="14" t="s">
        <v>2441</v>
      </c>
      <c r="C993" s="15" t="s">
        <v>132</v>
      </c>
      <c r="D993" s="15" t="s">
        <v>459</v>
      </c>
      <c r="E993" s="16">
        <v>29.67</v>
      </c>
      <c r="F993" s="17">
        <v>0</v>
      </c>
      <c r="G993" s="18">
        <v>0</v>
      </c>
      <c r="H993" s="19">
        <v>0</v>
      </c>
      <c r="I993" s="18">
        <v>0</v>
      </c>
      <c r="J993" s="38" t="str">
        <f>HYPERLINK("https://amazon.com/dp/B0DCTCY8NY","View on Amazon")</f>
        <v>View on Amazon</v>
      </c>
      <c r="K993" s="15" t="s">
        <v>459</v>
      </c>
      <c r="L993" s="20" t="s">
        <v>460</v>
      </c>
    </row>
    <row r="994" spans="1:12" ht="51" x14ac:dyDescent="0.2">
      <c r="A994" s="21" t="s">
        <v>2442</v>
      </c>
      <c r="B994" s="22" t="s">
        <v>2443</v>
      </c>
      <c r="C994" s="23" t="s">
        <v>412</v>
      </c>
      <c r="D994" s="23" t="s">
        <v>463</v>
      </c>
      <c r="E994" s="24">
        <v>16.989999999999998</v>
      </c>
      <c r="F994" s="25">
        <v>0</v>
      </c>
      <c r="G994" s="26">
        <v>0</v>
      </c>
      <c r="H994" s="27">
        <v>0</v>
      </c>
      <c r="I994" s="26">
        <v>0</v>
      </c>
      <c r="J994" s="39" t="str">
        <f>HYPERLINK("https://amazon.com/dp/B0C9HYJXFW","View on Amazon")</f>
        <v>View on Amazon</v>
      </c>
      <c r="K994" s="23" t="s">
        <v>463</v>
      </c>
      <c r="L994" s="28" t="s">
        <v>220</v>
      </c>
    </row>
    <row r="995" spans="1:12" ht="51" x14ac:dyDescent="0.2">
      <c r="A995" s="13" t="s">
        <v>2444</v>
      </c>
      <c r="B995" s="14" t="s">
        <v>2445</v>
      </c>
      <c r="C995" s="15" t="s">
        <v>209</v>
      </c>
      <c r="D995" s="15" t="s">
        <v>463</v>
      </c>
      <c r="E995" s="16">
        <v>159.99</v>
      </c>
      <c r="F995" s="17">
        <v>0</v>
      </c>
      <c r="G995" s="18">
        <v>0</v>
      </c>
      <c r="H995" s="19">
        <v>0</v>
      </c>
      <c r="I995" s="18">
        <v>0</v>
      </c>
      <c r="J995" s="38" t="str">
        <f>HYPERLINK("https://amazon.com/dp/B0CLM7FS8Y","View on Amazon")</f>
        <v>View on Amazon</v>
      </c>
      <c r="K995" s="15" t="s">
        <v>463</v>
      </c>
      <c r="L995" s="20" t="s">
        <v>220</v>
      </c>
    </row>
    <row r="996" spans="1:12" ht="51" x14ac:dyDescent="0.2">
      <c r="A996" s="21" t="s">
        <v>2446</v>
      </c>
      <c r="B996" s="22" t="s">
        <v>2447</v>
      </c>
      <c r="C996" s="23" t="s">
        <v>383</v>
      </c>
      <c r="D996" s="23" t="s">
        <v>463</v>
      </c>
      <c r="E996" s="24">
        <v>170.99</v>
      </c>
      <c r="F996" s="25">
        <v>0</v>
      </c>
      <c r="G996" s="26">
        <v>0</v>
      </c>
      <c r="H996" s="27">
        <v>0</v>
      </c>
      <c r="I996" s="26">
        <v>0</v>
      </c>
      <c r="J996" s="39" t="str">
        <f>HYPERLINK("https://amazon.com/dp/B0FD3RDL5C","View on Amazon")</f>
        <v>View on Amazon</v>
      </c>
      <c r="K996" s="23" t="s">
        <v>463</v>
      </c>
      <c r="L996" s="28" t="s">
        <v>220</v>
      </c>
    </row>
    <row r="997" spans="1:12" ht="34" x14ac:dyDescent="0.2">
      <c r="A997" s="13" t="s">
        <v>2448</v>
      </c>
      <c r="B997" s="14" t="s">
        <v>2449</v>
      </c>
      <c r="C997" s="15" t="s">
        <v>413</v>
      </c>
      <c r="D997" s="15" t="s">
        <v>463</v>
      </c>
      <c r="E997" s="16">
        <v>19.989999999999998</v>
      </c>
      <c r="F997" s="17">
        <v>0</v>
      </c>
      <c r="G997" s="18">
        <v>0</v>
      </c>
      <c r="H997" s="19">
        <v>4.8</v>
      </c>
      <c r="I997" s="18">
        <v>7</v>
      </c>
      <c r="J997" s="38" t="str">
        <f>HYPERLINK("https://amazon.com/dp/B01MZ64P59","View on Amazon")</f>
        <v>View on Amazon</v>
      </c>
      <c r="K997" s="15" t="s">
        <v>463</v>
      </c>
      <c r="L997" s="20" t="s">
        <v>460</v>
      </c>
    </row>
    <row r="998" spans="1:12" ht="68" x14ac:dyDescent="0.2">
      <c r="A998" s="21" t="s">
        <v>2450</v>
      </c>
      <c r="B998" s="22" t="s">
        <v>2451</v>
      </c>
      <c r="C998" s="23" t="s">
        <v>211</v>
      </c>
      <c r="D998" s="23" t="s">
        <v>463</v>
      </c>
      <c r="E998" s="24">
        <v>52.99</v>
      </c>
      <c r="F998" s="25">
        <v>0</v>
      </c>
      <c r="G998" s="26">
        <v>0</v>
      </c>
      <c r="H998" s="27">
        <v>0</v>
      </c>
      <c r="I998" s="26">
        <v>0</v>
      </c>
      <c r="J998" s="39" t="str">
        <f>HYPERLINK("https://amazon.com/dp/B0DJSBBRNB","View on Amazon")</f>
        <v>View on Amazon</v>
      </c>
      <c r="K998" s="23" t="s">
        <v>463</v>
      </c>
      <c r="L998" s="28" t="s">
        <v>220</v>
      </c>
    </row>
    <row r="999" spans="1:12" ht="68" x14ac:dyDescent="0.2">
      <c r="A999" s="13" t="s">
        <v>2452</v>
      </c>
      <c r="B999" s="14" t="s">
        <v>2453</v>
      </c>
      <c r="C999" s="15" t="s">
        <v>53</v>
      </c>
      <c r="D999" s="15" t="s">
        <v>463</v>
      </c>
      <c r="E999" s="16">
        <v>375</v>
      </c>
      <c r="F999" s="17">
        <v>0</v>
      </c>
      <c r="G999" s="18">
        <v>0</v>
      </c>
      <c r="H999" s="19">
        <v>0</v>
      </c>
      <c r="I999" s="18">
        <v>0</v>
      </c>
      <c r="J999" s="38" t="str">
        <f>HYPERLINK("https://amazon.com/dp/B08TVBG1YS","View on Amazon")</f>
        <v>View on Amazon</v>
      </c>
      <c r="K999" s="15" t="s">
        <v>463</v>
      </c>
      <c r="L999" s="20" t="s">
        <v>460</v>
      </c>
    </row>
    <row r="1000" spans="1:12" ht="68" x14ac:dyDescent="0.2">
      <c r="A1000" s="21" t="s">
        <v>2454</v>
      </c>
      <c r="B1000" s="22" t="s">
        <v>2455</v>
      </c>
      <c r="C1000" s="23" t="s">
        <v>151</v>
      </c>
      <c r="D1000" s="23" t="s">
        <v>459</v>
      </c>
      <c r="E1000" s="24">
        <v>229.99</v>
      </c>
      <c r="F1000" s="25">
        <v>0</v>
      </c>
      <c r="G1000" s="26">
        <v>0</v>
      </c>
      <c r="H1000" s="27">
        <v>2</v>
      </c>
      <c r="I1000" s="26">
        <v>1</v>
      </c>
      <c r="J1000" s="39" t="str">
        <f>HYPERLINK("https://amazon.com/dp/B0CXG8HMVN","View on Amazon")</f>
        <v>View on Amazon</v>
      </c>
      <c r="K1000" s="23" t="s">
        <v>459</v>
      </c>
      <c r="L1000" s="28" t="s">
        <v>460</v>
      </c>
    </row>
    <row r="1001" spans="1:12" ht="51" x14ac:dyDescent="0.2">
      <c r="A1001" s="13" t="s">
        <v>2456</v>
      </c>
      <c r="B1001" s="14" t="s">
        <v>2457</v>
      </c>
      <c r="C1001" s="15" t="s">
        <v>363</v>
      </c>
      <c r="D1001" s="15" t="s">
        <v>463</v>
      </c>
      <c r="E1001" s="16">
        <v>229.59</v>
      </c>
      <c r="F1001" s="17">
        <v>0</v>
      </c>
      <c r="G1001" s="18">
        <v>0</v>
      </c>
      <c r="H1001" s="19">
        <v>0</v>
      </c>
      <c r="I1001" s="18">
        <v>0</v>
      </c>
      <c r="J1001" s="38" t="str">
        <f>HYPERLINK("https://amazon.com/dp/B0D7MMD8W3","View on Amazon")</f>
        <v>View on Amazon</v>
      </c>
      <c r="K1001" s="15" t="s">
        <v>463</v>
      </c>
      <c r="L1001" s="20" t="s">
        <v>220</v>
      </c>
    </row>
    <row r="1002" spans="1:12" ht="34" x14ac:dyDescent="0.2">
      <c r="A1002" s="21" t="s">
        <v>2458</v>
      </c>
      <c r="B1002" s="22" t="s">
        <v>2109</v>
      </c>
      <c r="C1002" s="23" t="s">
        <v>202</v>
      </c>
      <c r="D1002" s="23" t="s">
        <v>463</v>
      </c>
      <c r="E1002" s="24">
        <v>59.98</v>
      </c>
      <c r="F1002" s="25">
        <v>0</v>
      </c>
      <c r="G1002" s="26">
        <v>0</v>
      </c>
      <c r="H1002" s="27">
        <v>3.5</v>
      </c>
      <c r="I1002" s="26">
        <v>38</v>
      </c>
      <c r="J1002" s="39" t="str">
        <f>HYPERLINK("https://amazon.com/dp/B0915DTJS4","View on Amazon")</f>
        <v>View on Amazon</v>
      </c>
      <c r="K1002" s="23" t="s">
        <v>463</v>
      </c>
      <c r="L1002" s="28" t="s">
        <v>220</v>
      </c>
    </row>
    <row r="1003" spans="1:12" ht="34" x14ac:dyDescent="0.2">
      <c r="A1003" s="13" t="s">
        <v>2459</v>
      </c>
      <c r="B1003" s="14" t="s">
        <v>2460</v>
      </c>
      <c r="C1003" s="15" t="s">
        <v>414</v>
      </c>
      <c r="D1003" s="15" t="s">
        <v>459</v>
      </c>
      <c r="E1003" s="16">
        <v>13.59</v>
      </c>
      <c r="F1003" s="17">
        <v>0</v>
      </c>
      <c r="G1003" s="18">
        <v>0</v>
      </c>
      <c r="H1003" s="19">
        <v>0</v>
      </c>
      <c r="I1003" s="18">
        <v>0</v>
      </c>
      <c r="J1003" s="38" t="str">
        <f>HYPERLINK("https://amazon.com/dp/B0FD6SN7TG","View on Amazon")</f>
        <v>View on Amazon</v>
      </c>
      <c r="K1003" s="15" t="s">
        <v>459</v>
      </c>
      <c r="L1003" s="20" t="s">
        <v>460</v>
      </c>
    </row>
    <row r="1004" spans="1:12" ht="68" x14ac:dyDescent="0.2">
      <c r="A1004" s="21" t="s">
        <v>2461</v>
      </c>
      <c r="B1004" s="22" t="s">
        <v>2462</v>
      </c>
      <c r="C1004" s="23" t="s">
        <v>404</v>
      </c>
      <c r="D1004" s="23" t="s">
        <v>459</v>
      </c>
      <c r="E1004" s="24">
        <v>465</v>
      </c>
      <c r="F1004" s="25">
        <v>0</v>
      </c>
      <c r="G1004" s="26">
        <v>0</v>
      </c>
      <c r="H1004" s="27">
        <v>0</v>
      </c>
      <c r="I1004" s="26">
        <v>0</v>
      </c>
      <c r="J1004" s="39" t="str">
        <f>HYPERLINK("https://amazon.com/dp/B0FLDL7Q2V","View on Amazon")</f>
        <v>View on Amazon</v>
      </c>
      <c r="K1004" s="23" t="s">
        <v>459</v>
      </c>
      <c r="L1004" s="28" t="s">
        <v>460</v>
      </c>
    </row>
    <row r="1005" spans="1:12" ht="51" x14ac:dyDescent="0.2">
      <c r="A1005" s="13" t="s">
        <v>2463</v>
      </c>
      <c r="B1005" s="14" t="s">
        <v>2464</v>
      </c>
      <c r="C1005" s="15" t="s">
        <v>415</v>
      </c>
      <c r="D1005" s="15" t="s">
        <v>463</v>
      </c>
      <c r="E1005" s="16">
        <v>52.89</v>
      </c>
      <c r="F1005" s="17">
        <v>0</v>
      </c>
      <c r="G1005" s="18">
        <v>0</v>
      </c>
      <c r="H1005" s="19">
        <v>0</v>
      </c>
      <c r="I1005" s="18">
        <v>0</v>
      </c>
      <c r="J1005" s="38" t="str">
        <f>HYPERLINK("https://amazon.com/dp/B0D2DC1RDW","View on Amazon")</f>
        <v>View on Amazon</v>
      </c>
      <c r="K1005" s="15" t="s">
        <v>463</v>
      </c>
      <c r="L1005" s="20" t="s">
        <v>460</v>
      </c>
    </row>
    <row r="1006" spans="1:12" ht="68" x14ac:dyDescent="0.2">
      <c r="A1006" s="21" t="s">
        <v>2465</v>
      </c>
      <c r="B1006" s="22" t="s">
        <v>2466</v>
      </c>
      <c r="C1006" s="23" t="s">
        <v>252</v>
      </c>
      <c r="D1006" s="23" t="s">
        <v>463</v>
      </c>
      <c r="E1006" s="24">
        <v>76.98</v>
      </c>
      <c r="F1006" s="25">
        <v>0</v>
      </c>
      <c r="G1006" s="26">
        <v>0</v>
      </c>
      <c r="H1006" s="27">
        <v>0</v>
      </c>
      <c r="I1006" s="26">
        <v>0</v>
      </c>
      <c r="J1006" s="39" t="str">
        <f>HYPERLINK("https://amazon.com/dp/B0FHHD284Z","View on Amazon")</f>
        <v>View on Amazon</v>
      </c>
      <c r="K1006" s="23" t="s">
        <v>463</v>
      </c>
      <c r="L1006" s="28" t="s">
        <v>220</v>
      </c>
    </row>
    <row r="1007" spans="1:12" ht="51" x14ac:dyDescent="0.2">
      <c r="A1007" s="13" t="s">
        <v>2467</v>
      </c>
      <c r="B1007" s="14" t="s">
        <v>2468</v>
      </c>
      <c r="C1007" s="15" t="s">
        <v>416</v>
      </c>
      <c r="D1007" s="15" t="s">
        <v>463</v>
      </c>
      <c r="E1007" s="16">
        <v>288.88</v>
      </c>
      <c r="F1007" s="17">
        <v>0</v>
      </c>
      <c r="G1007" s="18">
        <v>0</v>
      </c>
      <c r="H1007" s="19">
        <v>3.7</v>
      </c>
      <c r="I1007" s="18">
        <v>22</v>
      </c>
      <c r="J1007" s="38" t="str">
        <f>HYPERLINK("https://amazon.com/dp/B0C4HVQH5Y","View on Amazon")</f>
        <v>View on Amazon</v>
      </c>
      <c r="K1007" s="15" t="s">
        <v>463</v>
      </c>
      <c r="L1007" s="20" t="s">
        <v>460</v>
      </c>
    </row>
    <row r="1008" spans="1:12" ht="68" x14ac:dyDescent="0.2">
      <c r="A1008" s="21" t="s">
        <v>2469</v>
      </c>
      <c r="B1008" s="22" t="s">
        <v>2470</v>
      </c>
      <c r="C1008" s="23" t="s">
        <v>398</v>
      </c>
      <c r="D1008" s="23" t="s">
        <v>463</v>
      </c>
      <c r="E1008" s="24">
        <v>482</v>
      </c>
      <c r="F1008" s="25">
        <v>0</v>
      </c>
      <c r="G1008" s="26">
        <v>0</v>
      </c>
      <c r="H1008" s="27">
        <v>0</v>
      </c>
      <c r="I1008" s="26">
        <v>0</v>
      </c>
      <c r="J1008" s="39" t="str">
        <f>HYPERLINK("https://amazon.com/dp/B09NVT25LP","View on Amazon")</f>
        <v>View on Amazon</v>
      </c>
      <c r="K1008" s="23" t="s">
        <v>463</v>
      </c>
      <c r="L1008" s="28" t="s">
        <v>220</v>
      </c>
    </row>
    <row r="1009" spans="1:12" ht="68" x14ac:dyDescent="0.2">
      <c r="A1009" s="13" t="s">
        <v>2471</v>
      </c>
      <c r="B1009" s="14" t="s">
        <v>2472</v>
      </c>
      <c r="C1009" s="15" t="s">
        <v>10</v>
      </c>
      <c r="D1009" s="15" t="s">
        <v>463</v>
      </c>
      <c r="E1009" s="16">
        <v>100</v>
      </c>
      <c r="F1009" s="17">
        <v>0</v>
      </c>
      <c r="G1009" s="18">
        <v>0</v>
      </c>
      <c r="H1009" s="19">
        <v>4.5</v>
      </c>
      <c r="I1009" s="18">
        <v>2</v>
      </c>
      <c r="J1009" s="38" t="str">
        <f>HYPERLINK("https://amazon.com/dp/B0CT5QV4SM","View on Amazon")</f>
        <v>View on Amazon</v>
      </c>
      <c r="K1009" s="15" t="s">
        <v>463</v>
      </c>
      <c r="L1009" s="20" t="s">
        <v>460</v>
      </c>
    </row>
    <row r="1010" spans="1:12" ht="51" x14ac:dyDescent="0.2">
      <c r="A1010" s="21" t="s">
        <v>2473</v>
      </c>
      <c r="B1010" s="22" t="s">
        <v>2474</v>
      </c>
      <c r="C1010" s="23" t="s">
        <v>417</v>
      </c>
      <c r="D1010" s="23" t="s">
        <v>463</v>
      </c>
      <c r="E1010" s="24">
        <v>52</v>
      </c>
      <c r="F1010" s="25">
        <v>0</v>
      </c>
      <c r="G1010" s="26">
        <v>0</v>
      </c>
      <c r="H1010" s="27">
        <v>5</v>
      </c>
      <c r="I1010" s="26">
        <v>1</v>
      </c>
      <c r="J1010" s="39" t="str">
        <f>HYPERLINK("https://amazon.com/dp/B0CKMKK4QB","View on Amazon")</f>
        <v>View on Amazon</v>
      </c>
      <c r="K1010" s="23" t="s">
        <v>463</v>
      </c>
      <c r="L1010" s="28" t="s">
        <v>220</v>
      </c>
    </row>
    <row r="1011" spans="1:12" ht="51" x14ac:dyDescent="0.2">
      <c r="A1011" s="13" t="s">
        <v>2475</v>
      </c>
      <c r="B1011" s="14" t="s">
        <v>2476</v>
      </c>
      <c r="C1011" s="15" t="s">
        <v>418</v>
      </c>
      <c r="D1011" s="15" t="s">
        <v>463</v>
      </c>
      <c r="E1011" s="16">
        <v>970.35</v>
      </c>
      <c r="F1011" s="17">
        <v>0</v>
      </c>
      <c r="G1011" s="18">
        <v>0</v>
      </c>
      <c r="H1011" s="19">
        <v>0</v>
      </c>
      <c r="I1011" s="18">
        <v>0</v>
      </c>
      <c r="J1011" s="38" t="str">
        <f>HYPERLINK("https://amazon.com/dp/B0BRSHDW45","View on Amazon")</f>
        <v>View on Amazon</v>
      </c>
      <c r="K1011" s="15" t="s">
        <v>463</v>
      </c>
      <c r="L1011" s="20" t="s">
        <v>220</v>
      </c>
    </row>
    <row r="1012" spans="1:12" ht="51" x14ac:dyDescent="0.2">
      <c r="A1012" s="21" t="s">
        <v>2477</v>
      </c>
      <c r="B1012" s="22" t="s">
        <v>2478</v>
      </c>
      <c r="C1012" s="23" t="s">
        <v>419</v>
      </c>
      <c r="D1012" s="23" t="s">
        <v>463</v>
      </c>
      <c r="E1012" s="24">
        <v>171.99</v>
      </c>
      <c r="F1012" s="25">
        <v>0</v>
      </c>
      <c r="G1012" s="26">
        <v>0</v>
      </c>
      <c r="H1012" s="27">
        <v>0</v>
      </c>
      <c r="I1012" s="26">
        <v>0</v>
      </c>
      <c r="J1012" s="39" t="str">
        <f>HYPERLINK("https://amazon.com/dp/B0FBRQMX39","View on Amazon")</f>
        <v>View on Amazon</v>
      </c>
      <c r="K1012" s="23" t="s">
        <v>463</v>
      </c>
      <c r="L1012" s="28" t="s">
        <v>220</v>
      </c>
    </row>
    <row r="1013" spans="1:12" ht="51" x14ac:dyDescent="0.2">
      <c r="A1013" s="13" t="s">
        <v>2479</v>
      </c>
      <c r="B1013" s="14" t="s">
        <v>2478</v>
      </c>
      <c r="C1013" s="15" t="s">
        <v>419</v>
      </c>
      <c r="D1013" s="15" t="s">
        <v>463</v>
      </c>
      <c r="E1013" s="16">
        <v>171.99</v>
      </c>
      <c r="F1013" s="17">
        <v>0</v>
      </c>
      <c r="G1013" s="18">
        <v>0</v>
      </c>
      <c r="H1013" s="19">
        <v>0</v>
      </c>
      <c r="I1013" s="18">
        <v>0</v>
      </c>
      <c r="J1013" s="38" t="str">
        <f>HYPERLINK("https://amazon.com/dp/B0FBRQHMJ6","View on Amazon")</f>
        <v>View on Amazon</v>
      </c>
      <c r="K1013" s="15" t="s">
        <v>463</v>
      </c>
      <c r="L1013" s="20" t="s">
        <v>220</v>
      </c>
    </row>
    <row r="1014" spans="1:12" ht="34" x14ac:dyDescent="0.2">
      <c r="A1014" s="21" t="s">
        <v>2480</v>
      </c>
      <c r="B1014" s="22" t="s">
        <v>2481</v>
      </c>
      <c r="C1014" s="23" t="s">
        <v>420</v>
      </c>
      <c r="D1014" s="23" t="s">
        <v>463</v>
      </c>
      <c r="E1014" s="24">
        <v>22.99</v>
      </c>
      <c r="F1014" s="25">
        <v>0</v>
      </c>
      <c r="G1014" s="26">
        <v>0</v>
      </c>
      <c r="H1014" s="27">
        <v>0</v>
      </c>
      <c r="I1014" s="26">
        <v>0</v>
      </c>
      <c r="J1014" s="39" t="str">
        <f>HYPERLINK("https://amazon.com/dp/B0CF56PYFD","View on Amazon")</f>
        <v>View on Amazon</v>
      </c>
      <c r="K1014" s="23" t="s">
        <v>463</v>
      </c>
      <c r="L1014" s="28" t="s">
        <v>460</v>
      </c>
    </row>
    <row r="1015" spans="1:12" ht="51" x14ac:dyDescent="0.2">
      <c r="A1015" s="13" t="s">
        <v>2482</v>
      </c>
      <c r="B1015" s="14" t="s">
        <v>2483</v>
      </c>
      <c r="C1015" s="15" t="s">
        <v>131</v>
      </c>
      <c r="D1015" s="15" t="s">
        <v>463</v>
      </c>
      <c r="E1015" s="16">
        <v>129.99</v>
      </c>
      <c r="F1015" s="17">
        <v>0</v>
      </c>
      <c r="G1015" s="18">
        <v>0</v>
      </c>
      <c r="H1015" s="19">
        <v>0</v>
      </c>
      <c r="I1015" s="18">
        <v>0</v>
      </c>
      <c r="J1015" s="38" t="str">
        <f>HYPERLINK("https://amazon.com/dp/B0DFYNY7JF","View on Amazon")</f>
        <v>View on Amazon</v>
      </c>
      <c r="K1015" s="15" t="s">
        <v>463</v>
      </c>
      <c r="L1015" s="20" t="s">
        <v>220</v>
      </c>
    </row>
    <row r="1016" spans="1:12" ht="51" x14ac:dyDescent="0.2">
      <c r="A1016" s="21" t="s">
        <v>2484</v>
      </c>
      <c r="B1016" s="22" t="s">
        <v>2485</v>
      </c>
      <c r="C1016" s="23" t="s">
        <v>307</v>
      </c>
      <c r="D1016" s="23" t="s">
        <v>463</v>
      </c>
      <c r="E1016" s="24">
        <v>84.99</v>
      </c>
      <c r="F1016" s="25">
        <v>0</v>
      </c>
      <c r="G1016" s="26">
        <v>0</v>
      </c>
      <c r="H1016" s="27">
        <v>0</v>
      </c>
      <c r="I1016" s="26">
        <v>0</v>
      </c>
      <c r="J1016" s="39" t="str">
        <f>HYPERLINK("https://amazon.com/dp/B0CJY5LFJF","View on Amazon")</f>
        <v>View on Amazon</v>
      </c>
      <c r="K1016" s="23" t="s">
        <v>463</v>
      </c>
      <c r="L1016" s="28" t="s">
        <v>220</v>
      </c>
    </row>
    <row r="1017" spans="1:12" ht="17" x14ac:dyDescent="0.2">
      <c r="A1017" s="13" t="s">
        <v>2486</v>
      </c>
      <c r="B1017" s="14" t="s">
        <v>2487</v>
      </c>
      <c r="C1017" s="15" t="s">
        <v>421</v>
      </c>
      <c r="D1017" s="15" t="s">
        <v>459</v>
      </c>
      <c r="E1017" s="16">
        <v>13.95</v>
      </c>
      <c r="F1017" s="17">
        <v>0</v>
      </c>
      <c r="G1017" s="18">
        <v>0</v>
      </c>
      <c r="H1017" s="19">
        <v>4.5</v>
      </c>
      <c r="I1017" s="18">
        <v>2</v>
      </c>
      <c r="J1017" s="38" t="str">
        <f>HYPERLINK("https://amazon.com/dp/B00JK11388","View on Amazon")</f>
        <v>View on Amazon</v>
      </c>
      <c r="K1017" s="15" t="s">
        <v>459</v>
      </c>
      <c r="L1017" s="20" t="s">
        <v>1297</v>
      </c>
    </row>
    <row r="1018" spans="1:12" ht="51" x14ac:dyDescent="0.2">
      <c r="A1018" s="21" t="s">
        <v>2488</v>
      </c>
      <c r="B1018" s="22" t="s">
        <v>2489</v>
      </c>
      <c r="C1018" s="23" t="s">
        <v>289</v>
      </c>
      <c r="D1018" s="23" t="s">
        <v>463</v>
      </c>
      <c r="E1018" s="24">
        <v>19.57</v>
      </c>
      <c r="F1018" s="25">
        <v>0</v>
      </c>
      <c r="G1018" s="26">
        <v>0</v>
      </c>
      <c r="H1018" s="27">
        <v>0</v>
      </c>
      <c r="I1018" s="26">
        <v>0</v>
      </c>
      <c r="J1018" s="39" t="str">
        <f>HYPERLINK("https://amazon.com/dp/B0BCFWJXZZ","View on Amazon")</f>
        <v>View on Amazon</v>
      </c>
      <c r="K1018" s="23" t="s">
        <v>463</v>
      </c>
      <c r="L1018" s="28" t="s">
        <v>460</v>
      </c>
    </row>
    <row r="1019" spans="1:12" ht="51" x14ac:dyDescent="0.2">
      <c r="A1019" s="13" t="s">
        <v>2490</v>
      </c>
      <c r="B1019" s="14" t="s">
        <v>2491</v>
      </c>
      <c r="C1019" s="15" t="s">
        <v>289</v>
      </c>
      <c r="D1019" s="15" t="s">
        <v>463</v>
      </c>
      <c r="E1019" s="16">
        <v>13.98</v>
      </c>
      <c r="F1019" s="17">
        <v>0</v>
      </c>
      <c r="G1019" s="18">
        <v>0</v>
      </c>
      <c r="H1019" s="19">
        <v>0</v>
      </c>
      <c r="I1019" s="18">
        <v>0</v>
      </c>
      <c r="J1019" s="38" t="str">
        <f>HYPERLINK("https://amazon.com/dp/B0BCD5LXS4","View on Amazon")</f>
        <v>View on Amazon</v>
      </c>
      <c r="K1019" s="15" t="s">
        <v>463</v>
      </c>
      <c r="L1019" s="20" t="s">
        <v>460</v>
      </c>
    </row>
    <row r="1020" spans="1:12" ht="51" x14ac:dyDescent="0.2">
      <c r="A1020" s="21" t="s">
        <v>2492</v>
      </c>
      <c r="B1020" s="22" t="s">
        <v>2493</v>
      </c>
      <c r="C1020" s="23" t="s">
        <v>289</v>
      </c>
      <c r="D1020" s="23" t="s">
        <v>463</v>
      </c>
      <c r="E1020" s="24">
        <v>13.58</v>
      </c>
      <c r="F1020" s="25">
        <v>0</v>
      </c>
      <c r="G1020" s="26">
        <v>0</v>
      </c>
      <c r="H1020" s="27">
        <v>0</v>
      </c>
      <c r="I1020" s="26">
        <v>0</v>
      </c>
      <c r="J1020" s="39" t="str">
        <f>HYPERLINK("https://amazon.com/dp/B0BCD5WZGF","View on Amazon")</f>
        <v>View on Amazon</v>
      </c>
      <c r="K1020" s="23" t="s">
        <v>463</v>
      </c>
      <c r="L1020" s="28" t="s">
        <v>460</v>
      </c>
    </row>
    <row r="1021" spans="1:12" ht="68" x14ac:dyDescent="0.2">
      <c r="A1021" s="13" t="s">
        <v>2494</v>
      </c>
      <c r="B1021" s="14" t="s">
        <v>2495</v>
      </c>
      <c r="C1021" s="15" t="s">
        <v>32</v>
      </c>
      <c r="D1021" s="15" t="s">
        <v>459</v>
      </c>
      <c r="E1021" s="16">
        <v>649</v>
      </c>
      <c r="F1021" s="17">
        <v>0</v>
      </c>
      <c r="G1021" s="18">
        <v>0</v>
      </c>
      <c r="H1021" s="19">
        <v>0</v>
      </c>
      <c r="I1021" s="18">
        <v>0</v>
      </c>
      <c r="J1021" s="38" t="str">
        <f>HYPERLINK("https://amazon.com/dp/B0FJFTWMMM","View on Amazon")</f>
        <v>View on Amazon</v>
      </c>
      <c r="K1021" s="15" t="s">
        <v>459</v>
      </c>
      <c r="L1021" s="20" t="s">
        <v>460</v>
      </c>
    </row>
    <row r="1022" spans="1:12" ht="68" x14ac:dyDescent="0.2">
      <c r="A1022" s="21" t="s">
        <v>2496</v>
      </c>
      <c r="B1022" s="22" t="s">
        <v>2497</v>
      </c>
      <c r="C1022" s="23" t="s">
        <v>32</v>
      </c>
      <c r="D1022" s="23" t="s">
        <v>459</v>
      </c>
      <c r="E1022" s="24">
        <v>510</v>
      </c>
      <c r="F1022" s="25">
        <v>0</v>
      </c>
      <c r="G1022" s="26">
        <v>0</v>
      </c>
      <c r="H1022" s="27">
        <v>0</v>
      </c>
      <c r="I1022" s="26">
        <v>0</v>
      </c>
      <c r="J1022" s="39" t="str">
        <f>HYPERLINK("https://amazon.com/dp/B0FJFWSHV5","View on Amazon")</f>
        <v>View on Amazon</v>
      </c>
      <c r="K1022" s="23" t="s">
        <v>459</v>
      </c>
      <c r="L1022" s="28" t="s">
        <v>460</v>
      </c>
    </row>
    <row r="1023" spans="1:12" ht="51" x14ac:dyDescent="0.2">
      <c r="A1023" s="13" t="s">
        <v>2498</v>
      </c>
      <c r="B1023" s="14" t="s">
        <v>2499</v>
      </c>
      <c r="C1023" s="15" t="s">
        <v>132</v>
      </c>
      <c r="D1023" s="15" t="s">
        <v>459</v>
      </c>
      <c r="E1023" s="16">
        <v>126.99</v>
      </c>
      <c r="F1023" s="17">
        <v>0</v>
      </c>
      <c r="G1023" s="18">
        <v>0</v>
      </c>
      <c r="H1023" s="19">
        <v>0</v>
      </c>
      <c r="I1023" s="18">
        <v>0</v>
      </c>
      <c r="J1023" s="38" t="str">
        <f>HYPERLINK("https://amazon.com/dp/B0FBM2LPK6","View on Amazon")</f>
        <v>View on Amazon</v>
      </c>
      <c r="K1023" s="15" t="s">
        <v>459</v>
      </c>
      <c r="L1023" s="20" t="s">
        <v>220</v>
      </c>
    </row>
    <row r="1024" spans="1:12" ht="34" x14ac:dyDescent="0.2">
      <c r="A1024" s="21" t="s">
        <v>2500</v>
      </c>
      <c r="B1024" s="22" t="s">
        <v>2501</v>
      </c>
      <c r="C1024" s="23" t="s">
        <v>235</v>
      </c>
      <c r="D1024" s="23" t="s">
        <v>459</v>
      </c>
      <c r="E1024" s="24">
        <v>72.28</v>
      </c>
      <c r="F1024" s="25">
        <v>0</v>
      </c>
      <c r="G1024" s="26">
        <v>0</v>
      </c>
      <c r="H1024" s="27">
        <v>0</v>
      </c>
      <c r="I1024" s="26">
        <v>0</v>
      </c>
      <c r="J1024" s="39" t="str">
        <f>HYPERLINK("https://amazon.com/dp/B0CX8Q8Z42","View on Amazon")</f>
        <v>View on Amazon</v>
      </c>
      <c r="K1024" s="23" t="s">
        <v>459</v>
      </c>
      <c r="L1024" s="28" t="s">
        <v>1297</v>
      </c>
    </row>
    <row r="1025" spans="1:12" ht="68" x14ac:dyDescent="0.2">
      <c r="A1025" s="13" t="s">
        <v>2502</v>
      </c>
      <c r="B1025" s="14" t="s">
        <v>2503</v>
      </c>
      <c r="C1025" s="15" t="s">
        <v>337</v>
      </c>
      <c r="D1025" s="15" t="s">
        <v>463</v>
      </c>
      <c r="E1025" s="16">
        <v>107.99</v>
      </c>
      <c r="F1025" s="17">
        <v>0</v>
      </c>
      <c r="G1025" s="18">
        <v>0</v>
      </c>
      <c r="H1025" s="19">
        <v>0</v>
      </c>
      <c r="I1025" s="18">
        <v>0</v>
      </c>
      <c r="J1025" s="38" t="str">
        <f>HYPERLINK("https://amazon.com/dp/B0F18XT2B2","View on Amazon")</f>
        <v>View on Amazon</v>
      </c>
      <c r="K1025" s="15" t="s">
        <v>463</v>
      </c>
      <c r="L1025" s="20" t="s">
        <v>460</v>
      </c>
    </row>
    <row r="1026" spans="1:12" ht="68" x14ac:dyDescent="0.2">
      <c r="A1026" s="21" t="s">
        <v>2504</v>
      </c>
      <c r="B1026" s="22" t="s">
        <v>2505</v>
      </c>
      <c r="C1026" s="23" t="s">
        <v>102</v>
      </c>
      <c r="D1026" s="23" t="s">
        <v>463</v>
      </c>
      <c r="E1026" s="24">
        <v>159</v>
      </c>
      <c r="F1026" s="25">
        <v>0</v>
      </c>
      <c r="G1026" s="26">
        <v>0</v>
      </c>
      <c r="H1026" s="27">
        <v>0</v>
      </c>
      <c r="I1026" s="26">
        <v>0</v>
      </c>
      <c r="J1026" s="39" t="str">
        <f>HYPERLINK("https://amazon.com/dp/B0FG85KXLV","View on Amazon")</f>
        <v>View on Amazon</v>
      </c>
      <c r="K1026" s="23" t="s">
        <v>463</v>
      </c>
      <c r="L1026" s="28" t="s">
        <v>220</v>
      </c>
    </row>
    <row r="1027" spans="1:12" ht="51" x14ac:dyDescent="0.2">
      <c r="A1027" s="13" t="s">
        <v>2506</v>
      </c>
      <c r="B1027" s="14" t="s">
        <v>2507</v>
      </c>
      <c r="C1027" s="15" t="s">
        <v>363</v>
      </c>
      <c r="D1027" s="15" t="s">
        <v>463</v>
      </c>
      <c r="E1027" s="16">
        <v>375.91</v>
      </c>
      <c r="F1027" s="17">
        <v>0</v>
      </c>
      <c r="G1027" s="18">
        <v>0</v>
      </c>
      <c r="H1027" s="19">
        <v>0</v>
      </c>
      <c r="I1027" s="18">
        <v>0</v>
      </c>
      <c r="J1027" s="38" t="str">
        <f>HYPERLINK("https://amazon.com/dp/B0F4N3HKB2","View on Amazon")</f>
        <v>View on Amazon</v>
      </c>
      <c r="K1027" s="15" t="s">
        <v>463</v>
      </c>
      <c r="L1027" s="20" t="s">
        <v>220</v>
      </c>
    </row>
    <row r="1028" spans="1:12" ht="68" x14ac:dyDescent="0.2">
      <c r="A1028" s="21" t="s">
        <v>2508</v>
      </c>
      <c r="B1028" s="22" t="s">
        <v>2509</v>
      </c>
      <c r="C1028" s="23" t="s">
        <v>252</v>
      </c>
      <c r="D1028" s="23" t="s">
        <v>463</v>
      </c>
      <c r="E1028" s="24">
        <v>179.99</v>
      </c>
      <c r="F1028" s="25">
        <v>0</v>
      </c>
      <c r="G1028" s="26">
        <v>0</v>
      </c>
      <c r="H1028" s="27">
        <v>0</v>
      </c>
      <c r="I1028" s="26">
        <v>0</v>
      </c>
      <c r="J1028" s="39" t="str">
        <f>HYPERLINK("https://amazon.com/dp/B0DPML9P9Q","View on Amazon")</f>
        <v>View on Amazon</v>
      </c>
      <c r="K1028" s="23" t="s">
        <v>463</v>
      </c>
      <c r="L1028" s="28" t="s">
        <v>220</v>
      </c>
    </row>
    <row r="1029" spans="1:12" ht="34" x14ac:dyDescent="0.2">
      <c r="A1029" s="13" t="s">
        <v>2510</v>
      </c>
      <c r="B1029" s="14" t="s">
        <v>2511</v>
      </c>
      <c r="C1029" s="15" t="s">
        <v>422</v>
      </c>
      <c r="D1029" s="15" t="s">
        <v>463</v>
      </c>
      <c r="E1029" s="16">
        <v>12.9</v>
      </c>
      <c r="F1029" s="17">
        <v>0</v>
      </c>
      <c r="G1029" s="18">
        <v>0</v>
      </c>
      <c r="H1029" s="19">
        <v>3</v>
      </c>
      <c r="I1029" s="18">
        <v>4</v>
      </c>
      <c r="J1029" s="38" t="str">
        <f>HYPERLINK("https://amazon.com/dp/B079Y4MCCM","View on Amazon")</f>
        <v>View on Amazon</v>
      </c>
      <c r="K1029" s="15" t="s">
        <v>463</v>
      </c>
      <c r="L1029" s="20" t="s">
        <v>460</v>
      </c>
    </row>
    <row r="1030" spans="1:12" ht="51" x14ac:dyDescent="0.2">
      <c r="A1030" s="21" t="s">
        <v>2512</v>
      </c>
      <c r="B1030" s="22" t="s">
        <v>2513</v>
      </c>
      <c r="C1030" s="23" t="s">
        <v>423</v>
      </c>
      <c r="D1030" s="23" t="s">
        <v>463</v>
      </c>
      <c r="E1030" s="24">
        <v>9.7899999999999991</v>
      </c>
      <c r="F1030" s="25">
        <v>0</v>
      </c>
      <c r="G1030" s="26">
        <v>0</v>
      </c>
      <c r="H1030" s="27">
        <v>0</v>
      </c>
      <c r="I1030" s="26">
        <v>0</v>
      </c>
      <c r="J1030" s="39" t="str">
        <f>HYPERLINK("https://amazon.com/dp/B0F5BTT2G1","View on Amazon")</f>
        <v>View on Amazon</v>
      </c>
      <c r="K1030" s="23" t="s">
        <v>463</v>
      </c>
      <c r="L1030" s="28" t="s">
        <v>460</v>
      </c>
    </row>
    <row r="1031" spans="1:12" ht="68" x14ac:dyDescent="0.2">
      <c r="A1031" s="13" t="s">
        <v>2514</v>
      </c>
      <c r="B1031" s="14" t="s">
        <v>2515</v>
      </c>
      <c r="C1031" s="15" t="s">
        <v>102</v>
      </c>
      <c r="D1031" s="15" t="s">
        <v>463</v>
      </c>
      <c r="E1031" s="16">
        <v>199</v>
      </c>
      <c r="F1031" s="17">
        <v>0</v>
      </c>
      <c r="G1031" s="18">
        <v>0</v>
      </c>
      <c r="H1031" s="19">
        <v>2.9</v>
      </c>
      <c r="I1031" s="18">
        <v>2</v>
      </c>
      <c r="J1031" s="38" t="str">
        <f>HYPERLINK("https://amazon.com/dp/B0DNJKVDCW","View on Amazon")</f>
        <v>View on Amazon</v>
      </c>
      <c r="K1031" s="15" t="s">
        <v>463</v>
      </c>
      <c r="L1031" s="20" t="s">
        <v>220</v>
      </c>
    </row>
    <row r="1032" spans="1:12" ht="51" x14ac:dyDescent="0.2">
      <c r="A1032" s="21" t="s">
        <v>2516</v>
      </c>
      <c r="B1032" s="22" t="s">
        <v>2517</v>
      </c>
      <c r="C1032" s="23" t="s">
        <v>213</v>
      </c>
      <c r="D1032" s="23" t="s">
        <v>463</v>
      </c>
      <c r="E1032" s="24">
        <v>69.849999999999994</v>
      </c>
      <c r="F1032" s="25">
        <v>0</v>
      </c>
      <c r="G1032" s="26">
        <v>0</v>
      </c>
      <c r="H1032" s="27">
        <v>3.5</v>
      </c>
      <c r="I1032" s="26">
        <v>14</v>
      </c>
      <c r="J1032" s="39" t="str">
        <f>HYPERLINK("https://amazon.com/dp/B091TMW8D4","View on Amazon")</f>
        <v>View on Amazon</v>
      </c>
      <c r="K1032" s="23" t="s">
        <v>463</v>
      </c>
      <c r="L1032" s="28" t="s">
        <v>460</v>
      </c>
    </row>
    <row r="1033" spans="1:12" ht="51" x14ac:dyDescent="0.2">
      <c r="A1033" s="13" t="s">
        <v>2518</v>
      </c>
      <c r="B1033" s="14" t="s">
        <v>2519</v>
      </c>
      <c r="C1033" s="15" t="s">
        <v>424</v>
      </c>
      <c r="D1033" s="15" t="s">
        <v>459</v>
      </c>
      <c r="E1033" s="16">
        <v>47.32</v>
      </c>
      <c r="F1033" s="17">
        <v>0</v>
      </c>
      <c r="G1033" s="18">
        <v>0</v>
      </c>
      <c r="H1033" s="19">
        <v>0</v>
      </c>
      <c r="I1033" s="18">
        <v>0</v>
      </c>
      <c r="J1033" s="38" t="str">
        <f>HYPERLINK("https://amazon.com/dp/B0DWKLX64H","View on Amazon")</f>
        <v>View on Amazon</v>
      </c>
      <c r="K1033" s="15" t="s">
        <v>459</v>
      </c>
      <c r="L1033" s="20" t="s">
        <v>460</v>
      </c>
    </row>
    <row r="1034" spans="1:12" ht="68" x14ac:dyDescent="0.2">
      <c r="A1034" s="21" t="s">
        <v>2520</v>
      </c>
      <c r="B1034" s="22" t="s">
        <v>2521</v>
      </c>
      <c r="C1034" s="23" t="s">
        <v>425</v>
      </c>
      <c r="D1034" s="23" t="s">
        <v>463</v>
      </c>
      <c r="E1034" s="24">
        <v>15.99</v>
      </c>
      <c r="F1034" s="25">
        <v>0</v>
      </c>
      <c r="G1034" s="26">
        <v>0</v>
      </c>
      <c r="H1034" s="27">
        <v>0</v>
      </c>
      <c r="I1034" s="26">
        <v>0</v>
      </c>
      <c r="J1034" s="39" t="str">
        <f>HYPERLINK("https://amazon.com/dp/B0DXF71W55","View on Amazon")</f>
        <v>View on Amazon</v>
      </c>
      <c r="K1034" s="23" t="s">
        <v>463</v>
      </c>
      <c r="L1034" s="28" t="s">
        <v>1297</v>
      </c>
    </row>
    <row r="1035" spans="1:12" ht="34" x14ac:dyDescent="0.2">
      <c r="A1035" s="13" t="s">
        <v>2522</v>
      </c>
      <c r="B1035" s="14" t="s">
        <v>2523</v>
      </c>
      <c r="C1035" s="15" t="s">
        <v>396</v>
      </c>
      <c r="D1035" s="15" t="s">
        <v>463</v>
      </c>
      <c r="E1035" s="16">
        <v>399.99</v>
      </c>
      <c r="F1035" s="17">
        <v>0</v>
      </c>
      <c r="G1035" s="18">
        <v>0</v>
      </c>
      <c r="H1035" s="19">
        <v>0</v>
      </c>
      <c r="I1035" s="18">
        <v>0</v>
      </c>
      <c r="J1035" s="38" t="str">
        <f>HYPERLINK("https://amazon.com/dp/B08R7WZMRM","View on Amazon")</f>
        <v>View on Amazon</v>
      </c>
      <c r="K1035" s="15" t="s">
        <v>463</v>
      </c>
      <c r="L1035" s="20" t="s">
        <v>460</v>
      </c>
    </row>
    <row r="1036" spans="1:12" ht="34" x14ac:dyDescent="0.2">
      <c r="A1036" s="21" t="s">
        <v>2524</v>
      </c>
      <c r="B1036" s="22" t="s">
        <v>2525</v>
      </c>
      <c r="C1036" s="23" t="s">
        <v>202</v>
      </c>
      <c r="D1036" s="23" t="s">
        <v>459</v>
      </c>
      <c r="E1036" s="24">
        <v>13.78</v>
      </c>
      <c r="F1036" s="25">
        <v>0</v>
      </c>
      <c r="G1036" s="26">
        <v>0</v>
      </c>
      <c r="H1036" s="27">
        <v>5</v>
      </c>
      <c r="I1036" s="26">
        <v>1</v>
      </c>
      <c r="J1036" s="39" t="str">
        <f>HYPERLINK("https://amazon.com/dp/B09YD2PS4K","View on Amazon")</f>
        <v>View on Amazon</v>
      </c>
      <c r="K1036" s="23" t="s">
        <v>459</v>
      </c>
      <c r="L1036" s="28" t="s">
        <v>220</v>
      </c>
    </row>
    <row r="1037" spans="1:12" ht="68" x14ac:dyDescent="0.2">
      <c r="A1037" s="13" t="s">
        <v>2526</v>
      </c>
      <c r="B1037" s="14" t="s">
        <v>2527</v>
      </c>
      <c r="C1037" s="15" t="s">
        <v>426</v>
      </c>
      <c r="D1037" s="15" t="s">
        <v>463</v>
      </c>
      <c r="E1037" s="16">
        <v>109.99</v>
      </c>
      <c r="F1037" s="17">
        <v>0</v>
      </c>
      <c r="G1037" s="18">
        <v>0</v>
      </c>
      <c r="H1037" s="19">
        <v>0</v>
      </c>
      <c r="I1037" s="18">
        <v>0</v>
      </c>
      <c r="J1037" s="38" t="str">
        <f>HYPERLINK("https://amazon.com/dp/B0D1G1DTNG","View on Amazon")</f>
        <v>View on Amazon</v>
      </c>
      <c r="K1037" s="15" t="s">
        <v>463</v>
      </c>
      <c r="L1037" s="20" t="s">
        <v>220</v>
      </c>
    </row>
    <row r="1038" spans="1:12" ht="51" x14ac:dyDescent="0.2">
      <c r="A1038" s="21" t="s">
        <v>2528</v>
      </c>
      <c r="B1038" s="22" t="s">
        <v>2529</v>
      </c>
      <c r="C1038" s="23" t="s">
        <v>132</v>
      </c>
      <c r="D1038" s="23" t="s">
        <v>463</v>
      </c>
      <c r="E1038" s="24">
        <v>69.98</v>
      </c>
      <c r="F1038" s="25">
        <v>0</v>
      </c>
      <c r="G1038" s="26">
        <v>0</v>
      </c>
      <c r="H1038" s="27">
        <v>0</v>
      </c>
      <c r="I1038" s="26">
        <v>0</v>
      </c>
      <c r="J1038" s="39" t="str">
        <f>HYPERLINK("https://amazon.com/dp/B0CYY9526K","View on Amazon")</f>
        <v>View on Amazon</v>
      </c>
      <c r="K1038" s="23" t="s">
        <v>463</v>
      </c>
      <c r="L1038" s="28" t="s">
        <v>460</v>
      </c>
    </row>
    <row r="1039" spans="1:12" ht="68" x14ac:dyDescent="0.2">
      <c r="A1039" s="13" t="s">
        <v>2530</v>
      </c>
      <c r="B1039" s="14" t="s">
        <v>2531</v>
      </c>
      <c r="C1039" s="15" t="s">
        <v>427</v>
      </c>
      <c r="D1039" s="15" t="s">
        <v>463</v>
      </c>
      <c r="E1039" s="16">
        <v>160.47</v>
      </c>
      <c r="F1039" s="17">
        <v>0</v>
      </c>
      <c r="G1039" s="18">
        <v>0</v>
      </c>
      <c r="H1039" s="19">
        <v>5</v>
      </c>
      <c r="I1039" s="18">
        <v>1</v>
      </c>
      <c r="J1039" s="38" t="str">
        <f>HYPERLINK("https://amazon.com/dp/B09ZYFHHJV","View on Amazon")</f>
        <v>View on Amazon</v>
      </c>
      <c r="K1039" s="15" t="s">
        <v>463</v>
      </c>
      <c r="L1039" s="20" t="s">
        <v>460</v>
      </c>
    </row>
    <row r="1040" spans="1:12" ht="51" x14ac:dyDescent="0.2">
      <c r="A1040" s="21" t="s">
        <v>2532</v>
      </c>
      <c r="B1040" s="22" t="s">
        <v>2533</v>
      </c>
      <c r="C1040" s="23" t="s">
        <v>428</v>
      </c>
      <c r="D1040" s="23" t="s">
        <v>463</v>
      </c>
      <c r="E1040" s="24">
        <v>15.49</v>
      </c>
      <c r="F1040" s="25">
        <v>0</v>
      </c>
      <c r="G1040" s="26">
        <v>0</v>
      </c>
      <c r="H1040" s="27">
        <v>0</v>
      </c>
      <c r="I1040" s="26">
        <v>0</v>
      </c>
      <c r="J1040" s="39" t="str">
        <f>HYPERLINK("https://amazon.com/dp/B0DJ72BMBZ","View on Amazon")</f>
        <v>View on Amazon</v>
      </c>
      <c r="K1040" s="23" t="s">
        <v>463</v>
      </c>
      <c r="L1040" s="28" t="s">
        <v>460</v>
      </c>
    </row>
    <row r="1041" spans="1:12" ht="68" x14ac:dyDescent="0.2">
      <c r="A1041" s="13" t="s">
        <v>2534</v>
      </c>
      <c r="B1041" s="14" t="s">
        <v>2535</v>
      </c>
      <c r="C1041" s="15" t="s">
        <v>151</v>
      </c>
      <c r="D1041" s="15" t="s">
        <v>463</v>
      </c>
      <c r="E1041" s="16">
        <v>203.45</v>
      </c>
      <c r="F1041" s="17">
        <v>0</v>
      </c>
      <c r="G1041" s="18">
        <v>0</v>
      </c>
      <c r="H1041" s="19">
        <v>0</v>
      </c>
      <c r="I1041" s="18">
        <v>0</v>
      </c>
      <c r="J1041" s="38" t="str">
        <f>HYPERLINK("https://amazon.com/dp/B0CLMCPWB2","View on Amazon")</f>
        <v>View on Amazon</v>
      </c>
      <c r="K1041" s="15" t="s">
        <v>463</v>
      </c>
      <c r="L1041" s="20" t="s">
        <v>460</v>
      </c>
    </row>
    <row r="1042" spans="1:12" ht="68" x14ac:dyDescent="0.2">
      <c r="A1042" s="21" t="s">
        <v>2536</v>
      </c>
      <c r="B1042" s="22" t="s">
        <v>2537</v>
      </c>
      <c r="C1042" s="23" t="s">
        <v>151</v>
      </c>
      <c r="D1042" s="23" t="s">
        <v>463</v>
      </c>
      <c r="E1042" s="24">
        <v>203.45</v>
      </c>
      <c r="F1042" s="25">
        <v>0</v>
      </c>
      <c r="G1042" s="26">
        <v>0</v>
      </c>
      <c r="H1042" s="27">
        <v>0</v>
      </c>
      <c r="I1042" s="26">
        <v>0</v>
      </c>
      <c r="J1042" s="39" t="str">
        <f>HYPERLINK("https://amazon.com/dp/B0CLMBSM95","View on Amazon")</f>
        <v>View on Amazon</v>
      </c>
      <c r="K1042" s="23" t="s">
        <v>463</v>
      </c>
      <c r="L1042" s="28" t="s">
        <v>460</v>
      </c>
    </row>
    <row r="1043" spans="1:12" ht="51" x14ac:dyDescent="0.2">
      <c r="A1043" s="13" t="s">
        <v>2538</v>
      </c>
      <c r="B1043" s="14" t="s">
        <v>2539</v>
      </c>
      <c r="C1043" s="15" t="s">
        <v>429</v>
      </c>
      <c r="D1043" s="15" t="s">
        <v>459</v>
      </c>
      <c r="E1043" s="16">
        <v>55.17</v>
      </c>
      <c r="F1043" s="17">
        <v>0</v>
      </c>
      <c r="G1043" s="18">
        <v>0</v>
      </c>
      <c r="H1043" s="19">
        <v>0</v>
      </c>
      <c r="I1043" s="18">
        <v>0</v>
      </c>
      <c r="J1043" s="38" t="str">
        <f>HYPERLINK("https://amazon.com/dp/B0DHRTH144","View on Amazon")</f>
        <v>View on Amazon</v>
      </c>
      <c r="K1043" s="15" t="s">
        <v>459</v>
      </c>
      <c r="L1043" s="20" t="s">
        <v>460</v>
      </c>
    </row>
    <row r="1044" spans="1:12" ht="34" x14ac:dyDescent="0.2">
      <c r="A1044" s="21" t="s">
        <v>2540</v>
      </c>
      <c r="B1044" s="22" t="s">
        <v>2541</v>
      </c>
      <c r="C1044" s="23" t="s">
        <v>132</v>
      </c>
      <c r="D1044" s="23" t="s">
        <v>463</v>
      </c>
      <c r="E1044" s="24">
        <v>400</v>
      </c>
      <c r="F1044" s="25">
        <v>0</v>
      </c>
      <c r="G1044" s="26">
        <v>0</v>
      </c>
      <c r="H1044" s="27">
        <v>0</v>
      </c>
      <c r="I1044" s="26">
        <v>0</v>
      </c>
      <c r="J1044" s="39" t="str">
        <f>HYPERLINK("https://amazon.com/dp/B0BWSB5BTT","View on Amazon")</f>
        <v>View on Amazon</v>
      </c>
      <c r="K1044" s="23" t="s">
        <v>463</v>
      </c>
      <c r="L1044" s="28" t="s">
        <v>220</v>
      </c>
    </row>
    <row r="1045" spans="1:12" ht="68" x14ac:dyDescent="0.2">
      <c r="A1045" s="13" t="s">
        <v>2542</v>
      </c>
      <c r="B1045" s="14" t="s">
        <v>2543</v>
      </c>
      <c r="C1045" s="15" t="s">
        <v>131</v>
      </c>
      <c r="D1045" s="15" t="s">
        <v>459</v>
      </c>
      <c r="E1045" s="16">
        <v>129.99</v>
      </c>
      <c r="F1045" s="17">
        <v>0</v>
      </c>
      <c r="G1045" s="18">
        <v>0</v>
      </c>
      <c r="H1045" s="19">
        <v>0</v>
      </c>
      <c r="I1045" s="18">
        <v>0</v>
      </c>
      <c r="J1045" s="38" t="str">
        <f>HYPERLINK("https://amazon.com/dp/B0DPN15RH6","View on Amazon")</f>
        <v>View on Amazon</v>
      </c>
      <c r="K1045" s="15" t="s">
        <v>459</v>
      </c>
      <c r="L1045" s="20" t="s">
        <v>220</v>
      </c>
    </row>
    <row r="1046" spans="1:12" ht="51" x14ac:dyDescent="0.2">
      <c r="A1046" s="21" t="s">
        <v>2544</v>
      </c>
      <c r="B1046" s="22" t="s">
        <v>2545</v>
      </c>
      <c r="C1046" s="23" t="s">
        <v>336</v>
      </c>
      <c r="D1046" s="23" t="s">
        <v>463</v>
      </c>
      <c r="E1046" s="24">
        <v>6.98</v>
      </c>
      <c r="F1046" s="25">
        <v>0</v>
      </c>
      <c r="G1046" s="26">
        <v>0</v>
      </c>
      <c r="H1046" s="27">
        <v>0</v>
      </c>
      <c r="I1046" s="26">
        <v>0</v>
      </c>
      <c r="J1046" s="39" t="str">
        <f>HYPERLINK("https://amazon.com/dp/B0DMVYH2GM","View on Amazon")</f>
        <v>View on Amazon</v>
      </c>
      <c r="K1046" s="23" t="s">
        <v>463</v>
      </c>
      <c r="L1046" s="28" t="s">
        <v>220</v>
      </c>
    </row>
    <row r="1047" spans="1:12" ht="17" x14ac:dyDescent="0.2">
      <c r="A1047" s="13" t="s">
        <v>2546</v>
      </c>
      <c r="B1047" s="14" t="s">
        <v>2547</v>
      </c>
      <c r="C1047" s="15" t="s">
        <v>430</v>
      </c>
      <c r="D1047" s="15" t="s">
        <v>459</v>
      </c>
      <c r="E1047" s="16">
        <v>84.99</v>
      </c>
      <c r="F1047" s="17">
        <v>0</v>
      </c>
      <c r="G1047" s="18">
        <v>0</v>
      </c>
      <c r="H1047" s="19">
        <v>0</v>
      </c>
      <c r="I1047" s="18">
        <v>0</v>
      </c>
      <c r="J1047" s="38" t="str">
        <f>HYPERLINK("https://amazon.com/dp/B01HDXT6GA","View on Amazon")</f>
        <v>View on Amazon</v>
      </c>
      <c r="K1047" s="15" t="s">
        <v>459</v>
      </c>
      <c r="L1047" s="20" t="s">
        <v>220</v>
      </c>
    </row>
    <row r="1048" spans="1:12" ht="68" x14ac:dyDescent="0.2">
      <c r="A1048" s="21" t="s">
        <v>2548</v>
      </c>
      <c r="B1048" s="22" t="s">
        <v>2549</v>
      </c>
      <c r="C1048" s="23" t="s">
        <v>131</v>
      </c>
      <c r="D1048" s="23" t="s">
        <v>463</v>
      </c>
      <c r="E1048" s="24">
        <v>189.99</v>
      </c>
      <c r="F1048" s="25">
        <v>0</v>
      </c>
      <c r="G1048" s="26">
        <v>0</v>
      </c>
      <c r="H1048" s="27">
        <v>0</v>
      </c>
      <c r="I1048" s="26">
        <v>0</v>
      </c>
      <c r="J1048" s="39" t="str">
        <f>HYPERLINK("https://amazon.com/dp/B0DFYPGLF7","View on Amazon")</f>
        <v>View on Amazon</v>
      </c>
      <c r="K1048" s="23" t="s">
        <v>463</v>
      </c>
      <c r="L1048" s="28" t="s">
        <v>220</v>
      </c>
    </row>
    <row r="1049" spans="1:12" ht="51" x14ac:dyDescent="0.2">
      <c r="A1049" s="13" t="s">
        <v>2550</v>
      </c>
      <c r="B1049" s="14" t="s">
        <v>2551</v>
      </c>
      <c r="C1049" s="15" t="s">
        <v>431</v>
      </c>
      <c r="D1049" s="15" t="s">
        <v>459</v>
      </c>
      <c r="E1049" s="16">
        <v>989</v>
      </c>
      <c r="F1049" s="17">
        <v>0</v>
      </c>
      <c r="G1049" s="18">
        <v>0</v>
      </c>
      <c r="H1049" s="19">
        <v>0</v>
      </c>
      <c r="I1049" s="18">
        <v>0</v>
      </c>
      <c r="J1049" s="38" t="str">
        <f>HYPERLINK("https://amazon.com/dp/B09W174NPF","View on Amazon")</f>
        <v>View on Amazon</v>
      </c>
      <c r="K1049" s="15" t="s">
        <v>459</v>
      </c>
      <c r="L1049" s="20" t="s">
        <v>220</v>
      </c>
    </row>
    <row r="1050" spans="1:12" ht="68" x14ac:dyDescent="0.2">
      <c r="A1050" s="21" t="s">
        <v>2552</v>
      </c>
      <c r="B1050" s="22" t="s">
        <v>2553</v>
      </c>
      <c r="C1050" s="23" t="s">
        <v>432</v>
      </c>
      <c r="D1050" s="23" t="s">
        <v>459</v>
      </c>
      <c r="E1050" s="24">
        <v>219.89</v>
      </c>
      <c r="F1050" s="25">
        <v>0</v>
      </c>
      <c r="G1050" s="26">
        <v>0</v>
      </c>
      <c r="H1050" s="27">
        <v>0</v>
      </c>
      <c r="I1050" s="26">
        <v>0</v>
      </c>
      <c r="J1050" s="39" t="str">
        <f>HYPERLINK("https://amazon.com/dp/B0DMD5H4HR","View on Amazon")</f>
        <v>View on Amazon</v>
      </c>
      <c r="K1050" s="23" t="s">
        <v>459</v>
      </c>
      <c r="L1050" s="28" t="s">
        <v>460</v>
      </c>
    </row>
    <row r="1051" spans="1:12" ht="51" x14ac:dyDescent="0.2">
      <c r="A1051" s="13" t="s">
        <v>2554</v>
      </c>
      <c r="B1051" s="14" t="s">
        <v>2555</v>
      </c>
      <c r="C1051" s="15" t="s">
        <v>131</v>
      </c>
      <c r="D1051" s="15" t="s">
        <v>459</v>
      </c>
      <c r="E1051" s="16">
        <v>659.99</v>
      </c>
      <c r="F1051" s="17">
        <v>0</v>
      </c>
      <c r="G1051" s="18">
        <v>0</v>
      </c>
      <c r="H1051" s="19">
        <v>0</v>
      </c>
      <c r="I1051" s="18">
        <v>0</v>
      </c>
      <c r="J1051" s="38" t="str">
        <f>HYPERLINK("https://amazon.com/dp/B0DN5M3V2Q","View on Amazon")</f>
        <v>View on Amazon</v>
      </c>
      <c r="K1051" s="15" t="s">
        <v>459</v>
      </c>
      <c r="L1051" s="20" t="s">
        <v>220</v>
      </c>
    </row>
    <row r="1052" spans="1:12" ht="51" x14ac:dyDescent="0.2">
      <c r="A1052" s="21" t="s">
        <v>2556</v>
      </c>
      <c r="B1052" s="22" t="s">
        <v>2557</v>
      </c>
      <c r="C1052" s="23" t="s">
        <v>433</v>
      </c>
      <c r="D1052" s="23" t="s">
        <v>463</v>
      </c>
      <c r="E1052" s="24">
        <v>74.290000000000006</v>
      </c>
      <c r="F1052" s="25">
        <v>0</v>
      </c>
      <c r="G1052" s="26">
        <v>0</v>
      </c>
      <c r="H1052" s="27">
        <v>0</v>
      </c>
      <c r="I1052" s="26">
        <v>0</v>
      </c>
      <c r="J1052" s="39" t="str">
        <f>HYPERLINK("https://amazon.com/dp/B0DNSXTLG5","View on Amazon")</f>
        <v>View on Amazon</v>
      </c>
      <c r="K1052" s="23" t="s">
        <v>463</v>
      </c>
      <c r="L1052" s="28" t="s">
        <v>1297</v>
      </c>
    </row>
    <row r="1053" spans="1:12" ht="34" x14ac:dyDescent="0.2">
      <c r="A1053" s="13" t="s">
        <v>2558</v>
      </c>
      <c r="B1053" s="14" t="s">
        <v>2559</v>
      </c>
      <c r="C1053" s="15" t="s">
        <v>434</v>
      </c>
      <c r="D1053" s="15" t="s">
        <v>459</v>
      </c>
      <c r="E1053" s="16">
        <v>124.69</v>
      </c>
      <c r="F1053" s="17">
        <v>0</v>
      </c>
      <c r="G1053" s="18">
        <v>0</v>
      </c>
      <c r="H1053" s="19">
        <v>5</v>
      </c>
      <c r="I1053" s="18">
        <v>1</v>
      </c>
      <c r="J1053" s="38" t="str">
        <f>HYPERLINK("https://amazon.com/dp/B01M3Y4IJ3","View on Amazon")</f>
        <v>View on Amazon</v>
      </c>
      <c r="K1053" s="15" t="s">
        <v>459</v>
      </c>
      <c r="L1053" s="20" t="s">
        <v>460</v>
      </c>
    </row>
    <row r="1054" spans="1:12" ht="51" x14ac:dyDescent="0.2">
      <c r="A1054" s="21" t="s">
        <v>2560</v>
      </c>
      <c r="B1054" s="22" t="s">
        <v>2561</v>
      </c>
      <c r="C1054" s="23" t="s">
        <v>410</v>
      </c>
      <c r="D1054" s="23" t="s">
        <v>463</v>
      </c>
      <c r="E1054" s="24">
        <v>45.99</v>
      </c>
      <c r="F1054" s="25">
        <v>0</v>
      </c>
      <c r="G1054" s="26">
        <v>0</v>
      </c>
      <c r="H1054" s="27">
        <v>0</v>
      </c>
      <c r="I1054" s="26">
        <v>0</v>
      </c>
      <c r="J1054" s="39" t="str">
        <f>HYPERLINK("https://amazon.com/dp/B0CY9BG74V","View on Amazon")</f>
        <v>View on Amazon</v>
      </c>
      <c r="K1054" s="23" t="s">
        <v>463</v>
      </c>
      <c r="L1054" s="28" t="s">
        <v>220</v>
      </c>
    </row>
    <row r="1055" spans="1:12" ht="68" x14ac:dyDescent="0.2">
      <c r="A1055" s="13" t="s">
        <v>2562</v>
      </c>
      <c r="B1055" s="14" t="s">
        <v>2563</v>
      </c>
      <c r="C1055" s="15" t="s">
        <v>102</v>
      </c>
      <c r="D1055" s="15" t="s">
        <v>459</v>
      </c>
      <c r="E1055" s="16">
        <v>165</v>
      </c>
      <c r="F1055" s="17">
        <v>0</v>
      </c>
      <c r="G1055" s="18">
        <v>0</v>
      </c>
      <c r="H1055" s="19">
        <v>0</v>
      </c>
      <c r="I1055" s="18">
        <v>0</v>
      </c>
      <c r="J1055" s="38" t="str">
        <f>HYPERLINK("https://amazon.com/dp/B0D9K95J2Y","View on Amazon")</f>
        <v>View on Amazon</v>
      </c>
      <c r="K1055" s="15" t="s">
        <v>459</v>
      </c>
      <c r="L1055" s="20" t="s">
        <v>220</v>
      </c>
    </row>
    <row r="1056" spans="1:12" ht="51" x14ac:dyDescent="0.2">
      <c r="A1056" s="21" t="s">
        <v>2564</v>
      </c>
      <c r="B1056" s="22" t="s">
        <v>2565</v>
      </c>
      <c r="C1056" s="23" t="s">
        <v>235</v>
      </c>
      <c r="D1056" s="23" t="s">
        <v>459</v>
      </c>
      <c r="E1056" s="24">
        <v>59.11</v>
      </c>
      <c r="F1056" s="25">
        <v>0</v>
      </c>
      <c r="G1056" s="26">
        <v>0</v>
      </c>
      <c r="H1056" s="27">
        <v>0</v>
      </c>
      <c r="I1056" s="26">
        <v>0</v>
      </c>
      <c r="J1056" s="39" t="str">
        <f>HYPERLINK("https://amazon.com/dp/B0CX8P7B94","View on Amazon")</f>
        <v>View on Amazon</v>
      </c>
      <c r="K1056" s="23" t="s">
        <v>459</v>
      </c>
      <c r="L1056" s="28" t="s">
        <v>1297</v>
      </c>
    </row>
    <row r="1057" spans="1:12" ht="51" x14ac:dyDescent="0.2">
      <c r="A1057" s="13" t="s">
        <v>2566</v>
      </c>
      <c r="B1057" s="14" t="s">
        <v>2567</v>
      </c>
      <c r="C1057" s="15" t="s">
        <v>435</v>
      </c>
      <c r="D1057" s="15" t="s">
        <v>463</v>
      </c>
      <c r="E1057" s="16">
        <v>125.99</v>
      </c>
      <c r="F1057" s="17">
        <v>0</v>
      </c>
      <c r="G1057" s="18">
        <v>0</v>
      </c>
      <c r="H1057" s="19">
        <v>0</v>
      </c>
      <c r="I1057" s="18">
        <v>0</v>
      </c>
      <c r="J1057" s="38" t="str">
        <f>HYPERLINK("https://amazon.com/dp/B0DDPKKPC2","View on Amazon")</f>
        <v>View on Amazon</v>
      </c>
      <c r="K1057" s="15" t="s">
        <v>463</v>
      </c>
      <c r="L1057" s="20" t="s">
        <v>460</v>
      </c>
    </row>
    <row r="1058" spans="1:12" ht="68" x14ac:dyDescent="0.2">
      <c r="A1058" s="21" t="s">
        <v>2568</v>
      </c>
      <c r="B1058" s="22" t="s">
        <v>2569</v>
      </c>
      <c r="C1058" s="23" t="s">
        <v>131</v>
      </c>
      <c r="D1058" s="23" t="s">
        <v>463</v>
      </c>
      <c r="E1058" s="24">
        <v>659.98</v>
      </c>
      <c r="F1058" s="25">
        <v>0</v>
      </c>
      <c r="G1058" s="26">
        <v>0</v>
      </c>
      <c r="H1058" s="27">
        <v>0</v>
      </c>
      <c r="I1058" s="26">
        <v>0</v>
      </c>
      <c r="J1058" s="39" t="str">
        <f>HYPERLINK("https://amazon.com/dp/B0DQ8JP1X8","View on Amazon")</f>
        <v>View on Amazon</v>
      </c>
      <c r="K1058" s="23" t="s">
        <v>463</v>
      </c>
      <c r="L1058" s="28" t="s">
        <v>220</v>
      </c>
    </row>
    <row r="1059" spans="1:12" ht="68" x14ac:dyDescent="0.2">
      <c r="A1059" s="13" t="s">
        <v>2570</v>
      </c>
      <c r="B1059" s="14" t="s">
        <v>2571</v>
      </c>
      <c r="C1059" s="15" t="s">
        <v>131</v>
      </c>
      <c r="D1059" s="15" t="s">
        <v>459</v>
      </c>
      <c r="E1059" s="16">
        <v>659.99</v>
      </c>
      <c r="F1059" s="17">
        <v>0</v>
      </c>
      <c r="G1059" s="18">
        <v>0</v>
      </c>
      <c r="H1059" s="19">
        <v>0</v>
      </c>
      <c r="I1059" s="18">
        <v>0</v>
      </c>
      <c r="J1059" s="38" t="str">
        <f>HYPERLINK("https://amazon.com/dp/B0DN5PK1LG","View on Amazon")</f>
        <v>View on Amazon</v>
      </c>
      <c r="K1059" s="15" t="s">
        <v>459</v>
      </c>
      <c r="L1059" s="20" t="s">
        <v>220</v>
      </c>
    </row>
    <row r="1060" spans="1:12" ht="51" x14ac:dyDescent="0.2">
      <c r="A1060" s="21" t="s">
        <v>2572</v>
      </c>
      <c r="B1060" s="22" t="s">
        <v>2573</v>
      </c>
      <c r="C1060" s="23" t="s">
        <v>436</v>
      </c>
      <c r="D1060" s="23" t="s">
        <v>463</v>
      </c>
      <c r="E1060" s="24">
        <v>25.37</v>
      </c>
      <c r="F1060" s="25">
        <v>0</v>
      </c>
      <c r="G1060" s="26">
        <v>0</v>
      </c>
      <c r="H1060" s="27">
        <v>0</v>
      </c>
      <c r="I1060" s="26">
        <v>0</v>
      </c>
      <c r="J1060" s="39" t="str">
        <f>HYPERLINK("https://amazon.com/dp/B0BFHFXJVX","View on Amazon")</f>
        <v>View on Amazon</v>
      </c>
      <c r="K1060" s="23" t="s">
        <v>463</v>
      </c>
      <c r="L1060" s="28" t="s">
        <v>220</v>
      </c>
    </row>
    <row r="1061" spans="1:12" ht="51" x14ac:dyDescent="0.2">
      <c r="A1061" s="13" t="s">
        <v>2574</v>
      </c>
      <c r="B1061" s="14" t="s">
        <v>2575</v>
      </c>
      <c r="C1061" s="15" t="s">
        <v>436</v>
      </c>
      <c r="D1061" s="15" t="s">
        <v>463</v>
      </c>
      <c r="E1061" s="16">
        <v>13.77</v>
      </c>
      <c r="F1061" s="17">
        <v>0</v>
      </c>
      <c r="G1061" s="18">
        <v>0</v>
      </c>
      <c r="H1061" s="19">
        <v>0</v>
      </c>
      <c r="I1061" s="18">
        <v>0</v>
      </c>
      <c r="J1061" s="38" t="str">
        <f>HYPERLINK("https://amazon.com/dp/B0BFHGGXPD","View on Amazon")</f>
        <v>View on Amazon</v>
      </c>
      <c r="K1061" s="15" t="s">
        <v>463</v>
      </c>
      <c r="L1061" s="20" t="s">
        <v>220</v>
      </c>
    </row>
    <row r="1062" spans="1:12" ht="34" x14ac:dyDescent="0.2">
      <c r="A1062" s="21" t="s">
        <v>2576</v>
      </c>
      <c r="B1062" s="22" t="s">
        <v>2577</v>
      </c>
      <c r="C1062" s="23" t="s">
        <v>437</v>
      </c>
      <c r="D1062" s="23" t="s">
        <v>459</v>
      </c>
      <c r="E1062" s="24">
        <v>999</v>
      </c>
      <c r="F1062" s="25">
        <v>0</v>
      </c>
      <c r="G1062" s="26">
        <v>0</v>
      </c>
      <c r="H1062" s="27">
        <v>0</v>
      </c>
      <c r="I1062" s="26">
        <v>0</v>
      </c>
      <c r="J1062" s="39" t="str">
        <f>HYPERLINK("https://amazon.com/dp/B0D69TRB7P","View on Amazon")</f>
        <v>View on Amazon</v>
      </c>
      <c r="K1062" s="23" t="s">
        <v>459</v>
      </c>
      <c r="L1062" s="28" t="s">
        <v>460</v>
      </c>
    </row>
    <row r="1063" spans="1:12" ht="51" x14ac:dyDescent="0.2">
      <c r="A1063" s="13" t="s">
        <v>2578</v>
      </c>
      <c r="B1063" s="14" t="s">
        <v>2579</v>
      </c>
      <c r="C1063" s="15" t="s">
        <v>102</v>
      </c>
      <c r="D1063" s="15" t="s">
        <v>463</v>
      </c>
      <c r="E1063" s="16">
        <v>189</v>
      </c>
      <c r="F1063" s="17">
        <v>0</v>
      </c>
      <c r="G1063" s="18">
        <v>0</v>
      </c>
      <c r="H1063" s="19">
        <v>0</v>
      </c>
      <c r="I1063" s="18">
        <v>0</v>
      </c>
      <c r="J1063" s="38" t="str">
        <f>HYPERLINK("https://amazon.com/dp/B0DDCK1WCT","View on Amazon")</f>
        <v>View on Amazon</v>
      </c>
      <c r="K1063" s="15" t="s">
        <v>463</v>
      </c>
      <c r="L1063" s="20" t="s">
        <v>220</v>
      </c>
    </row>
    <row r="1064" spans="1:12" ht="68" x14ac:dyDescent="0.2">
      <c r="A1064" s="21" t="s">
        <v>2580</v>
      </c>
      <c r="B1064" s="22" t="s">
        <v>2581</v>
      </c>
      <c r="C1064" s="23" t="s">
        <v>131</v>
      </c>
      <c r="D1064" s="23" t="s">
        <v>459</v>
      </c>
      <c r="E1064" s="24">
        <v>249.99</v>
      </c>
      <c r="F1064" s="25">
        <v>0</v>
      </c>
      <c r="G1064" s="26">
        <v>0</v>
      </c>
      <c r="H1064" s="27">
        <v>0</v>
      </c>
      <c r="I1064" s="26">
        <v>0</v>
      </c>
      <c r="J1064" s="39" t="str">
        <f>HYPERLINK("https://amazon.com/dp/B0DNW2GPCV","View on Amazon")</f>
        <v>View on Amazon</v>
      </c>
      <c r="K1064" s="23" t="s">
        <v>459</v>
      </c>
      <c r="L1064" s="28" t="s">
        <v>220</v>
      </c>
    </row>
    <row r="1065" spans="1:12" ht="68" x14ac:dyDescent="0.2">
      <c r="A1065" s="13" t="s">
        <v>2582</v>
      </c>
      <c r="B1065" s="14" t="s">
        <v>2583</v>
      </c>
      <c r="C1065" s="15" t="s">
        <v>131</v>
      </c>
      <c r="D1065" s="15" t="s">
        <v>459</v>
      </c>
      <c r="E1065" s="16">
        <v>269.99</v>
      </c>
      <c r="F1065" s="17">
        <v>0</v>
      </c>
      <c r="G1065" s="18">
        <v>0</v>
      </c>
      <c r="H1065" s="19">
        <v>0</v>
      </c>
      <c r="I1065" s="18">
        <v>0</v>
      </c>
      <c r="J1065" s="38" t="str">
        <f>HYPERLINK("https://amazon.com/dp/B0DNW3WSQT","View on Amazon")</f>
        <v>View on Amazon</v>
      </c>
      <c r="K1065" s="15" t="s">
        <v>459</v>
      </c>
      <c r="L1065" s="20" t="s">
        <v>220</v>
      </c>
    </row>
    <row r="1066" spans="1:12" ht="51" x14ac:dyDescent="0.2">
      <c r="A1066" s="21" t="s">
        <v>2584</v>
      </c>
      <c r="B1066" s="22" t="s">
        <v>2585</v>
      </c>
      <c r="C1066" s="23" t="s">
        <v>131</v>
      </c>
      <c r="D1066" s="23" t="s">
        <v>459</v>
      </c>
      <c r="E1066" s="24">
        <v>129.99</v>
      </c>
      <c r="F1066" s="25">
        <v>0</v>
      </c>
      <c r="G1066" s="26">
        <v>0</v>
      </c>
      <c r="H1066" s="27">
        <v>0</v>
      </c>
      <c r="I1066" s="26">
        <v>0</v>
      </c>
      <c r="J1066" s="39" t="str">
        <f>HYPERLINK("https://amazon.com/dp/B0DNMP6J7Q","View on Amazon")</f>
        <v>View on Amazon</v>
      </c>
      <c r="K1066" s="23" t="s">
        <v>459</v>
      </c>
      <c r="L1066" s="28" t="s">
        <v>220</v>
      </c>
    </row>
    <row r="1067" spans="1:12" ht="51" x14ac:dyDescent="0.2">
      <c r="A1067" s="13" t="s">
        <v>2586</v>
      </c>
      <c r="B1067" s="14" t="s">
        <v>2587</v>
      </c>
      <c r="C1067" s="15" t="s">
        <v>102</v>
      </c>
      <c r="D1067" s="15" t="s">
        <v>459</v>
      </c>
      <c r="E1067" s="16">
        <v>174</v>
      </c>
      <c r="F1067" s="17">
        <v>0</v>
      </c>
      <c r="G1067" s="18">
        <v>0</v>
      </c>
      <c r="H1067" s="19">
        <v>0</v>
      </c>
      <c r="I1067" s="18">
        <v>0</v>
      </c>
      <c r="J1067" s="38" t="str">
        <f>HYPERLINK("https://amazon.com/dp/B0D9S4FYQQ","View on Amazon")</f>
        <v>View on Amazon</v>
      </c>
      <c r="K1067" s="15" t="s">
        <v>459</v>
      </c>
      <c r="L1067" s="20" t="s">
        <v>220</v>
      </c>
    </row>
    <row r="1068" spans="1:12" ht="68" x14ac:dyDescent="0.2">
      <c r="A1068" s="21" t="s">
        <v>2588</v>
      </c>
      <c r="B1068" s="22" t="s">
        <v>2589</v>
      </c>
      <c r="C1068" s="23" t="s">
        <v>131</v>
      </c>
      <c r="D1068" s="23" t="s">
        <v>463</v>
      </c>
      <c r="E1068" s="24">
        <v>159.99</v>
      </c>
      <c r="F1068" s="25">
        <v>0</v>
      </c>
      <c r="G1068" s="26">
        <v>0</v>
      </c>
      <c r="H1068" s="27">
        <v>0</v>
      </c>
      <c r="I1068" s="26">
        <v>0</v>
      </c>
      <c r="J1068" s="39" t="str">
        <f>HYPERLINK("https://amazon.com/dp/B0DFYPPHB2","View on Amazon")</f>
        <v>View on Amazon</v>
      </c>
      <c r="K1068" s="23" t="s">
        <v>463</v>
      </c>
      <c r="L1068" s="28" t="s">
        <v>220</v>
      </c>
    </row>
    <row r="1069" spans="1:12" ht="34" x14ac:dyDescent="0.2">
      <c r="A1069" s="13" t="s">
        <v>2590</v>
      </c>
      <c r="B1069" s="14" t="s">
        <v>2591</v>
      </c>
      <c r="C1069" s="15" t="s">
        <v>97</v>
      </c>
      <c r="D1069" s="15" t="s">
        <v>463</v>
      </c>
      <c r="E1069" s="16">
        <v>96.99</v>
      </c>
      <c r="F1069" s="17">
        <v>0</v>
      </c>
      <c r="G1069" s="18">
        <v>0</v>
      </c>
      <c r="H1069" s="19">
        <v>0</v>
      </c>
      <c r="I1069" s="18">
        <v>0</v>
      </c>
      <c r="J1069" s="38" t="str">
        <f>HYPERLINK("https://amazon.com/dp/B0DFCGS1KY","View on Amazon")</f>
        <v>View on Amazon</v>
      </c>
      <c r="K1069" s="15" t="s">
        <v>463</v>
      </c>
      <c r="L1069" s="20" t="s">
        <v>460</v>
      </c>
    </row>
    <row r="1070" spans="1:12" ht="68" x14ac:dyDescent="0.2">
      <c r="A1070" s="21" t="s">
        <v>2592</v>
      </c>
      <c r="B1070" s="22" t="s">
        <v>2593</v>
      </c>
      <c r="C1070" s="23" t="s">
        <v>58</v>
      </c>
      <c r="D1070" s="23" t="s">
        <v>463</v>
      </c>
      <c r="E1070" s="24">
        <v>279</v>
      </c>
      <c r="F1070" s="25">
        <v>0</v>
      </c>
      <c r="G1070" s="26">
        <v>0</v>
      </c>
      <c r="H1070" s="27">
        <v>0</v>
      </c>
      <c r="I1070" s="26">
        <v>0</v>
      </c>
      <c r="J1070" s="39" t="str">
        <f>HYPERLINK("https://amazon.com/dp/B0D9667MYV","View on Amazon")</f>
        <v>View on Amazon</v>
      </c>
      <c r="K1070" s="23" t="s">
        <v>463</v>
      </c>
      <c r="L1070" s="28" t="s">
        <v>220</v>
      </c>
    </row>
    <row r="1071" spans="1:12" ht="68" x14ac:dyDescent="0.2">
      <c r="A1071" s="13" t="s">
        <v>2594</v>
      </c>
      <c r="B1071" s="14" t="s">
        <v>2595</v>
      </c>
      <c r="C1071" s="15" t="s">
        <v>58</v>
      </c>
      <c r="D1071" s="15" t="s">
        <v>463</v>
      </c>
      <c r="E1071" s="16">
        <v>279</v>
      </c>
      <c r="F1071" s="17">
        <v>0</v>
      </c>
      <c r="G1071" s="18">
        <v>0</v>
      </c>
      <c r="H1071" s="19">
        <v>0</v>
      </c>
      <c r="I1071" s="18">
        <v>0</v>
      </c>
      <c r="J1071" s="38" t="str">
        <f>HYPERLINK("https://amazon.com/dp/B0D966Y4F9","View on Amazon")</f>
        <v>View on Amazon</v>
      </c>
      <c r="K1071" s="15" t="s">
        <v>463</v>
      </c>
      <c r="L1071" s="20" t="s">
        <v>220</v>
      </c>
    </row>
    <row r="1072" spans="1:12" ht="51" x14ac:dyDescent="0.2">
      <c r="A1072" s="21" t="s">
        <v>2596</v>
      </c>
      <c r="B1072" s="22" t="s">
        <v>2597</v>
      </c>
      <c r="C1072" s="23" t="s">
        <v>438</v>
      </c>
      <c r="D1072" s="23" t="s">
        <v>463</v>
      </c>
      <c r="E1072" s="24">
        <v>266.43</v>
      </c>
      <c r="F1072" s="25">
        <v>0</v>
      </c>
      <c r="G1072" s="26">
        <v>0</v>
      </c>
      <c r="H1072" s="27">
        <v>4.4000000000000004</v>
      </c>
      <c r="I1072" s="26">
        <v>63</v>
      </c>
      <c r="J1072" s="39" t="str">
        <f>HYPERLINK("https://amazon.com/dp/B09RN3WKQL","View on Amazon")</f>
        <v>View on Amazon</v>
      </c>
      <c r="K1072" s="23" t="s">
        <v>463</v>
      </c>
      <c r="L1072" s="28" t="s">
        <v>460</v>
      </c>
    </row>
    <row r="1073" spans="1:12" ht="51" x14ac:dyDescent="0.2">
      <c r="A1073" s="13" t="s">
        <v>2598</v>
      </c>
      <c r="B1073" s="14" t="s">
        <v>2599</v>
      </c>
      <c r="C1073" s="15" t="s">
        <v>131</v>
      </c>
      <c r="D1073" s="15" t="s">
        <v>459</v>
      </c>
      <c r="E1073" s="16">
        <v>659.99</v>
      </c>
      <c r="F1073" s="17">
        <v>0</v>
      </c>
      <c r="G1073" s="18">
        <v>0</v>
      </c>
      <c r="H1073" s="19">
        <v>0</v>
      </c>
      <c r="I1073" s="18">
        <v>0</v>
      </c>
      <c r="J1073" s="38" t="str">
        <f>HYPERLINK("https://amazon.com/dp/B0DN5GXB89","View on Amazon")</f>
        <v>View on Amazon</v>
      </c>
      <c r="K1073" s="15" t="s">
        <v>459</v>
      </c>
      <c r="L1073" s="20" t="s">
        <v>220</v>
      </c>
    </row>
    <row r="1074" spans="1:12" ht="51" x14ac:dyDescent="0.2">
      <c r="A1074" s="21" t="s">
        <v>2600</v>
      </c>
      <c r="B1074" s="22" t="s">
        <v>2601</v>
      </c>
      <c r="C1074" s="23" t="s">
        <v>439</v>
      </c>
      <c r="D1074" s="23" t="s">
        <v>459</v>
      </c>
      <c r="E1074" s="24">
        <v>59.2</v>
      </c>
      <c r="F1074" s="25">
        <v>0</v>
      </c>
      <c r="G1074" s="26">
        <v>0</v>
      </c>
      <c r="H1074" s="27">
        <v>0</v>
      </c>
      <c r="I1074" s="26">
        <v>0</v>
      </c>
      <c r="J1074" s="39" t="str">
        <f>HYPERLINK("https://amazon.com/dp/B0CQCKPQ8G","View on Amazon")</f>
        <v>View on Amazon</v>
      </c>
      <c r="K1074" s="23" t="s">
        <v>459</v>
      </c>
      <c r="L1074" s="28" t="s">
        <v>220</v>
      </c>
    </row>
    <row r="1075" spans="1:12" ht="34" x14ac:dyDescent="0.2">
      <c r="A1075" s="13" t="s">
        <v>2602</v>
      </c>
      <c r="B1075" s="14" t="s">
        <v>2603</v>
      </c>
      <c r="C1075" s="15" t="s">
        <v>202</v>
      </c>
      <c r="D1075" s="15" t="s">
        <v>463</v>
      </c>
      <c r="E1075" s="16">
        <v>28.98</v>
      </c>
      <c r="F1075" s="17">
        <v>0</v>
      </c>
      <c r="G1075" s="18">
        <v>0</v>
      </c>
      <c r="H1075" s="19">
        <v>5</v>
      </c>
      <c r="I1075" s="18">
        <v>1</v>
      </c>
      <c r="J1075" s="38" t="str">
        <f>HYPERLINK("https://amazon.com/dp/B091GCX2T4","View on Amazon")</f>
        <v>View on Amazon</v>
      </c>
      <c r="K1075" s="15" t="s">
        <v>463</v>
      </c>
      <c r="L1075" s="20" t="s">
        <v>220</v>
      </c>
    </row>
    <row r="1076" spans="1:12" ht="68" x14ac:dyDescent="0.2">
      <c r="A1076" s="21" t="s">
        <v>2604</v>
      </c>
      <c r="B1076" s="22" t="s">
        <v>2605</v>
      </c>
      <c r="C1076" s="23" t="s">
        <v>131</v>
      </c>
      <c r="D1076" s="23" t="s">
        <v>463</v>
      </c>
      <c r="E1076" s="24">
        <v>199.99</v>
      </c>
      <c r="F1076" s="25">
        <v>0</v>
      </c>
      <c r="G1076" s="26">
        <v>0</v>
      </c>
      <c r="H1076" s="27">
        <v>0</v>
      </c>
      <c r="I1076" s="26">
        <v>0</v>
      </c>
      <c r="J1076" s="39" t="str">
        <f>HYPERLINK("https://amazon.com/dp/B0DM96JVB4","View on Amazon")</f>
        <v>View on Amazon</v>
      </c>
      <c r="K1076" s="23" t="s">
        <v>463</v>
      </c>
      <c r="L1076" s="28" t="s">
        <v>220</v>
      </c>
    </row>
    <row r="1077" spans="1:12" ht="68" x14ac:dyDescent="0.2">
      <c r="A1077" s="13" t="s">
        <v>2606</v>
      </c>
      <c r="B1077" s="14" t="s">
        <v>2607</v>
      </c>
      <c r="C1077" s="15" t="s">
        <v>440</v>
      </c>
      <c r="D1077" s="15" t="s">
        <v>459</v>
      </c>
      <c r="E1077" s="16">
        <v>90.59</v>
      </c>
      <c r="F1077" s="17">
        <v>0</v>
      </c>
      <c r="G1077" s="18">
        <v>0</v>
      </c>
      <c r="H1077" s="19">
        <v>0</v>
      </c>
      <c r="I1077" s="18">
        <v>0</v>
      </c>
      <c r="J1077" s="38" t="str">
        <f>HYPERLINK("https://amazon.com/dp/B0CJQX78Q8","View on Amazon")</f>
        <v>View on Amazon</v>
      </c>
      <c r="K1077" s="15" t="s">
        <v>459</v>
      </c>
      <c r="L1077" s="20" t="s">
        <v>220</v>
      </c>
    </row>
    <row r="1078" spans="1:12" ht="68" x14ac:dyDescent="0.2">
      <c r="A1078" s="21" t="s">
        <v>2608</v>
      </c>
      <c r="B1078" s="22" t="s">
        <v>2609</v>
      </c>
      <c r="C1078" s="23" t="s">
        <v>211</v>
      </c>
      <c r="D1078" s="23" t="s">
        <v>463</v>
      </c>
      <c r="E1078" s="24">
        <v>25.99</v>
      </c>
      <c r="F1078" s="25">
        <v>0</v>
      </c>
      <c r="G1078" s="26">
        <v>0</v>
      </c>
      <c r="H1078" s="27">
        <v>0</v>
      </c>
      <c r="I1078" s="26">
        <v>0</v>
      </c>
      <c r="J1078" s="39" t="str">
        <f>HYPERLINK("https://amazon.com/dp/B0DL8KGFZW","View on Amazon")</f>
        <v>View on Amazon</v>
      </c>
      <c r="K1078" s="23" t="s">
        <v>463</v>
      </c>
      <c r="L1078" s="28" t="s">
        <v>220</v>
      </c>
    </row>
    <row r="1079" spans="1:12" ht="68" x14ac:dyDescent="0.2">
      <c r="A1079" s="13" t="s">
        <v>2610</v>
      </c>
      <c r="B1079" s="14" t="s">
        <v>2611</v>
      </c>
      <c r="C1079" s="15" t="s">
        <v>140</v>
      </c>
      <c r="D1079" s="15" t="s">
        <v>459</v>
      </c>
      <c r="E1079" s="16">
        <v>129.99</v>
      </c>
      <c r="F1079" s="17">
        <v>0</v>
      </c>
      <c r="G1079" s="18">
        <v>0</v>
      </c>
      <c r="H1079" s="19">
        <v>0</v>
      </c>
      <c r="I1079" s="18">
        <v>0</v>
      </c>
      <c r="J1079" s="38" t="str">
        <f>HYPERLINK("https://amazon.com/dp/B0DFYLLM95","View on Amazon")</f>
        <v>View on Amazon</v>
      </c>
      <c r="K1079" s="15" t="s">
        <v>459</v>
      </c>
      <c r="L1079" s="20" t="s">
        <v>220</v>
      </c>
    </row>
    <row r="1080" spans="1:12" ht="51" x14ac:dyDescent="0.2">
      <c r="A1080" s="21" t="s">
        <v>2612</v>
      </c>
      <c r="B1080" s="22" t="s">
        <v>2613</v>
      </c>
      <c r="C1080" s="23" t="s">
        <v>346</v>
      </c>
      <c r="D1080" s="23" t="s">
        <v>463</v>
      </c>
      <c r="E1080" s="24">
        <v>38.99</v>
      </c>
      <c r="F1080" s="25">
        <v>0</v>
      </c>
      <c r="G1080" s="26">
        <v>0</v>
      </c>
      <c r="H1080" s="27">
        <v>0</v>
      </c>
      <c r="I1080" s="26">
        <v>0</v>
      </c>
      <c r="J1080" s="39" t="str">
        <f>HYPERLINK("https://amazon.com/dp/B0BS12YLS2","View on Amazon")</f>
        <v>View on Amazon</v>
      </c>
      <c r="K1080" s="23" t="s">
        <v>463</v>
      </c>
      <c r="L1080" s="28" t="s">
        <v>220</v>
      </c>
    </row>
    <row r="1081" spans="1:12" ht="34" x14ac:dyDescent="0.2">
      <c r="A1081" s="13" t="s">
        <v>2614</v>
      </c>
      <c r="B1081" s="14" t="s">
        <v>2481</v>
      </c>
      <c r="C1081" s="15" t="s">
        <v>420</v>
      </c>
      <c r="D1081" s="15" t="s">
        <v>463</v>
      </c>
      <c r="E1081" s="16">
        <v>22.99</v>
      </c>
      <c r="F1081" s="17">
        <v>0</v>
      </c>
      <c r="G1081" s="18">
        <v>0</v>
      </c>
      <c r="H1081" s="19">
        <v>5</v>
      </c>
      <c r="I1081" s="18">
        <v>1</v>
      </c>
      <c r="J1081" s="38" t="str">
        <f>HYPERLINK("https://amazon.com/dp/B0CF58VMC5","View on Amazon")</f>
        <v>View on Amazon</v>
      </c>
      <c r="K1081" s="15" t="s">
        <v>463</v>
      </c>
      <c r="L1081" s="20" t="s">
        <v>460</v>
      </c>
    </row>
    <row r="1082" spans="1:12" ht="51" x14ac:dyDescent="0.2">
      <c r="A1082" s="21" t="s">
        <v>2615</v>
      </c>
      <c r="B1082" s="22" t="s">
        <v>2616</v>
      </c>
      <c r="C1082" s="23" t="s">
        <v>102</v>
      </c>
      <c r="D1082" s="23" t="s">
        <v>459</v>
      </c>
      <c r="E1082" s="24">
        <v>136</v>
      </c>
      <c r="F1082" s="25">
        <v>0</v>
      </c>
      <c r="G1082" s="26">
        <v>0</v>
      </c>
      <c r="H1082" s="27">
        <v>5</v>
      </c>
      <c r="I1082" s="26">
        <v>1</v>
      </c>
      <c r="J1082" s="39" t="str">
        <f>HYPERLINK("https://amazon.com/dp/B0DB8KBGDS","View on Amazon")</f>
        <v>View on Amazon</v>
      </c>
      <c r="K1082" s="23" t="s">
        <v>459</v>
      </c>
      <c r="L1082" s="28" t="s">
        <v>220</v>
      </c>
    </row>
    <row r="1083" spans="1:12" ht="34" x14ac:dyDescent="0.2">
      <c r="A1083" s="13" t="s">
        <v>2617</v>
      </c>
      <c r="B1083" s="14" t="s">
        <v>2618</v>
      </c>
      <c r="C1083" s="15" t="s">
        <v>441</v>
      </c>
      <c r="D1083" s="15" t="s">
        <v>463</v>
      </c>
      <c r="E1083" s="16">
        <v>88</v>
      </c>
      <c r="F1083" s="17">
        <v>0</v>
      </c>
      <c r="G1083" s="18">
        <v>0</v>
      </c>
      <c r="H1083" s="19">
        <v>0</v>
      </c>
      <c r="I1083" s="18">
        <v>0</v>
      </c>
      <c r="J1083" s="38" t="str">
        <f>HYPERLINK("https://amazon.com/dp/B0C77BTMM2","View on Amazon")</f>
        <v>View on Amazon</v>
      </c>
      <c r="K1083" s="15" t="s">
        <v>463</v>
      </c>
      <c r="L1083" s="20" t="s">
        <v>220</v>
      </c>
    </row>
    <row r="1084" spans="1:12" ht="51" x14ac:dyDescent="0.2">
      <c r="A1084" s="21" t="s">
        <v>2619</v>
      </c>
      <c r="B1084" s="22" t="s">
        <v>2620</v>
      </c>
      <c r="C1084" s="23" t="s">
        <v>315</v>
      </c>
      <c r="D1084" s="23" t="s">
        <v>459</v>
      </c>
      <c r="E1084" s="24">
        <v>100</v>
      </c>
      <c r="F1084" s="25">
        <v>0</v>
      </c>
      <c r="G1084" s="26">
        <v>0</v>
      </c>
      <c r="H1084" s="27">
        <v>0</v>
      </c>
      <c r="I1084" s="26">
        <v>0</v>
      </c>
      <c r="J1084" s="39" t="str">
        <f>HYPERLINK("https://amazon.com/dp/B0CRZ4CPMH","View on Amazon")</f>
        <v>View on Amazon</v>
      </c>
      <c r="K1084" s="23" t="s">
        <v>459</v>
      </c>
      <c r="L1084" s="28" t="s">
        <v>460</v>
      </c>
    </row>
    <row r="1085" spans="1:12" ht="68" x14ac:dyDescent="0.2">
      <c r="A1085" s="13" t="s">
        <v>2621</v>
      </c>
      <c r="B1085" s="14" t="s">
        <v>2622</v>
      </c>
      <c r="C1085" s="15" t="s">
        <v>270</v>
      </c>
      <c r="D1085" s="15" t="s">
        <v>463</v>
      </c>
      <c r="E1085" s="16">
        <v>90.99</v>
      </c>
      <c r="F1085" s="17">
        <v>0</v>
      </c>
      <c r="G1085" s="18">
        <v>0</v>
      </c>
      <c r="H1085" s="19">
        <v>2.4</v>
      </c>
      <c r="I1085" s="18">
        <v>2</v>
      </c>
      <c r="J1085" s="38" t="str">
        <f>HYPERLINK("https://amazon.com/dp/B0BPGV96WF","View on Amazon")</f>
        <v>View on Amazon</v>
      </c>
      <c r="K1085" s="15" t="s">
        <v>463</v>
      </c>
      <c r="L1085" s="20" t="s">
        <v>460</v>
      </c>
    </row>
    <row r="1086" spans="1:12" ht="68" x14ac:dyDescent="0.2">
      <c r="A1086" s="21" t="s">
        <v>2623</v>
      </c>
      <c r="B1086" s="22" t="s">
        <v>2624</v>
      </c>
      <c r="C1086" s="23" t="s">
        <v>140</v>
      </c>
      <c r="D1086" s="23" t="s">
        <v>463</v>
      </c>
      <c r="E1086" s="24">
        <v>139.99</v>
      </c>
      <c r="F1086" s="25">
        <v>0</v>
      </c>
      <c r="G1086" s="26">
        <v>0</v>
      </c>
      <c r="H1086" s="27">
        <v>0</v>
      </c>
      <c r="I1086" s="26">
        <v>0</v>
      </c>
      <c r="J1086" s="39" t="str">
        <f>HYPERLINK("https://amazon.com/dp/B0DHP6MYGF","View on Amazon")</f>
        <v>View on Amazon</v>
      </c>
      <c r="K1086" s="23" t="s">
        <v>463</v>
      </c>
      <c r="L1086" s="28" t="s">
        <v>220</v>
      </c>
    </row>
    <row r="1087" spans="1:12" ht="51" x14ac:dyDescent="0.2">
      <c r="A1087" s="13" t="s">
        <v>2625</v>
      </c>
      <c r="B1087" s="14" t="s">
        <v>2626</v>
      </c>
      <c r="C1087" s="15" t="s">
        <v>10</v>
      </c>
      <c r="D1087" s="15" t="s">
        <v>463</v>
      </c>
      <c r="E1087" s="16">
        <v>69.900000000000006</v>
      </c>
      <c r="F1087" s="17">
        <v>0</v>
      </c>
      <c r="G1087" s="18">
        <v>0</v>
      </c>
      <c r="H1087" s="19">
        <v>0</v>
      </c>
      <c r="I1087" s="18">
        <v>0</v>
      </c>
      <c r="J1087" s="38" t="str">
        <f>HYPERLINK("https://amazon.com/dp/B0CHJWDG9Q","View on Amazon")</f>
        <v>View on Amazon</v>
      </c>
      <c r="K1087" s="15" t="s">
        <v>463</v>
      </c>
      <c r="L1087" s="20" t="s">
        <v>220</v>
      </c>
    </row>
    <row r="1088" spans="1:12" ht="51" x14ac:dyDescent="0.2">
      <c r="A1088" s="21" t="s">
        <v>2627</v>
      </c>
      <c r="B1088" s="22" t="s">
        <v>2628</v>
      </c>
      <c r="C1088" s="23" t="s">
        <v>102</v>
      </c>
      <c r="D1088" s="23" t="s">
        <v>463</v>
      </c>
      <c r="E1088" s="24">
        <v>135</v>
      </c>
      <c r="F1088" s="25">
        <v>0</v>
      </c>
      <c r="G1088" s="26">
        <v>0</v>
      </c>
      <c r="H1088" s="27">
        <v>4</v>
      </c>
      <c r="I1088" s="26">
        <v>1</v>
      </c>
      <c r="J1088" s="39" t="str">
        <f>HYPERLINK("https://amazon.com/dp/B0DBVHNZL1","View on Amazon")</f>
        <v>View on Amazon</v>
      </c>
      <c r="K1088" s="23" t="s">
        <v>463</v>
      </c>
      <c r="L1088" s="28" t="s">
        <v>220</v>
      </c>
    </row>
    <row r="1089" spans="1:12" ht="34" x14ac:dyDescent="0.2">
      <c r="A1089" s="13" t="s">
        <v>2629</v>
      </c>
      <c r="B1089" s="14" t="s">
        <v>2630</v>
      </c>
      <c r="C1089" s="15" t="s">
        <v>202</v>
      </c>
      <c r="D1089" s="15" t="s">
        <v>463</v>
      </c>
      <c r="E1089" s="16">
        <v>72.98</v>
      </c>
      <c r="F1089" s="17">
        <v>0</v>
      </c>
      <c r="G1089" s="18">
        <v>0</v>
      </c>
      <c r="H1089" s="19">
        <v>4.3</v>
      </c>
      <c r="I1089" s="18">
        <v>2</v>
      </c>
      <c r="J1089" s="38" t="str">
        <f>HYPERLINK("https://amazon.com/dp/B08SBRVKBC","View on Amazon")</f>
        <v>View on Amazon</v>
      </c>
      <c r="K1089" s="15" t="s">
        <v>463</v>
      </c>
      <c r="L1089" s="20" t="s">
        <v>220</v>
      </c>
    </row>
    <row r="1090" spans="1:12" ht="51" x14ac:dyDescent="0.2">
      <c r="A1090" s="21" t="s">
        <v>2631</v>
      </c>
      <c r="B1090" s="22" t="s">
        <v>2632</v>
      </c>
      <c r="C1090" s="23" t="s">
        <v>442</v>
      </c>
      <c r="D1090" s="23" t="s">
        <v>503</v>
      </c>
      <c r="E1090" s="24">
        <v>19.98</v>
      </c>
      <c r="F1090" s="25">
        <v>0</v>
      </c>
      <c r="G1090" s="26">
        <v>0</v>
      </c>
      <c r="H1090" s="27">
        <v>0</v>
      </c>
      <c r="I1090" s="26">
        <v>0</v>
      </c>
      <c r="J1090" s="39" t="str">
        <f>HYPERLINK("https://amazon.com/dp/B0D731HGM8","View on Amazon")</f>
        <v>View on Amazon</v>
      </c>
      <c r="K1090" s="23" t="s">
        <v>503</v>
      </c>
      <c r="L1090" s="28" t="s">
        <v>460</v>
      </c>
    </row>
    <row r="1091" spans="1:12" ht="51" x14ac:dyDescent="0.2">
      <c r="A1091" s="13" t="s">
        <v>2633</v>
      </c>
      <c r="B1091" s="14" t="s">
        <v>2634</v>
      </c>
      <c r="C1091" s="15" t="s">
        <v>442</v>
      </c>
      <c r="D1091" s="15" t="s">
        <v>503</v>
      </c>
      <c r="E1091" s="16">
        <v>19.98</v>
      </c>
      <c r="F1091" s="17">
        <v>0</v>
      </c>
      <c r="G1091" s="18">
        <v>0</v>
      </c>
      <c r="H1091" s="19">
        <v>0</v>
      </c>
      <c r="I1091" s="18">
        <v>0</v>
      </c>
      <c r="J1091" s="38" t="str">
        <f>HYPERLINK("https://amazon.com/dp/B0D72TR3D1","View on Amazon")</f>
        <v>View on Amazon</v>
      </c>
      <c r="K1091" s="15" t="s">
        <v>503</v>
      </c>
      <c r="L1091" s="20" t="s">
        <v>460</v>
      </c>
    </row>
    <row r="1092" spans="1:12" ht="34" x14ac:dyDescent="0.2">
      <c r="A1092" s="21" t="s">
        <v>2635</v>
      </c>
      <c r="B1092" s="22" t="s">
        <v>2636</v>
      </c>
      <c r="C1092" s="23" t="s">
        <v>10</v>
      </c>
      <c r="D1092" s="23" t="s">
        <v>463</v>
      </c>
      <c r="E1092" s="24">
        <v>150.9</v>
      </c>
      <c r="F1092" s="25">
        <v>0</v>
      </c>
      <c r="G1092" s="26">
        <v>0</v>
      </c>
      <c r="H1092" s="27">
        <v>0</v>
      </c>
      <c r="I1092" s="26">
        <v>0</v>
      </c>
      <c r="J1092" s="39" t="str">
        <f>HYPERLINK("https://amazon.com/dp/B0BX8VXJT4","View on Amazon")</f>
        <v>View on Amazon</v>
      </c>
      <c r="K1092" s="23" t="s">
        <v>463</v>
      </c>
      <c r="L1092" s="28" t="s">
        <v>220</v>
      </c>
    </row>
    <row r="1093" spans="1:12" ht="68" x14ac:dyDescent="0.2">
      <c r="A1093" s="13" t="s">
        <v>2637</v>
      </c>
      <c r="B1093" s="14" t="s">
        <v>2638</v>
      </c>
      <c r="C1093" s="15" t="s">
        <v>209</v>
      </c>
      <c r="D1093" s="15" t="s">
        <v>459</v>
      </c>
      <c r="E1093" s="16">
        <v>159.88</v>
      </c>
      <c r="F1093" s="17">
        <v>0</v>
      </c>
      <c r="G1093" s="18">
        <v>0</v>
      </c>
      <c r="H1093" s="19">
        <v>0</v>
      </c>
      <c r="I1093" s="18">
        <v>0</v>
      </c>
      <c r="J1093" s="38" t="str">
        <f>HYPERLINK("https://amazon.com/dp/B0CZ9FT6SH","View on Amazon")</f>
        <v>View on Amazon</v>
      </c>
      <c r="K1093" s="15" t="s">
        <v>459</v>
      </c>
      <c r="L1093" s="20" t="s">
        <v>220</v>
      </c>
    </row>
    <row r="1094" spans="1:12" ht="34" x14ac:dyDescent="0.2">
      <c r="A1094" s="21" t="s">
        <v>2639</v>
      </c>
      <c r="B1094" s="22" t="s">
        <v>2640</v>
      </c>
      <c r="C1094" s="23" t="s">
        <v>202</v>
      </c>
      <c r="D1094" s="23" t="s">
        <v>463</v>
      </c>
      <c r="E1094" s="24">
        <v>59.98</v>
      </c>
      <c r="F1094" s="25">
        <v>0</v>
      </c>
      <c r="G1094" s="26">
        <v>0</v>
      </c>
      <c r="H1094" s="27">
        <v>3.4</v>
      </c>
      <c r="I1094" s="26">
        <v>10</v>
      </c>
      <c r="J1094" s="39" t="str">
        <f>HYPERLINK("https://amazon.com/dp/B08XX24DSB","View on Amazon")</f>
        <v>View on Amazon</v>
      </c>
      <c r="K1094" s="23" t="s">
        <v>463</v>
      </c>
      <c r="L1094" s="28" t="s">
        <v>220</v>
      </c>
    </row>
    <row r="1095" spans="1:12" ht="68" x14ac:dyDescent="0.2">
      <c r="A1095" s="13" t="s">
        <v>2641</v>
      </c>
      <c r="B1095" s="14" t="s">
        <v>2642</v>
      </c>
      <c r="C1095" s="15" t="s">
        <v>140</v>
      </c>
      <c r="D1095" s="15" t="s">
        <v>463</v>
      </c>
      <c r="E1095" s="16">
        <v>179.99</v>
      </c>
      <c r="F1095" s="17">
        <v>0</v>
      </c>
      <c r="G1095" s="18">
        <v>0</v>
      </c>
      <c r="H1095" s="19">
        <v>0</v>
      </c>
      <c r="I1095" s="18">
        <v>0</v>
      </c>
      <c r="J1095" s="38" t="str">
        <f>HYPERLINK("https://amazon.com/dp/B0D9BKGZJ8","View on Amazon")</f>
        <v>View on Amazon</v>
      </c>
      <c r="K1095" s="15" t="s">
        <v>463</v>
      </c>
      <c r="L1095" s="20" t="s">
        <v>220</v>
      </c>
    </row>
    <row r="1096" spans="1:12" ht="34" x14ac:dyDescent="0.2">
      <c r="A1096" s="21" t="s">
        <v>2643</v>
      </c>
      <c r="B1096" s="22" t="s">
        <v>2644</v>
      </c>
      <c r="C1096" s="23" t="s">
        <v>202</v>
      </c>
      <c r="D1096" s="23" t="s">
        <v>463</v>
      </c>
      <c r="E1096" s="24">
        <v>24.99</v>
      </c>
      <c r="F1096" s="25">
        <v>0</v>
      </c>
      <c r="G1096" s="26">
        <v>0</v>
      </c>
      <c r="H1096" s="27">
        <v>4.4000000000000004</v>
      </c>
      <c r="I1096" s="26">
        <v>5</v>
      </c>
      <c r="J1096" s="39" t="str">
        <f>HYPERLINK("https://amazon.com/dp/B08XVT3FVC","View on Amazon")</f>
        <v>View on Amazon</v>
      </c>
      <c r="K1096" s="23" t="s">
        <v>463</v>
      </c>
      <c r="L1096" s="28" t="s">
        <v>220</v>
      </c>
    </row>
    <row r="1097" spans="1:12" ht="68" x14ac:dyDescent="0.2">
      <c r="A1097" s="13" t="s">
        <v>2645</v>
      </c>
      <c r="B1097" s="14" t="s">
        <v>2646</v>
      </c>
      <c r="C1097" s="15" t="s">
        <v>151</v>
      </c>
      <c r="D1097" s="15" t="s">
        <v>463</v>
      </c>
      <c r="E1097" s="16">
        <v>89</v>
      </c>
      <c r="F1097" s="17">
        <v>0</v>
      </c>
      <c r="G1097" s="18">
        <v>0</v>
      </c>
      <c r="H1097" s="19">
        <v>0</v>
      </c>
      <c r="I1097" s="18">
        <v>0</v>
      </c>
      <c r="J1097" s="38" t="str">
        <f>HYPERLINK("https://amazon.com/dp/B0CRQJRKZD","View on Amazon")</f>
        <v>View on Amazon</v>
      </c>
      <c r="K1097" s="15" t="s">
        <v>463</v>
      </c>
      <c r="L1097" s="20" t="s">
        <v>460</v>
      </c>
    </row>
    <row r="1098" spans="1:12" ht="51" x14ac:dyDescent="0.2">
      <c r="A1098" s="21" t="s">
        <v>2647</v>
      </c>
      <c r="B1098" s="22" t="s">
        <v>2648</v>
      </c>
      <c r="C1098" s="23" t="s">
        <v>10</v>
      </c>
      <c r="D1098" s="23" t="s">
        <v>463</v>
      </c>
      <c r="E1098" s="24">
        <v>230</v>
      </c>
      <c r="F1098" s="25">
        <v>0</v>
      </c>
      <c r="G1098" s="26">
        <v>0</v>
      </c>
      <c r="H1098" s="27">
        <v>0</v>
      </c>
      <c r="I1098" s="26">
        <v>0</v>
      </c>
      <c r="J1098" s="39" t="str">
        <f>HYPERLINK("https://amazon.com/dp/B0CGX83XMR","View on Amazon")</f>
        <v>View on Amazon</v>
      </c>
      <c r="K1098" s="23" t="s">
        <v>463</v>
      </c>
      <c r="L1098" s="28" t="s">
        <v>220</v>
      </c>
    </row>
    <row r="1099" spans="1:12" ht="34" x14ac:dyDescent="0.2">
      <c r="A1099" s="13" t="s">
        <v>2649</v>
      </c>
      <c r="B1099" s="14" t="s">
        <v>2650</v>
      </c>
      <c r="C1099" s="15" t="s">
        <v>443</v>
      </c>
      <c r="D1099" s="15" t="s">
        <v>463</v>
      </c>
      <c r="E1099" s="16">
        <v>51.88</v>
      </c>
      <c r="F1099" s="17">
        <v>0</v>
      </c>
      <c r="G1099" s="18">
        <v>0</v>
      </c>
      <c r="H1099" s="19">
        <v>1</v>
      </c>
      <c r="I1099" s="18">
        <v>1</v>
      </c>
      <c r="J1099" s="38" t="str">
        <f>HYPERLINK("https://amazon.com/dp/B0CY4LV2CH","View on Amazon")</f>
        <v>View on Amazon</v>
      </c>
      <c r="K1099" s="15" t="s">
        <v>463</v>
      </c>
      <c r="L1099" s="20" t="s">
        <v>220</v>
      </c>
    </row>
    <row r="1100" spans="1:12" ht="51" x14ac:dyDescent="0.2">
      <c r="A1100" s="21" t="s">
        <v>2651</v>
      </c>
      <c r="B1100" s="22" t="s">
        <v>2652</v>
      </c>
      <c r="C1100" s="23" t="s">
        <v>341</v>
      </c>
      <c r="D1100" s="23" t="s">
        <v>463</v>
      </c>
      <c r="E1100" s="24">
        <v>49.99</v>
      </c>
      <c r="F1100" s="25">
        <v>0</v>
      </c>
      <c r="G1100" s="26">
        <v>0</v>
      </c>
      <c r="H1100" s="27">
        <v>0</v>
      </c>
      <c r="I1100" s="26">
        <v>0</v>
      </c>
      <c r="J1100" s="39" t="str">
        <f>HYPERLINK("https://amazon.com/dp/B0CN44LX9Q","View on Amazon")</f>
        <v>View on Amazon</v>
      </c>
      <c r="K1100" s="23" t="s">
        <v>463</v>
      </c>
      <c r="L1100" s="28" t="s">
        <v>220</v>
      </c>
    </row>
    <row r="1101" spans="1:12" ht="34" x14ac:dyDescent="0.2">
      <c r="A1101" s="13" t="s">
        <v>2653</v>
      </c>
      <c r="B1101" s="14" t="s">
        <v>2654</v>
      </c>
      <c r="C1101" s="15" t="s">
        <v>444</v>
      </c>
      <c r="D1101" s="15" t="s">
        <v>459</v>
      </c>
      <c r="E1101" s="16">
        <v>152</v>
      </c>
      <c r="F1101" s="17">
        <v>0</v>
      </c>
      <c r="G1101" s="18">
        <v>0</v>
      </c>
      <c r="H1101" s="19">
        <v>0</v>
      </c>
      <c r="I1101" s="18">
        <v>0</v>
      </c>
      <c r="J1101" s="38" t="str">
        <f>HYPERLINK("https://amazon.com/dp/B0D4F9HMRP","View on Amazon")</f>
        <v>View on Amazon</v>
      </c>
      <c r="K1101" s="15" t="s">
        <v>459</v>
      </c>
      <c r="L1101" s="20" t="s">
        <v>1297</v>
      </c>
    </row>
    <row r="1102" spans="1:12" ht="51" x14ac:dyDescent="0.2">
      <c r="A1102" s="21" t="s">
        <v>2655</v>
      </c>
      <c r="B1102" s="22" t="s">
        <v>2656</v>
      </c>
      <c r="C1102" s="23" t="s">
        <v>436</v>
      </c>
      <c r="D1102" s="23" t="s">
        <v>463</v>
      </c>
      <c r="E1102" s="24">
        <v>25.29</v>
      </c>
      <c r="F1102" s="25">
        <v>0</v>
      </c>
      <c r="G1102" s="26">
        <v>0</v>
      </c>
      <c r="H1102" s="27">
        <v>0</v>
      </c>
      <c r="I1102" s="26">
        <v>0</v>
      </c>
      <c r="J1102" s="39" t="str">
        <f>HYPERLINK("https://amazon.com/dp/B0BFHLQZL8","View on Amazon")</f>
        <v>View on Amazon</v>
      </c>
      <c r="K1102" s="23" t="s">
        <v>463</v>
      </c>
      <c r="L1102" s="28" t="s">
        <v>220</v>
      </c>
    </row>
    <row r="1103" spans="1:12" ht="51" x14ac:dyDescent="0.2">
      <c r="A1103" s="13" t="s">
        <v>2657</v>
      </c>
      <c r="B1103" s="14" t="s">
        <v>2658</v>
      </c>
      <c r="C1103" s="15" t="s">
        <v>436</v>
      </c>
      <c r="D1103" s="15" t="s">
        <v>463</v>
      </c>
      <c r="E1103" s="16">
        <v>25.29</v>
      </c>
      <c r="F1103" s="17">
        <v>0</v>
      </c>
      <c r="G1103" s="18">
        <v>0</v>
      </c>
      <c r="H1103" s="19">
        <v>0</v>
      </c>
      <c r="I1103" s="18">
        <v>0</v>
      </c>
      <c r="J1103" s="38" t="str">
        <f>HYPERLINK("https://amazon.com/dp/B0BFHK9MZD","View on Amazon")</f>
        <v>View on Amazon</v>
      </c>
      <c r="K1103" s="15" t="s">
        <v>463</v>
      </c>
      <c r="L1103" s="20" t="s">
        <v>220</v>
      </c>
    </row>
    <row r="1104" spans="1:12" ht="51" x14ac:dyDescent="0.2">
      <c r="A1104" s="21" t="s">
        <v>2659</v>
      </c>
      <c r="B1104" s="22" t="s">
        <v>2660</v>
      </c>
      <c r="C1104" s="23" t="s">
        <v>436</v>
      </c>
      <c r="D1104" s="23" t="s">
        <v>463</v>
      </c>
      <c r="E1104" s="24">
        <v>13.68</v>
      </c>
      <c r="F1104" s="25">
        <v>0</v>
      </c>
      <c r="G1104" s="26">
        <v>0</v>
      </c>
      <c r="H1104" s="27">
        <v>0</v>
      </c>
      <c r="I1104" s="26">
        <v>0</v>
      </c>
      <c r="J1104" s="39" t="str">
        <f>HYPERLINK("https://amazon.com/dp/B0BFJ87M96","View on Amazon")</f>
        <v>View on Amazon</v>
      </c>
      <c r="K1104" s="23" t="s">
        <v>463</v>
      </c>
      <c r="L1104" s="28" t="s">
        <v>220</v>
      </c>
    </row>
    <row r="1105" spans="1:12" ht="51" x14ac:dyDescent="0.2">
      <c r="A1105" s="13" t="s">
        <v>2661</v>
      </c>
      <c r="B1105" s="14" t="s">
        <v>2662</v>
      </c>
      <c r="C1105" s="15" t="s">
        <v>209</v>
      </c>
      <c r="D1105" s="15" t="s">
        <v>459</v>
      </c>
      <c r="E1105" s="16">
        <v>129.97</v>
      </c>
      <c r="F1105" s="17">
        <v>0</v>
      </c>
      <c r="G1105" s="18">
        <v>0</v>
      </c>
      <c r="H1105" s="19">
        <v>0</v>
      </c>
      <c r="I1105" s="18">
        <v>0</v>
      </c>
      <c r="J1105" s="38" t="str">
        <f>HYPERLINK("https://amazon.com/dp/B0CZ9D7QJ5","View on Amazon")</f>
        <v>View on Amazon</v>
      </c>
      <c r="K1105" s="15" t="s">
        <v>459</v>
      </c>
      <c r="L1105" s="20" t="s">
        <v>220</v>
      </c>
    </row>
    <row r="1106" spans="1:12" ht="51" x14ac:dyDescent="0.2">
      <c r="A1106" s="21" t="s">
        <v>2663</v>
      </c>
      <c r="B1106" s="22" t="s">
        <v>2664</v>
      </c>
      <c r="C1106" s="23" t="s">
        <v>315</v>
      </c>
      <c r="D1106" s="23" t="s">
        <v>459</v>
      </c>
      <c r="E1106" s="24">
        <v>108</v>
      </c>
      <c r="F1106" s="25">
        <v>0</v>
      </c>
      <c r="G1106" s="26">
        <v>0</v>
      </c>
      <c r="H1106" s="27">
        <v>0</v>
      </c>
      <c r="I1106" s="26">
        <v>0</v>
      </c>
      <c r="J1106" s="39" t="str">
        <f>HYPERLINK("https://amazon.com/dp/B0CS6CRK2Q","View on Amazon")</f>
        <v>View on Amazon</v>
      </c>
      <c r="K1106" s="23" t="s">
        <v>459</v>
      </c>
      <c r="L1106" s="28" t="s">
        <v>460</v>
      </c>
    </row>
    <row r="1107" spans="1:12" ht="51" x14ac:dyDescent="0.2">
      <c r="A1107" s="13" t="s">
        <v>2665</v>
      </c>
      <c r="B1107" s="14" t="s">
        <v>2666</v>
      </c>
      <c r="C1107" s="15" t="s">
        <v>88</v>
      </c>
      <c r="D1107" s="15" t="s">
        <v>459</v>
      </c>
      <c r="E1107" s="16">
        <v>450</v>
      </c>
      <c r="F1107" s="17">
        <v>0</v>
      </c>
      <c r="G1107" s="18">
        <v>0</v>
      </c>
      <c r="H1107" s="19">
        <v>4</v>
      </c>
      <c r="I1107" s="18">
        <v>1</v>
      </c>
      <c r="J1107" s="38" t="str">
        <f>HYPERLINK("https://amazon.com/dp/B0CBR4M1ZK","View on Amazon")</f>
        <v>View on Amazon</v>
      </c>
      <c r="K1107" s="15" t="s">
        <v>459</v>
      </c>
      <c r="L1107" s="20" t="s">
        <v>460</v>
      </c>
    </row>
    <row r="1108" spans="1:12" ht="51" x14ac:dyDescent="0.2">
      <c r="A1108" s="21" t="s">
        <v>2667</v>
      </c>
      <c r="B1108" s="22" t="s">
        <v>2668</v>
      </c>
      <c r="C1108" s="23" t="s">
        <v>289</v>
      </c>
      <c r="D1108" s="23" t="s">
        <v>463</v>
      </c>
      <c r="E1108" s="24">
        <v>19.57</v>
      </c>
      <c r="F1108" s="25">
        <v>0</v>
      </c>
      <c r="G1108" s="26">
        <v>0</v>
      </c>
      <c r="H1108" s="27">
        <v>5</v>
      </c>
      <c r="I1108" s="26">
        <v>2</v>
      </c>
      <c r="J1108" s="39" t="str">
        <f>HYPERLINK("https://amazon.com/dp/B0BC9SN28F","View on Amazon")</f>
        <v>View on Amazon</v>
      </c>
      <c r="K1108" s="23" t="s">
        <v>463</v>
      </c>
      <c r="L1108" s="28" t="s">
        <v>460</v>
      </c>
    </row>
    <row r="1109" spans="1:12" ht="17" x14ac:dyDescent="0.2">
      <c r="A1109" s="13" t="s">
        <v>2669</v>
      </c>
      <c r="B1109" s="14" t="s">
        <v>2670</v>
      </c>
      <c r="C1109" s="15" t="s">
        <v>288</v>
      </c>
      <c r="D1109" s="15" t="s">
        <v>459</v>
      </c>
      <c r="E1109" s="16">
        <v>49.95</v>
      </c>
      <c r="F1109" s="17">
        <v>0</v>
      </c>
      <c r="G1109" s="18">
        <v>0</v>
      </c>
      <c r="H1109" s="19">
        <v>0</v>
      </c>
      <c r="I1109" s="18">
        <v>0</v>
      </c>
      <c r="J1109" s="38" t="str">
        <f>HYPERLINK("https://amazon.com/dp/B09Y3X3687","View on Amazon")</f>
        <v>View on Amazon</v>
      </c>
      <c r="K1109" s="15" t="s">
        <v>459</v>
      </c>
      <c r="L1109" s="20" t="s">
        <v>460</v>
      </c>
    </row>
    <row r="1110" spans="1:12" ht="68" x14ac:dyDescent="0.2">
      <c r="A1110" s="21" t="s">
        <v>2671</v>
      </c>
      <c r="B1110" s="22" t="s">
        <v>2672</v>
      </c>
      <c r="C1110" s="23" t="s">
        <v>327</v>
      </c>
      <c r="D1110" s="23" t="s">
        <v>463</v>
      </c>
      <c r="E1110" s="24">
        <v>182.98</v>
      </c>
      <c r="F1110" s="25">
        <v>0</v>
      </c>
      <c r="G1110" s="26">
        <v>0</v>
      </c>
      <c r="H1110" s="27">
        <v>3.6</v>
      </c>
      <c r="I1110" s="26">
        <v>18</v>
      </c>
      <c r="J1110" s="39" t="str">
        <f>HYPERLINK("https://amazon.com/dp/B0BTH2T4ZF","View on Amazon")</f>
        <v>View on Amazon</v>
      </c>
      <c r="K1110" s="23" t="s">
        <v>463</v>
      </c>
      <c r="L1110" s="28" t="s">
        <v>460</v>
      </c>
    </row>
    <row r="1111" spans="1:12" ht="34" x14ac:dyDescent="0.2">
      <c r="A1111" s="13" t="s">
        <v>2673</v>
      </c>
      <c r="B1111" s="14" t="s">
        <v>2674</v>
      </c>
      <c r="C1111" s="15" t="s">
        <v>10</v>
      </c>
      <c r="D1111" s="15" t="s">
        <v>459</v>
      </c>
      <c r="E1111" s="16">
        <v>928</v>
      </c>
      <c r="F1111" s="17">
        <v>0</v>
      </c>
      <c r="G1111" s="18">
        <v>0</v>
      </c>
      <c r="H1111" s="19">
        <v>0</v>
      </c>
      <c r="I1111" s="18">
        <v>0</v>
      </c>
      <c r="J1111" s="38" t="str">
        <f>HYPERLINK("https://amazon.com/dp/B0CFVKXSS9","View on Amazon")</f>
        <v>View on Amazon</v>
      </c>
      <c r="K1111" s="15" t="s">
        <v>459</v>
      </c>
      <c r="L1111" s="20" t="s">
        <v>220</v>
      </c>
    </row>
    <row r="1112" spans="1:12" ht="51" x14ac:dyDescent="0.2">
      <c r="A1112" s="21" t="s">
        <v>2675</v>
      </c>
      <c r="B1112" s="22" t="s">
        <v>2676</v>
      </c>
      <c r="C1112" s="23" t="s">
        <v>341</v>
      </c>
      <c r="D1112" s="23" t="s">
        <v>463</v>
      </c>
      <c r="E1112" s="24">
        <v>19.989999999999998</v>
      </c>
      <c r="F1112" s="25">
        <v>0</v>
      </c>
      <c r="G1112" s="26">
        <v>0</v>
      </c>
      <c r="H1112" s="27">
        <v>0</v>
      </c>
      <c r="I1112" s="26">
        <v>0</v>
      </c>
      <c r="J1112" s="39" t="str">
        <f>HYPERLINK("https://amazon.com/dp/B0CN44YJBR","View on Amazon")</f>
        <v>View on Amazon</v>
      </c>
      <c r="K1112" s="23" t="s">
        <v>463</v>
      </c>
      <c r="L1112" s="28" t="s">
        <v>220</v>
      </c>
    </row>
    <row r="1113" spans="1:12" ht="51" x14ac:dyDescent="0.2">
      <c r="A1113" s="13" t="s">
        <v>2677</v>
      </c>
      <c r="B1113" s="14" t="s">
        <v>2678</v>
      </c>
      <c r="C1113" s="15" t="s">
        <v>409</v>
      </c>
      <c r="D1113" s="15" t="s">
        <v>463</v>
      </c>
      <c r="E1113" s="16">
        <v>49.99</v>
      </c>
      <c r="F1113" s="17">
        <v>0</v>
      </c>
      <c r="G1113" s="18">
        <v>0</v>
      </c>
      <c r="H1113" s="19">
        <v>1</v>
      </c>
      <c r="I1113" s="18">
        <v>1</v>
      </c>
      <c r="J1113" s="38" t="str">
        <f>HYPERLINK("https://amazon.com/dp/B0CN92KWPZ","View on Amazon")</f>
        <v>View on Amazon</v>
      </c>
      <c r="K1113" s="15" t="s">
        <v>463</v>
      </c>
      <c r="L1113" s="20" t="s">
        <v>460</v>
      </c>
    </row>
    <row r="1114" spans="1:12" ht="34" x14ac:dyDescent="0.2">
      <c r="A1114" s="21" t="s">
        <v>2679</v>
      </c>
      <c r="B1114" s="22" t="s">
        <v>2680</v>
      </c>
      <c r="C1114" s="23" t="s">
        <v>202</v>
      </c>
      <c r="D1114" s="23" t="s">
        <v>463</v>
      </c>
      <c r="E1114" s="24">
        <v>59.98</v>
      </c>
      <c r="F1114" s="25">
        <v>0</v>
      </c>
      <c r="G1114" s="26">
        <v>0</v>
      </c>
      <c r="H1114" s="27">
        <v>4</v>
      </c>
      <c r="I1114" s="26">
        <v>9</v>
      </c>
      <c r="J1114" s="39" t="str">
        <f>HYPERLINK("https://amazon.com/dp/B08XWZYZW2","View on Amazon")</f>
        <v>View on Amazon</v>
      </c>
      <c r="K1114" s="23" t="s">
        <v>463</v>
      </c>
      <c r="L1114" s="28" t="s">
        <v>220</v>
      </c>
    </row>
    <row r="1115" spans="1:12" ht="17" x14ac:dyDescent="0.2">
      <c r="A1115" s="13" t="s">
        <v>2681</v>
      </c>
      <c r="B1115" s="14" t="s">
        <v>2682</v>
      </c>
      <c r="C1115" s="15" t="s">
        <v>445</v>
      </c>
      <c r="D1115" s="15" t="s">
        <v>459</v>
      </c>
      <c r="E1115" s="16">
        <v>217.59</v>
      </c>
      <c r="F1115" s="17">
        <v>0</v>
      </c>
      <c r="G1115" s="18">
        <v>0</v>
      </c>
      <c r="H1115" s="19">
        <v>4.0999999999999996</v>
      </c>
      <c r="I1115" s="18">
        <v>36</v>
      </c>
      <c r="J1115" s="38" t="str">
        <f>HYPERLINK("https://amazon.com/dp/B00006I5IS","View on Amazon")</f>
        <v>View on Amazon</v>
      </c>
      <c r="K1115" s="15" t="s">
        <v>459</v>
      </c>
      <c r="L1115" s="20" t="s">
        <v>460</v>
      </c>
    </row>
    <row r="1116" spans="1:12" ht="51" x14ac:dyDescent="0.2">
      <c r="A1116" s="21" t="s">
        <v>2683</v>
      </c>
      <c r="B1116" s="22" t="s">
        <v>2684</v>
      </c>
      <c r="C1116" s="23" t="s">
        <v>446</v>
      </c>
      <c r="D1116" s="23" t="s">
        <v>463</v>
      </c>
      <c r="E1116" s="24">
        <v>27.99</v>
      </c>
      <c r="F1116" s="25">
        <v>0</v>
      </c>
      <c r="G1116" s="26">
        <v>0</v>
      </c>
      <c r="H1116" s="27">
        <v>0</v>
      </c>
      <c r="I1116" s="26">
        <v>0</v>
      </c>
      <c r="J1116" s="39" t="str">
        <f>HYPERLINK("https://amazon.com/dp/B0CRHHHN7M","View on Amazon")</f>
        <v>View on Amazon</v>
      </c>
      <c r="K1116" s="23" t="s">
        <v>463</v>
      </c>
      <c r="L1116" s="28" t="s">
        <v>220</v>
      </c>
    </row>
    <row r="1117" spans="1:12" ht="68" x14ac:dyDescent="0.2">
      <c r="A1117" s="13" t="s">
        <v>2685</v>
      </c>
      <c r="B1117" s="14" t="s">
        <v>2686</v>
      </c>
      <c r="C1117" s="15" t="s">
        <v>246</v>
      </c>
      <c r="D1117" s="15" t="s">
        <v>463</v>
      </c>
      <c r="E1117" s="16">
        <v>129.99</v>
      </c>
      <c r="F1117" s="17">
        <v>0</v>
      </c>
      <c r="G1117" s="18">
        <v>0</v>
      </c>
      <c r="H1117" s="19">
        <v>0</v>
      </c>
      <c r="I1117" s="18">
        <v>0</v>
      </c>
      <c r="J1117" s="38" t="str">
        <f>HYPERLINK("https://amazon.com/dp/B0CX8D6BQB","View on Amazon")</f>
        <v>View on Amazon</v>
      </c>
      <c r="K1117" s="15" t="s">
        <v>463</v>
      </c>
      <c r="L1117" s="20" t="s">
        <v>460</v>
      </c>
    </row>
    <row r="1118" spans="1:12" ht="51" x14ac:dyDescent="0.2">
      <c r="A1118" s="21" t="s">
        <v>2687</v>
      </c>
      <c r="B1118" s="22" t="s">
        <v>2688</v>
      </c>
      <c r="C1118" s="23" t="s">
        <v>289</v>
      </c>
      <c r="D1118" s="23" t="s">
        <v>463</v>
      </c>
      <c r="E1118" s="24">
        <v>17.98</v>
      </c>
      <c r="F1118" s="25">
        <v>0</v>
      </c>
      <c r="G1118" s="26">
        <v>0</v>
      </c>
      <c r="H1118" s="27">
        <v>0</v>
      </c>
      <c r="I1118" s="26">
        <v>0</v>
      </c>
      <c r="J1118" s="39" t="str">
        <f>HYPERLINK("https://amazon.com/dp/B0BX71BFJQ","View on Amazon")</f>
        <v>View on Amazon</v>
      </c>
      <c r="K1118" s="23" t="s">
        <v>463</v>
      </c>
      <c r="L1118" s="28" t="s">
        <v>460</v>
      </c>
    </row>
    <row r="1119" spans="1:12" ht="51" x14ac:dyDescent="0.2">
      <c r="A1119" s="13" t="s">
        <v>2689</v>
      </c>
      <c r="B1119" s="14" t="s">
        <v>2690</v>
      </c>
      <c r="C1119" s="15" t="s">
        <v>289</v>
      </c>
      <c r="D1119" s="15" t="s">
        <v>463</v>
      </c>
      <c r="E1119" s="16">
        <v>17.98</v>
      </c>
      <c r="F1119" s="17">
        <v>0</v>
      </c>
      <c r="G1119" s="18">
        <v>0</v>
      </c>
      <c r="H1119" s="19">
        <v>0</v>
      </c>
      <c r="I1119" s="18">
        <v>0</v>
      </c>
      <c r="J1119" s="38" t="str">
        <f>HYPERLINK("https://amazon.com/dp/B0BX6YT2XZ","View on Amazon")</f>
        <v>View on Amazon</v>
      </c>
      <c r="K1119" s="15" t="s">
        <v>463</v>
      </c>
      <c r="L1119" s="20" t="s">
        <v>460</v>
      </c>
    </row>
    <row r="1120" spans="1:12" ht="68" x14ac:dyDescent="0.2">
      <c r="A1120" s="21" t="s">
        <v>2691</v>
      </c>
      <c r="B1120" s="22" t="s">
        <v>2692</v>
      </c>
      <c r="C1120" s="23" t="s">
        <v>72</v>
      </c>
      <c r="D1120" s="23" t="s">
        <v>463</v>
      </c>
      <c r="E1120" s="24">
        <v>108.88</v>
      </c>
      <c r="F1120" s="25">
        <v>0</v>
      </c>
      <c r="G1120" s="26">
        <v>0</v>
      </c>
      <c r="H1120" s="27">
        <v>5</v>
      </c>
      <c r="I1120" s="26">
        <v>24</v>
      </c>
      <c r="J1120" s="39" t="str">
        <f>HYPERLINK("https://amazon.com/dp/B0GRGZ7G62","View on Amazon")</f>
        <v>View on Amazon</v>
      </c>
      <c r="K1120" s="23" t="s">
        <v>463</v>
      </c>
      <c r="L1120" s="28" t="s">
        <v>220</v>
      </c>
    </row>
    <row r="1121" spans="1:12" ht="17" x14ac:dyDescent="0.2">
      <c r="A1121" s="13" t="s">
        <v>2693</v>
      </c>
      <c r="B1121" s="14" t="s">
        <v>2694</v>
      </c>
      <c r="C1121" s="15" t="s">
        <v>447</v>
      </c>
      <c r="D1121" s="15" t="s">
        <v>2695</v>
      </c>
      <c r="E1121" s="16">
        <v>69.98</v>
      </c>
      <c r="F1121" s="17">
        <v>0</v>
      </c>
      <c r="G1121" s="18">
        <v>0</v>
      </c>
      <c r="H1121" s="19">
        <v>4.4000000000000004</v>
      </c>
      <c r="I1121" s="18">
        <v>140</v>
      </c>
      <c r="J1121" s="38" t="str">
        <f>HYPERLINK("https://amazon.com/dp/B08XJQ7FZN","View on Amazon")</f>
        <v>View on Amazon</v>
      </c>
      <c r="K1121" s="15" t="s">
        <v>2695</v>
      </c>
      <c r="L1121" s="20" t="s">
        <v>220</v>
      </c>
    </row>
    <row r="1122" spans="1:12" ht="51" x14ac:dyDescent="0.2">
      <c r="A1122" s="21" t="s">
        <v>2696</v>
      </c>
      <c r="B1122" s="22" t="s">
        <v>2697</v>
      </c>
      <c r="C1122" s="23" t="s">
        <v>19</v>
      </c>
      <c r="D1122" s="23" t="s">
        <v>463</v>
      </c>
      <c r="E1122" s="24">
        <v>32.49</v>
      </c>
      <c r="F1122" s="25">
        <v>0</v>
      </c>
      <c r="G1122" s="26">
        <v>0</v>
      </c>
      <c r="H1122" s="27">
        <v>4.0999999999999996</v>
      </c>
      <c r="I1122" s="26">
        <v>35</v>
      </c>
      <c r="J1122" s="39" t="str">
        <f>HYPERLINK("https://amazon.com/dp/B0B8ML9J45","View on Amazon")</f>
        <v>View on Amazon</v>
      </c>
      <c r="K1122" s="23" t="s">
        <v>463</v>
      </c>
      <c r="L1122" s="28" t="s">
        <v>460</v>
      </c>
    </row>
    <row r="1123" spans="1:12" ht="34" x14ac:dyDescent="0.2">
      <c r="A1123" s="13" t="s">
        <v>2698</v>
      </c>
      <c r="B1123" s="14" t="s">
        <v>2699</v>
      </c>
      <c r="C1123" s="15" t="s">
        <v>27</v>
      </c>
      <c r="D1123" s="15" t="s">
        <v>459</v>
      </c>
      <c r="E1123" s="16">
        <v>89.99</v>
      </c>
      <c r="F1123" s="17">
        <v>0</v>
      </c>
      <c r="G1123" s="18">
        <v>0</v>
      </c>
      <c r="H1123" s="19">
        <v>0</v>
      </c>
      <c r="I1123" s="18">
        <v>0</v>
      </c>
      <c r="J1123" s="38" t="str">
        <f>HYPERLINK("https://amazon.com/dp/B0GK6XSWRD","View on Amazon")</f>
        <v>View on Amazon</v>
      </c>
      <c r="K1123" s="15" t="s">
        <v>459</v>
      </c>
      <c r="L1123" s="20" t="s">
        <v>460</v>
      </c>
    </row>
    <row r="1124" spans="1:12" ht="68" x14ac:dyDescent="0.2">
      <c r="A1124" s="21" t="s">
        <v>2700</v>
      </c>
      <c r="B1124" s="22" t="s">
        <v>2701</v>
      </c>
      <c r="C1124" s="23" t="s">
        <v>38</v>
      </c>
      <c r="D1124" s="23" t="s">
        <v>463</v>
      </c>
      <c r="E1124" s="24">
        <v>279.99</v>
      </c>
      <c r="F1124" s="25">
        <v>0</v>
      </c>
      <c r="G1124" s="26">
        <v>0</v>
      </c>
      <c r="H1124" s="27">
        <v>0</v>
      </c>
      <c r="I1124" s="26">
        <v>0</v>
      </c>
      <c r="J1124" s="39" t="str">
        <f>HYPERLINK("https://amazon.com/dp/B0GDFMHTQF","View on Amazon")</f>
        <v>View on Amazon</v>
      </c>
      <c r="K1124" s="23" t="s">
        <v>463</v>
      </c>
      <c r="L1124" s="28" t="s">
        <v>460</v>
      </c>
    </row>
    <row r="1125" spans="1:12" ht="34" x14ac:dyDescent="0.2">
      <c r="A1125" s="13" t="s">
        <v>2702</v>
      </c>
      <c r="B1125" s="14" t="s">
        <v>2703</v>
      </c>
      <c r="C1125" s="15" t="s">
        <v>13</v>
      </c>
      <c r="D1125" s="15" t="s">
        <v>463</v>
      </c>
      <c r="E1125" s="16">
        <v>50.98</v>
      </c>
      <c r="F1125" s="17">
        <v>0</v>
      </c>
      <c r="G1125" s="18">
        <v>0</v>
      </c>
      <c r="H1125" s="19">
        <v>4.4000000000000004</v>
      </c>
      <c r="I1125" s="18">
        <v>51</v>
      </c>
      <c r="J1125" s="38" t="str">
        <f>HYPERLINK("https://amazon.com/dp/B0F8NBYMG9","View on Amazon")</f>
        <v>View on Amazon</v>
      </c>
      <c r="K1125" s="15" t="s">
        <v>463</v>
      </c>
      <c r="L1125" s="20" t="s">
        <v>460</v>
      </c>
    </row>
    <row r="1126" spans="1:12" ht="68" x14ac:dyDescent="0.2">
      <c r="A1126" s="21" t="s">
        <v>2704</v>
      </c>
      <c r="B1126" s="22" t="s">
        <v>915</v>
      </c>
      <c r="C1126" s="23" t="s">
        <v>142</v>
      </c>
      <c r="D1126" s="23" t="s">
        <v>463</v>
      </c>
      <c r="E1126" s="24">
        <v>59.93</v>
      </c>
      <c r="F1126" s="25">
        <v>0</v>
      </c>
      <c r="G1126" s="26">
        <v>0</v>
      </c>
      <c r="H1126" s="27">
        <v>4.2</v>
      </c>
      <c r="I1126" s="26">
        <v>18</v>
      </c>
      <c r="J1126" s="39" t="str">
        <f>HYPERLINK("https://amazon.com/dp/B0FPMLNL52","View on Amazon")</f>
        <v>View on Amazon</v>
      </c>
      <c r="K1126" s="23" t="s">
        <v>463</v>
      </c>
      <c r="L1126" s="28" t="s">
        <v>460</v>
      </c>
    </row>
    <row r="1127" spans="1:12" ht="51" x14ac:dyDescent="0.2">
      <c r="A1127" s="29" t="s">
        <v>2705</v>
      </c>
      <c r="B1127" s="30" t="s">
        <v>2706</v>
      </c>
      <c r="C1127" s="31" t="s">
        <v>84</v>
      </c>
      <c r="D1127" s="31" t="s">
        <v>463</v>
      </c>
      <c r="E1127" s="32">
        <v>46.99</v>
      </c>
      <c r="F1127" s="33">
        <v>0</v>
      </c>
      <c r="G1127" s="34">
        <v>0</v>
      </c>
      <c r="H1127" s="35">
        <v>4.0999999999999996</v>
      </c>
      <c r="I1127" s="34">
        <v>11</v>
      </c>
      <c r="J1127" s="40" t="str">
        <f>HYPERLINK("https://amazon.com/dp/B0D9M2494J","View on Amazon")</f>
        <v>View on Amazon</v>
      </c>
      <c r="K1127" s="31" t="s">
        <v>463</v>
      </c>
      <c r="L1127" s="36" t="s">
        <v>460</v>
      </c>
    </row>
  </sheetData>
  <conditionalFormatting sqref="F2:F1127">
    <cfRule type="cellIs" dxfId="11" priority="1" operator="greaterThan">
      <formula>0</formula>
    </cfRule>
  </conditionalFormatting>
  <conditionalFormatting sqref="F2:F1127">
    <cfRule type="cellIs" dxfId="10" priority="2" operator="lessThanOrEqual">
      <formula>0</formula>
    </cfRule>
  </conditionalFormatting>
  <pageMargins left="0.7" right="0.7" top="0.75" bottom="0.75" header="0.3" footer="0.3"/>
  <ignoredErrors>
    <ignoredError sqref="A1:L1 A802:I1127 A2:I401 K2:L401 A402:I801 K402:L801 K802:L112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heetViews>
  <sheetFormatPr baseColWidth="10" defaultRowHeight="16" x14ac:dyDescent="0.2"/>
  <cols>
    <col min="1" max="1" width="23.33203125" customWidth="1"/>
    <col min="2" max="2" width="41.6640625" customWidth="1"/>
  </cols>
  <sheetData>
    <row r="1" spans="1:2" ht="30" customHeight="1" thickBot="1" x14ac:dyDescent="0.25">
      <c r="A1" s="67" t="s">
        <v>2707</v>
      </c>
      <c r="B1" s="68" t="s">
        <v>503</v>
      </c>
    </row>
    <row r="2" spans="1:2" x14ac:dyDescent="0.2">
      <c r="A2" s="65" t="s">
        <v>2708</v>
      </c>
      <c r="B2" s="12" t="s">
        <v>2709</v>
      </c>
    </row>
    <row r="3" spans="1:2" x14ac:dyDescent="0.2">
      <c r="A3" s="69" t="s">
        <v>2710</v>
      </c>
      <c r="B3" s="70" t="s">
        <v>2711</v>
      </c>
    </row>
    <row r="4" spans="1:2" x14ac:dyDescent="0.2">
      <c r="A4" s="66" t="s">
        <v>2712</v>
      </c>
      <c r="B4" s="28" t="s">
        <v>2713</v>
      </c>
    </row>
    <row r="5" spans="1:2" x14ac:dyDescent="0.2">
      <c r="A5" s="69" t="s">
        <v>2714</v>
      </c>
      <c r="B5" s="70" t="s">
        <v>2715</v>
      </c>
    </row>
    <row r="6" spans="1:2" x14ac:dyDescent="0.2">
      <c r="A6" s="66" t="s">
        <v>2716</v>
      </c>
      <c r="B6" s="28" t="s">
        <v>2717</v>
      </c>
    </row>
    <row r="7" spans="1:2" x14ac:dyDescent="0.2">
      <c r="A7" s="71" t="s">
        <v>2718</v>
      </c>
      <c r="B7" s="72">
        <v>1126</v>
      </c>
    </row>
  </sheetData>
  <pageMargins left="0.7" right="0.7" top="0.75" bottom="0.75" header="0.3" footer="0.3"/>
  <ignoredErrors>
    <ignoredError sqref="A1:B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
  <sheetViews>
    <sheetView workbookViewId="0">
      <pane ySplit="1" topLeftCell="A2" activePane="bottomLeft" state="frozen"/>
      <selection pane="bottomLeft"/>
    </sheetView>
  </sheetViews>
  <sheetFormatPr baseColWidth="10" defaultRowHeight="16" x14ac:dyDescent="0.2"/>
  <cols>
    <col min="1" max="1" width="18.33203125" customWidth="1"/>
    <col min="2" max="2" width="53.33203125" customWidth="1"/>
    <col min="3" max="3" width="16.6640625" customWidth="1"/>
    <col min="4" max="4" width="26.6640625" customWidth="1"/>
    <col min="5" max="5" width="13.33203125" customWidth="1"/>
    <col min="6" max="6" width="16.6640625" customWidth="1"/>
    <col min="7" max="7" width="15" customWidth="1"/>
    <col min="8" max="8" width="12.5" customWidth="1"/>
    <col min="9" max="9" width="15" customWidth="1"/>
    <col min="10" max="10" width="12.5" customWidth="1"/>
    <col min="11" max="11" width="26.6640625" customWidth="1"/>
    <col min="12" max="12" width="20" customWidth="1"/>
  </cols>
  <sheetData>
    <row r="1" spans="1:12" ht="30" customHeight="1" thickBot="1" x14ac:dyDescent="0.25">
      <c r="A1" s="2" t="s">
        <v>449</v>
      </c>
      <c r="B1" s="3" t="s">
        <v>450</v>
      </c>
      <c r="C1" s="3" t="s">
        <v>0</v>
      </c>
      <c r="D1" s="3" t="s">
        <v>451</v>
      </c>
      <c r="E1" s="3" t="s">
        <v>452</v>
      </c>
      <c r="F1" s="3" t="s">
        <v>2</v>
      </c>
      <c r="G1" s="3" t="s">
        <v>3</v>
      </c>
      <c r="H1" s="3" t="s">
        <v>6</v>
      </c>
      <c r="I1" s="3" t="s">
        <v>453</v>
      </c>
      <c r="J1" s="3" t="s">
        <v>454</v>
      </c>
      <c r="K1" s="3" t="s">
        <v>455</v>
      </c>
      <c r="L1" s="4" t="s">
        <v>456</v>
      </c>
    </row>
    <row r="2" spans="1:12" ht="40" customHeight="1" x14ac:dyDescent="0.2">
      <c r="A2" s="5" t="s">
        <v>457</v>
      </c>
      <c r="B2" s="6" t="s">
        <v>458</v>
      </c>
      <c r="C2" s="7" t="s">
        <v>7</v>
      </c>
      <c r="D2" s="7" t="s">
        <v>459</v>
      </c>
      <c r="E2" s="8">
        <v>409.99</v>
      </c>
      <c r="F2" s="9">
        <v>429870.86</v>
      </c>
      <c r="G2" s="10">
        <v>1058</v>
      </c>
      <c r="H2" s="11">
        <v>4.5</v>
      </c>
      <c r="I2" s="10">
        <v>274</v>
      </c>
      <c r="J2" s="37" t="str">
        <f>HYPERLINK("https://amazon.com/dp/B0D56CNCW1","View on Amazon")</f>
        <v>View on Amazon</v>
      </c>
      <c r="K2" s="7" t="s">
        <v>459</v>
      </c>
      <c r="L2" s="12" t="s">
        <v>460</v>
      </c>
    </row>
    <row r="3" spans="1:12" ht="40" customHeight="1" x14ac:dyDescent="0.2">
      <c r="A3" s="29" t="s">
        <v>476</v>
      </c>
      <c r="B3" s="30" t="s">
        <v>477</v>
      </c>
      <c r="C3" s="31" t="s">
        <v>7</v>
      </c>
      <c r="D3" s="31" t="s">
        <v>459</v>
      </c>
      <c r="E3" s="32">
        <v>899</v>
      </c>
      <c r="F3" s="33">
        <v>53340.74</v>
      </c>
      <c r="G3" s="34">
        <v>61</v>
      </c>
      <c r="H3" s="35">
        <v>4.5</v>
      </c>
      <c r="I3" s="34">
        <v>274</v>
      </c>
      <c r="J3" s="40" t="str">
        <f>HYPERLINK("https://amazon.com/dp/B0FW4H9MXB","View on Amazon")</f>
        <v>View on Amazon</v>
      </c>
      <c r="K3" s="31" t="s">
        <v>459</v>
      </c>
      <c r="L3" s="36" t="s">
        <v>460</v>
      </c>
    </row>
  </sheetData>
  <conditionalFormatting sqref="F2:F3">
    <cfRule type="cellIs" dxfId="9" priority="1" operator="greaterThan">
      <formula>0</formula>
    </cfRule>
  </conditionalFormatting>
  <conditionalFormatting sqref="F2:F3">
    <cfRule type="cellIs" dxfId="8" priority="2" operator="lessThanOrEqual">
      <formula>0</formula>
    </cfRule>
  </conditionalFormatting>
  <pageMargins left="0.7" right="0.7" top="0.75" bottom="0.75" header="0.3" footer="0.3"/>
  <ignoredErrors>
    <ignoredError sqref="A1:L1 A2:I3 K2:L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
  <sheetViews>
    <sheetView workbookViewId="0">
      <pane ySplit="1" topLeftCell="A2" activePane="bottomLeft" state="frozen"/>
      <selection pane="bottomLeft" activeCell="B17" sqref="B17"/>
    </sheetView>
  </sheetViews>
  <sheetFormatPr baseColWidth="10" defaultRowHeight="16" x14ac:dyDescent="0.2"/>
  <cols>
    <col min="1" max="1" width="18.33203125" customWidth="1"/>
    <col min="2" max="2" width="53.33203125" customWidth="1"/>
    <col min="3" max="3" width="16.6640625" customWidth="1"/>
    <col min="4" max="4" width="26.6640625" customWidth="1"/>
    <col min="5" max="5" width="13.33203125" customWidth="1"/>
    <col min="6" max="6" width="16.6640625" customWidth="1"/>
    <col min="7" max="7" width="15" customWidth="1"/>
    <col min="8" max="8" width="12.5" customWidth="1"/>
    <col min="9" max="9" width="15" customWidth="1"/>
    <col min="10" max="10" width="12.5" customWidth="1"/>
    <col min="11" max="11" width="26.6640625" customWidth="1"/>
    <col min="12" max="12" width="20" customWidth="1"/>
  </cols>
  <sheetData>
    <row r="1" spans="1:12" ht="30" customHeight="1" thickBot="1" x14ac:dyDescent="0.25">
      <c r="A1" s="2" t="s">
        <v>449</v>
      </c>
      <c r="B1" s="3" t="s">
        <v>450</v>
      </c>
      <c r="C1" s="3" t="s">
        <v>0</v>
      </c>
      <c r="D1" s="3" t="s">
        <v>451</v>
      </c>
      <c r="E1" s="3" t="s">
        <v>452</v>
      </c>
      <c r="F1" s="3" t="s">
        <v>2</v>
      </c>
      <c r="G1" s="3" t="s">
        <v>3</v>
      </c>
      <c r="H1" s="3" t="s">
        <v>6</v>
      </c>
      <c r="I1" s="3" t="s">
        <v>453</v>
      </c>
      <c r="J1" s="3" t="s">
        <v>454</v>
      </c>
      <c r="K1" s="3" t="s">
        <v>455</v>
      </c>
      <c r="L1" s="4" t="s">
        <v>456</v>
      </c>
    </row>
    <row r="2" spans="1:12" ht="40" customHeight="1" x14ac:dyDescent="0.2">
      <c r="A2" s="5" t="s">
        <v>760</v>
      </c>
      <c r="B2" s="6" t="s">
        <v>761</v>
      </c>
      <c r="C2" s="7" t="s">
        <v>113</v>
      </c>
      <c r="D2" s="7" t="s">
        <v>459</v>
      </c>
      <c r="E2" s="8">
        <v>519</v>
      </c>
      <c r="F2" s="9">
        <v>1988.44</v>
      </c>
      <c r="G2" s="10">
        <v>4</v>
      </c>
      <c r="H2" s="11">
        <v>0</v>
      </c>
      <c r="I2" s="10">
        <v>0</v>
      </c>
      <c r="J2" s="37" t="str">
        <f>HYPERLINK("https://amazon.com/dp/B0FDH7FLVK","View on Amazon")</f>
        <v>View on Amazon</v>
      </c>
      <c r="K2" s="7" t="s">
        <v>459</v>
      </c>
      <c r="L2" s="12" t="s">
        <v>460</v>
      </c>
    </row>
    <row r="3" spans="1:12" ht="40" customHeight="1" x14ac:dyDescent="0.2">
      <c r="A3" s="13" t="s">
        <v>1907</v>
      </c>
      <c r="B3" s="14" t="s">
        <v>1908</v>
      </c>
      <c r="C3" s="15" t="s">
        <v>113</v>
      </c>
      <c r="D3" s="15" t="s">
        <v>459</v>
      </c>
      <c r="E3" s="16">
        <v>949</v>
      </c>
      <c r="F3" s="17">
        <v>0</v>
      </c>
      <c r="G3" s="18">
        <v>0</v>
      </c>
      <c r="H3" s="19">
        <v>5</v>
      </c>
      <c r="I3" s="18">
        <v>5</v>
      </c>
      <c r="J3" s="38" t="str">
        <f>HYPERLINK("https://amazon.com/dp/B0C4YK81C2","View on Amazon")</f>
        <v>View on Amazon</v>
      </c>
      <c r="K3" s="15" t="s">
        <v>459</v>
      </c>
      <c r="L3" s="20" t="s">
        <v>460</v>
      </c>
    </row>
    <row r="4" spans="1:12" ht="40" customHeight="1" x14ac:dyDescent="0.2">
      <c r="A4" s="41" t="s">
        <v>1909</v>
      </c>
      <c r="B4" s="42" t="s">
        <v>1910</v>
      </c>
      <c r="C4" s="43" t="s">
        <v>113</v>
      </c>
      <c r="D4" s="43" t="s">
        <v>459</v>
      </c>
      <c r="E4" s="44">
        <v>999</v>
      </c>
      <c r="F4" s="45">
        <v>0</v>
      </c>
      <c r="G4" s="46">
        <v>0</v>
      </c>
      <c r="H4" s="47">
        <v>5</v>
      </c>
      <c r="I4" s="46">
        <v>5</v>
      </c>
      <c r="J4" s="49" t="str">
        <f>HYPERLINK("https://amazon.com/dp/B0B1MYC1PL","View on Amazon")</f>
        <v>View on Amazon</v>
      </c>
      <c r="K4" s="43" t="s">
        <v>459</v>
      </c>
      <c r="L4" s="48" t="s">
        <v>460</v>
      </c>
    </row>
  </sheetData>
  <conditionalFormatting sqref="F2:F4">
    <cfRule type="cellIs" dxfId="7" priority="1" operator="greaterThan">
      <formula>0</formula>
    </cfRule>
  </conditionalFormatting>
  <conditionalFormatting sqref="F2:F4">
    <cfRule type="cellIs" dxfId="6" priority="2" operator="lessThanOrEqual">
      <formula>0</formula>
    </cfRule>
  </conditionalFormatting>
  <hyperlinks>
    <hyperlink ref="J2" r:id="rId1" display="https://amazon.com/dp/B0FDH7FLVK" xr:uid="{8B88DD81-C678-B04F-B115-BD4BAE8167D0}"/>
  </hyperlinks>
  <pageMargins left="0.7" right="0.7" top="0.75" bottom="0.75" header="0.3" footer="0.3"/>
  <ignoredErrors>
    <ignoredError sqref="A1:L1 A3:I4 A2:I2 K2:L2 K3:L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Summary</vt:lpstr>
      <vt:lpstr>Top 50 Revenue</vt:lpstr>
      <vt:lpstr>Top 50 Units</vt:lpstr>
      <vt:lpstr>Top 50 Summary</vt:lpstr>
      <vt:lpstr>Price Tiers</vt:lpstr>
      <vt:lpstr>All ASINs</vt:lpstr>
      <vt:lpstr>Metadata</vt:lpstr>
      <vt:lpstr>Topdon</vt:lpstr>
      <vt:lpstr>Guide Sensmart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Ginny Chen</cp:lastModifiedBy>
  <dcterms:modified xsi:type="dcterms:W3CDTF">2026-03-30T21:37:46Z</dcterms:modified>
</cp:coreProperties>
</file>