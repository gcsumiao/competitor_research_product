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umiaoc/Desktop/DMM_h10/Night Vision Monoculars/outputs/"/>
    </mc:Choice>
  </mc:AlternateContent>
  <xr:revisionPtr revIDLastSave="0" documentId="13_ncr:1_{101D5D70-F68B-AC43-A2F9-8916662E63F9}" xr6:coauthVersionLast="47" xr6:coauthVersionMax="47" xr10:uidLastSave="{00000000-0000-0000-0000-000000000000}"/>
  <bookViews>
    <workbookView xWindow="-15820" yWindow="-20260" windowWidth="27620" windowHeight="20260" tabRatio="854" xr2:uid="{00000000-000D-0000-FFFF-FFFF00000000}"/>
  </bookViews>
  <sheets>
    <sheet name="Summary" sheetId="1" r:id="rId1"/>
    <sheet name="Top 50" sheetId="2" r:id="rId2"/>
    <sheet name="Top 50 Type Summary" sheetId="3" r:id="rId3"/>
    <sheet name="Top50 2or4way Summary " sheetId="4" state="veryHidden" r:id="rId4"/>
    <sheet name="Top 50 Display Summary " sheetId="5" state="veryHidden" r:id="rId5"/>
    <sheet name="Top50 Lensdiameter Summary  " sheetId="6" state="veryHidden" r:id="rId6"/>
    <sheet name="Top50 Lens count Summary " sheetId="7" state="veryHidden" r:id="rId7"/>
    <sheet name="Top50 Cable length Summary  " sheetId="8" state="veryHidden" r:id="rId8"/>
    <sheet name="rix" sheetId="9" r:id="rId9"/>
    <sheet name="goyojo" sheetId="10" r:id="rId10"/>
    <sheet name="agm global vision" sheetId="11" r:id="rId11"/>
    <sheet name="hotpeak" sheetId="12" r:id="rId12"/>
    <sheet name="pulsar" sheetId="13" r:id="rId13"/>
    <sheet name="armasight" sheetId="14" r:id="rId14"/>
    <sheet name="RALCAM" sheetId="15" r:id="rId15"/>
    <sheet name="topdon" sheetId="16" r:id="rId16"/>
    <sheet name="terunsoul" sheetId="17" r:id="rId17"/>
    <sheet name="SANYIPAC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9" l="1"/>
  <c r="K12" i="9"/>
  <c r="G106" i="18"/>
  <c r="F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E55" i="18"/>
  <c r="D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G84" i="17"/>
  <c r="F84" i="17"/>
  <c r="K50" i="17"/>
  <c r="K49" i="17"/>
  <c r="E46" i="17"/>
  <c r="D46" i="17"/>
  <c r="K10" i="17"/>
  <c r="K9" i="17"/>
  <c r="G208" i="16"/>
  <c r="F208" i="16"/>
  <c r="K112" i="16"/>
  <c r="K111" i="16"/>
  <c r="E108" i="16"/>
  <c r="D108" i="16"/>
  <c r="K10" i="16"/>
  <c r="K9" i="16"/>
  <c r="G56" i="15"/>
  <c r="F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E30" i="15"/>
  <c r="D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G24" i="14"/>
  <c r="F24" i="14"/>
  <c r="K23" i="14"/>
  <c r="K22" i="14"/>
  <c r="K21" i="14"/>
  <c r="K20" i="14"/>
  <c r="K19" i="14"/>
  <c r="E16" i="14"/>
  <c r="D16" i="14"/>
  <c r="K15" i="14"/>
  <c r="K14" i="14"/>
  <c r="K13" i="14"/>
  <c r="K12" i="14"/>
  <c r="K11" i="14"/>
  <c r="K10" i="14"/>
  <c r="K9" i="14"/>
  <c r="G30" i="13"/>
  <c r="F30" i="13"/>
  <c r="K29" i="13"/>
  <c r="K28" i="13"/>
  <c r="K27" i="13"/>
  <c r="K26" i="13"/>
  <c r="K25" i="13"/>
  <c r="K24" i="13"/>
  <c r="K23" i="13"/>
  <c r="K22" i="13"/>
  <c r="E19" i="13"/>
  <c r="D19" i="13"/>
  <c r="K18" i="13"/>
  <c r="K17" i="13"/>
  <c r="K16" i="13"/>
  <c r="K15" i="13"/>
  <c r="K14" i="13"/>
  <c r="K13" i="13"/>
  <c r="K12" i="13"/>
  <c r="K11" i="13"/>
  <c r="K10" i="13"/>
  <c r="K9" i="13"/>
  <c r="G27" i="12"/>
  <c r="F27" i="12"/>
  <c r="K22" i="12"/>
  <c r="K21" i="12"/>
  <c r="K20" i="12"/>
  <c r="E17" i="12"/>
  <c r="D17" i="12"/>
  <c r="K11" i="12"/>
  <c r="K10" i="12"/>
  <c r="K9" i="12"/>
  <c r="G26" i="11"/>
  <c r="F26" i="11"/>
  <c r="K25" i="11"/>
  <c r="K24" i="11"/>
  <c r="K23" i="11"/>
  <c r="K22" i="11"/>
  <c r="K21" i="11"/>
  <c r="K20" i="11"/>
  <c r="E17" i="11"/>
  <c r="D17" i="11"/>
  <c r="K16" i="11"/>
  <c r="K15" i="11"/>
  <c r="K14" i="11"/>
  <c r="K13" i="11"/>
  <c r="K12" i="11"/>
  <c r="K11" i="11"/>
  <c r="K10" i="11"/>
  <c r="K9" i="11"/>
  <c r="G80" i="10"/>
  <c r="F80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E44" i="10"/>
  <c r="D44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G78" i="9"/>
  <c r="F78" i="9"/>
  <c r="K19" i="9"/>
  <c r="K18" i="9"/>
  <c r="K17" i="9"/>
  <c r="K11" i="9"/>
  <c r="K10" i="9"/>
  <c r="K9" i="9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D12" i="9"/>
</calcChain>
</file>

<file path=xl/sharedStrings.xml><?xml version="1.0" encoding="utf-8"?>
<sst xmlns="http://schemas.openxmlformats.org/spreadsheetml/2006/main" count="1697" uniqueCount="592">
  <si>
    <t xml:space="preserve">Monthly Summaries- Revenue </t>
  </si>
  <si>
    <t>Brand</t>
  </si>
  <si>
    <t># of Listings</t>
  </si>
  <si>
    <t>Monthly Rev</t>
  </si>
  <si>
    <t>Estimated 12mo Revenue</t>
  </si>
  <si>
    <t>Monthly Units</t>
  </si>
  <si>
    <t>Monthly Rev Market Share %</t>
  </si>
  <si>
    <t>Price Per Unit</t>
  </si>
  <si>
    <t>Reviews</t>
  </si>
  <si>
    <t>Avg Rating</t>
  </si>
  <si>
    <t>topdon</t>
  </si>
  <si>
    <t>rix</t>
  </si>
  <si>
    <t>terunsoul</t>
  </si>
  <si>
    <t>goyojo</t>
  </si>
  <si>
    <t>pulsar</t>
  </si>
  <si>
    <t>agm global vision</t>
  </si>
  <si>
    <t>hotpeak</t>
  </si>
  <si>
    <t>armasight</t>
  </si>
  <si>
    <t>yuanzimoo</t>
  </si>
  <si>
    <t>bushnell</t>
  </si>
  <si>
    <t>Market Total</t>
  </si>
  <si>
    <t>Monthly Summary - Units</t>
  </si>
  <si>
    <t>Estimated 12mo Units</t>
  </si>
  <si>
    <t>Monthly Unit Market Share %</t>
  </si>
  <si>
    <t>gipsot</t>
  </si>
  <si>
    <t>kolinlov</t>
  </si>
  <si>
    <t>Rank By Monthly Revenue - ONLY</t>
  </si>
  <si>
    <t>Ranking</t>
  </si>
  <si>
    <t>ASIN</t>
  </si>
  <si>
    <t>Product Name</t>
  </si>
  <si>
    <t>Type</t>
  </si>
  <si>
    <t>2/4-way</t>
  </si>
  <si>
    <t>Display</t>
  </si>
  <si>
    <t>Lens diameter</t>
  </si>
  <si>
    <t>Lens count</t>
  </si>
  <si>
    <t>Cable length</t>
  </si>
  <si>
    <t>Price</t>
  </si>
  <si>
    <t>Est. Monthly Retail Rev</t>
  </si>
  <si>
    <t>Est. Monthly Units Sold</t>
  </si>
  <si>
    <t># of Reviews</t>
  </si>
  <si>
    <t>Avg. Rating</t>
  </si>
  <si>
    <t>Column2</t>
  </si>
  <si>
    <t>Link</t>
  </si>
  <si>
    <t>B0D56CNCW1</t>
  </si>
  <si>
    <t>TOPDON TS004 Thermal Imaging Monocular, 320 x 240 TISR 256 x 192 IR Resolution, Supported Wireless Connection, 13mm 50Hz Thermal Night Vision with 11h Battery Life, IP67 Monocular for Hunting</t>
  </si>
  <si>
    <t>-</t>
  </si>
  <si>
    <t>https://amazon.com/dp/B0D56CNCW1</t>
  </si>
  <si>
    <t>B0FMDQK4S8</t>
  </si>
  <si>
    <t>Night Vision Goggles - Smart APP 4K Night Vision Binoculars, 10000mAh Battery, 128GB Card for Photo and Video, 3'' UHD Screen &amp; 8X Zoom Binoculars for Camping, Hunting, Security (Black)</t>
  </si>
  <si>
    <t>https://amazon.com/dp/B0FMDQK4S8</t>
  </si>
  <si>
    <t>B0D5QXY5JN</t>
  </si>
  <si>
    <t>RIX Pocket K3 Portable Thermal Monocular for Hunting, 384x288 (50Hz), Wi-Fi, Handheld Night Vision Monocular</t>
  </si>
  <si>
    <t>https://amazon.com/dp/B0D5QXY5JN</t>
  </si>
  <si>
    <t>B0CNXP8JBV</t>
  </si>
  <si>
    <t>GOYOJO Thermal Monocular, 256x192 (25 Hz) Thermal Imaging Monoscope Camera for Adults, 10mm Focal Lens Vision Goggles Thermal Scopes for Night Hunting Camping</t>
  </si>
  <si>
    <t>https://amazon.com/dp/B0CNXP8JBV</t>
  </si>
  <si>
    <t>B0FW4H9MXB</t>
  </si>
  <si>
    <t>TOPDON TS004 Pro Thermal Imaging Monocular, 512 x 384 TISR 384 x 288 IR Resolution, Supported Wireless Connection, 19mm 50Hz Thermal Night Vision with 11h Battery Life, IP67 Monocular for Hunting</t>
  </si>
  <si>
    <t>https://amazon.com/dp/B0FW4H9MXB</t>
  </si>
  <si>
    <t>B0CNXPDG7R</t>
  </si>
  <si>
    <t>GOYOJO Thermal Imaging Monocular for Hunting, 15mm Focal Lens 256x192 Infrared Night Vision Telescope with Long Battery Life, Thermal Scopes for Outdoor Night Vision Camera Telescope (15mm)</t>
  </si>
  <si>
    <t>https://amazon.com/dp/B0CNXPDG7R</t>
  </si>
  <si>
    <t>B0F5WCSL4H</t>
  </si>
  <si>
    <t>Night Vision Goggles, 112 MP 4K Night Vision Binoculars for Adults, 12X Zoom &amp; 5000mAh Battery, 64GB Card Included, Infrared Night Vision, 1500ft View Range, Perfect for Hunting, Camping &amp; Security</t>
  </si>
  <si>
    <t>https://amazon.com/dp/B0F5WCSL4H</t>
  </si>
  <si>
    <t>B0DZNNGH3P</t>
  </si>
  <si>
    <t>RIX Titan-T6 Thermal Monocular LRF 35mm 640x480 Thermal Imaging Monocular with Laser Rangefinder (50 Hz) 1920×1080 OLED Display Ideal for Night Hunting, Safety Level-Class I, Power Output＜1mW</t>
  </si>
  <si>
    <t>https://amazon.com/dp/B0DZNNGH3P</t>
  </si>
  <si>
    <t>B0FMDJC7VB</t>
  </si>
  <si>
    <t>Night Vision Goggles - Smart APP 4K Night Vision Binoculars, 10000mAh Battery, 128GB Card Included, 3'' UHD Screen &amp; 8X Zoom Binoculars, 2000FT Range Goggles for Camping, Hunting, Security (Silver)</t>
  </si>
  <si>
    <t>https://amazon.com/dp/B0FMDJC7VB</t>
  </si>
  <si>
    <t>B0FNM6ZFGG</t>
  </si>
  <si>
    <t>4K Night Vision Goggles, 4.0" HD Screen Night Vision Binoculars with 5000mAh Rechargeable Battery, 64GB TF Card for Photo &amp; Video, Infrared Binocular for Adults, Camping, Wildlife Observation</t>
  </si>
  <si>
    <t>https://amazon.com/dp/B0FNM6ZFGG</t>
  </si>
  <si>
    <t>B0DW3ZPC1N</t>
  </si>
  <si>
    <t>MiLESEEY TNV10 PRO 320x240 IR Resolution Thermal Monocular, 13mm 50Hz Aircraft Mg-Al Alloy Handheld Thermal Camera, Night Vision Imager, Hot Spot Tracking</t>
  </si>
  <si>
    <t>mileseey</t>
  </si>
  <si>
    <t>https://amazon.com/dp/B0DW3ZPC1N</t>
  </si>
  <si>
    <t>B0C37XZWZJ</t>
  </si>
  <si>
    <t>Pulsar Axion 2 LRF XQ35 Pro Thermal Monocular with Laser Range Finder</t>
  </si>
  <si>
    <t>https://amazon.com/dp/B0C37XZWZJ</t>
  </si>
  <si>
    <t>B0CP8N943X</t>
  </si>
  <si>
    <t>Armasight Sidekick 320 Mini Thermal Monocular with Armacore 320 Thermal Core, 3-Button Control, Compass, and Image Detail Enhancement (Gray)</t>
  </si>
  <si>
    <t>https://amazon.com/dp/B0CP8N943X</t>
  </si>
  <si>
    <t>B096HD7WYC</t>
  </si>
  <si>
    <t>Bushnell EX650 Digital Equinox X650 Night Vision 5x 32mm Monocular</t>
  </si>
  <si>
    <t>https://amazon.com/dp/B096HD7WYC</t>
  </si>
  <si>
    <t>B0CPN38V6B</t>
  </si>
  <si>
    <t>Armasight Sidekick 640 Mini Thermal Monocular with Armacore 640 Thermal Core, 3-Button Control, Compass, and Image Detail Enhancement (Gray)</t>
  </si>
  <si>
    <t>https://amazon.com/dp/B0CPN38V6B</t>
  </si>
  <si>
    <t>B0BRY2694B</t>
  </si>
  <si>
    <t>Night Vision Monocular Digital Infrared Monocular Telescope for 100% Darkness with 8X Zoom 2000mAh Rechargeable Battery Upgrade Tripod 32 GB SD Card &amp; Card Reader, for Adult Hunting Camping Green</t>
  </si>
  <si>
    <t>https://amazon.com/dp/B0BRY2694B</t>
  </si>
  <si>
    <t>B0B6GJ84TZ</t>
  </si>
  <si>
    <t>Pulsar Axion 2 XG35 Thermal Monocular</t>
  </si>
  <si>
    <t>https://amazon.com/dp/B0B6GJ84TZ</t>
  </si>
  <si>
    <t>B0FRGFKHHG</t>
  </si>
  <si>
    <t>Full Color Night Vision Goggles, 112 MP 4K Night Vision Binoculars 18X Zoom &amp; 5000mAh Battery, 64GB Card Included, Infrared Vision, 1968ft Range, Perfect for Hunting, Camping &amp; Security</t>
  </si>
  <si>
    <t>https://amazon.com/dp/B0FRGFKHHG</t>
  </si>
  <si>
    <t>B0CTVDMD16</t>
  </si>
  <si>
    <t>Pulsar Telos XQ35 Thermal Imaging Monocular</t>
  </si>
  <si>
    <t>https://amazon.com/dp/B0CTVDMD16</t>
  </si>
  <si>
    <t>B0CTW1RCM1</t>
  </si>
  <si>
    <t>Pulsar Telos LRF XG50 Thermal Imaging Monocular with Laser Range Finder</t>
  </si>
  <si>
    <t>https://amazon.com/dp/B0CTW1RCM1</t>
  </si>
  <si>
    <t>B0CTVD7WNF</t>
  </si>
  <si>
    <t>Pulsar Telos LRF XQ35 Thermal Imaging Monocular with Laser Range Finder</t>
  </si>
  <si>
    <t>https://amazon.com/dp/B0CTVD7WNF</t>
  </si>
  <si>
    <t>B0988TDVTW</t>
  </si>
  <si>
    <t>AGM Global Vision Taipan TM10-256 Thermal Monocular - 256x192 Resolution, 12μm Pixel Pitch, Video Recording 1-8x Digital Zoom Heat Vision Thermal Optic for Hunting</t>
  </si>
  <si>
    <t>https://amazon.com/dp/B0988TDVTW</t>
  </si>
  <si>
    <t>B0DSVFBXZT</t>
  </si>
  <si>
    <t>i4SEE EM10-256 Thermal Monocular, 10mm Focal Lens, 256×192(50Hz) 12μm Night Vision Infrared Scope, 1.43”AMOLED Touchscreen, Handheld Thermal Imaging Monocular for Hunting, Outdoor Camping, Travel</t>
  </si>
  <si>
    <t>i4see</t>
  </si>
  <si>
    <t>https://amazon.com/dp/B0DSVFBXZT</t>
  </si>
  <si>
    <t>B07YCXCTCP</t>
  </si>
  <si>
    <t>AGM Global Vision Night Vision Monocular PVS-14 NL1 Gen 2 NVG military grade monocular for adults, for hunting. High powered digital tactical survival gear nightvision nv monocular for helmet, headset</t>
  </si>
  <si>
    <t>https://amazon.com/dp/B07YCXCTCP</t>
  </si>
  <si>
    <t>B0DMZSBPNT</t>
  </si>
  <si>
    <t>YUANZIMOO Head-Mounted Night Vision Monocular Digital Infrared Monocular</t>
  </si>
  <si>
    <t>https://amazon.com/dp/B0DMZSBPNT</t>
  </si>
  <si>
    <t>B0FNWKSKYK</t>
  </si>
  <si>
    <t>GOYOJO GNG2K Night Vision Monocular - 2K / 60Hz Refresh Digital Night Vision Goggles, Helmet Mountable, Stealth Infrared 940nm NVG with 0.0001 Lux Sensor, 4 Color Modes for Tactical/Hunting/Camping</t>
  </si>
  <si>
    <t>https://amazon.com/dp/B0FNWKSKYK</t>
  </si>
  <si>
    <t>B09897SNLP</t>
  </si>
  <si>
    <t>AGM Global Vision Taipan TM15-256 Thermal Imaging Monocular - 256x192 Resolution, 12μm Pixel Pitch, Video Recording 1-8x Digital Zoom Heat Vision Thermal Optic for Hunting</t>
  </si>
  <si>
    <t>https://amazon.com/dp/B09897SNLP</t>
  </si>
  <si>
    <t>B0CTVH53L5</t>
  </si>
  <si>
    <t>Pulsar Telos XG50 Thermal Imaging Monocular</t>
  </si>
  <si>
    <t>https://amazon.com/dp/B0CTVH53L5</t>
  </si>
  <si>
    <t>B0BN8CQ571</t>
  </si>
  <si>
    <t>FLIR Scout TKx - Compact Infrared/Thermal Imaging Monocular for Wildlife Viewing, Hunting &amp; Outdoor</t>
  </si>
  <si>
    <t>flir</t>
  </si>
  <si>
    <t>https://amazon.com/dp/B0BN8CQ571</t>
  </si>
  <si>
    <t>B0BRY25L5X</t>
  </si>
  <si>
    <t>Night Vision Monocular Digital Infrared Monocular Telescope for 100% Darkness with 8X Zoom 2000mAh Rechargeable Battery Upgrade Tripod 32 GB SD Card &amp; Card Reader, for Adult Hunting Camping Black</t>
  </si>
  <si>
    <t>https://amazon.com/dp/B0BRY25L5X</t>
  </si>
  <si>
    <t>B0CKLVYY1J</t>
  </si>
  <si>
    <t>Pulsar Telos XP50 Thermal Imaging Monocular</t>
  </si>
  <si>
    <t>https://amazon.com/dp/B0CKLVYY1J</t>
  </si>
  <si>
    <t>B003QNIZ14</t>
  </si>
  <si>
    <t>Pulsar Telos LRF XP50 Thermal Imaging Monocular with Laser Range Finder</t>
  </si>
  <si>
    <t>https://amazon.com/dp/B003QNIZ14</t>
  </si>
  <si>
    <t>B0FJM2TBJZ</t>
  </si>
  <si>
    <t>4K Night Vision Goggles, 48 MP Night Vision Binoculars 10X Zoom &amp; 5000mAh Battery, 32GB Card Included, Infrared Vision, 1300ft Range, Perfect for Outdoor, Camping &amp; Security</t>
  </si>
  <si>
    <t>https://amazon.com/dp/B0FJM2TBJZ</t>
  </si>
  <si>
    <t>B07C4WS8PZ</t>
  </si>
  <si>
    <t>Bushnell Equinox Z2 6x50 Night Vision, Multi, One Size , Black</t>
  </si>
  <si>
    <t>https://amazon.com/dp/B07C4WS8PZ</t>
  </si>
  <si>
    <t>B0CFH7SGZK</t>
  </si>
  <si>
    <t>GOYOJO Night Vision Goggles Helmet-Mounted Monocular | 1080P HD NVG with 3X Zoom &amp; Adjustable Infrared | IP66 Waterproof for Hunting, Surveillance, Camping | Built-in Compass (100% Darkness)</t>
  </si>
  <si>
    <t>https://amazon.com/dp/B0CFH7SGZK</t>
  </si>
  <si>
    <t>B0D84HKGHG</t>
  </si>
  <si>
    <t>Pulsar Telos XL50 Thermal Imaging Monocular</t>
  </si>
  <si>
    <t>https://amazon.com/dp/B0D84HKGHG</t>
  </si>
  <si>
    <t>B0D84GH4GB</t>
  </si>
  <si>
    <t>Pulsar Telos LRF XL50 Thermal Imaging Monocular with Laser Range Finder</t>
  </si>
  <si>
    <t>https://amazon.com/dp/B0D84GH4GB</t>
  </si>
  <si>
    <t>B0D5B8RY8P</t>
  </si>
  <si>
    <t>NVG30 Night Vision Goggles Night Vision Monocular,PVS-14 Tactical Helmet Mounted with Binoculars,4 Color Modes 4X Magnification,Day&amp;Night Use,HD Record&amp;Playback for Camping Surveillance WiFi</t>
  </si>
  <si>
    <t>bettitope</t>
  </si>
  <si>
    <t>https://amazon.com/dp/B0D5B8RY8P</t>
  </si>
  <si>
    <t>B0DLDYXW27</t>
  </si>
  <si>
    <t>Pulsar Axion XQ30 Compact Thermal Imaging Monocular</t>
  </si>
  <si>
    <t>https://amazon.com/dp/B0DLDYXW27</t>
  </si>
  <si>
    <t>B0DSQ2QM7Q</t>
  </si>
  <si>
    <t>Oneleaf.ai Commander NV100 Digital Night Vision Goggle, Clip on Night Vision Monocular for Hunting/Observations, 1080P FHD, 328 Yards Clear Nighttime Viewing Range-16mm</t>
  </si>
  <si>
    <t>oneleaf.ai</t>
  </si>
  <si>
    <t>https://amazon.com/dp/B0DSQ2QM7Q</t>
  </si>
  <si>
    <t>B09LWY7717</t>
  </si>
  <si>
    <t>AGM Global Vision Fuzion LRF TM35-384 Fusion Thermal Imaging &amp; CMOS Monocular with Laser Range Finder, 12 Micron 384x288 (50 Hz), 35 mm Lens, Black</t>
  </si>
  <si>
    <t>https://amazon.com/dp/B09LWY7717</t>
  </si>
  <si>
    <t>B0FTG8VLSM</t>
  </si>
  <si>
    <t>SIG SAUER Echo MV50-LRF 3-24x50mm Thermal Monocular with 1000-Yard Laser Rangefinder - High-Sensitivity IP67 Waterproof Nighttime Hunting Monocular - Photo &amp; Video Capture, App Control (SOEC42310)</t>
  </si>
  <si>
    <t>sig sauer</t>
  </si>
  <si>
    <t>https://amazon.com/dp/B0FTG8VLSM</t>
  </si>
  <si>
    <t>B09JT1VXGG</t>
  </si>
  <si>
    <t>Superior Tactical White Phosphor XLSH Gen 3 PVS-14 Night Vision MonocularsI Helmet Mounted, Waterproof, Rugged &amp; Durable Goggles I Hands- Free &amp; Perfect for Outdoor Adventures</t>
  </si>
  <si>
    <t>superior tactical llc s</t>
  </si>
  <si>
    <t>https://amazon.com/dp/B09JT1VXGG</t>
  </si>
  <si>
    <t>B0DNJZB9RK</t>
  </si>
  <si>
    <t>ATN BlazeHunter 335 4-32x, 384x288, &lt;18 NETD, 12 Micron, 50 Hz, Pro Thermal Imaging Monocular</t>
  </si>
  <si>
    <t>atn</t>
  </si>
  <si>
    <t>https://amazon.com/dp/B0DNJZB9RK</t>
  </si>
  <si>
    <t>B0C4TCBPHX</t>
  </si>
  <si>
    <t>AGM Global Vision Sidewinder TM25-384 Thermal Imaging Monocular</t>
  </si>
  <si>
    <t>https://amazon.com/dp/B0C4TCBPHX</t>
  </si>
  <si>
    <t>B0CY16GT91</t>
  </si>
  <si>
    <t>RIX Thermal Monocular Stride ST6 Thermal Imaging Monocular for Hunting 640x512 (50 Hz), Handheld Thermal Monocular for Hunters, Monocular Thermal Vision</t>
  </si>
  <si>
    <t>https://amazon.com/dp/B0CY16GT91</t>
  </si>
  <si>
    <t>B0B8M93WR8</t>
  </si>
  <si>
    <t>AGM Global Vision 11P14123483121 Model PVS-14 3AL2 Night Vision Monocular, Black, Gen 3 Auto-Gated Level 2", 64-72 lp/mm Resolution, 1x Magnification, Built-in Infrared Illuminator and Flood Lens</t>
  </si>
  <si>
    <t>https://amazon.com/dp/B0B8M93WR8</t>
  </si>
  <si>
    <t>B06XGS6611</t>
  </si>
  <si>
    <t>FLIR Breach PTQ136 Multi-Purpose Thermal Imaging Monocular, Black</t>
  </si>
  <si>
    <t>https://amazon.com/dp/B06XGS6611</t>
  </si>
  <si>
    <t>B0D1R935KD</t>
  </si>
  <si>
    <t>Thermal Imaging Monocular for Hunting, 384x288(50Hz) Infrared Night Vision Telescope with Long Battery Life, 15mm Focal Lens Thermal Scopes for Outdoor Night Vision Camera Telescope</t>
  </si>
  <si>
    <t>https://amazon.com/dp/B0D1R935KD</t>
  </si>
  <si>
    <t>B0D1RB6PBJ</t>
  </si>
  <si>
    <t>GOYOJO Thermal Monocular Night Vision, 25mm Focal Lens Thermal Imaging Monoscope 384x288 (50 Hz) Night Vision Goggles Thermal Scopes for Hunting</t>
  </si>
  <si>
    <t>https://amazon.com/dp/B0D1RB6PBJ</t>
  </si>
  <si>
    <t>Rank By Monthly Units - ONLY</t>
  </si>
  <si>
    <t>B0DLKCCBBT</t>
  </si>
  <si>
    <t>Digital Night Vision Monocular, IR Illuminator 850nm Night Vision Rifle Scope for Night Watching &amp; Observations, 4X Digital Zoom, Save Photos &amp; Videos with 32GB TF Card</t>
  </si>
  <si>
    <t>https://amazon.com/dp/B0DLKCCBBT</t>
  </si>
  <si>
    <t>B0DPHT54L9</t>
  </si>
  <si>
    <t>GUANIEE Night Vision Monocular 4K Digital Infrared Night Vision with 2" Larger Screen, 8X Digital Zoom, 2200mAh Rechargeable Battery, Tripod, 32G SD Card</t>
  </si>
  <si>
    <t>guaniee</t>
  </si>
  <si>
    <t>https://amazon.com/dp/B0DPHT54L9</t>
  </si>
  <si>
    <t>B0DSBXKFJD</t>
  </si>
  <si>
    <t>Digital Night Vision Monocular HD 1080P Infrared Night Vision Scope with 5X AI Zoom Video Recording, Hunting Night Vision Camera for Surveillance &amp; Wildlife Observation</t>
  </si>
  <si>
    <t>https://amazon.com/dp/B0DSBXKFJD</t>
  </si>
  <si>
    <t>B002Q6UG3W</t>
  </si>
  <si>
    <t>Pulsar Battery Pack LPS 7i</t>
  </si>
  <si>
    <t>https://amazon.com/dp/B002Q6UG3W</t>
  </si>
  <si>
    <t>B0CKYMVYTK</t>
  </si>
  <si>
    <t>Sheawasy Night Vision Monocular, 1080p Infrared Monocular for 100% Darkness, 32GB Included, Travel, Camping, Hunting, Surveillance</t>
  </si>
  <si>
    <t>sheawasy</t>
  </si>
  <si>
    <t>https://amazon.com/dp/B0CKYMVYTK</t>
  </si>
  <si>
    <t>B0FMK3PKNQ</t>
  </si>
  <si>
    <t>4K Digital Night Vision Monocular, 1314FT Full Dark Distance, Photo &amp; 4K Video Recording, Manual Focus &amp; Diopter, Night Vision Goggles with Infrared Illuminator, SD Card</t>
  </si>
  <si>
    <t>dumjug</t>
  </si>
  <si>
    <t>https://amazon.com/dp/B0FMK3PKNQ</t>
  </si>
  <si>
    <t>B0F1ZYBGJL</t>
  </si>
  <si>
    <t>Digital Night Vision Scope for Rifles with APP Connection, Save Photos &amp; Videos, 1313FT Night Vision Monocular for Hunting, IR Focus Adjustable, with 850nm IR Illuminator, Red Dot, 4X Optical Zoom</t>
  </si>
  <si>
    <t>https://amazon.com/dp/B0F1ZYBGJL</t>
  </si>
  <si>
    <t>B09RZS74XM</t>
  </si>
  <si>
    <t>Clip On Night Vision Scope – 1080P Digital Infrared Attachment for Rifle Scopes, 850nm &amp; 940nm IR, 3X-10.5X Zoom, Tactical Hunting Optics, Long Range Night Vision Monocular</t>
  </si>
  <si>
    <t>owlnv</t>
  </si>
  <si>
    <t>https://amazon.com/dp/B09RZS74XM</t>
  </si>
  <si>
    <t>B0CFH6TPWQ</t>
  </si>
  <si>
    <t>GOYOJO Helmet-Mounted Night Vision Monocular - 1080P HD, 3X Digital Zoom &amp; 1X Optical, IP66 Waterproof NVG Built-in Digital Compass for Airsoft, Hunting, Camping (Equipped with Fast Helmet)</t>
  </si>
  <si>
    <t>https://amazon.com/dp/B0CFH6TPWQ</t>
  </si>
  <si>
    <t>B0DKJKWY24</t>
  </si>
  <si>
    <t>Night Vision Monocular with Full-Color, Digital Night Vision with 1500M Range with 850NM IR, 10X Digital Zoom, 7-Layer Coated Lens, 64GB TF Card, 5H Battery, IPX4 Waterproof for Outdoor Surveillance</t>
  </si>
  <si>
    <t>equeen</t>
  </si>
  <si>
    <t>https://amazon.com/dp/B0DKJKWY24</t>
  </si>
  <si>
    <t>B0DZTCYBFQ</t>
  </si>
  <si>
    <t>Digital Night Vision monocular Telescope，Day &amp; Night Vision Rifle Scope Monocular with 850nm IR Fixed 3X Magnification, Hunting Surveillance Wildlife Observation， Can be Used independently</t>
  </si>
  <si>
    <t>rzjskjzm</t>
  </si>
  <si>
    <t>https://amazon.com/dp/B0DZTCYBFQ</t>
  </si>
  <si>
    <t>B0F1NT1NLK</t>
  </si>
  <si>
    <t>Night Vision Scope, 940nm Day/Night Vision Monocular with Camera &amp; Video, 50mm Focal Lens Vision Goggles Riflescope for Night Hunting Camping &amp; Pest Control (Without Battery)</t>
  </si>
  <si>
    <t>nightcrystal</t>
  </si>
  <si>
    <t>https://amazon.com/dp/B0F1NT1NLK</t>
  </si>
  <si>
    <t>B0FJQYHZ1S</t>
  </si>
  <si>
    <t>[2025 Upgrade] 4K Digital Night Vision Monocular with Infrared Illuminator &amp; Video Recording, Manual Focus and Diopter, Night Vision Goggles Binoculars for Hunting, Camping, with 32GB Card</t>
  </si>
  <si>
    <t>https://amazon.com/dp/B0FJQYHZ1S</t>
  </si>
  <si>
    <t>B0CP4RWTJ7</t>
  </si>
  <si>
    <t>LEESEN Rubber Eyecup Fits PVS-14 Night Vision Monocular and PVS-18 Night Vision Goggles</t>
  </si>
  <si>
    <t>leesen</t>
  </si>
  <si>
    <t>https://amazon.com/dp/B0CP4RWTJ7</t>
  </si>
  <si>
    <t>B0CPV9ZL6T</t>
  </si>
  <si>
    <t>BESTSIGHT Battery 1 pc Indicator + 3pcs Battery(Red Color) Night Vision+1pc Pink Color for Pard Night Vision</t>
  </si>
  <si>
    <t>bestsight</t>
  </si>
  <si>
    <t>https://amazon.com/dp/B0CPV9ZL6T</t>
  </si>
  <si>
    <t>B0DW8SV9B4</t>
  </si>
  <si>
    <t>T2 Max Android Thermal Night Vision Monocular, 15mm Thermal Scope for Phone, See 1500 Yards, Thermal Scope for Wildlife Observation (Not for iOS)</t>
  </si>
  <si>
    <t>thermal master</t>
  </si>
  <si>
    <t>https://amazon.com/dp/B0DW8SV9B4</t>
  </si>
  <si>
    <t>B0FDW99SWF</t>
  </si>
  <si>
    <t>Bansainong 256x192 Thermal Scope, Thermal Riflescope with Night Vision Scope, 60Hz Refresh Rate, Adjustable 11 Color Palettes, Dual System with High Sensitivity for Outdoor Activities &amp; Hunting</t>
  </si>
  <si>
    <t>bansainong</t>
  </si>
  <si>
    <t>https://amazon.com/dp/B0FDW99SWF</t>
  </si>
  <si>
    <t>B0DGT9WM5P</t>
  </si>
  <si>
    <t>ESSLNB Night Vision Monocular, 6x32 Night Vision Infrared Monocular, Portable Digital Night Vision Scopes for Day &amp; Night Camping, Surveillance, 1080P Full HD Photo &amp; Video</t>
  </si>
  <si>
    <t>esslnb</t>
  </si>
  <si>
    <t>https://amazon.com/dp/B0DGT9WM5P</t>
  </si>
  <si>
    <t>B0FQBV5QXN</t>
  </si>
  <si>
    <t>BIBIRE Night Vision Goggles, Head Mounted Night Vision Monocular 8X Digital Infrared NVG with 32GB SD Card for Surveillance Camping Observation</t>
  </si>
  <si>
    <t>bibire</t>
  </si>
  <si>
    <t>https://amazon.com/dp/B0FQBV5QXN</t>
  </si>
  <si>
    <t>B0FQNXBQM2</t>
  </si>
  <si>
    <t>TRV NVG10 Digital Night Vision Monocular Head Mounted - 1080P HD Night Vision Goggles Video Recording, 6X Zoom, Helmet Mountable for Hunting, Camping</t>
  </si>
  <si>
    <t>trv</t>
  </si>
  <si>
    <t>https://amazon.com/dp/B0FQNXBQM2</t>
  </si>
  <si>
    <t>B0DXR8NFXX</t>
  </si>
  <si>
    <t>Carson NiteMax Digital Night Vision Monocular with Built-in Infrared Illuminator (NV-300)</t>
  </si>
  <si>
    <t>carson</t>
  </si>
  <si>
    <t>https://amazon.com/dp/B0DXR8NFXX</t>
  </si>
  <si>
    <t>B0DK2KPKW8</t>
  </si>
  <si>
    <t>CASEMATIX Thermal Vision Monocular Case Compatible with Flir Scout TKx Thermal Monocular for Hunting and Night Vision Scopes - 8.5" x 4.0" x 3.5"</t>
  </si>
  <si>
    <t>casematix</t>
  </si>
  <si>
    <t>https://amazon.com/dp/B0DK2KPKW8</t>
  </si>
  <si>
    <t>Top 50 By Revenue Summary</t>
  </si>
  <si>
    <t>Avg Price</t>
  </si>
  <si>
    <t>Quantity/Mo</t>
  </si>
  <si>
    <t>Qty by %</t>
  </si>
  <si>
    <t>Revenue/Mo</t>
  </si>
  <si>
    <t>Revenue by %</t>
  </si>
  <si>
    <t>Total</t>
  </si>
  <si>
    <t>Top 50 By Unit Summary</t>
  </si>
  <si>
    <t>2-way</t>
  </si>
  <si>
    <t>4-way</t>
  </si>
  <si>
    <t>No camera</t>
  </si>
  <si>
    <t>4.3"</t>
  </si>
  <si>
    <t>4.5"</t>
  </si>
  <si>
    <t>5.0"</t>
  </si>
  <si>
    <t>6.0"</t>
  </si>
  <si>
    <t>9.0"</t>
  </si>
  <si>
    <t>App</t>
  </si>
  <si>
    <t>2.4"</t>
  </si>
  <si>
    <t>23mm</t>
  </si>
  <si>
    <t>3.9mm</t>
  </si>
  <si>
    <t>5.5mm</t>
  </si>
  <si>
    <t>6.2mm</t>
  </si>
  <si>
    <t>6.4mm</t>
  </si>
  <si>
    <t>6.5mm</t>
  </si>
  <si>
    <t>6mm</t>
  </si>
  <si>
    <t>8.5mm</t>
  </si>
  <si>
    <t>8mm</t>
  </si>
  <si>
    <t>Dual</t>
  </si>
  <si>
    <t>Single</t>
  </si>
  <si>
    <t>Triple</t>
  </si>
  <si>
    <t>10ft</t>
  </si>
  <si>
    <t>16.5ft</t>
  </si>
  <si>
    <t>300ft</t>
  </si>
  <si>
    <t>32.8ft</t>
  </si>
  <si>
    <t>5.25ft</t>
  </si>
  <si>
    <t>5.5ft</t>
  </si>
  <si>
    <t>5.6ft</t>
  </si>
  <si>
    <t>50ft</t>
  </si>
  <si>
    <t>5ft</t>
  </si>
  <si>
    <t>9.8ft</t>
  </si>
  <si>
    <t>33ft</t>
  </si>
  <si>
    <t>Rank by Revenue</t>
  </si>
  <si>
    <t xml:space="preserve">Tool Rating </t>
  </si>
  <si>
    <t>Column1</t>
  </si>
  <si>
    <t>Rank by Units</t>
  </si>
  <si>
    <t>GOYOJO GNG2K Night Vision Monocular - 2K/60Hz Refresh Digital Night Vision Goggles, Helmet Mountable, Stealth Infrared 940nm NVG with 0.0001 Lux Sensor, 4 Color Modes for Tactical/Hunting/Camping</t>
  </si>
  <si>
    <t>B0FNWHWHMR</t>
  </si>
  <si>
    <t>https://amazon.com/dp/B0FNWHWHMR</t>
  </si>
  <si>
    <t>GOYOJO 2K Digital Night Vision Goggles, NVG Helmet Mounted for Tactical, Hunting, PVS-14 Night Vision Monocular with 4 Color Modes HD Recording &amp; Playback</t>
  </si>
  <si>
    <t>B0CTH5MH9G</t>
  </si>
  <si>
    <t>https://amazon.com/dp/B0CTH5MH9G</t>
  </si>
  <si>
    <t>NVG Night Vision Goggles - Helmet Mounted 2K Night Vision Binoculars Adults with 4 Color Modes 4X Magnification, HD Recording &amp; Playback for Hunting Surveillance (Helmet Not Included)</t>
  </si>
  <si>
    <t>B0CX1W3986</t>
  </si>
  <si>
    <t>https://amazon.com/dp/B0CX1W3986</t>
  </si>
  <si>
    <t>GOYOJO Night Vision Goggles- NVG10 Night Vision Scope with Photo and Video Shooting, NVG Digital Vision Distance 200M for Hunting, Camping</t>
  </si>
  <si>
    <t>B0BZSBGQTW</t>
  </si>
  <si>
    <t>https://amazon.com/dp/B0BZSBGQTW</t>
  </si>
  <si>
    <t>Night Vision Monocular - Digital Night Vision Scope with 1.6" 640x480 HD IPS Display, Audio &amp;Video Recording Camera Function, 850nm IR Illuminator, 4 Imaging Modes, for Hunting, Military Tactical</t>
  </si>
  <si>
    <t>B0CBV6V43B</t>
  </si>
  <si>
    <t>https://amazon.com/dp/B0CBV6V43B</t>
  </si>
  <si>
    <t>Head Mounted 4K HD Night Vision, 8X Zoom Night Vision Monocular Digital Infrared Monocular, with Photo and Video Shooting, Built-in 3000mAh Lithium Battery IP54, for Hunting, Camping, Surveillance</t>
  </si>
  <si>
    <t>B0CW1LVB59</t>
  </si>
  <si>
    <t>https://amazon.com/dp/B0CW1LVB59</t>
  </si>
  <si>
    <t>GOYOJO NVG30 Night Vision Goggles for Adults, PVS-14 Helmet Mounted Night Vision Binoculars with 4 Color Modes 4X Magnification, HD Recording &amp; Playback for Hunting Surveillance</t>
  </si>
  <si>
    <t>B0CX3YQQQ5</t>
  </si>
  <si>
    <t>https://amazon.com/dp/B0CX3YQQQ5</t>
  </si>
  <si>
    <t>NVG 2K Night Vision Goggles for Adults, Helmet Mounted Night Vision Monocular with 4 Color Modes 4X Magnification, HD Recording &amp; Playback for Hunting Surveillance</t>
  </si>
  <si>
    <t>B0CWTPMVRM</t>
  </si>
  <si>
    <t>https://amazon.com/dp/B0CWTPMVRM</t>
  </si>
  <si>
    <t>GOYOJO Thermal Night Vision Riflescope for Hunting - 25 mm/12um Long-Range Detection, Adjustable Focus, HD Imaging, 6H Battery, and More - Perfect for Hunting, Surveillance, and Wildlife Observation</t>
  </si>
  <si>
    <t>B0CFV2H85F</t>
  </si>
  <si>
    <t>https://amazon.com/dp/B0CFV2H85F</t>
  </si>
  <si>
    <t>GOYOJO Thermal Monocular for Hunting, 25Hz Handheld Infrared Thermal Scope, with High Sensitivity 256x192 Night Vision Telescope, with Photo, Video Record for Night Fishing, Camping, 2X - 4X</t>
  </si>
  <si>
    <t>B0CP3C49VZ</t>
  </si>
  <si>
    <t>https://amazon.com/dp/B0CP3C49VZ</t>
  </si>
  <si>
    <t>TD430 TD Series Handheld Thermal Imaging Monocular Infrared Thermal Imager Scope Monocular (TD430)</t>
  </si>
  <si>
    <t>B0BV6J7TZZ</t>
  </si>
  <si>
    <t>https://amazon.com/dp/B0BV6J7TZZ</t>
  </si>
  <si>
    <t>Goyojo Night Vision Monocular Thermal Imager Scope Sight for Hunting</t>
  </si>
  <si>
    <t>B0CFVKXSS9</t>
  </si>
  <si>
    <t>https://amazon.com/dp/B0CFVKXSS9</t>
  </si>
  <si>
    <t>AGM Global Vision ReachIR LRF 25-384 Thermal Imaging Monocular with Built-in Laser Range Finder, 20mK, 12 Micron, 384x288 (50 Hz)</t>
  </si>
  <si>
    <t>B0DKTRC16M</t>
  </si>
  <si>
    <t>https://amazon.com/dp/B0DKTRC16M</t>
  </si>
  <si>
    <t>AGM Global Vision Fuzion LRF TM35-640 Thermal Monocular with Laser Rangefinder and Bi-Spectrum Image Fusion Hunting Monocular with Thermal Imaging Heat Vision Perfect for Hunting and Outdoor Adventure</t>
  </si>
  <si>
    <t>B09LX2LTD4</t>
  </si>
  <si>
    <t>https://amazon.com/dp/B09LX2LTD4</t>
  </si>
  <si>
    <t>AGM Global Vision Neith DC32-4MP 2560 x 1440 Digital Day and Night Vision Clip-On System; Quick Conversion of Daytime Optics Into Night Vision Device; Waterproof and Shockproof</t>
  </si>
  <si>
    <t>B0CLPCMW88</t>
  </si>
  <si>
    <t>https://amazon.com/dp/B0CLPCMW88</t>
  </si>
  <si>
    <t xml:space="preserve">Rank by Revenue </t>
  </si>
  <si>
    <t>Armasight PVS-14 Pinnacle Elite Gen 3 IIT, Night Vision Monocular</t>
  </si>
  <si>
    <t>B0BH1MNCBF</t>
  </si>
  <si>
    <t>https://amazon.com/dp/B0BH1MNCBF</t>
  </si>
  <si>
    <t>Armasight PVS-14 Bravo Tube 1400+ FOM + 3X Magnifier Lens</t>
  </si>
  <si>
    <t>B0D9STMY3B</t>
  </si>
  <si>
    <t>https://amazon.com/dp/B0D9STMY3B</t>
  </si>
  <si>
    <t>Armasight 3X Lens for PVS-14 with Waterproof Design and Long-Range Observation (Black)</t>
  </si>
  <si>
    <t>B0BH1M4Y6N</t>
  </si>
  <si>
    <t>https://amazon.com/dp/B0BH1M4Y6N</t>
  </si>
  <si>
    <t>Armasight MNVD-51 Pinnacle Gen 3 IIT, Night Vision Monocular</t>
  </si>
  <si>
    <t>B0BH1J3NBV</t>
  </si>
  <si>
    <t>https://amazon.com/dp/B0BH1J3NBV</t>
  </si>
  <si>
    <t>Armasight 6X Lens for PVS-14 with Waterproof Design, Lightweight Body, and 8-Degree Field of View (Black)</t>
  </si>
  <si>
    <t>B0BH1L3G6B</t>
  </si>
  <si>
    <t>https://amazon.com/dp/B0BH1L3G6B</t>
  </si>
  <si>
    <t>Ralcam 360° Articulating Borescope Dual Lens, 5'' Joystick 4 Ways Industrial Endoscope Camera with Light, 6.5mm Slim Probe, 5.0FT Semi-Rigid Snake Inspection Camera for Automotive Mechanics</t>
  </si>
  <si>
    <t>B0DSW1DKTZ</t>
  </si>
  <si>
    <t>https://amazon.com/dp/B0DSW1DKTZ</t>
  </si>
  <si>
    <t>Ralcam 360° Articulating Borescope, 6.2mm/0.24in Slim Probe, Joystick 4 Ways Endoscope Inspection Camera with Light, 3.3 FT Flexible Snake Tube for Automotive, HVAC, Mechanics</t>
  </si>
  <si>
    <t>B0C64RBKJL</t>
  </si>
  <si>
    <t>https://amazon.com/dp/B0C64RBKJL</t>
  </si>
  <si>
    <t>4-Way 360° Articulating Borescope, Ralcam Joystick 5" Endoscope Camera with Light, 6.2mm/0.24in Slim Snake Inspection Camera with 5.0ft Semi-Rigid Cable for Engine, Pipe, HVAC Inspection</t>
  </si>
  <si>
    <t>B0F8BN91TL</t>
  </si>
  <si>
    <t>https://amazon.com/dp/B0F8BN91TL</t>
  </si>
  <si>
    <t>Two-Way Articulating Borescope for Smartphone&amp;iPhone, Ralcam 8.5mm/0.33inch Endoscope Camera with Light, HD 1080P Inspection Camera Automotive Tool</t>
  </si>
  <si>
    <t>B08Y5S32YV</t>
  </si>
  <si>
    <t>https://amazon.com/dp/B08Y5S32YV</t>
  </si>
  <si>
    <t>Ralcam Two-Way Articulating Borescope, Endoscope Camera with Light 0.24in/6.2mm Articulated Inspection Camera, Semi-Rigid HD Video Snake Scope for Automotive Aircraft Mechanics</t>
  </si>
  <si>
    <t>B0D8SDT9HT</t>
  </si>
  <si>
    <t>https://amazon.com/dp/B0D8SDT9HT</t>
  </si>
  <si>
    <t>Ralcam 360° Articulating Borescope Dual Lens 5'', Joystick 4-Way Industrial Endoscope Camera with Light, 0.25in Slim Probe Flexible Inspection Camera for Automotive Mechanics</t>
  </si>
  <si>
    <t>B0FJLPG74M</t>
  </si>
  <si>
    <t>https://amazon.com/dp/B0FJLPG74M</t>
  </si>
  <si>
    <t>Ralcam 360° Joystick Articulating Borescope, 6.2mm 4 Ways Automotive Endoscope Inspection Camera with 6 Adjustable LED Lights 6.6FT Semi-Rigid Snake Tube</t>
  </si>
  <si>
    <t>B0CZQCQFPZ</t>
  </si>
  <si>
    <t>https://amazon.com/dp/B0CZQCQFPZ</t>
  </si>
  <si>
    <t>Ralcam Two-Way Articulating Borescope, 5.5mm/0.22in Slim Probe, 5" Industrial Endoscope Camera with Light, 8X Zoom 5FT Flexible Snake Inspection Scope for Engine, Automotive, HVAC</t>
  </si>
  <si>
    <t>B0FHGMHLJR</t>
  </si>
  <si>
    <t>https://amazon.com/dp/B0FHGMHLJR</t>
  </si>
  <si>
    <t>Ralcam Dual Lens Articulating Borescope, 6.5mm Slim Probe, 5" Endoscope Camera with Light, 5FT Semi-Rigid Cable, Two-Way Articulated Inspection Camera for Automotive Wall Pipe</t>
  </si>
  <si>
    <t>B0DSVY5LQD</t>
  </si>
  <si>
    <t>https://amazon.com/dp/B0DSVY5LQD</t>
  </si>
  <si>
    <t>Ralcam Articulating Borescope, Industrial Endoscope Inspection Camera for Android and iOS Smartphone, 8.5mm HD 1080P with 10FT Semi Rigid Cable</t>
  </si>
  <si>
    <t>B0DT95GVP1</t>
  </si>
  <si>
    <t>https://amazon.com/dp/B0DT95GVP1</t>
  </si>
  <si>
    <t>Ralcam 3.9mm Two-Way Articulating Borescope, 5 Inch HD Industrial Endoscope Inspection Camera with Light, Stainless Steel Flexible Fiber Optic Scope Camera 0.15in Automotive Mechanics Tool</t>
  </si>
  <si>
    <t>B0FJLL4LY1</t>
  </si>
  <si>
    <t>https://amazon.com/dp/B0FJLL4LY1</t>
  </si>
  <si>
    <t>Ralcam Two-Way Articulating Borescope, 0.33in Industrial Inspection Endoscope Camera with Light, 4.3inch HD Waterproof Flexible Articulated Snake Scope Probe for Mechanic Automotive Engine Wall</t>
  </si>
  <si>
    <t>B0FPX7QDCS</t>
  </si>
  <si>
    <t>https://amazon.com/dp/B0FPX7QDCS</t>
  </si>
  <si>
    <t>Ralcam 3mm Two-Way Articulating Borescope, 5 Inch HD Industrial Endoscope Inspection Camera with Light, Stainless Steel Flexible Fiber Optic Scope Camera 0.12in Automotive Mechanics Tool</t>
  </si>
  <si>
    <t>B0FLNJ8CNL</t>
  </si>
  <si>
    <t>https://amazon.com/dp/B0FLNJ8CNL</t>
  </si>
  <si>
    <t>Ralcam Two-Way 210° Articulating Borescope, 6.2mm Slim Probe USB-C Flexible Endoscope Inspection Camera Compatible with iPhone &amp; Android for Engine, Pipe &amp; HVAC Inspection</t>
  </si>
  <si>
    <t>B0FN38759M</t>
  </si>
  <si>
    <t>https://amazon.com/dp/B0FN38759M</t>
  </si>
  <si>
    <t>Two-Way Articulating Borescope for iPhone &amp; Smartphone, Ralcam 5.5mm/0.21in Endoscope Camera with Light, HD Inspection Snake Camera with Battery for Engine, Pipe, HVAC Inspection</t>
  </si>
  <si>
    <t>B0F5W6HJF8</t>
  </si>
  <si>
    <t>https://amazon.com/dp/B0F5W6HJF8</t>
  </si>
  <si>
    <t>Ralcam 360° Articulating Borescope Camera with Light, 4-Way Joystick Endoscope Inspection Camera, 5 inch 6.0mm Waterproof Snake Scope for Mechanics Automotive Wall Pipe Engine 3.3FT</t>
  </si>
  <si>
    <t>B0CP6P5C3M</t>
  </si>
  <si>
    <t>https://amazon.com/dp/B0CP6P5C3M</t>
  </si>
  <si>
    <t>Ralcam Dual Lens Articulating Borescope 5", 6.5mm Slim Probe, Two-Way Articulated Endoscope Inspection Camera with 5FT Flexible Snake Cable for Engine Automotive HVAC Wall Pipe</t>
  </si>
  <si>
    <t>B0FJLQJ18V</t>
  </si>
  <si>
    <t>https://amazon.com/dp/B0FJLQJ18V</t>
  </si>
  <si>
    <t>Ralcam 360° Articulating Borescope 0.24in, 4-Way Endoscope Camera with Light, 6 LEDs Waterproof Inspection Camera 6.6FT Semi-Rigid Cable for Engine, Pipe &amp; HVAC Inspection</t>
  </si>
  <si>
    <t>B0FJFD212D</t>
  </si>
  <si>
    <t>https://amazon.com/dp/B0FJFD212D</t>
  </si>
  <si>
    <t>Ralcam Two-Way Articulating Borescope, 0.24in/6.2mm Inspection Endoscope Camera with Light HD 6.6FT Semi-Rigid Cable Video Snake Camera Scope for Automotive Aircraft Mechanics</t>
  </si>
  <si>
    <t>B0DXFBLWLJ</t>
  </si>
  <si>
    <t>https://amazon.com/dp/B0DXFBLWLJ</t>
  </si>
  <si>
    <t>Ralcam Two-Way Articulating Borescope with 10FT Semi-Rigid Cable, 0.33in/8.5mm Inspection Endoscope Camera with Light HD Video Snake Camera Scope for Automotive Aircraft Mechanics</t>
  </si>
  <si>
    <t>B0FHCQYXRP</t>
  </si>
  <si>
    <t>https://amazon.com/dp/B0FHCQYXRP</t>
  </si>
  <si>
    <t>Ralcam Articulating Borescope Endoscope Camera with Light, 210° Dual-Direction Snake Camera for Automotive Inspection, 6.2mm Probe, 4.3" HD Screen, 6 Adjustable LEDs, IP67 Waterproof Semi-Rigid Cable</t>
  </si>
  <si>
    <t>B0FX4FQC6Y</t>
  </si>
  <si>
    <t>https://amazon.com/dp/B0FX4FQC6Y</t>
  </si>
  <si>
    <t>Sanyipace Sewer Camera 100FT/30M, Self-Leveling Drain Camera, DVR with Speaker, 1080P Pipe Camera with Distance Counter, 32GB Card, 5mm/0.2-inch Cable, IP68 Waterproof Plumbing Camrea for Sewer Line</t>
  </si>
  <si>
    <t>B0DYDGXG2N</t>
  </si>
  <si>
    <t>https://amazon.com/dp/B0DYDGXG2N</t>
  </si>
  <si>
    <t>Sanyipace Pipe Inspection Camera 165FT/50M, Self-Leveling Sewer Camera, Distance Counter, DVR with Speaker, 32GB Card, 10.1" IPS Screen Plumbing Camera with 12PCS Lights, 5X Zoom, 5mm/0.2-inch Cable</t>
  </si>
  <si>
    <t>B0DY1KCDWW</t>
  </si>
  <si>
    <t>https://amazon.com/dp/B0DY1KCDWW</t>
  </si>
  <si>
    <t>Sanyipace Trolley Sewer Camera 100FT/30M with Self-Leveling, Retractable Handle, Equipped 512Hz Transmitter, Distance Counter, Microphone Speaker Keyboard, 10" Color Screen, 7mm Cable</t>
  </si>
  <si>
    <t>B0DSJGPDB6</t>
  </si>
  <si>
    <t>https://amazon.com/dp/B0DSJGPDB6</t>
  </si>
  <si>
    <t>Sanyipace Sewer Inspection Camera 230FT/70M, Self-Leveling Drain Pipe Camera, Distance Counter, 5-Level Brightness, 1080P Plumbing Camera for Plumber, 32GB Card, 4500mAh Battery, 5mm/0.2-inch Cable</t>
  </si>
  <si>
    <t>B0DYJGWGHB</t>
  </si>
  <si>
    <t>https://amazon.com/dp/B0DYJGWGHB</t>
  </si>
  <si>
    <t>Sanyipace Pipe Locator 512Hz Receiver Locating Wand for Sewer Camera, Higher-Precision Plumbing Drain Camera Detector Tester Tool for Underground Exploration (Not Included Transmitter)</t>
  </si>
  <si>
    <t>B0DP8WKC2J</t>
  </si>
  <si>
    <t>https://amazon.com/dp/B0DP8WKC2J</t>
  </si>
  <si>
    <t>Sanyipace Sewer Camera with Pipe Locator, 7mm/0.28inch Cable, 512Hz, 10.1" IPS Screen, 32GB Card, 165FT/50M Borescope Inspection Camera, DVR with Speaker, for Drain Pipe Plumbing Inspection</t>
  </si>
  <si>
    <t>B0DRP5QBNB</t>
  </si>
  <si>
    <t>https://amazon.com/dp/B0DRP5QBNB</t>
  </si>
  <si>
    <t>Sanyipace Drain Camera 512Hz, Self-Leveling Sewer Camera with Distance Counter, 5X Zoom, 4500mAh Battery, Waterproof Pipe Camera for Plumbing Duct Home Inspection, 66FT/20M Cable, Included 16GB Card</t>
  </si>
  <si>
    <t>B0DPFBKHT4</t>
  </si>
  <si>
    <t>https://amazon.com/dp/B0DPFBKHT4</t>
  </si>
  <si>
    <t>Sanyipace Sewer Camera Self-Leveling 100FT/30M, Drain Camera with 512Hz Transmitter, Meter Counter, Pipe Inspection Cámara with Microphone Speaker DVR Recorder, 32GB TF Card, Guide Wheel (7mm Cable)</t>
  </si>
  <si>
    <t>B0FLVB6GYH</t>
  </si>
  <si>
    <t>https://amazon.com/dp/B0FLVB6GYH</t>
  </si>
  <si>
    <t>Sanyipace Drain Camera 100FT/30M, 23mm/0.9in FHD Sewer Inspection Camera, 5X Zoom, Distance Counter, 9" IPS Screen, DVR &amp; Voice Recorder, 16GB Card, for Sewer Line, Pipe, Duct, Plumbing, Plumber, Home</t>
  </si>
  <si>
    <t>B0C9TP4FVP</t>
  </si>
  <si>
    <t>https://amazon.com/dp/B0C9TP4FVP</t>
  </si>
  <si>
    <t>Sanyipace Portable Sewer Camera with Short-Range Lens, Drain Inspection Camera, 0.7in/18mm IP68 Waterproof Pipe Probe, Length Markers, Perfect Ideal for Plumbers, Homeowners, Contractors (65FT/20M)</t>
  </si>
  <si>
    <t>B0FHVPYYQ7</t>
  </si>
  <si>
    <t>https://amazon.com/dp/B0FHVPYYQ7</t>
  </si>
  <si>
    <t>Sanyipace Sewer Camera 100FT/30M, 0.67in/17mm Pipe Inspection Camera with Light, 5600mAh Battery, Mic &amp; Speaker, 4.3" Screen, 8 LEDs, 1000TVL Plumbing Snake Camera, Included 16GB Card</t>
  </si>
  <si>
    <t>B0DJLM28ZL</t>
  </si>
  <si>
    <t>https://amazon.com/dp/B0DJLM28ZL</t>
  </si>
  <si>
    <t>Sanyipace Sewer Camera 100FT/30M, 512Hz Sonde, Self-Leveling Drain Camera, Distance Counter, 5X Zoom, Video &amp; Voice Recorder, 9" Screen Sewer Pipe Camera for Plumber, Plumbing Camera with 12PCS LEDs</t>
  </si>
  <si>
    <t>B0DPFBK493</t>
  </si>
  <si>
    <t>https://amazon.com/dp/B0DPFBK493</t>
  </si>
  <si>
    <t>Sanyipace Sewer Camera 165FT/50M, 0.67in/17mm Pipe Inspection Camera with Light, 5600mAh Battery, Meter Maker, Mic &amp; Speaker, 4.3" Screen, 8 LEDs, 1000TVL Plumbing Snake Camera, Included 32GB Card</t>
  </si>
  <si>
    <t>B0DP9QQZC1</t>
  </si>
  <si>
    <t>https://amazon.com/dp/B0DP9QQZC1</t>
  </si>
  <si>
    <t>Sanyipace Pipe Inspection Camera, 165FT/50M Sewer With Distance Counter, 1080P Waterproof Drain for Plumbing Duct Inspection, 9" Screen, 4500mAh Battery, 12PCS LED Lights, 5X Zoom</t>
  </si>
  <si>
    <t>B0CN38GJNQ</t>
  </si>
  <si>
    <t>https://amazon.com/dp/B0CN38GJNQ</t>
  </si>
  <si>
    <t>Sanyipace Sewer Camera 165FT/50M with Locator, Self-Leveling, 512Hz Transmitter and Receiver, HD Drain Pipe Camera with Mic Speaker Recorder</t>
  </si>
  <si>
    <t>B0CCDK5GHP</t>
  </si>
  <si>
    <t>https://amazon.com/dp/B0CCDK5GHP</t>
  </si>
  <si>
    <t>Sanyipace 18MM Sewer Camera, 66FT/20M Drain Inspection Camera with Microphone and Speaker, 1080P IP68 Waterproof Pipe Camera with 8 LEDs, Stiff Cable for Drain Duct Plumbing Inspection, 32GB Card</t>
  </si>
  <si>
    <t>B0FHK3NQ4R</t>
  </si>
  <si>
    <t>https://amazon.com/dp/B0FHK3NQ4R</t>
  </si>
  <si>
    <t>Sanyipace Pipe Camera with Locator, 512Hz Sewer Camera with Self-Leveling, 23mm/0.9in Drain Camera with Distance Counter, 5X Zoom, Waterproof Plumbing Inspection Camera with 12 PCS Lights, 66FT/20M</t>
  </si>
  <si>
    <t>B0DPFC825X</t>
  </si>
  <si>
    <t>https://amazon.com/dp/B0DPFC825X</t>
  </si>
  <si>
    <t>HD Pure Cable Coil of Sanyipace Sewer Camera Devices, Length 100FT/30M, Diameter 0.28in/7mm, Excluding Coil Frame</t>
  </si>
  <si>
    <t>B0FQTHB551</t>
  </si>
  <si>
    <t>https://amazon.com/dp/B0FQTHB551</t>
  </si>
  <si>
    <t>Sanyipace Portable Sewer Camera, Short-Distance Pipe Inspection Camera with 5" HD Screen, 0.7in/18mm IP68 Waterproof Probe, Meter Markers, Magnetic Stand for Multiple Viewing Angles (100FT/30M)</t>
  </si>
  <si>
    <t>B0FJFX23ZH</t>
  </si>
  <si>
    <t>https://amazon.com/dp/B0FJFX23ZH</t>
  </si>
  <si>
    <t>Sanyipace Sewer Camera 100FT/30M, 5" IPS HD Inspection Camera with 32GB TF Card, DVR with Speaker, 8 LED Lights, Waterproof Pipe Camera for Drain Pipe Plumbing Sewer Line Inspection</t>
  </si>
  <si>
    <t>B0FHK5GK5M</t>
  </si>
  <si>
    <t>https://amazon.com/dp/B0FHK5GK5M</t>
  </si>
  <si>
    <t>Sanyipace Sewer Camera 100FT/30M, 1080P FHD, Zoom in, Remote Control, Sapphire Lens, Battery Level Display, 12 Adjustable White LEDs, 7'' LCD Screen, Plumbing Pipe Drain Camera, 16GB TF Card</t>
  </si>
  <si>
    <t>B0BR7NB31V</t>
  </si>
  <si>
    <t>https://amazon.com/dp/B0BR7NB31V</t>
  </si>
  <si>
    <t>Sanyipace Sewer Scope Camera, 1080P FHD, 165FT/50M, 5X Zoom in, Remote Control, Sapphire Lens, Battery Level Display, Drain Inspection Camer with 12 Adjustable LED Lights, 7'' LCD Screen,16GB TF Card</t>
  </si>
  <si>
    <t>B0BKSRTCRL</t>
  </si>
  <si>
    <t>https://amazon.com/dp/B0BKSRTCRL</t>
  </si>
  <si>
    <t>Sanyipace Sewer Camera 165FT/50M with WiFi Wireless Transmission, Drain Camera with Lights, Pipe Sewer Scope Inspection Camera with IP68 Waterproof Camera Probe, 7" Color Screen, Camera Guide Wheel</t>
  </si>
  <si>
    <t>B09L5ND94Q</t>
  </si>
  <si>
    <t>https://amazon.com/dp/B09L5ND94Q</t>
  </si>
  <si>
    <t>Sanyipace Sewer Camera 65FT/20M, Self-Leveling Drain Pipe Plumbing Camera with 512Hz Transmitter, Clear Meter Marks, for Plumbers Homeowner Home Inspectors Construction Maintenance Worker</t>
  </si>
  <si>
    <t>B0DP9S17QP</t>
  </si>
  <si>
    <t>https://amazon.com/dp/B0DP9S17QP</t>
  </si>
  <si>
    <t>Sanyipace Sewer Camera 65FT/20M with WiFi Wireless Transmission, Drain Camera with Lights, Pipe Sewer Scope Inspection Camera with IP68 Waterproof Camera Probe, 7" Color Screen, Camera Guide Wheel</t>
  </si>
  <si>
    <t>B0BWXV4PS6</t>
  </si>
  <si>
    <t>https://amazon.com/dp/B0BWXV4PS6</t>
  </si>
  <si>
    <t>Sanyipace Sewer Camera 100FT/30M with 512Hz Transmitter, Drain Camera Pipe Inspection Camera with Self-Leveling, Clear Meter Marks, IP68 Waterproof, 9" HD Color Screen, Video Record up to 128GB</t>
  </si>
  <si>
    <t>B0DP9TKWT4</t>
  </si>
  <si>
    <t>https://amazon.com/dp/B0DP9TKWT4</t>
  </si>
  <si>
    <t>Sanyipace 165FT/50M Drain Camera with Lights, Pipe Sewer Scope with IP68 Waterproof Probe, 7" Color Screen, 16GB SD Card, Camera Guide Wheel</t>
  </si>
  <si>
    <t>B09L4Z7T89</t>
  </si>
  <si>
    <t>https://amazon.com/dp/B09L4Z7T89</t>
  </si>
  <si>
    <t>Sanyipace Self-Leveling Sewer Camera 165FT/50M, Drain Camera with 512Hz Transmitter, Pipe Plumbing Camera with Meter Marks, IP68 Waterproof Camera Probe, 9" HD Color Screen, 16GB TF Card</t>
  </si>
  <si>
    <t>B0DP9TL922</t>
  </si>
  <si>
    <t>https://amazon.com/dp/B0DP9TL922</t>
  </si>
  <si>
    <t>Sanyipace Sewer Camera with Locator 65 FT/20 M, Drain Pipe Inspection Camera with Detector, Waterproof Cámara Probe w/h 512Hz Transmitter, Distance Counter, 9" Color Screen, 16GB TF Card, 5mm Cable</t>
  </si>
  <si>
    <t>B09MTFFT74</t>
  </si>
  <si>
    <t>https://amazon.com/dp/B09MTFFT74</t>
  </si>
  <si>
    <t>Sanyipace Sewer Camera with Locator 100 FT/30 M, Drain Pipe Inspection Camera with Detector, Waterproof Cámara Probe w/h 512Hz Transmitter, Distance Counter, 9" Color Screen, 16GB TF Card, 5mm Cable</t>
  </si>
  <si>
    <t>B09MHR62G4</t>
  </si>
  <si>
    <t>https://amazon.com/dp/B09MHR62G4</t>
  </si>
  <si>
    <t>Sanyipace HD Camera Probe for Sewer Camera, 12pcs LED Lights, IP68 Waterproof, Drain Camera Head (ONLY for Sanyipace Model Number: 9723WF, 9723D, 9300D, S8968DM)</t>
  </si>
  <si>
    <t>B09XDVLN1X</t>
  </si>
  <si>
    <t>https://amazon.com/dp/B09XDVLN1X</t>
  </si>
  <si>
    <t>Sanyipace FHD Camera Probe for Sewer Camera, 12pcs LED Lights, IP68 Waterproof, Drain Camera Head (ONLY for Sanyipace Model Number: F927ADFB, S8951DM)</t>
  </si>
  <si>
    <t>B0BVZD1XBM</t>
  </si>
  <si>
    <t>https://amazon.com/dp/B0BVZD1XBM</t>
  </si>
  <si>
    <t>Sanyipace Sewer Camera with Locator 165 FT/50 M, Drain Pipe Inspection Camera with Detector, Waterproof Cámara Probe w/h 512Hz Transmitter, Distance Counter, 9" Color Screen, 16GB TF Card, 5mm Cable</t>
  </si>
  <si>
    <t>B09MTF7YZQ</t>
  </si>
  <si>
    <t>https://amazon.com/dp/B09MTF7YZQ</t>
  </si>
  <si>
    <t>Sanyipace Sewer Camera 100FT with 512Hz Locator, Self-Leveling Drain Camera Pipe Inspection Cámara, Distance Counter, IP68 Waterproof, 9" HD Color Screen, Video Record up to 128GB</t>
  </si>
  <si>
    <t>B0DP9NH88V</t>
  </si>
  <si>
    <t>https://amazon.com/dp/B0DP9NH88V</t>
  </si>
  <si>
    <t>Sanyipace Self-Leveling Sewer Camera 165FT, Drain Plumbing Camera with 512Hz Pipe Locator, Feet Meter Counter, for Plumbers Homeowner Home Inspectors Construction Maintenance Worker</t>
  </si>
  <si>
    <t>B0DP9TH46X</t>
  </si>
  <si>
    <t>https://amazon.com/dp/B0DP9TH46X</t>
  </si>
  <si>
    <t>Sanyipace Sewer Camera Probe with 512Hz Transmitter &amp; Self-Leveling Function, 12 LED Lights, 1080P FHD, IP68 Waterproof (ONLY for Sanyipace Model Number: F5800ADJKABTX, F5100DJKABTX)</t>
  </si>
  <si>
    <t>B0BCK4ZV3G</t>
  </si>
  <si>
    <t>https://amazon.com/dp/B0BCK4ZV3G</t>
  </si>
  <si>
    <t>Sanyipace Sewer Inspection Camera Probe, 0.67in/17mm Camera Lens, 8pcs LED Lights, 1000TVL, IP68 Waterproof (ONLY for Sanyipace Sewer Camera, Model: S8417D)</t>
  </si>
  <si>
    <t>B0CST61RTM</t>
  </si>
  <si>
    <t>https://amazon.com/dp/B0CST61RTM</t>
  </si>
  <si>
    <t>Sanyipace Sewer Camera Probe with Self-Leveling, 512Hz Sone, 1080P FHD Borescope, 12 PCS LED Lights, Plumbing Accessories, IP68 Waterproof (ONLY for Sanyipace Sewer Camera, Model: S610ASMKTCP)</t>
  </si>
  <si>
    <t>B0CZDGRGNZ</t>
  </si>
  <si>
    <t>https://amazon.com/dp/B0CZDGRGNZ</t>
  </si>
  <si>
    <t>Sanyipace Guide Wheels Pipe Pulley of Sewer Camera Probe, for 0.87in/22mm and 0.9in/23mm Diameter Duct Camera Head, Suitable for Pipe Diameters Greater Than 3.7in/95mm Diameter</t>
  </si>
  <si>
    <t>B0BCW5XW19</t>
  </si>
  <si>
    <t>https://amazon.com/dp/B0BCW5XW19</t>
  </si>
  <si>
    <t>Sanyipace Sewer Camera Type-c Adapter, US Plug, Battery Power Charger Adapter for Pipe Inspection Camera, Model: S8417D, Sewer Camera Accessories</t>
  </si>
  <si>
    <t>B0CP3YBTT4</t>
  </si>
  <si>
    <t>https://amazon.com/dp/B0CP3YBTT4</t>
  </si>
  <si>
    <t>Sanyipace Sewer Camera Charger, Drain Camera Accessories, 12V DC Adapter, 100VAC-240VAC/DC, Battery Power Charger for Pipe Camera, Works with All Sanyipace Sewer Cameras Except S8417D - US Plug</t>
  </si>
  <si>
    <t>B0B3DBLPF2</t>
  </si>
  <si>
    <t>https://amazon.com/dp/B0B3DBLPF2</t>
  </si>
  <si>
    <t>Sanyipace Sewer Camera Replacement Parts, ONLY for Sanyipace S8417D Model</t>
  </si>
  <si>
    <t>B0DWMQTVC2</t>
  </si>
  <si>
    <t>https://amazon.com/dp/B0DWMQTVC2</t>
  </si>
  <si>
    <t>Sanyipace Distance Counter for Sewer Camera, ONLY for Sanyipace S610ASMKTCP Model</t>
  </si>
  <si>
    <t>B0DWMLN6VW</t>
  </si>
  <si>
    <t>https://amazon.com/dp/B0DWMLN6VW</t>
  </si>
  <si>
    <t>Sanyipace Sewer Camera 131FT/40M with 512Hz Transmitter, Self-Leveling, Distance Counter, Plumbing Inspection Camera with Microphone Speaker Audio Video Record, 16GB TF Card, Pipe Pulley (7mm Cable)</t>
  </si>
  <si>
    <t>B0BTM3S231</t>
  </si>
  <si>
    <t>https://amazon.com/dp/B0BTM3S231</t>
  </si>
  <si>
    <t>Sanyipace Sewer Camera Probe with 512Hz Transmitter, Without Self-Leveling Function, 12pcs LED Lights, Drain Camera Head (ONLY for Sanyipace: F929DJTX, 9723WF, 9723D, 9300D)</t>
  </si>
  <si>
    <t>B0B3DH6L6Q</t>
  </si>
  <si>
    <t>https://amazon.com/dp/B0B3DH6L6Q</t>
  </si>
  <si>
    <t>Sanyipace Sewer Camera Replacement Cable, ONLY S610ASMKTCP Model, 7mm/0.28-Inch Diameter, 165FT/50M</t>
  </si>
  <si>
    <t>B0DWMNLK1B</t>
  </si>
  <si>
    <t>https://amazon.com/dp/B0DWMNLK1B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</si>
</sst>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"/>
    <numFmt numFmtId="166" formatCode="\$#,##0.00"/>
    <numFmt numFmtId="167" formatCode="&quot;$&quot;#,##0.00"/>
    <numFmt numFmtId="168" formatCode="0.0"/>
    <numFmt numFmtId="169" formatCode="_(* #,##0_);_(* \(#,##0\);_(* &quot;-&quot;??_);_(@_)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36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36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  <font>
      <b/>
      <sz val="12"/>
      <color rgb="FF000000"/>
      <name val="Calibri (Body)"/>
    </font>
    <font>
      <b/>
      <sz val="12"/>
      <color theme="1"/>
      <name val="Calibri (Body)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AD2E9"/>
        <bgColor indexed="64"/>
      </patternFill>
    </fill>
    <fill>
      <patternFill patternType="solid">
        <fgColor rgb="FFDAD2E9"/>
        <bgColor rgb="FFD9D2E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5A7D7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0" fillId="0" borderId="0"/>
    <xf numFmtId="43" fontId="15" fillId="0" borderId="0"/>
    <xf numFmtId="9" fontId="15" fillId="0" borderId="0"/>
    <xf numFmtId="44" fontId="15" fillId="0" borderId="0"/>
    <xf numFmtId="0" fontId="16" fillId="0" borderId="0"/>
  </cellStyleXfs>
  <cellXfs count="126"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right"/>
    </xf>
    <xf numFmtId="49" fontId="5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4" fillId="4" borderId="0" xfId="0" applyNumberFormat="1" applyFont="1" applyFill="1" applyAlignment="1">
      <alignment horizontal="center"/>
    </xf>
    <xf numFmtId="3" fontId="0" fillId="0" borderId="0" xfId="0" applyNumberFormat="1"/>
    <xf numFmtId="164" fontId="4" fillId="5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0" fillId="0" borderId="0" xfId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11" fillId="3" borderId="0" xfId="0" applyNumberFormat="1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167" fontId="11" fillId="3" borderId="0" xfId="0" applyNumberFormat="1" applyFont="1" applyFill="1" applyAlignment="1">
      <alignment horizontal="left" vertical="center" wrapText="1"/>
    </xf>
    <xf numFmtId="164" fontId="11" fillId="3" borderId="0" xfId="0" applyNumberFormat="1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3" fontId="11" fillId="3" borderId="0" xfId="0" applyNumberFormat="1" applyFont="1" applyFill="1" applyAlignment="1">
      <alignment horizontal="left" vertical="center" wrapText="1"/>
    </xf>
    <xf numFmtId="2" fontId="11" fillId="3" borderId="0" xfId="0" applyNumberFormat="1" applyFont="1" applyFill="1" applyAlignment="1">
      <alignment horizontal="left" vertical="center" wrapText="1"/>
    </xf>
    <xf numFmtId="168" fontId="11" fillId="3" borderId="0" xfId="0" applyNumberFormat="1" applyFont="1" applyFill="1" applyAlignment="1">
      <alignment horizontal="left" vertical="center" wrapText="1"/>
    </xf>
    <xf numFmtId="3" fontId="11" fillId="5" borderId="0" xfId="0" applyNumberFormat="1" applyFont="1" applyFill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horizontal="left" vertical="center" wrapText="1"/>
    </xf>
    <xf numFmtId="2" fontId="8" fillId="0" borderId="0" xfId="0" applyNumberFormat="1" applyFont="1" applyAlignment="1">
      <alignment horizontal="left" vertical="center" wrapText="1"/>
    </xf>
    <xf numFmtId="9" fontId="8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7" fontId="5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3" fontId="5" fillId="4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2" fillId="3" borderId="0" xfId="0" applyFont="1" applyFill="1"/>
    <xf numFmtId="0" fontId="13" fillId="3" borderId="0" xfId="0" applyFont="1" applyFill="1" applyAlignment="1">
      <alignment horizontal="left"/>
    </xf>
    <xf numFmtId="164" fontId="13" fillId="3" borderId="0" xfId="0" applyNumberFormat="1" applyFont="1" applyFill="1" applyAlignment="1">
      <alignment horizontal="left"/>
    </xf>
    <xf numFmtId="164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/>
    </xf>
    <xf numFmtId="168" fontId="13" fillId="3" borderId="0" xfId="0" applyNumberFormat="1" applyFont="1" applyFill="1" applyAlignment="1">
      <alignment horizontal="left"/>
    </xf>
    <xf numFmtId="0" fontId="10" fillId="0" borderId="0" xfId="1" applyAlignment="1">
      <alignment horizontal="left" vertical="center" wrapText="1"/>
    </xf>
    <xf numFmtId="167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7" fontId="8" fillId="4" borderId="3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167" fontId="8" fillId="6" borderId="5" xfId="0" applyNumberFormat="1" applyFont="1" applyFill="1" applyBorder="1" applyAlignment="1">
      <alignment vertical="center" wrapText="1"/>
    </xf>
    <xf numFmtId="169" fontId="8" fillId="6" borderId="8" xfId="2" applyNumberFormat="1" applyFont="1" applyFill="1" applyBorder="1" applyAlignment="1">
      <alignment vertical="center" wrapText="1"/>
    </xf>
    <xf numFmtId="9" fontId="8" fillId="6" borderId="6" xfId="3" applyFont="1" applyFill="1" applyBorder="1" applyAlignment="1">
      <alignment vertical="center" wrapText="1"/>
    </xf>
    <xf numFmtId="164" fontId="8" fillId="6" borderId="8" xfId="4" applyNumberFormat="1" applyFont="1" applyFill="1" applyBorder="1" applyAlignment="1">
      <alignment vertical="center" wrapText="1"/>
    </xf>
    <xf numFmtId="0" fontId="8" fillId="7" borderId="7" xfId="0" applyFont="1" applyFill="1" applyBorder="1" applyAlignment="1">
      <alignment horizontal="left" vertical="center" wrapText="1"/>
    </xf>
    <xf numFmtId="167" fontId="8" fillId="7" borderId="8" xfId="4" applyNumberFormat="1" applyFont="1" applyFill="1" applyBorder="1" applyAlignment="1">
      <alignment vertical="center" wrapText="1"/>
    </xf>
    <xf numFmtId="169" fontId="8" fillId="7" borderId="8" xfId="2" applyNumberFormat="1" applyFont="1" applyFill="1" applyBorder="1" applyAlignment="1">
      <alignment vertical="center" wrapText="1"/>
    </xf>
    <xf numFmtId="9" fontId="8" fillId="7" borderId="3" xfId="3" applyFont="1" applyFill="1" applyBorder="1" applyAlignment="1">
      <alignment vertical="center" wrapText="1"/>
    </xf>
    <xf numFmtId="164" fontId="8" fillId="7" borderId="8" xfId="4" applyNumberFormat="1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left" vertical="center" wrapText="1"/>
    </xf>
    <xf numFmtId="167" fontId="8" fillId="8" borderId="5" xfId="0" applyNumberFormat="1" applyFont="1" applyFill="1" applyBorder="1" applyAlignment="1">
      <alignment vertical="center" wrapText="1"/>
    </xf>
    <xf numFmtId="169" fontId="8" fillId="8" borderId="8" xfId="2" applyNumberFormat="1" applyFont="1" applyFill="1" applyBorder="1" applyAlignment="1">
      <alignment vertical="center" wrapText="1"/>
    </xf>
    <xf numFmtId="9" fontId="8" fillId="8" borderId="6" xfId="3" applyFont="1" applyFill="1" applyBorder="1" applyAlignment="1">
      <alignment vertical="center" wrapText="1"/>
    </xf>
    <xf numFmtId="164" fontId="8" fillId="8" borderId="8" xfId="4" applyNumberFormat="1" applyFont="1" applyFill="1" applyBorder="1" applyAlignment="1">
      <alignment vertical="center" wrapText="1"/>
    </xf>
    <xf numFmtId="2" fontId="10" fillId="0" borderId="0" xfId="1" applyNumberFormat="1" applyAlignment="1">
      <alignment horizontal="right" vertic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164" fontId="0" fillId="0" borderId="0" xfId="0" applyNumberFormat="1"/>
    <xf numFmtId="3" fontId="0" fillId="4" borderId="0" xfId="0" applyNumberFormat="1" applyFill="1"/>
    <xf numFmtId="10" fontId="0" fillId="0" borderId="0" xfId="0" applyNumberFormat="1"/>
    <xf numFmtId="167" fontId="0" fillId="0" borderId="0" xfId="0" applyNumberFormat="1"/>
    <xf numFmtId="165" fontId="0" fillId="0" borderId="0" xfId="0" applyNumberFormat="1"/>
    <xf numFmtId="10" fontId="0" fillId="0" borderId="0" xfId="3" applyNumberFormat="1" applyFont="1" applyAlignment="1">
      <alignment vertical="center" wrapText="1"/>
    </xf>
    <xf numFmtId="167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164" fontId="20" fillId="0" borderId="1" xfId="0" applyNumberFormat="1" applyFont="1" applyBorder="1"/>
    <xf numFmtId="164" fontId="20" fillId="4" borderId="1" xfId="0" applyNumberFormat="1" applyFont="1" applyFill="1" applyBorder="1"/>
    <xf numFmtId="3" fontId="20" fillId="0" borderId="1" xfId="0" applyNumberFormat="1" applyFont="1" applyBorder="1"/>
    <xf numFmtId="10" fontId="20" fillId="0" borderId="1" xfId="0" applyNumberFormat="1" applyFont="1" applyBorder="1"/>
    <xf numFmtId="167" fontId="20" fillId="0" borderId="1" xfId="0" applyNumberFormat="1" applyFont="1" applyBorder="1"/>
    <xf numFmtId="165" fontId="20" fillId="0" borderId="1" xfId="0" applyNumberFormat="1" applyFont="1" applyBorder="1"/>
    <xf numFmtId="0" fontId="17" fillId="0" borderId="0" xfId="0" applyFont="1"/>
    <xf numFmtId="0" fontId="16" fillId="0" borderId="0" xfId="5" applyAlignment="1">
      <alignment horizontal="left" vertical="center" wrapText="1"/>
    </xf>
    <xf numFmtId="0" fontId="16" fillId="0" borderId="0" xfId="5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wrapText="1"/>
    </xf>
    <xf numFmtId="168" fontId="13" fillId="3" borderId="0" xfId="0" applyNumberFormat="1" applyFont="1" applyFill="1" applyAlignment="1">
      <alignment horizontal="left" wrapText="1"/>
    </xf>
    <xf numFmtId="164" fontId="0" fillId="0" borderId="0" xfId="0" applyNumberFormat="1" applyAlignment="1">
      <alignment horizontal="right" vertical="center" wrapText="1"/>
    </xf>
    <xf numFmtId="2" fontId="5" fillId="0" borderId="0" xfId="1" applyNumberFormat="1" applyFont="1" applyAlignment="1">
      <alignment horizontal="right" vertical="center" wrapText="1"/>
    </xf>
    <xf numFmtId="0" fontId="0" fillId="4" borderId="0" xfId="0" applyFill="1"/>
    <xf numFmtId="3" fontId="0" fillId="0" borderId="0" xfId="2" applyNumberFormat="1" applyFont="1" applyAlignment="1">
      <alignment vertical="center" wrapText="1"/>
    </xf>
    <xf numFmtId="3" fontId="0" fillId="4" borderId="0" xfId="0" applyNumberFormat="1" applyFill="1" applyAlignment="1">
      <alignment vertical="center" wrapText="1"/>
    </xf>
    <xf numFmtId="3" fontId="20" fillId="4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3" fontId="21" fillId="0" borderId="0" xfId="0" applyNumberFormat="1" applyFont="1" applyAlignment="1">
      <alignment horizontal="right" vertical="center" wrapText="1"/>
    </xf>
    <xf numFmtId="2" fontId="21" fillId="0" borderId="0" xfId="0" applyNumberFormat="1" applyFont="1" applyAlignment="1">
      <alignment horizontal="right" vertical="center" wrapText="1"/>
    </xf>
  </cellXfs>
  <cellStyles count="6">
    <cellStyle name="Comma" xfId="2" builtinId="3"/>
    <cellStyle name="Currency" xfId="4" builtinId="4"/>
    <cellStyle name="Heading 4" xfId="5" builtinId="19"/>
    <cellStyle name="Hyperlink" xfId="1" builtinId="8"/>
    <cellStyle name="Normal" xfId="0" builtinId="0"/>
    <cellStyle name="Percent" xfId="3" builtinId="5"/>
  </cellStyles>
  <dxfs count="35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font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AD2E9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numFmt numFmtId="3" formatCode="#,##0"/>
      <alignment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wrapText="1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font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numFmt numFmtId="3" formatCode="#,##0"/>
      <alignment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theme="6"/>
        </top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border outline="0">
        <bottom style="medium">
          <color theme="6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general" vertical="center" wrapText="1"/>
    </dxf>
    <dxf>
      <font>
        <sz val="10"/>
      </font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6" formatCode="\$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D0-6049-9119-A07E67F280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D0-6049-9119-A07E67F280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D0-6049-9119-A07E67F280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D0-6049-9119-A07E67F280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D0-6049-9119-A07E67F28001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D0-6049-9119-A07E67F28001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D0-6049-9119-A07E67F2800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Summary'!$A$3:$A$7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'Top 50 Type Summary'!$F$3:$F$7</c:f>
              <c:numCache>
                <c:formatCode>General</c:formatCode>
                <c:ptCount val="5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D0-6049-9119-A07E67F280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Summary'!$D$29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EB-0B4D-BF7D-AD34E7FA04C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Summary'!$A$30:$A$33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'Top 50 Type Summary'!$D$30:$D$33</c:f>
              <c:numCache>
                <c:formatCode>0%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B-0B4D-BF7D-AD34E7FA04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A5-4543-8DF3-83DEF2F2AE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A5-4543-8DF3-83DEF2F2AE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A5-4543-8DF3-83DEF2F2AE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A5-4543-8DF3-83DEF2F2AE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CA5-4543-8DF3-83DEF2F2AE79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A5-4543-8DF3-83DEF2F2AE7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Summary'!$A$30:$A$33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'Top 50 Type Summary'!$F$30:$F$33</c:f>
              <c:numCache>
                <c:formatCode>0%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A5-4543-8DF3-83DEF2F2AE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D3-904B-A86E-D3977B1F92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D3-904B-A86E-D3977B1F92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D3-904B-A86E-D3977B1F92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D3-904B-A86E-D3977B1F92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CD3-904B-A86E-D3977B1F92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CD3-904B-A86E-D3977B1F92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CD3-904B-A86E-D3977B1F92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CD3-904B-A86E-D3977B1F92E4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D3-904B-A86E-D3977B1F92E4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D3-904B-A86E-D3977B1F92E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Summary'!$A$3:$A$9</c:f>
              <c:strCache>
                <c:ptCount val="1"/>
                <c:pt idx="0">
                  <c:v>-</c:v>
                </c:pt>
              </c:strCache>
            </c:strRef>
          </c:cat>
          <c:val>
            <c:numRef>
              <c:f>'Top 50 Type Summary'!$D$3:$D$9</c:f>
              <c:numCache>
                <c:formatCode>#,##0</c:formatCode>
                <c:ptCount val="7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D3-904B-A86E-D3977B1F92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74-8F49-B18F-46D5B26B45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74-8F49-B18F-46D5B26B45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74-8F49-B18F-46D5B26B45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74-8F49-B18F-46D5B26B4520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74-8F49-B18F-46D5B26B4520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74-8F49-B18F-46D5B26B452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'!$A$3:$A$6</c:f>
              <c:strCache>
                <c:ptCount val="3"/>
                <c:pt idx="0">
                  <c:v>2-way</c:v>
                </c:pt>
                <c:pt idx="1">
                  <c:v>4-way</c:v>
                </c:pt>
                <c:pt idx="2">
                  <c:v>No camera</c:v>
                </c:pt>
              </c:strCache>
            </c:strRef>
          </c:cat>
          <c:val>
            <c:numRef>
              <c:f>'Top50 2or4way Summary '!$F$3:$F$6</c:f>
              <c:numCache>
                <c:formatCode>0%</c:formatCode>
                <c:ptCount val="4"/>
                <c:pt idx="0">
                  <c:v>0.51593326895524494</c:v>
                </c:pt>
                <c:pt idx="1">
                  <c:v>2.7349994469236239E-2</c:v>
                </c:pt>
                <c:pt idx="2">
                  <c:v>9.0058944990669298E-2</c:v>
                </c:pt>
                <c:pt idx="3">
                  <c:v>0.36665779158484929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74-8F49-B18F-46D5B26B45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'!$D$26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E7-F840-A2D5-2AC2C833A1C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'!$A$27:$A$29</c:f>
              <c:strCache>
                <c:ptCount val="2"/>
                <c:pt idx="0">
                  <c:v>2-way</c:v>
                </c:pt>
                <c:pt idx="1">
                  <c:v>No camera</c:v>
                </c:pt>
              </c:strCache>
            </c:strRef>
          </c:cat>
          <c:val>
            <c:numRef>
              <c:f>'Top50 2or4way Summary '!$D$27:$D$29</c:f>
              <c:numCache>
                <c:formatCode>0%</c:formatCode>
                <c:ptCount val="3"/>
                <c:pt idx="0">
                  <c:v>0.20775402919001179</c:v>
                </c:pt>
                <c:pt idx="1">
                  <c:v>0.27289548315694823</c:v>
                </c:pt>
                <c:pt idx="2">
                  <c:v>0.51935048765304004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7-F840-A2D5-2AC2C833A1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96-974C-A9E9-B3ECF57539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96-974C-A9E9-B3ECF57539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96-974C-A9E9-B3ECF57539E9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96-974C-A9E9-B3ECF57539E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'!$A$27:$A$29</c:f>
              <c:strCache>
                <c:ptCount val="2"/>
                <c:pt idx="0">
                  <c:v>2-way</c:v>
                </c:pt>
                <c:pt idx="1">
                  <c:v>No camera</c:v>
                </c:pt>
              </c:strCache>
            </c:strRef>
          </c:cat>
          <c:val>
            <c:numRef>
              <c:f>'Top50 2or4way Summary '!$F$27:$F$29</c:f>
              <c:numCache>
                <c:formatCode>0%</c:formatCode>
                <c:ptCount val="3"/>
                <c:pt idx="0">
                  <c:v>0.4679783155738596</c:v>
                </c:pt>
                <c:pt idx="1">
                  <c:v>0.15672863853839861</c:v>
                </c:pt>
                <c:pt idx="2">
                  <c:v>0.37529304588774193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96-974C-A9E9-B3ECF57539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2or4way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D1-EA4A-BB21-2DC4BE109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D1-EA4A-BB21-2DC4BE109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D1-EA4A-BB21-2DC4BE109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D1-EA4A-BB21-2DC4BE109D58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D1-EA4A-BB21-2DC4BE109D58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D1-EA4A-BB21-2DC4BE109D5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2or4way Summary '!$A$3:$A$6</c:f>
              <c:strCache>
                <c:ptCount val="3"/>
                <c:pt idx="0">
                  <c:v>2-way</c:v>
                </c:pt>
                <c:pt idx="1">
                  <c:v>4-way</c:v>
                </c:pt>
                <c:pt idx="2">
                  <c:v>No camera</c:v>
                </c:pt>
              </c:strCache>
            </c:strRef>
          </c:cat>
          <c:val>
            <c:numRef>
              <c:f>'Top50 2or4way Summary '!$D$3:$D$6</c:f>
              <c:numCache>
                <c:formatCode>0%</c:formatCode>
                <c:ptCount val="4"/>
                <c:pt idx="0">
                  <c:v>0.28413952285253802</c:v>
                </c:pt>
                <c:pt idx="1">
                  <c:v>4.4570905545496149E-3</c:v>
                </c:pt>
                <c:pt idx="2">
                  <c:v>0.1938237459458384</c:v>
                </c:pt>
                <c:pt idx="3">
                  <c:v>0.51757964064707407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D1-EA4A-BB21-2DC4BE109D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30-2441-838D-0BD4BB61A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30-2441-838D-0BD4BB61A7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030-2441-838D-0BD4BB61A7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030-2441-838D-0BD4BB61A7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030-2441-838D-0BD4BB61A70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30-2441-838D-0BD4BB61A70B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30-2441-838D-0BD4BB61A7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'!$A$3:$A$7</c:f>
              <c:strCache>
                <c:ptCount val="5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9.0"</c:v>
                </c:pt>
              </c:strCache>
            </c:strRef>
          </c:cat>
          <c:val>
            <c:numRef>
              <c:f>'Top 50 Display Summary '!$F$3:$F$7</c:f>
              <c:numCache>
                <c:formatCode>0%</c:formatCode>
                <c:ptCount val="5"/>
                <c:pt idx="0">
                  <c:v>0.29095657295211269</c:v>
                </c:pt>
                <c:pt idx="1">
                  <c:v>0.25503218609803702</c:v>
                </c:pt>
                <c:pt idx="2">
                  <c:v>0.24136789658259941</c:v>
                </c:pt>
                <c:pt idx="3">
                  <c:v>1.1201393143817439E-2</c:v>
                </c:pt>
                <c:pt idx="4">
                  <c:v>9.0984685732057105E-3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30-2441-838D-0BD4BB61A7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'!$D$29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8B-F54F-BB59-6B8A69196AFA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8B-F54F-BB59-6B8A69196AFA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8B-F54F-BB59-6B8A69196AF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'!$A$30:$A$35</c:f>
              <c:strCache>
                <c:ptCount val="5"/>
                <c:pt idx="0">
                  <c:v>2.4"</c:v>
                </c:pt>
                <c:pt idx="1">
                  <c:v>4.3"</c:v>
                </c:pt>
                <c:pt idx="2">
                  <c:v>4.5"</c:v>
                </c:pt>
                <c:pt idx="3">
                  <c:v>5.0"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'!$D$30:$D$35</c:f>
              <c:numCache>
                <c:formatCode>0%</c:formatCode>
                <c:ptCount val="6"/>
                <c:pt idx="0">
                  <c:v>1.0358303935809641E-2</c:v>
                </c:pt>
                <c:pt idx="1">
                  <c:v>0.35467247700076088</c:v>
                </c:pt>
                <c:pt idx="2">
                  <c:v>0.1163277305111711</c:v>
                </c:pt>
                <c:pt idx="3">
                  <c:v>8.9230130732517121E-2</c:v>
                </c:pt>
                <c:pt idx="4">
                  <c:v>0.41803278688524592</c:v>
                </c:pt>
                <c:pt idx="5">
                  <c:v>1.1378570934495401E-2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8B-F54F-BB59-6B8A69196A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63-254C-88BB-8D929AC6D6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63-254C-88BB-8D929AC6D6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963-254C-88BB-8D929AC6D6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963-254C-88BB-8D929AC6D6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963-254C-88BB-8D929AC6D6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963-254C-88BB-8D929AC6D6A3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63-254C-88BB-8D929AC6D6A3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63-254C-88BB-8D929AC6D6A3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63-254C-88BB-8D929AC6D6A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'!$A$30:$A$35</c:f>
              <c:strCache>
                <c:ptCount val="5"/>
                <c:pt idx="0">
                  <c:v>2.4"</c:v>
                </c:pt>
                <c:pt idx="1">
                  <c:v>4.3"</c:v>
                </c:pt>
                <c:pt idx="2">
                  <c:v>4.5"</c:v>
                </c:pt>
                <c:pt idx="3">
                  <c:v>5.0"</c:v>
                </c:pt>
                <c:pt idx="4">
                  <c:v>App</c:v>
                </c:pt>
              </c:strCache>
            </c:strRef>
          </c:cat>
          <c:val>
            <c:numRef>
              <c:f>'Top 50 Display Summary '!$F$30:$F$35</c:f>
              <c:numCache>
                <c:formatCode>0%</c:formatCode>
                <c:ptCount val="6"/>
                <c:pt idx="0">
                  <c:v>5.4581643063769704E-3</c:v>
                </c:pt>
                <c:pt idx="1">
                  <c:v>0.31603567722609338</c:v>
                </c:pt>
                <c:pt idx="2">
                  <c:v>0.26582068198418141</c:v>
                </c:pt>
                <c:pt idx="3">
                  <c:v>0.1851075736009638</c:v>
                </c:pt>
                <c:pt idx="4">
                  <c:v>0.21655041009538989</c:v>
                </c:pt>
                <c:pt idx="5">
                  <c:v>1.1027492786994549E-2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63-254C-88BB-8D929AC6D6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Display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6E-1F4B-98ED-D454968F35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6E-1F4B-98ED-D454968F35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6E-1F4B-98ED-D454968F35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6E-1F4B-98ED-D454968F35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6E-1F4B-98ED-D454968F35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E6E-1F4B-98ED-D454968F35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E6E-1F4B-98ED-D454968F3516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6E-1F4B-98ED-D454968F3516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6E-1F4B-98ED-D454968F3516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6E-1F4B-98ED-D454968F351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Display Summary '!$A$3:$A$9</c:f>
              <c:strCache>
                <c:ptCount val="6"/>
                <c:pt idx="0">
                  <c:v>4.3"</c:v>
                </c:pt>
                <c:pt idx="1">
                  <c:v>4.5"</c:v>
                </c:pt>
                <c:pt idx="2">
                  <c:v>5.0"</c:v>
                </c:pt>
                <c:pt idx="3">
                  <c:v>6.0"</c:v>
                </c:pt>
                <c:pt idx="4">
                  <c:v>9.0"</c:v>
                </c:pt>
                <c:pt idx="5">
                  <c:v>App</c:v>
                </c:pt>
              </c:strCache>
            </c:strRef>
          </c:cat>
          <c:val>
            <c:numRef>
              <c:f>'Top 50 Display Summary '!$D$3:$D$9</c:f>
              <c:numCache>
                <c:formatCode>0%</c:formatCode>
                <c:ptCount val="7"/>
                <c:pt idx="0">
                  <c:v>0.33022265555047059</c:v>
                </c:pt>
                <c:pt idx="1">
                  <c:v>0.1415325228326402</c:v>
                </c:pt>
                <c:pt idx="2">
                  <c:v>0.12949439879021829</c:v>
                </c:pt>
                <c:pt idx="3">
                  <c:v>1.1540680900173109E-3</c:v>
                </c:pt>
                <c:pt idx="4">
                  <c:v>9.5509083311777466E-4</c:v>
                </c:pt>
                <c:pt idx="5">
                  <c:v>0.37485325427303662</c:v>
                </c:pt>
                <c:pt idx="6">
                  <c:v>2.178800963049923E-2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6E-1F4B-98ED-D454968F35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C4-1E47-830C-F5474D0E3A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C4-1E47-830C-F5474D0E3A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C4-1E47-830C-F5474D0E3A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C4-1E47-830C-F5474D0E3A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6C4-1E47-830C-F5474D0E3A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6C4-1E47-830C-F5474D0E3A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6C4-1E47-830C-F5474D0E3A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6C4-1E47-830C-F5474D0E3A56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C4-1E47-830C-F5474D0E3A56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C4-1E47-830C-F5474D0E3A5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'!$A$3:$A$10</c:f>
              <c:strCache>
                <c:ptCount val="8"/>
                <c:pt idx="0">
                  <c:v>23mm</c:v>
                </c:pt>
                <c:pt idx="1">
                  <c:v>3.9mm</c:v>
                </c:pt>
                <c:pt idx="2">
                  <c:v>5.5mm</c:v>
                </c:pt>
                <c:pt idx="3">
                  <c:v>6.2mm</c:v>
                </c:pt>
                <c:pt idx="4">
                  <c:v>6.4mm</c:v>
                </c:pt>
                <c:pt idx="5">
                  <c:v>6.5mm</c:v>
                </c:pt>
                <c:pt idx="6">
                  <c:v>6mm</c:v>
                </c:pt>
                <c:pt idx="7">
                  <c:v>8.5mm</c:v>
                </c:pt>
              </c:strCache>
            </c:strRef>
          </c:cat>
          <c:val>
            <c:numRef>
              <c:f>'Top50 Lensdiameter Summary  '!$F$3:$F$10</c:f>
              <c:numCache>
                <c:formatCode>0%</c:formatCode>
                <c:ptCount val="8"/>
                <c:pt idx="0">
                  <c:v>9.0984685732057105E-3</c:v>
                </c:pt>
                <c:pt idx="1">
                  <c:v>1.1201393143817439E-2</c:v>
                </c:pt>
                <c:pt idx="2">
                  <c:v>7.959693153991014E-2</c:v>
                </c:pt>
                <c:pt idx="3">
                  <c:v>1.8104619837605491E-2</c:v>
                </c:pt>
                <c:pt idx="4">
                  <c:v>7.868111777514895E-3</c:v>
                </c:pt>
                <c:pt idx="5">
                  <c:v>2.82769832990728E-2</c:v>
                </c:pt>
                <c:pt idx="6">
                  <c:v>8.7095433194607375E-3</c:v>
                </c:pt>
                <c:pt idx="7">
                  <c:v>8.2742749471389862E-2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C4-1E47-830C-F5474D0E3A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'!$D$32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30-BD49-839C-AC58F1DD687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'!$A$33:$A$36</c:f>
              <c:strCache>
                <c:ptCount val="4"/>
                <c:pt idx="0">
                  <c:v>3.9mm</c:v>
                </c:pt>
                <c:pt idx="1">
                  <c:v>5.5mm</c:v>
                </c:pt>
                <c:pt idx="2">
                  <c:v>8.5mm</c:v>
                </c:pt>
                <c:pt idx="3">
                  <c:v>8mm</c:v>
                </c:pt>
              </c:strCache>
            </c:strRef>
          </c:cat>
          <c:val>
            <c:numRef>
              <c:f>'Top50 Lensdiameter Summary  '!$D$33:$D$36</c:f>
              <c:numCache>
                <c:formatCode>0%</c:formatCode>
                <c:ptCount val="4"/>
                <c:pt idx="0">
                  <c:v>9.2169883101611682E-3</c:v>
                </c:pt>
                <c:pt idx="1">
                  <c:v>2.7235941066611331E-2</c:v>
                </c:pt>
                <c:pt idx="2">
                  <c:v>4.8419450785086811E-2</c:v>
                </c:pt>
                <c:pt idx="3">
                  <c:v>0.91512761983814073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0-BD49-839C-AC58F1DD68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5F-1742-90AF-DF0D7BD608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5F-1742-90AF-DF0D7BD608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5F-1742-90AF-DF0D7BD608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E5F-1742-90AF-DF0D7BD6086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5F-1742-90AF-DF0D7BD6086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'!$A$33:$A$36</c:f>
              <c:strCache>
                <c:ptCount val="4"/>
                <c:pt idx="0">
                  <c:v>3.9mm</c:v>
                </c:pt>
                <c:pt idx="1">
                  <c:v>5.5mm</c:v>
                </c:pt>
                <c:pt idx="2">
                  <c:v>8.5mm</c:v>
                </c:pt>
                <c:pt idx="3">
                  <c:v>8mm</c:v>
                </c:pt>
              </c:strCache>
            </c:strRef>
          </c:cat>
          <c:val>
            <c:numRef>
              <c:f>'Top50 Lensdiameter Summary  '!$F$33:$F$36</c:f>
              <c:numCache>
                <c:formatCode>0%</c:formatCode>
                <c:ptCount val="4"/>
                <c:pt idx="0">
                  <c:v>6.4039234735576061E-3</c:v>
                </c:pt>
                <c:pt idx="1">
                  <c:v>7.0935620771485228E-2</c:v>
                </c:pt>
                <c:pt idx="2">
                  <c:v>9.8004616629359248E-2</c:v>
                </c:pt>
                <c:pt idx="3">
                  <c:v>0.82465583912559792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5F-1742-90AF-DF0D7BD60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layout>
        <c:manualLayout>
          <c:xMode val="edge"/>
          <c:yMode val="edge"/>
          <c:x val="0.35682050249382907"/>
          <c:y val="2.492307209243908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Lensdiameter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67-4545-B725-C2D2A4575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67-4545-B725-C2D2A4575D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67-4545-B725-C2D2A4575D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67-4545-B725-C2D2A4575D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67-4545-B725-C2D2A4575D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D67-4545-B725-C2D2A4575D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D67-4545-B725-C2D2A4575D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D67-4545-B725-C2D2A4575D0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D67-4545-B725-C2D2A4575D0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D67-4545-B725-C2D2A4575D02}"/>
              </c:ext>
            </c:extLst>
          </c:dPt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67-4545-B725-C2D2A4575D02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67-4545-B725-C2D2A4575D02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67-4545-B725-C2D2A4575D02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67-4545-B725-C2D2A4575D02}"/>
                </c:ext>
              </c:extLst>
            </c:dLbl>
            <c:dLbl>
              <c:idx val="5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67-4545-B725-C2D2A4575D02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67-4545-B725-C2D2A4575D02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67-4545-B725-C2D2A4575D02}"/>
                </c:ext>
              </c:extLst>
            </c:dLbl>
            <c:dLbl>
              <c:idx val="9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D67-4545-B725-C2D2A4575D0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Lensdiameter Summary  '!$A$3:$A$12</c:f>
              <c:strCache>
                <c:ptCount val="9"/>
                <c:pt idx="0">
                  <c:v>23mm</c:v>
                </c:pt>
                <c:pt idx="1">
                  <c:v>3.9mm</c:v>
                </c:pt>
                <c:pt idx="2">
                  <c:v>5.5mm</c:v>
                </c:pt>
                <c:pt idx="3">
                  <c:v>6.2mm</c:v>
                </c:pt>
                <c:pt idx="4">
                  <c:v>6.4mm</c:v>
                </c:pt>
                <c:pt idx="5">
                  <c:v>6.5mm</c:v>
                </c:pt>
                <c:pt idx="6">
                  <c:v>6mm</c:v>
                </c:pt>
                <c:pt idx="7">
                  <c:v>8.5mm</c:v>
                </c:pt>
                <c:pt idx="8">
                  <c:v>8mm</c:v>
                </c:pt>
              </c:strCache>
            </c:strRef>
          </c:cat>
          <c:val>
            <c:numRef>
              <c:f>'Top50 Lensdiameter Summary  '!$D$3:$D$12</c:f>
              <c:numCache>
                <c:formatCode>0%</c:formatCode>
                <c:ptCount val="10"/>
                <c:pt idx="0">
                  <c:v>9.5509083311777466E-4</c:v>
                </c:pt>
                <c:pt idx="1">
                  <c:v>1.1540680900173109E-3</c:v>
                </c:pt>
                <c:pt idx="2">
                  <c:v>4.0372485424915942E-2</c:v>
                </c:pt>
                <c:pt idx="3">
                  <c:v>1.1839146785522409E-2</c:v>
                </c:pt>
                <c:pt idx="4">
                  <c:v>5.9295222556061842E-3</c:v>
                </c:pt>
                <c:pt idx="5">
                  <c:v>6.9244085401038661E-3</c:v>
                </c:pt>
                <c:pt idx="6">
                  <c:v>1.4127385239867079E-3</c:v>
                </c:pt>
                <c:pt idx="7">
                  <c:v>4.3973973774797538E-2</c:v>
                </c:pt>
                <c:pt idx="8">
                  <c:v>0.87874325964542255</c:v>
                </c:pt>
                <c:pt idx="9">
                  <c:v>8.6953061265097401E-3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D67-4545-B725-C2D2A4575D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70-D441-9BA0-8D1E835D7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70-D441-9BA0-8D1E835D7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70-D441-9BA0-8D1E835D7169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70-D441-9BA0-8D1E835D716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'!$A$3:$A$5</c:f>
              <c:strCache>
                <c:ptCount val="3"/>
                <c:pt idx="0">
                  <c:v>Dual</c:v>
                </c:pt>
                <c:pt idx="1">
                  <c:v>Single</c:v>
                </c:pt>
                <c:pt idx="2">
                  <c:v>Triple</c:v>
                </c:pt>
              </c:strCache>
            </c:strRef>
          </c:cat>
          <c:val>
            <c:numRef>
              <c:f>'Top50 Lens count Summary '!$F$3:$F$5</c:f>
              <c:numCache>
                <c:formatCode>0%</c:formatCode>
                <c:ptCount val="3"/>
                <c:pt idx="0">
                  <c:v>0.33540246238119148</c:v>
                </c:pt>
                <c:pt idx="1">
                  <c:v>0.5688948053901729</c:v>
                </c:pt>
                <c:pt idx="2">
                  <c:v>7.5463389055909907E-2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70-D441-9BA0-8D1E835D71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'!$D$26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A7-D24D-B1EE-5BCEAF27821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'!$A$27:$A$29</c:f>
              <c:strCache>
                <c:ptCount val="3"/>
                <c:pt idx="0">
                  <c:v>Dual</c:v>
                </c:pt>
                <c:pt idx="1">
                  <c:v>Single</c:v>
                </c:pt>
                <c:pt idx="2">
                  <c:v>Triple</c:v>
                </c:pt>
              </c:strCache>
            </c:strRef>
          </c:cat>
          <c:val>
            <c:numRef>
              <c:f>'Top50 Lens count Summary '!$D$27:$D$29</c:f>
              <c:numCache>
                <c:formatCode>0%</c:formatCode>
                <c:ptCount val="3"/>
                <c:pt idx="0">
                  <c:v>0.38327453828595143</c:v>
                </c:pt>
                <c:pt idx="1">
                  <c:v>0.58601369578750773</c:v>
                </c:pt>
                <c:pt idx="2">
                  <c:v>3.071176592654078E-2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A7-D24D-B1EE-5BCEAF2782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EC-184E-818B-1BF76FC177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EC-184E-818B-1BF76FC177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EC-184E-818B-1BF76FC1773D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EC-184E-818B-1BF76FC1773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'!$A$27:$A$29</c:f>
              <c:strCache>
                <c:ptCount val="3"/>
                <c:pt idx="0">
                  <c:v>Dual</c:v>
                </c:pt>
                <c:pt idx="1">
                  <c:v>Single</c:v>
                </c:pt>
                <c:pt idx="2">
                  <c:v>Triple</c:v>
                </c:pt>
              </c:strCache>
            </c:strRef>
          </c:cat>
          <c:val>
            <c:numRef>
              <c:f>'Top50 Lens count Summary '!$F$27:$F$29</c:f>
              <c:numCache>
                <c:formatCode>0%</c:formatCode>
                <c:ptCount val="3"/>
                <c:pt idx="0">
                  <c:v>0.33600687300405679</c:v>
                </c:pt>
                <c:pt idx="1">
                  <c:v>0.59979002647604718</c:v>
                </c:pt>
                <c:pt idx="2">
                  <c:v>6.4203100519896097E-2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EC-184E-818B-1BF76FC177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Lens count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BE-AC45-BC4B-8B7CCE685B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BE-AC45-BC4B-8B7CCE685B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BE-AC45-BC4B-8B7CCE685B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ABE-AC45-BC4B-8B7CCE685B4A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BE-AC45-BC4B-8B7CCE685B4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Lens count Summary '!$A$3:$A$6</c:f>
              <c:strCache>
                <c:ptCount val="3"/>
                <c:pt idx="0">
                  <c:v>Dual</c:v>
                </c:pt>
                <c:pt idx="1">
                  <c:v>Single</c:v>
                </c:pt>
                <c:pt idx="2">
                  <c:v>Triple</c:v>
                </c:pt>
              </c:strCache>
            </c:strRef>
          </c:cat>
          <c:val>
            <c:numRef>
              <c:f>'Top50 Lens count Summary '!$D$3:$D$6</c:f>
              <c:numCache>
                <c:formatCode>0%</c:formatCode>
                <c:ptCount val="4"/>
                <c:pt idx="0">
                  <c:v>0.40271007023897171</c:v>
                </c:pt>
                <c:pt idx="1">
                  <c:v>0.54426249079730182</c:v>
                </c:pt>
                <c:pt idx="2">
                  <c:v>4.4332132837216709E-2</c:v>
                </c:pt>
                <c:pt idx="3">
                  <c:v>8.6953061265097401E-3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BE-AC45-BC4B-8B7CCE685B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07-9D47-9A9E-77B9C611C1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07-9D47-9A9E-77B9C611C1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07-9D47-9A9E-77B9C611C1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507-9D47-9A9E-77B9C611C1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507-9D47-9A9E-77B9C611C1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507-9D47-9A9E-77B9C611C1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507-9D47-9A9E-77B9C611C1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507-9D47-9A9E-77B9C611C1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507-9D47-9A9E-77B9C611C1A6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07-9D47-9A9E-77B9C611C1A6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507-9D47-9A9E-77B9C611C1A6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507-9D47-9A9E-77B9C611C1A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'!$A$3:$A$11</c:f>
              <c:strCache>
                <c:ptCount val="9"/>
                <c:pt idx="0">
                  <c:v>10ft</c:v>
                </c:pt>
                <c:pt idx="1">
                  <c:v>16.5ft</c:v>
                </c:pt>
                <c:pt idx="2">
                  <c:v>300ft</c:v>
                </c:pt>
                <c:pt idx="3">
                  <c:v>32.8ft</c:v>
                </c:pt>
                <c:pt idx="4">
                  <c:v>5.25ft</c:v>
                </c:pt>
                <c:pt idx="5">
                  <c:v>5.5ft</c:v>
                </c:pt>
                <c:pt idx="6">
                  <c:v>5.6ft</c:v>
                </c:pt>
                <c:pt idx="7">
                  <c:v>50ft</c:v>
                </c:pt>
                <c:pt idx="8">
                  <c:v>5ft</c:v>
                </c:pt>
              </c:strCache>
            </c:strRef>
          </c:cat>
          <c:val>
            <c:numRef>
              <c:f>'Top50 Cable length Summary  '!$F$3:$F$11</c:f>
              <c:numCache>
                <c:formatCode>0%</c:formatCode>
                <c:ptCount val="9"/>
                <c:pt idx="0">
                  <c:v>3.464804322232564E-2</c:v>
                </c:pt>
                <c:pt idx="1">
                  <c:v>0.32038915144915808</c:v>
                </c:pt>
                <c:pt idx="2">
                  <c:v>9.0984685732057105E-3</c:v>
                </c:pt>
                <c:pt idx="3">
                  <c:v>9.1728260541795587E-3</c:v>
                </c:pt>
                <c:pt idx="4">
                  <c:v>9.9347235720920381E-3</c:v>
                </c:pt>
                <c:pt idx="5">
                  <c:v>0.111884608581772</c:v>
                </c:pt>
                <c:pt idx="6">
                  <c:v>8.1698962655134526E-3</c:v>
                </c:pt>
                <c:pt idx="7">
                  <c:v>7.3331983876643594E-2</c:v>
                </c:pt>
                <c:pt idx="8">
                  <c:v>0.38754449129483182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507-9D47-9A9E-77B9C611C1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'!$D$33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30-2344-8DAA-6CA4456E2854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30-2344-8DAA-6CA4456E285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'!$A$34:$A$41</c:f>
              <c:strCache>
                <c:ptCount val="8"/>
                <c:pt idx="0">
                  <c:v>10ft</c:v>
                </c:pt>
                <c:pt idx="1">
                  <c:v>16.5ft</c:v>
                </c:pt>
                <c:pt idx="2">
                  <c:v>32.8ft</c:v>
                </c:pt>
                <c:pt idx="3">
                  <c:v>33ft</c:v>
                </c:pt>
                <c:pt idx="4">
                  <c:v>5.5ft</c:v>
                </c:pt>
                <c:pt idx="5">
                  <c:v>50ft</c:v>
                </c:pt>
                <c:pt idx="6">
                  <c:v>5ft</c:v>
                </c:pt>
                <c:pt idx="7">
                  <c:v>9.8ft</c:v>
                </c:pt>
              </c:strCache>
            </c:strRef>
          </c:cat>
          <c:val>
            <c:numRef>
              <c:f>'Top50 Cable length Summary  '!$D$34:$D$41</c:f>
              <c:numCache>
                <c:formatCode>0%</c:formatCode>
                <c:ptCount val="8"/>
                <c:pt idx="0">
                  <c:v>2.896520716607872E-2</c:v>
                </c:pt>
                <c:pt idx="1">
                  <c:v>0.67610845956975862</c:v>
                </c:pt>
                <c:pt idx="2">
                  <c:v>1.582278481012658E-2</c:v>
                </c:pt>
                <c:pt idx="3">
                  <c:v>1.0047036037905511E-2</c:v>
                </c:pt>
                <c:pt idx="4">
                  <c:v>5.9711558414608838E-2</c:v>
                </c:pt>
                <c:pt idx="5">
                  <c:v>4.0914435913398363E-2</c:v>
                </c:pt>
                <c:pt idx="6">
                  <c:v>0.1572594590855641</c:v>
                </c:pt>
                <c:pt idx="7">
                  <c:v>1.1171059002559309E-2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0-2344-8DAA-6CA4456E2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26-7E42-A507-7D8C1BA22C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26-7E42-A507-7D8C1BA22C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26-7E42-A507-7D8C1BA22C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426-7E42-A507-7D8C1BA22C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426-7E42-A507-7D8C1BA22C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426-7E42-A507-7D8C1BA22C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426-7E42-A507-7D8C1BA22C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426-7E42-A507-7D8C1BA22C8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26-7E42-A507-7D8C1BA22C8B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426-7E42-A507-7D8C1BA22C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'!$A$34:$A$41</c:f>
              <c:strCache>
                <c:ptCount val="8"/>
                <c:pt idx="0">
                  <c:v>10ft</c:v>
                </c:pt>
                <c:pt idx="1">
                  <c:v>16.5ft</c:v>
                </c:pt>
                <c:pt idx="2">
                  <c:v>32.8ft</c:v>
                </c:pt>
                <c:pt idx="3">
                  <c:v>33ft</c:v>
                </c:pt>
                <c:pt idx="4">
                  <c:v>5.5ft</c:v>
                </c:pt>
                <c:pt idx="5">
                  <c:v>50ft</c:v>
                </c:pt>
                <c:pt idx="6">
                  <c:v>5ft</c:v>
                </c:pt>
                <c:pt idx="7">
                  <c:v>9.8ft</c:v>
                </c:pt>
              </c:strCache>
            </c:strRef>
          </c:cat>
          <c:val>
            <c:numRef>
              <c:f>'Top50 Cable length Summary  '!$F$34:$F$41</c:f>
              <c:numCache>
                <c:formatCode>0%</c:formatCode>
                <c:ptCount val="8"/>
                <c:pt idx="0">
                  <c:v>1.291739342351478E-2</c:v>
                </c:pt>
                <c:pt idx="1">
                  <c:v>0.42108950511640508</c:v>
                </c:pt>
                <c:pt idx="2">
                  <c:v>1.016521414004031E-2</c:v>
                </c:pt>
                <c:pt idx="3">
                  <c:v>5.8794329311629883E-3</c:v>
                </c:pt>
                <c:pt idx="4">
                  <c:v>0.12398916086390679</c:v>
                </c:pt>
                <c:pt idx="5">
                  <c:v>7.0513209704721067E-2</c:v>
                </c:pt>
                <c:pt idx="6">
                  <c:v>0.3503930781835104</c:v>
                </c:pt>
                <c:pt idx="7">
                  <c:v>5.0530056367386507E-3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426-7E42-A507-7D8C1BA22C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Cable length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B4-E744-A604-52D3362881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B4-E744-A604-52D3362881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B4-E744-A604-52D3362881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B4-E744-A604-52D3362881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B4-E744-A604-52D3362881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9B4-E744-A604-52D3362881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9B4-E744-A604-52D3362881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9B4-E744-A604-52D3362881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B4-E744-A604-52D3362881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9B4-E744-A604-52D3362881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9B4-E744-A604-52D33628819C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B4-E744-A604-52D33628819C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B4-E744-A604-52D33628819C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B4-E744-A604-52D33628819C}"/>
                </c:ext>
              </c:extLst>
            </c:dLbl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B4-E744-A604-52D33628819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Cable length Summary  '!$A$3:$A$13</c:f>
              <c:strCache>
                <c:ptCount val="10"/>
                <c:pt idx="0">
                  <c:v>10ft</c:v>
                </c:pt>
                <c:pt idx="1">
                  <c:v>16.5ft</c:v>
                </c:pt>
                <c:pt idx="2">
                  <c:v>300ft</c:v>
                </c:pt>
                <c:pt idx="3">
                  <c:v>32.8ft</c:v>
                </c:pt>
                <c:pt idx="4">
                  <c:v>5.25ft</c:v>
                </c:pt>
                <c:pt idx="5">
                  <c:v>5.5ft</c:v>
                </c:pt>
                <c:pt idx="6">
                  <c:v>5.6ft</c:v>
                </c:pt>
                <c:pt idx="7">
                  <c:v>50ft</c:v>
                </c:pt>
                <c:pt idx="8">
                  <c:v>5ft</c:v>
                </c:pt>
                <c:pt idx="9">
                  <c:v>9.8ft</c:v>
                </c:pt>
              </c:strCache>
            </c:strRef>
          </c:cat>
          <c:val>
            <c:numRef>
              <c:f>'Top50 Cable length Summary  '!$D$3:$D$13</c:f>
              <c:numCache>
                <c:formatCode>0%</c:formatCode>
                <c:ptCount val="11"/>
                <c:pt idx="0">
                  <c:v>3.3388383707742213E-2</c:v>
                </c:pt>
                <c:pt idx="1">
                  <c:v>0.60698012217203579</c:v>
                </c:pt>
                <c:pt idx="2">
                  <c:v>9.5509083311777466E-4</c:v>
                </c:pt>
                <c:pt idx="3">
                  <c:v>1.8206419006307581E-2</c:v>
                </c:pt>
                <c:pt idx="4">
                  <c:v>4.6162723600692438E-3</c:v>
                </c:pt>
                <c:pt idx="5">
                  <c:v>6.8706846807409919E-2</c:v>
                </c:pt>
                <c:pt idx="6">
                  <c:v>7.2228744254531707E-3</c:v>
                </c:pt>
                <c:pt idx="7">
                  <c:v>4.6043337246552719E-2</c:v>
                </c:pt>
                <c:pt idx="8">
                  <c:v>0.19615177985156301</c:v>
                </c:pt>
                <c:pt idx="9">
                  <c:v>9.0335674632389517E-3</c:v>
                </c:pt>
                <c:pt idx="10">
                  <c:v>8.6953061265097401E-3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B4-E744-A604-52D3362881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11</xdr:row>
      <xdr:rowOff>0</xdr:rowOff>
    </xdr:from>
    <xdr:to>
      <xdr:col>5</xdr:col>
      <xdr:colOff>1171574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2</xdr:col>
      <xdr:colOff>1800224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35</xdr:row>
      <xdr:rowOff>0</xdr:rowOff>
    </xdr:from>
    <xdr:to>
      <xdr:col>5</xdr:col>
      <xdr:colOff>1171574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2</xdr:col>
      <xdr:colOff>1800224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0</xdr:rowOff>
    </xdr:from>
    <xdr:to>
      <xdr:col>5</xdr:col>
      <xdr:colOff>1171574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2</xdr:col>
      <xdr:colOff>1800224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31</xdr:row>
      <xdr:rowOff>0</xdr:rowOff>
    </xdr:from>
    <xdr:to>
      <xdr:col>5</xdr:col>
      <xdr:colOff>1171574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1800224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11</xdr:row>
      <xdr:rowOff>0</xdr:rowOff>
    </xdr:from>
    <xdr:to>
      <xdr:col>5</xdr:col>
      <xdr:colOff>1171574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2</xdr:col>
      <xdr:colOff>1800224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37</xdr:row>
      <xdr:rowOff>0</xdr:rowOff>
    </xdr:from>
    <xdr:to>
      <xdr:col>5</xdr:col>
      <xdr:colOff>1171574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2</xdr:col>
      <xdr:colOff>1800224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14</xdr:row>
      <xdr:rowOff>0</xdr:rowOff>
    </xdr:from>
    <xdr:to>
      <xdr:col>5</xdr:col>
      <xdr:colOff>1171574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2</xdr:col>
      <xdr:colOff>1800224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38</xdr:row>
      <xdr:rowOff>0</xdr:rowOff>
    </xdr:from>
    <xdr:to>
      <xdr:col>5</xdr:col>
      <xdr:colOff>1171574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2</xdr:col>
      <xdr:colOff>1800224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0</xdr:rowOff>
    </xdr:from>
    <xdr:to>
      <xdr:col>5</xdr:col>
      <xdr:colOff>1171574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2</xdr:col>
      <xdr:colOff>1800224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31</xdr:row>
      <xdr:rowOff>0</xdr:rowOff>
    </xdr:from>
    <xdr:to>
      <xdr:col>5</xdr:col>
      <xdr:colOff>1171574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1800224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15</xdr:row>
      <xdr:rowOff>0</xdr:rowOff>
    </xdr:from>
    <xdr:to>
      <xdr:col>5</xdr:col>
      <xdr:colOff>1171574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2</xdr:col>
      <xdr:colOff>1800224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43</xdr:row>
      <xdr:rowOff>0</xdr:rowOff>
    </xdr:from>
    <xdr:to>
      <xdr:col>5</xdr:col>
      <xdr:colOff>1171574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2</xdr:col>
      <xdr:colOff>1800224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2:I13" totalsRowShown="0" headerRowDxfId="350" dataDxfId="349">
  <autoFilter ref="A2:I13" xr:uid="{00000000-0009-0000-0100-000001000000}"/>
  <sortState xmlns:xlrd2="http://schemas.microsoft.com/office/spreadsheetml/2017/richdata2" ref="A3:I13">
    <sortCondition descending="1" ref="C2:C13"/>
  </sortState>
  <tableColumns count="9">
    <tableColumn id="1" xr3:uid="{00000000-0010-0000-0000-000001000000}" name="Brand" dataDxfId="348"/>
    <tableColumn id="2" xr3:uid="{00000000-0010-0000-0000-000002000000}" name="# of Listings" dataDxfId="347"/>
    <tableColumn id="3" xr3:uid="{00000000-0010-0000-0000-000003000000}" name="Monthly Rev" dataDxfId="346"/>
    <tableColumn id="4" xr3:uid="{00000000-0010-0000-0000-000004000000}" name="Estimated 12mo Revenue" dataDxfId="345"/>
    <tableColumn id="5" xr3:uid="{00000000-0010-0000-0000-000005000000}" name="Monthly Units" dataDxfId="344"/>
    <tableColumn id="6" xr3:uid="{00000000-0010-0000-0000-000006000000}" name="Monthly Rev Market Share %" dataDxfId="343"/>
    <tableColumn id="7" xr3:uid="{00000000-0010-0000-0000-000007000000}" name="Price Per Unit" dataDxfId="342"/>
    <tableColumn id="8" xr3:uid="{00000000-0010-0000-0000-000008000000}" name="Reviews" dataDxfId="341"/>
    <tableColumn id="9" xr3:uid="{00000000-0010-0000-0000-000009000000}" name="Avg Rating" dataDxfId="34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7:I28" totalsRowShown="0" headerRowDxfId="339" dataDxfId="338">
  <autoFilter ref="A17:I28" xr:uid="{00000000-0009-0000-0100-000002000000}"/>
  <sortState xmlns:xlrd2="http://schemas.microsoft.com/office/spreadsheetml/2017/richdata2" ref="A18:I28">
    <sortCondition descending="1" ref="E17:E28"/>
  </sortState>
  <tableColumns count="9">
    <tableColumn id="1" xr3:uid="{00000000-0010-0000-0100-000001000000}" name="Brand" dataDxfId="337"/>
    <tableColumn id="2" xr3:uid="{00000000-0010-0000-0100-000002000000}" name="# of Listings" dataDxfId="336"/>
    <tableColumn id="3" xr3:uid="{00000000-0010-0000-0100-000003000000}" name="Monthly Rev" dataDxfId="335"/>
    <tableColumn id="4" xr3:uid="{00000000-0010-0000-0100-000004000000}" name="Estimated 12mo Units" dataDxfId="334"/>
    <tableColumn id="5" xr3:uid="{00000000-0010-0000-0100-000005000000}" name="Monthly Units" dataDxfId="333"/>
    <tableColumn id="6" xr3:uid="{00000000-0010-0000-0100-000006000000}" name="Monthly Unit Market Share %" dataDxfId="332"/>
    <tableColumn id="7" xr3:uid="{00000000-0010-0000-0100-000007000000}" name="Price Per Unit" dataDxfId="331"/>
    <tableColumn id="8" xr3:uid="{00000000-0010-0000-0100-000008000000}" name="Reviews" dataDxfId="330"/>
    <tableColumn id="9" xr3:uid="{00000000-0010-0000-0100-000009000000}" name="Avg Rating" dataDxfId="32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2:Q52" totalsRowShown="0" headerRowDxfId="328" dataDxfId="327">
  <autoFilter ref="A2:Q52" xr:uid="{00000000-0009-0000-0100-000003000000}"/>
  <tableColumns count="17">
    <tableColumn id="1" xr3:uid="{00000000-0010-0000-0200-000001000000}" name="Ranking" dataDxfId="326"/>
    <tableColumn id="2" xr3:uid="{00000000-0010-0000-0200-000002000000}" name="ASIN" dataDxfId="325"/>
    <tableColumn id="3" xr3:uid="{00000000-0010-0000-0200-000003000000}" name="Product Name" dataDxfId="324"/>
    <tableColumn id="4" xr3:uid="{00000000-0010-0000-0200-000004000000}" name="Brand" dataDxfId="323"/>
    <tableColumn id="5" xr3:uid="{00000000-0010-0000-0200-000005000000}" name="Type" dataDxfId="322"/>
    <tableColumn id="18" xr3:uid="{00000000-0010-0000-0200-000012000000}" name="2/4-way" dataDxfId="321"/>
    <tableColumn id="12" xr3:uid="{00000000-0010-0000-0200-00000C000000}" name="Display" dataDxfId="320"/>
    <tableColumn id="15" xr3:uid="{00000000-0010-0000-0200-00000F000000}" name="Lens diameter" dataDxfId="319"/>
    <tableColumn id="17" xr3:uid="{00000000-0010-0000-0200-000011000000}" name="Lens count" dataDxfId="318"/>
    <tableColumn id="16" xr3:uid="{00000000-0010-0000-0200-000010000000}" name="Cable length" dataDxfId="317"/>
    <tableColumn id="6" xr3:uid="{00000000-0010-0000-0200-000006000000}" name="Price" dataDxfId="316"/>
    <tableColumn id="7" xr3:uid="{00000000-0010-0000-0200-000007000000}" name="Est. Monthly Retail Rev" dataDxfId="315"/>
    <tableColumn id="8" xr3:uid="{00000000-0010-0000-0200-000008000000}" name="Est. Monthly Units Sold" dataDxfId="314"/>
    <tableColumn id="9" xr3:uid="{00000000-0010-0000-0200-000009000000}" name="# of Reviews" dataDxfId="313"/>
    <tableColumn id="11" xr3:uid="{00000000-0010-0000-0200-00000B000000}" name="Avg. Rating" dataDxfId="312"/>
    <tableColumn id="10" xr3:uid="{00000000-0010-0000-0200-00000A000000}" name="Column2" dataDxfId="311" dataCellStyle="Hyperlink"/>
    <tableColumn id="13" xr3:uid="{00000000-0010-0000-0200-00000D000000}" name="Link" dataDxfId="310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56:Q106" totalsRowShown="0" headerRowDxfId="309" dataDxfId="308">
  <autoFilter ref="A56:Q106" xr:uid="{00000000-0009-0000-0100-000004000000}"/>
  <tableColumns count="17">
    <tableColumn id="1" xr3:uid="{00000000-0010-0000-0300-000001000000}" name="Ranking" dataDxfId="307"/>
    <tableColumn id="2" xr3:uid="{00000000-0010-0000-0300-000002000000}" name="ASIN" dataDxfId="306"/>
    <tableColumn id="3" xr3:uid="{00000000-0010-0000-0300-000003000000}" name="Product Name" dataDxfId="305"/>
    <tableColumn id="4" xr3:uid="{00000000-0010-0000-0300-000004000000}" name="Brand" dataDxfId="304"/>
    <tableColumn id="5" xr3:uid="{00000000-0010-0000-0300-000005000000}" name="Type" dataDxfId="303"/>
    <tableColumn id="24" xr3:uid="{00000000-0010-0000-0300-000018000000}" name="2/4-way" dataDxfId="302"/>
    <tableColumn id="20" xr3:uid="{00000000-0010-0000-0300-000014000000}" name="Display" dataDxfId="301"/>
    <tableColumn id="21" xr3:uid="{00000000-0010-0000-0300-000015000000}" name="Lens diameter" dataDxfId="300"/>
    <tableColumn id="23" xr3:uid="{00000000-0010-0000-0300-000017000000}" name="Lens count" dataDxfId="299"/>
    <tableColumn id="22" xr3:uid="{00000000-0010-0000-0300-000016000000}" name="Cable length" dataDxfId="298"/>
    <tableColumn id="6" xr3:uid="{00000000-0010-0000-0300-000006000000}" name="Price" dataDxfId="297"/>
    <tableColumn id="7" xr3:uid="{00000000-0010-0000-0300-000007000000}" name="Est. Monthly Retail Rev" dataDxfId="296"/>
    <tableColumn id="8" xr3:uid="{00000000-0010-0000-0300-000008000000}" name="Est. Monthly Units Sold" dataDxfId="295"/>
    <tableColumn id="9" xr3:uid="{00000000-0010-0000-0300-000009000000}" name="# of Reviews" dataDxfId="294"/>
    <tableColumn id="11" xr3:uid="{00000000-0010-0000-0300-00000B000000}" name="Avg. Rating" dataDxfId="293"/>
    <tableColumn id="10" xr3:uid="{00000000-0010-0000-0300-00000A000000}" name="Column2" dataDxfId="292" dataCellStyle="Hyperlink"/>
    <tableColumn id="12" xr3:uid="{00000000-0010-0000-0300-00000C000000}" name="Link" dataDxfId="291" dataCellStyle="Hyperlink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9151719" displayName="Table19151719" ref="A8:K12" totalsRowShown="0" dataDxfId="289" headerRowBorderDxfId="290" tableBorderDxfId="288">
  <autoFilter ref="A8:K12" xr:uid="{00000000-0009-0000-0100-000005000000}"/>
  <tableColumns count="11">
    <tableColumn id="1" xr3:uid="{00000000-0010-0000-0400-000001000000}" name="Product Name" dataDxfId="287"/>
    <tableColumn id="2" xr3:uid="{00000000-0010-0000-0400-000002000000}" name="ASIN" dataDxfId="286"/>
    <tableColumn id="3" xr3:uid="{00000000-0010-0000-0400-000003000000}" name="Avg Price" dataDxfId="285"/>
    <tableColumn id="4" xr3:uid="{00000000-0010-0000-0400-000004000000}" name="Estimated 12mo Revenue" dataDxfId="284"/>
    <tableColumn id="5" xr3:uid="{00000000-0010-0000-0400-000005000000}" name="Monthly Rev" dataDxfId="283"/>
    <tableColumn id="6" xr3:uid="{00000000-0010-0000-0400-000006000000}" name="Estimated 12mo Units" dataDxfId="282"/>
    <tableColumn id="7" xr3:uid="{00000000-0010-0000-0400-000007000000}" name="Monthly Units" dataDxfId="281"/>
    <tableColumn id="8" xr3:uid="{00000000-0010-0000-0400-000008000000}" name="# of Reviews" dataDxfId="280"/>
    <tableColumn id="9" xr3:uid="{00000000-0010-0000-0400-000009000000}" name="Tool Rating " dataDxfId="279"/>
    <tableColumn id="11" xr3:uid="{00000000-0010-0000-0400-00000B000000}" name="Column1" dataDxfId="278"/>
    <tableColumn id="10" xr3:uid="{00000000-0010-0000-0400-00000A000000}" name="Link" dataDxfId="277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3161821" displayName="Table43161821" ref="A16:K77" totalsRowShown="0" headerRowDxfId="276" dataDxfId="275">
  <autoFilter ref="A16:K77" xr:uid="{00000000-0009-0000-0100-000006000000}"/>
  <tableColumns count="11">
    <tableColumn id="1" xr3:uid="{00000000-0010-0000-0500-000001000000}" name="Product Name" dataDxfId="274"/>
    <tableColumn id="12" xr3:uid="{00000000-0010-0000-0500-00000C000000}" name="ASIN" dataDxfId="273"/>
    <tableColumn id="3" xr3:uid="{00000000-0010-0000-0500-000003000000}" name="Avg Price" dataDxfId="272"/>
    <tableColumn id="4" xr3:uid="{00000000-0010-0000-0500-000004000000}" name="Estimated 12mo Revenue" dataDxfId="271"/>
    <tableColumn id="5" xr3:uid="{00000000-0010-0000-0500-000005000000}" name="Monthly Rev" dataDxfId="270"/>
    <tableColumn id="6" xr3:uid="{00000000-0010-0000-0500-000006000000}" name="Estimated 12mo Units" dataDxfId="269"/>
    <tableColumn id="7" xr3:uid="{00000000-0010-0000-0500-000007000000}" name="Monthly Units" dataDxfId="268"/>
    <tableColumn id="8" xr3:uid="{00000000-0010-0000-0500-000008000000}" name="# of Reviews" dataDxfId="267"/>
    <tableColumn id="9" xr3:uid="{00000000-0010-0000-0500-000009000000}" name="Tool Rating " dataDxfId="266"/>
    <tableColumn id="11" xr3:uid="{00000000-0010-0000-0500-00000B000000}" name="Column1" dataDxfId="265"/>
    <tableColumn id="10" xr3:uid="{00000000-0010-0000-0500-00000A000000}" name="Link" dataDxfId="264" dataCellStyle="Hyperlink">
      <calculatedColumnFormula>HYPERLINK(J17)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915" displayName="Table1915" ref="A8:K41" totalsRowShown="0" dataDxfId="262" headerRowBorderDxfId="263" tableBorderDxfId="261">
  <autoFilter ref="A8:K41" xr:uid="{00000000-0009-0000-0100-000007000000}"/>
  <tableColumns count="11">
    <tableColumn id="1" xr3:uid="{00000000-0010-0000-0600-000001000000}" name="Product Name" dataDxfId="260"/>
    <tableColumn id="2" xr3:uid="{00000000-0010-0000-0600-000002000000}" name="ASIN" dataDxfId="259"/>
    <tableColumn id="3" xr3:uid="{00000000-0010-0000-0600-000003000000}" name="Avg Price" dataDxfId="258"/>
    <tableColumn id="4" xr3:uid="{00000000-0010-0000-0600-000004000000}" name="Estimated 12mo Revenue" dataDxfId="257"/>
    <tableColumn id="5" xr3:uid="{00000000-0010-0000-0600-000005000000}" name="Monthly Rev" dataDxfId="256"/>
    <tableColumn id="6" xr3:uid="{00000000-0010-0000-0600-000006000000}" name="Estimated 12mo Units" dataDxfId="255"/>
    <tableColumn id="7" xr3:uid="{00000000-0010-0000-0600-000007000000}" name="Monthly Units" dataDxfId="254"/>
    <tableColumn id="8" xr3:uid="{00000000-0010-0000-0600-000008000000}" name="# of Reviews" dataDxfId="253"/>
    <tableColumn id="9" xr3:uid="{00000000-0010-0000-0600-000009000000}" name="Tool Rating " dataDxfId="252"/>
    <tableColumn id="11" xr3:uid="{00000000-0010-0000-0600-00000B000000}" name="Column1" dataDxfId="251"/>
    <tableColumn id="10" xr3:uid="{00000000-0010-0000-0600-00000A000000}" name="Link" dataDxfId="250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4316" displayName="Table4316" ref="A46:K79" totalsRowShown="0" headerRowDxfId="249" dataDxfId="248">
  <autoFilter ref="A46:K79" xr:uid="{00000000-0009-0000-0100-000008000000}"/>
  <tableColumns count="11">
    <tableColumn id="1" xr3:uid="{00000000-0010-0000-0700-000001000000}" name="Product Name" dataDxfId="247"/>
    <tableColumn id="12" xr3:uid="{00000000-0010-0000-0700-00000C000000}" name="ASIN" dataDxfId="246"/>
    <tableColumn id="3" xr3:uid="{00000000-0010-0000-0700-000003000000}" name="Avg Price" dataDxfId="245"/>
    <tableColumn id="4" xr3:uid="{00000000-0010-0000-0700-000004000000}" name="Estimated 12mo Revenue" dataDxfId="244"/>
    <tableColumn id="5" xr3:uid="{00000000-0010-0000-0700-000005000000}" name="Monthly Rev" dataDxfId="243"/>
    <tableColumn id="6" xr3:uid="{00000000-0010-0000-0700-000006000000}" name="Estimated 12mo Units" dataDxfId="242"/>
    <tableColumn id="7" xr3:uid="{00000000-0010-0000-0700-000007000000}" name="Monthly Units" dataDxfId="241"/>
    <tableColumn id="8" xr3:uid="{00000000-0010-0000-0700-000008000000}" name="# of Reviews" dataDxfId="240"/>
    <tableColumn id="9" xr3:uid="{00000000-0010-0000-0700-000009000000}" name="Tool Rating " dataDxfId="239"/>
    <tableColumn id="11" xr3:uid="{00000000-0010-0000-0700-00000B000000}" name="Column1" dataDxfId="238"/>
    <tableColumn id="10" xr3:uid="{00000000-0010-0000-0700-00000A000000}" name="Link" dataDxfId="237" dataCellStyle="Hyperlink">
      <calculatedColumnFormula>HYPERLINK(J47)</calculatedColumnFormula>
    </tableColumn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91517" displayName="Table191517" ref="A8:K14" totalsRowShown="0" dataDxfId="235" headerRowBorderDxfId="236" tableBorderDxfId="234">
  <autoFilter ref="A8:K14" xr:uid="{00000000-0009-0000-0100-000009000000}"/>
  <tableColumns count="11">
    <tableColumn id="1" xr3:uid="{00000000-0010-0000-0800-000001000000}" name="Product Name" dataDxfId="233"/>
    <tableColumn id="2" xr3:uid="{00000000-0010-0000-0800-000002000000}" name="ASIN" dataDxfId="232"/>
    <tableColumn id="3" xr3:uid="{00000000-0010-0000-0800-000003000000}" name="Avg Price" dataDxfId="231"/>
    <tableColumn id="4" xr3:uid="{00000000-0010-0000-0800-000004000000}" name="Estimated 12mo Revenue" dataDxfId="230"/>
    <tableColumn id="5" xr3:uid="{00000000-0010-0000-0800-000005000000}" name="Monthly Rev" dataDxfId="229"/>
    <tableColumn id="6" xr3:uid="{00000000-0010-0000-0800-000006000000}" name="Estimated 12mo Units" dataDxfId="228"/>
    <tableColumn id="7" xr3:uid="{00000000-0010-0000-0800-000007000000}" name="Monthly Units" dataDxfId="227"/>
    <tableColumn id="8" xr3:uid="{00000000-0010-0000-0800-000008000000}" name="# of Reviews" dataDxfId="226"/>
    <tableColumn id="9" xr3:uid="{00000000-0010-0000-0800-000009000000}" name="Tool Rating " dataDxfId="225"/>
    <tableColumn id="11" xr3:uid="{00000000-0010-0000-0800-00000B000000}" name="Column1" dataDxfId="224"/>
    <tableColumn id="10" xr3:uid="{00000000-0010-0000-0800-00000A000000}" name="Link" dataDxfId="223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431618" displayName="Table431618" ref="A19:K25" totalsRowShown="0" headerRowDxfId="222" dataDxfId="221">
  <autoFilter ref="A19:K25" xr:uid="{00000000-0009-0000-0100-00000A000000}"/>
  <tableColumns count="11">
    <tableColumn id="1" xr3:uid="{00000000-0010-0000-0900-000001000000}" name="Product Name" dataDxfId="220"/>
    <tableColumn id="12" xr3:uid="{00000000-0010-0000-0900-00000C000000}" name="ASIN" dataDxfId="219"/>
    <tableColumn id="3" xr3:uid="{00000000-0010-0000-0900-000003000000}" name="Avg Price" dataDxfId="218"/>
    <tableColumn id="4" xr3:uid="{00000000-0010-0000-0900-000004000000}" name="Estimated 12mo Revenue" dataDxfId="217"/>
    <tableColumn id="5" xr3:uid="{00000000-0010-0000-0900-000005000000}" name="Monthly Rev" dataDxfId="216"/>
    <tableColumn id="6" xr3:uid="{00000000-0010-0000-0900-000006000000}" name="Estimated 12mo Units" dataDxfId="215"/>
    <tableColumn id="7" xr3:uid="{00000000-0010-0000-0900-000007000000}" name="Monthly Units" dataDxfId="214"/>
    <tableColumn id="8" xr3:uid="{00000000-0010-0000-0900-000008000000}" name="# of Reviews" dataDxfId="213"/>
    <tableColumn id="9" xr3:uid="{00000000-0010-0000-0900-000009000000}" name="Tool Rating " dataDxfId="212"/>
    <tableColumn id="11" xr3:uid="{00000000-0010-0000-0900-00000B000000}" name="Column1" dataDxfId="211"/>
    <tableColumn id="10" xr3:uid="{00000000-0010-0000-0900-00000A000000}" name="Link" dataDxfId="210" dataCellStyle="Hyperlink">
      <calculatedColumnFormula>HYPERLINK(J20)</calculatedColumn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3912222" displayName="Table3912222" ref="A8:K14" totalsRowShown="0" dataDxfId="208" headerRowBorderDxfId="209" tableBorderDxfId="207">
  <autoFilter ref="A8:K14" xr:uid="{00000000-0009-0000-0100-00000B000000}"/>
  <tableColumns count="11">
    <tableColumn id="1" xr3:uid="{00000000-0010-0000-0A00-000001000000}" name="Product Name" dataDxfId="206"/>
    <tableColumn id="2" xr3:uid="{00000000-0010-0000-0A00-000002000000}" name="ASIN" dataDxfId="205"/>
    <tableColumn id="3" xr3:uid="{00000000-0010-0000-0A00-000003000000}" name="Avg Price" dataDxfId="204"/>
    <tableColumn id="4" xr3:uid="{00000000-0010-0000-0A00-000004000000}" name="Estimated 12mo Revenue" dataDxfId="203"/>
    <tableColumn id="5" xr3:uid="{00000000-0010-0000-0A00-000005000000}" name="Monthly Rev" dataDxfId="202"/>
    <tableColumn id="6" xr3:uid="{00000000-0010-0000-0A00-000006000000}" name="Estimated 12mo Units" dataDxfId="201"/>
    <tableColumn id="7" xr3:uid="{00000000-0010-0000-0A00-000007000000}" name="Monthly Units" dataDxfId="200"/>
    <tableColumn id="8" xr3:uid="{00000000-0010-0000-0A00-000008000000}" name="# of Reviews" dataDxfId="199"/>
    <tableColumn id="9" xr3:uid="{00000000-0010-0000-0A00-000009000000}" name="Tool Rating " dataDxfId="198"/>
    <tableColumn id="11" xr3:uid="{00000000-0010-0000-0A00-00000B000000}" name="Column1" dataDxfId="197"/>
    <tableColumn id="10" xr3:uid="{00000000-0010-0000-0A00-00000A000000}" name="Link" dataDxfId="19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4013623" displayName="Table4013623" ref="A19:K26" totalsRowShown="0" dataDxfId="194" headerRowBorderDxfId="195" tableBorderDxfId="193">
  <autoFilter ref="A19:K26" xr:uid="{00000000-0009-0000-0100-00000C000000}"/>
  <tableColumns count="11">
    <tableColumn id="1" xr3:uid="{00000000-0010-0000-0B00-000001000000}" name="Product Name" dataDxfId="192"/>
    <tableColumn id="2" xr3:uid="{00000000-0010-0000-0B00-000002000000}" name="ASIN" dataDxfId="191"/>
    <tableColumn id="3" xr3:uid="{00000000-0010-0000-0B00-000003000000}" name="Avg Price" dataDxfId="190"/>
    <tableColumn id="4" xr3:uid="{00000000-0010-0000-0B00-000004000000}" name="Estimated 12mo Revenue" dataDxfId="189"/>
    <tableColumn id="5" xr3:uid="{00000000-0010-0000-0B00-000005000000}" name="Monthly Rev" dataDxfId="188"/>
    <tableColumn id="6" xr3:uid="{00000000-0010-0000-0B00-000006000000}" name="Estimated 12mo Units" dataDxfId="187"/>
    <tableColumn id="7" xr3:uid="{00000000-0010-0000-0B00-000007000000}" name="Monthly Units" dataDxfId="186"/>
    <tableColumn id="8" xr3:uid="{00000000-0010-0000-0B00-000008000000}" name="# of Reviews" dataDxfId="185"/>
    <tableColumn id="9" xr3:uid="{00000000-0010-0000-0B00-000009000000}" name="Tool Rating " dataDxfId="184"/>
    <tableColumn id="11" xr3:uid="{00000000-0010-0000-0B00-00000B000000}" name="Column1" dataDxfId="183"/>
    <tableColumn id="10" xr3:uid="{00000000-0010-0000-0B00-00000A000000}" name="Link" dataDxfId="182" dataCellStyle="Hyperlink">
      <calculatedColumnFormula>HYPERLINK(J20)</calculatedColumnFormula>
    </tableColumn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9" displayName="Table19" ref="A8:K16" totalsRowShown="0" dataDxfId="180" headerRowBorderDxfId="181" tableBorderDxfId="179">
  <autoFilter ref="A8:K16" xr:uid="{00000000-0009-0000-0100-00000D000000}"/>
  <tableColumns count="11">
    <tableColumn id="1" xr3:uid="{00000000-0010-0000-0C00-000001000000}" name="Product Name" dataDxfId="178"/>
    <tableColumn id="2" xr3:uid="{00000000-0010-0000-0C00-000002000000}" name="ASIN" dataDxfId="177"/>
    <tableColumn id="3" xr3:uid="{00000000-0010-0000-0C00-000003000000}" name="Avg Price" dataDxfId="176"/>
    <tableColumn id="4" xr3:uid="{00000000-0010-0000-0C00-000004000000}" name="Estimated 12mo Revenue" dataDxfId="175"/>
    <tableColumn id="5" xr3:uid="{00000000-0010-0000-0C00-000005000000}" name="Monthly Rev" dataDxfId="174"/>
    <tableColumn id="6" xr3:uid="{00000000-0010-0000-0C00-000006000000}" name="Estimated 12mo Units" dataDxfId="173"/>
    <tableColumn id="7" xr3:uid="{00000000-0010-0000-0C00-000007000000}" name="Monthly Units" dataDxfId="172"/>
    <tableColumn id="8" xr3:uid="{00000000-0010-0000-0C00-000008000000}" name="# of Reviews" dataDxfId="171"/>
    <tableColumn id="9" xr3:uid="{00000000-0010-0000-0C00-000009000000}" name="Tool Rating " dataDxfId="170"/>
    <tableColumn id="11" xr3:uid="{00000000-0010-0000-0C00-00000B000000}" name="Column1" dataDxfId="169"/>
    <tableColumn id="10" xr3:uid="{00000000-0010-0000-0C00-00000A000000}" name="Link" dataDxfId="168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43" displayName="Table43" ref="A21:K29" totalsRowShown="0" headerRowDxfId="167" dataDxfId="166">
  <autoFilter ref="A21:K29" xr:uid="{00000000-0009-0000-0100-00000E000000}"/>
  <tableColumns count="11">
    <tableColumn id="1" xr3:uid="{00000000-0010-0000-0D00-000001000000}" name="Product Name" dataDxfId="165"/>
    <tableColumn id="12" xr3:uid="{00000000-0010-0000-0D00-00000C000000}" name="ASIN" dataDxfId="164"/>
    <tableColumn id="3" xr3:uid="{00000000-0010-0000-0D00-000003000000}" name="Avg Price" dataDxfId="163"/>
    <tableColumn id="4" xr3:uid="{00000000-0010-0000-0D00-000004000000}" name="Estimated 12mo Revenue" dataDxfId="162"/>
    <tableColumn id="5" xr3:uid="{00000000-0010-0000-0D00-000005000000}" name="Monthly Rev" dataDxfId="161"/>
    <tableColumn id="6" xr3:uid="{00000000-0010-0000-0D00-000006000000}" name="Estimated 12mo Units" dataDxfId="160"/>
    <tableColumn id="7" xr3:uid="{00000000-0010-0000-0D00-000007000000}" name="Monthly Units" dataDxfId="159"/>
    <tableColumn id="8" xr3:uid="{00000000-0010-0000-0D00-000008000000}" name="# of Reviews" dataDxfId="158"/>
    <tableColumn id="9" xr3:uid="{00000000-0010-0000-0D00-000009000000}" name="Tool Rating " dataDxfId="157"/>
    <tableColumn id="11" xr3:uid="{00000000-0010-0000-0D00-00000B000000}" name="Column1" dataDxfId="156"/>
    <tableColumn id="10" xr3:uid="{00000000-0010-0000-0D00-00000A000000}" name="Link" dataDxfId="155" dataCellStyle="Hyperlink">
      <calculatedColumnFormula>HYPERLINK(J22)</calculatedColumnFormula>
    </tableColumn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91227" displayName="Table391227" ref="A8:K13" totalsRowShown="0" dataDxfId="153" headerRowBorderDxfId="154" tableBorderDxfId="152">
  <autoFilter ref="A8:K13" xr:uid="{00000000-0009-0000-0100-00000F000000}"/>
  <tableColumns count="11">
    <tableColumn id="1" xr3:uid="{00000000-0010-0000-0E00-000001000000}" name="Product Name" dataDxfId="151"/>
    <tableColumn id="2" xr3:uid="{00000000-0010-0000-0E00-000002000000}" name="ASIN" dataDxfId="150"/>
    <tableColumn id="3" xr3:uid="{00000000-0010-0000-0E00-000003000000}" name="Avg Price" dataDxfId="149"/>
    <tableColumn id="4" xr3:uid="{00000000-0010-0000-0E00-000004000000}" name="Estimated 12mo Revenue" dataDxfId="148"/>
    <tableColumn id="5" xr3:uid="{00000000-0010-0000-0E00-000005000000}" name="Monthly Rev" dataDxfId="147"/>
    <tableColumn id="6" xr3:uid="{00000000-0010-0000-0E00-000006000000}" name="Estimated 12mo Units" dataDxfId="146"/>
    <tableColumn id="7" xr3:uid="{00000000-0010-0000-0E00-000007000000}" name="Monthly Units" dataDxfId="145"/>
    <tableColumn id="8" xr3:uid="{00000000-0010-0000-0E00-000008000000}" name="# of Reviews" dataDxfId="144"/>
    <tableColumn id="9" xr3:uid="{00000000-0010-0000-0E00-000009000000}" name="Tool Rating " dataDxfId="143"/>
    <tableColumn id="11" xr3:uid="{00000000-0010-0000-0E00-00000B000000}" name="Column1" dataDxfId="142"/>
    <tableColumn id="10" xr3:uid="{00000000-0010-0000-0E00-00000A000000}" name="Link" dataDxfId="141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4013614" displayName="Table4013614" ref="A18:K23" totalsRowShown="0" dataDxfId="139" headerRowBorderDxfId="140" tableBorderDxfId="138">
  <autoFilter ref="A18:K23" xr:uid="{00000000-0009-0000-0100-000010000000}"/>
  <tableColumns count="11">
    <tableColumn id="1" xr3:uid="{00000000-0010-0000-0F00-000001000000}" name="Product Name" dataDxfId="137"/>
    <tableColumn id="2" xr3:uid="{00000000-0010-0000-0F00-000002000000}" name="ASIN" dataDxfId="136"/>
    <tableColumn id="3" xr3:uid="{00000000-0010-0000-0F00-000003000000}" name="Avg Price" dataDxfId="135"/>
    <tableColumn id="4" xr3:uid="{00000000-0010-0000-0F00-000004000000}" name="Estimated 12mo Revenue" dataDxfId="134"/>
    <tableColumn id="5" xr3:uid="{00000000-0010-0000-0F00-000005000000}" name="Monthly Rev" dataDxfId="133"/>
    <tableColumn id="6" xr3:uid="{00000000-0010-0000-0F00-000006000000}" name="Estimated 12mo Units" dataDxfId="132"/>
    <tableColumn id="7" xr3:uid="{00000000-0010-0000-0F00-000007000000}" name="Monthly Units" dataDxfId="131"/>
    <tableColumn id="8" xr3:uid="{00000000-0010-0000-0F00-000008000000}" name="# of Reviews" dataDxfId="130"/>
    <tableColumn id="9" xr3:uid="{00000000-0010-0000-0F00-000009000000}" name="Tool Rating " dataDxfId="129"/>
    <tableColumn id="11" xr3:uid="{00000000-0010-0000-0F00-00000B000000}" name="Column1" dataDxfId="128"/>
    <tableColumn id="10" xr3:uid="{00000000-0010-0000-0F00-00000A000000}" name="Link" dataDxfId="127" dataCellStyle="Hyperlink">
      <calculatedColumnFormula>HYPERLINK(J19)</calculatedColumnFormula>
    </tableColumn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3912" displayName="Table3912" ref="A8:K29" totalsRowShown="0" dataDxfId="125" headerRowBorderDxfId="126" tableBorderDxfId="124">
  <autoFilter ref="A8:K29" xr:uid="{00000000-0009-0000-0100-000011000000}"/>
  <tableColumns count="11">
    <tableColumn id="1" xr3:uid="{00000000-0010-0000-1000-000001000000}" name="Product Name" dataDxfId="123"/>
    <tableColumn id="2" xr3:uid="{00000000-0010-0000-1000-000002000000}" name="ASIN" dataDxfId="122"/>
    <tableColumn id="3" xr3:uid="{00000000-0010-0000-1000-000003000000}" name="Avg Price" dataDxfId="121"/>
    <tableColumn id="4" xr3:uid="{00000000-0010-0000-1000-000004000000}" name="Estimated 12mo Revenue" dataDxfId="120"/>
    <tableColumn id="5" xr3:uid="{00000000-0010-0000-1000-000005000000}" name="Monthly Rev" dataDxfId="119"/>
    <tableColumn id="6" xr3:uid="{00000000-0010-0000-1000-000006000000}" name="Estimated 12mo Units" dataDxfId="118"/>
    <tableColumn id="7" xr3:uid="{00000000-0010-0000-1000-000007000000}" name="Monthly Units" dataDxfId="117"/>
    <tableColumn id="8" xr3:uid="{00000000-0010-0000-1000-000008000000}" name="# of Reviews" dataDxfId="116"/>
    <tableColumn id="9" xr3:uid="{00000000-0010-0000-1000-000009000000}" name="Tool Rating " dataDxfId="115"/>
    <tableColumn id="11" xr3:uid="{00000000-0010-0000-1000-00000B000000}" name="Column1" dataDxfId="114"/>
    <tableColumn id="10" xr3:uid="{00000000-0010-0000-1000-00000A000000}" name="Link" dataDxfId="113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4013" displayName="Table4013" ref="A34:K55" totalsRowShown="0" dataDxfId="111" headerRowBorderDxfId="112" tableBorderDxfId="110">
  <autoFilter ref="A34:K55" xr:uid="{00000000-0009-0000-0100-000012000000}"/>
  <tableColumns count="11">
    <tableColumn id="1" xr3:uid="{00000000-0010-0000-1100-000001000000}" name="Product Name" dataDxfId="109"/>
    <tableColumn id="2" xr3:uid="{00000000-0010-0000-1100-000002000000}" name="ASIN" dataDxfId="108"/>
    <tableColumn id="3" xr3:uid="{00000000-0010-0000-1100-000003000000}" name="Avg Price" dataDxfId="107"/>
    <tableColumn id="4" xr3:uid="{00000000-0010-0000-1100-000004000000}" name="Estimated 12mo Revenue" dataDxfId="106"/>
    <tableColumn id="5" xr3:uid="{00000000-0010-0000-1100-000005000000}" name="Monthly Rev" dataDxfId="105"/>
    <tableColumn id="6" xr3:uid="{00000000-0010-0000-1100-000006000000}" name="Estimated 12mo Units" dataDxfId="104"/>
    <tableColumn id="7" xr3:uid="{00000000-0010-0000-1100-000007000000}" name="Monthly Units" dataDxfId="103"/>
    <tableColumn id="8" xr3:uid="{00000000-0010-0000-1100-000008000000}" name="# of Reviews" dataDxfId="102"/>
    <tableColumn id="9" xr3:uid="{00000000-0010-0000-1100-000009000000}" name="Tool Rating " dataDxfId="101"/>
    <tableColumn id="11" xr3:uid="{00000000-0010-0000-1100-00000B000000}" name="Column1" dataDxfId="100"/>
    <tableColumn id="10" xr3:uid="{00000000-0010-0000-1100-00000A000000}" name="Link" dataDxfId="99" dataCellStyle="Hyperlink">
      <calculatedColumnFormula>HYPERLINK(J35)</calculatedColumnFormula>
    </tableColumn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39122" displayName="Table39122" ref="A8:K105" totalsRowShown="0" dataDxfId="97" headerRowBorderDxfId="98" tableBorderDxfId="96">
  <autoFilter ref="A8:K105" xr:uid="{00000000-0009-0000-0100-000013000000}"/>
  <tableColumns count="11">
    <tableColumn id="1" xr3:uid="{00000000-0010-0000-1200-000001000000}" name="Product Name" dataDxfId="95"/>
    <tableColumn id="2" xr3:uid="{00000000-0010-0000-1200-000002000000}" name="ASIN" dataDxfId="94"/>
    <tableColumn id="3" xr3:uid="{00000000-0010-0000-1200-000003000000}" name="Avg Price" dataDxfId="93"/>
    <tableColumn id="4" xr3:uid="{00000000-0010-0000-1200-000004000000}" name="Estimated 12mo Revenue" dataDxfId="92"/>
    <tableColumn id="5" xr3:uid="{00000000-0010-0000-1200-000005000000}" name="Monthly Rev" dataDxfId="91"/>
    <tableColumn id="6" xr3:uid="{00000000-0010-0000-1200-000006000000}" name="Estimated 12mo Units" dataDxfId="90"/>
    <tableColumn id="7" xr3:uid="{00000000-0010-0000-1200-000007000000}" name="Monthly Units" dataDxfId="89"/>
    <tableColumn id="8" xr3:uid="{00000000-0010-0000-1200-000008000000}" name="# of Reviews" dataDxfId="88"/>
    <tableColumn id="9" xr3:uid="{00000000-0010-0000-1200-000009000000}" name="Tool Rating " dataDxfId="87"/>
    <tableColumn id="11" xr3:uid="{00000000-0010-0000-1200-00000B000000}" name="Column1" dataDxfId="86"/>
    <tableColumn id="10" xr3:uid="{00000000-0010-0000-1200-00000A000000}" name="Link" dataDxfId="85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40136" displayName="Table40136" ref="A110:K207" totalsRowShown="0" dataDxfId="83" headerRowBorderDxfId="84" tableBorderDxfId="82">
  <autoFilter ref="A110:K207" xr:uid="{00000000-0009-0000-0100-000014000000}"/>
  <tableColumns count="11">
    <tableColumn id="1" xr3:uid="{00000000-0010-0000-1300-000001000000}" name="Product Name" dataDxfId="81"/>
    <tableColumn id="2" xr3:uid="{00000000-0010-0000-1300-000002000000}" name="ASIN" dataDxfId="80"/>
    <tableColumn id="3" xr3:uid="{00000000-0010-0000-1300-000003000000}" name="Avg Price" dataDxfId="79"/>
    <tableColumn id="4" xr3:uid="{00000000-0010-0000-1300-000004000000}" name="Estimated 12mo Revenue" dataDxfId="78"/>
    <tableColumn id="5" xr3:uid="{00000000-0010-0000-1300-000005000000}" name="Monthly Rev" dataDxfId="77"/>
    <tableColumn id="6" xr3:uid="{00000000-0010-0000-1300-000006000000}" name="Estimated 12mo Units" dataDxfId="76"/>
    <tableColumn id="7" xr3:uid="{00000000-0010-0000-1300-000007000000}" name="Monthly Units" dataDxfId="75"/>
    <tableColumn id="8" xr3:uid="{00000000-0010-0000-1300-000008000000}" name="# of Reviews" dataDxfId="74"/>
    <tableColumn id="9" xr3:uid="{00000000-0010-0000-1300-000009000000}" name="Tool Rating " dataDxfId="73"/>
    <tableColumn id="11" xr3:uid="{00000000-0010-0000-1300-00000B000000}" name="Column1" dataDxfId="72"/>
    <tableColumn id="10" xr3:uid="{00000000-0010-0000-1300-00000A000000}" name="Link" dataDxfId="71" dataCellStyle="Hyperlink">
      <calculatedColumnFormula>HYPERLINK(J111)</calculatedColumnFormula>
    </tableColumn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3" displayName="Table3" ref="A8:K43" headerRowDxfId="70" dataDxfId="69" totalsRowDxfId="68">
  <autoFilter ref="A8:K43" xr:uid="{00000000-0009-0000-0100-000015000000}"/>
  <tableColumns count="11">
    <tableColumn id="1" xr3:uid="{00000000-0010-0000-1400-000001000000}" name="Product Name" totalsRowLabel="Total" dataDxfId="67"/>
    <tableColumn id="12" xr3:uid="{00000000-0010-0000-1400-00000C000000}" name="ASIN" dataDxfId="66"/>
    <tableColumn id="3" xr3:uid="{00000000-0010-0000-1400-000003000000}" name="Avg Price" dataDxfId="65"/>
    <tableColumn id="4" xr3:uid="{00000000-0010-0000-1400-000004000000}" name="Estimated 12mo Revenue" dataDxfId="64"/>
    <tableColumn id="5" xr3:uid="{00000000-0010-0000-1400-000005000000}" name="Monthly Rev" dataDxfId="63"/>
    <tableColumn id="6" xr3:uid="{00000000-0010-0000-1400-000006000000}" name="Estimated 12mo Units" dataDxfId="62"/>
    <tableColumn id="7" xr3:uid="{00000000-0010-0000-1400-000007000000}" name="Monthly Units" dataDxfId="61"/>
    <tableColumn id="8" xr3:uid="{00000000-0010-0000-1400-000008000000}" name="# of Reviews" dataDxfId="60"/>
    <tableColumn id="9" xr3:uid="{00000000-0010-0000-1400-000009000000}" name="Tool Rating " dataDxfId="59"/>
    <tableColumn id="11" xr3:uid="{00000000-0010-0000-1400-00000B000000}" name="Column1" dataDxfId="58"/>
    <tableColumn id="10" xr3:uid="{00000000-0010-0000-1400-00000A000000}" name="Link" totalsRowFunction="count" dataDxfId="57" totalsRowDxfId="5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4" displayName="Table4" ref="A48:K83" totalsRowShown="0" headerRowDxfId="55" dataDxfId="54">
  <autoFilter ref="A48:K83" xr:uid="{00000000-0009-0000-0100-000016000000}"/>
  <tableColumns count="11">
    <tableColumn id="1" xr3:uid="{00000000-0010-0000-1500-000001000000}" name="Product Name" dataDxfId="53"/>
    <tableColumn id="12" xr3:uid="{00000000-0010-0000-1500-00000C000000}" name="ASIN" dataDxfId="52"/>
    <tableColumn id="3" xr3:uid="{00000000-0010-0000-1500-000003000000}" name="Avg Price" dataDxfId="51"/>
    <tableColumn id="4" xr3:uid="{00000000-0010-0000-1500-000004000000}" name="Estimated 12mo Revenue" dataDxfId="50"/>
    <tableColumn id="5" xr3:uid="{00000000-0010-0000-1500-000005000000}" name="Monthly Rev" dataDxfId="49"/>
    <tableColumn id="6" xr3:uid="{00000000-0010-0000-1500-000006000000}" name="Estimated 12mo Units" dataDxfId="48"/>
    <tableColumn id="7" xr3:uid="{00000000-0010-0000-1500-000007000000}" name="Monthly Units" dataDxfId="47"/>
    <tableColumn id="8" xr3:uid="{00000000-0010-0000-1500-000008000000}" name="# of Reviews" dataDxfId="46"/>
    <tableColumn id="9" xr3:uid="{00000000-0010-0000-1500-000009000000}" name="Tool Rating " dataDxfId="45"/>
    <tableColumn id="11" xr3:uid="{00000000-0010-0000-1500-00000B000000}" name="Column1" dataDxfId="44"/>
    <tableColumn id="10" xr3:uid="{00000000-0010-0000-1500-00000A000000}" name="Link" dataDxfId="43" dataCellStyle="Hyperlink">
      <calculatedColumnFormula>HYPERLINK(J49)</calculatedColumnFormula>
    </tableColumn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324" displayName="Table324" ref="A8:K54" headerRowDxfId="42" dataDxfId="41" totalsRowDxfId="40">
  <autoFilter ref="A8:K54" xr:uid="{00000000-0009-0000-0100-000017000000}"/>
  <tableColumns count="11">
    <tableColumn id="1" xr3:uid="{00000000-0010-0000-1600-000001000000}" name="Product Name" totalsRowLabel="Total" dataDxfId="39" totalsRowDxfId="38"/>
    <tableColumn id="12" xr3:uid="{00000000-0010-0000-1600-00000C000000}" name="ASIN" dataDxfId="37"/>
    <tableColumn id="3" xr3:uid="{00000000-0010-0000-1600-000003000000}" name="Avg Price" dataDxfId="36" totalsRowDxfId="35"/>
    <tableColumn id="4" xr3:uid="{00000000-0010-0000-1600-000004000000}" name="Estimated 12mo Revenue" dataDxfId="34" totalsRowDxfId="33"/>
    <tableColumn id="5" xr3:uid="{00000000-0010-0000-1600-000005000000}" name="Monthly Rev" dataDxfId="32" totalsRowDxfId="31"/>
    <tableColumn id="6" xr3:uid="{00000000-0010-0000-1600-000006000000}" name="Estimated 12mo Units" dataDxfId="30" totalsRowDxfId="29"/>
    <tableColumn id="7" xr3:uid="{00000000-0010-0000-1600-000007000000}" name="Monthly Units" dataDxfId="28" totalsRowDxfId="27"/>
    <tableColumn id="8" xr3:uid="{00000000-0010-0000-1600-000008000000}" name="# of Reviews" dataDxfId="26" totalsRowDxfId="25"/>
    <tableColumn id="9" xr3:uid="{00000000-0010-0000-1600-000009000000}" name="Tool Rating " dataDxfId="24" totalsRowDxfId="23"/>
    <tableColumn id="11" xr3:uid="{00000000-0010-0000-1600-00000B000000}" name="Column1" dataDxfId="22" totalsRowDxfId="21"/>
    <tableColumn id="10" xr3:uid="{00000000-0010-0000-1600-00000A000000}" name="Link" totalsRowFunction="count" dataDxfId="20" totalsRowDxfId="19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425" displayName="Table425" ref="A59:K105" totalsRowShown="0" headerRowDxfId="18" dataDxfId="17">
  <autoFilter ref="A59:K105" xr:uid="{00000000-0009-0000-0100-000018000000}"/>
  <tableColumns count="11">
    <tableColumn id="1" xr3:uid="{00000000-0010-0000-1700-000001000000}" name="Product Name" dataDxfId="16"/>
    <tableColumn id="12" xr3:uid="{00000000-0010-0000-1700-00000C000000}" name="ASIN" dataDxfId="15"/>
    <tableColumn id="3" xr3:uid="{00000000-0010-0000-1700-000003000000}" name="Avg Price" dataDxfId="14"/>
    <tableColumn id="4" xr3:uid="{00000000-0010-0000-1700-000004000000}" name="Estimated 12mo Revenue" dataDxfId="13"/>
    <tableColumn id="5" xr3:uid="{00000000-0010-0000-1700-000005000000}" name="Monthly Rev" dataDxfId="12"/>
    <tableColumn id="6" xr3:uid="{00000000-0010-0000-1700-000006000000}" name="Estimated 12mo Units" dataDxfId="11"/>
    <tableColumn id="7" xr3:uid="{00000000-0010-0000-1700-000007000000}" name="Monthly Units" dataDxfId="10"/>
    <tableColumn id="8" xr3:uid="{00000000-0010-0000-1700-000008000000}" name="# of Reviews" dataDxfId="9"/>
    <tableColumn id="9" xr3:uid="{00000000-0010-0000-1700-000009000000}" name="Tool Rating " dataDxfId="8"/>
    <tableColumn id="11" xr3:uid="{00000000-0010-0000-1700-00000B000000}" name="Column1" dataDxfId="7"/>
    <tableColumn id="10" xr3:uid="{00000000-0010-0000-1700-00000A000000}" name="Link" dataDxfId="6" dataCellStyle="Hyperlink">
      <calculatedColumnFormula>HYPERLINK(J60)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mazon.com/dp/B0FNWKSKYK" TargetMode="External"/><Relationship Id="rId21" Type="http://schemas.openxmlformats.org/officeDocument/2006/relationships/hyperlink" Target="https://amazon.com/dp/B0CTVD7WNF" TargetMode="External"/><Relationship Id="rId42" Type="http://schemas.openxmlformats.org/officeDocument/2006/relationships/hyperlink" Target="https://amazon.com/dp/B0FTG8VLSM" TargetMode="External"/><Relationship Id="rId47" Type="http://schemas.openxmlformats.org/officeDocument/2006/relationships/hyperlink" Target="https://amazon.com/dp/B0B8M93WR8" TargetMode="External"/><Relationship Id="rId63" Type="http://schemas.openxmlformats.org/officeDocument/2006/relationships/hyperlink" Target="https://amazon.com/dp/B0FJM2TBJZ" TargetMode="External"/><Relationship Id="rId68" Type="http://schemas.openxmlformats.org/officeDocument/2006/relationships/hyperlink" Target="https://amazon.com/dp/B0DPHT54L9" TargetMode="External"/><Relationship Id="rId84" Type="http://schemas.openxmlformats.org/officeDocument/2006/relationships/hyperlink" Target="https://amazon.com/dp/B0CFH6TPWQ" TargetMode="External"/><Relationship Id="rId89" Type="http://schemas.openxmlformats.org/officeDocument/2006/relationships/hyperlink" Target="https://amazon.com/dp/B0F1NT1NLK" TargetMode="External"/><Relationship Id="rId16" Type="http://schemas.openxmlformats.org/officeDocument/2006/relationships/hyperlink" Target="https://amazon.com/dp/B0BRY2694B" TargetMode="External"/><Relationship Id="rId11" Type="http://schemas.openxmlformats.org/officeDocument/2006/relationships/hyperlink" Target="https://amazon.com/dp/B0DW3ZPC1N" TargetMode="External"/><Relationship Id="rId32" Type="http://schemas.openxmlformats.org/officeDocument/2006/relationships/hyperlink" Target="https://amazon.com/dp/B003QNIZ14" TargetMode="External"/><Relationship Id="rId37" Type="http://schemas.openxmlformats.org/officeDocument/2006/relationships/hyperlink" Target="https://amazon.com/dp/B0D84GH4GB" TargetMode="External"/><Relationship Id="rId53" Type="http://schemas.openxmlformats.org/officeDocument/2006/relationships/hyperlink" Target="https://amazon.com/dp/B0FNM6ZFGG" TargetMode="External"/><Relationship Id="rId58" Type="http://schemas.openxmlformats.org/officeDocument/2006/relationships/hyperlink" Target="https://amazon.com/dp/B0CNXP8JBV" TargetMode="External"/><Relationship Id="rId74" Type="http://schemas.openxmlformats.org/officeDocument/2006/relationships/hyperlink" Target="https://amazon.com/dp/B0FNWKSKYK" TargetMode="External"/><Relationship Id="rId79" Type="http://schemas.openxmlformats.org/officeDocument/2006/relationships/hyperlink" Target="https://amazon.com/dp/B09897SNLP" TargetMode="External"/><Relationship Id="rId102" Type="http://schemas.openxmlformats.org/officeDocument/2006/relationships/table" Target="../tables/table4.xml"/><Relationship Id="rId5" Type="http://schemas.openxmlformats.org/officeDocument/2006/relationships/hyperlink" Target="https://amazon.com/dp/B0FW4H9MXB" TargetMode="External"/><Relationship Id="rId90" Type="http://schemas.openxmlformats.org/officeDocument/2006/relationships/hyperlink" Target="https://amazon.com/dp/B0C37XZWZJ" TargetMode="External"/><Relationship Id="rId95" Type="http://schemas.openxmlformats.org/officeDocument/2006/relationships/hyperlink" Target="https://amazon.com/dp/B0FDW99SWF" TargetMode="External"/><Relationship Id="rId22" Type="http://schemas.openxmlformats.org/officeDocument/2006/relationships/hyperlink" Target="https://amazon.com/dp/B0988TDVTW" TargetMode="External"/><Relationship Id="rId27" Type="http://schemas.openxmlformats.org/officeDocument/2006/relationships/hyperlink" Target="https://amazon.com/dp/B09897SNLP" TargetMode="External"/><Relationship Id="rId43" Type="http://schemas.openxmlformats.org/officeDocument/2006/relationships/hyperlink" Target="https://amazon.com/dp/B09JT1VXGG" TargetMode="External"/><Relationship Id="rId48" Type="http://schemas.openxmlformats.org/officeDocument/2006/relationships/hyperlink" Target="https://amazon.com/dp/B06XGS6611" TargetMode="External"/><Relationship Id="rId64" Type="http://schemas.openxmlformats.org/officeDocument/2006/relationships/hyperlink" Target="https://amazon.com/dp/B0FRGFKHHG" TargetMode="External"/><Relationship Id="rId69" Type="http://schemas.openxmlformats.org/officeDocument/2006/relationships/hyperlink" Target="https://amazon.com/dp/B0DSVFBXZT" TargetMode="External"/><Relationship Id="rId80" Type="http://schemas.openxmlformats.org/officeDocument/2006/relationships/hyperlink" Target="https://amazon.com/dp/B0FMK3PKNQ" TargetMode="External"/><Relationship Id="rId85" Type="http://schemas.openxmlformats.org/officeDocument/2006/relationships/hyperlink" Target="https://amazon.com/dp/B0DKJKWY24" TargetMode="External"/><Relationship Id="rId12" Type="http://schemas.openxmlformats.org/officeDocument/2006/relationships/hyperlink" Target="https://amazon.com/dp/B0C37XZWZJ" TargetMode="External"/><Relationship Id="rId17" Type="http://schemas.openxmlformats.org/officeDocument/2006/relationships/hyperlink" Target="https://amazon.com/dp/B0B6GJ84TZ" TargetMode="External"/><Relationship Id="rId25" Type="http://schemas.openxmlformats.org/officeDocument/2006/relationships/hyperlink" Target="https://amazon.com/dp/B0DMZSBPNT" TargetMode="External"/><Relationship Id="rId33" Type="http://schemas.openxmlformats.org/officeDocument/2006/relationships/hyperlink" Target="https://amazon.com/dp/B0FJM2TBJZ" TargetMode="External"/><Relationship Id="rId38" Type="http://schemas.openxmlformats.org/officeDocument/2006/relationships/hyperlink" Target="https://amazon.com/dp/B0D5B8RY8P" TargetMode="External"/><Relationship Id="rId46" Type="http://schemas.openxmlformats.org/officeDocument/2006/relationships/hyperlink" Target="https://amazon.com/dp/B0CY16GT91" TargetMode="External"/><Relationship Id="rId59" Type="http://schemas.openxmlformats.org/officeDocument/2006/relationships/hyperlink" Target="https://amazon.com/dp/B0BRY25L5X" TargetMode="External"/><Relationship Id="rId67" Type="http://schemas.openxmlformats.org/officeDocument/2006/relationships/hyperlink" Target="https://amazon.com/dp/B0DLKCCBBT" TargetMode="External"/><Relationship Id="rId20" Type="http://schemas.openxmlformats.org/officeDocument/2006/relationships/hyperlink" Target="https://amazon.com/dp/B0CTW1RCM1" TargetMode="External"/><Relationship Id="rId41" Type="http://schemas.openxmlformats.org/officeDocument/2006/relationships/hyperlink" Target="https://amazon.com/dp/B09LWY7717" TargetMode="External"/><Relationship Id="rId54" Type="http://schemas.openxmlformats.org/officeDocument/2006/relationships/hyperlink" Target="https://amazon.com/dp/B0F5WCSL4H" TargetMode="External"/><Relationship Id="rId62" Type="http://schemas.openxmlformats.org/officeDocument/2006/relationships/hyperlink" Target="https://amazon.com/dp/B096HD7WYC" TargetMode="External"/><Relationship Id="rId70" Type="http://schemas.openxmlformats.org/officeDocument/2006/relationships/hyperlink" Target="https://amazon.com/dp/B0CFH7SGZK" TargetMode="External"/><Relationship Id="rId75" Type="http://schemas.openxmlformats.org/officeDocument/2006/relationships/hyperlink" Target="https://amazon.com/dp/B0DSQ2QM7Q" TargetMode="External"/><Relationship Id="rId83" Type="http://schemas.openxmlformats.org/officeDocument/2006/relationships/hyperlink" Target="https://amazon.com/dp/B09RZS74XM" TargetMode="External"/><Relationship Id="rId88" Type="http://schemas.openxmlformats.org/officeDocument/2006/relationships/hyperlink" Target="https://amazon.com/dp/B0CP8N943X" TargetMode="External"/><Relationship Id="rId91" Type="http://schemas.openxmlformats.org/officeDocument/2006/relationships/hyperlink" Target="https://amazon.com/dp/B0FJQYHZ1S" TargetMode="External"/><Relationship Id="rId96" Type="http://schemas.openxmlformats.org/officeDocument/2006/relationships/hyperlink" Target="https://amazon.com/dp/B0DGT9WM5P" TargetMode="External"/><Relationship Id="rId1" Type="http://schemas.openxmlformats.org/officeDocument/2006/relationships/hyperlink" Target="https://amazon.com/dp/B0D56CNCW1" TargetMode="External"/><Relationship Id="rId6" Type="http://schemas.openxmlformats.org/officeDocument/2006/relationships/hyperlink" Target="https://amazon.com/dp/B0CNXPDG7R" TargetMode="External"/><Relationship Id="rId15" Type="http://schemas.openxmlformats.org/officeDocument/2006/relationships/hyperlink" Target="https://amazon.com/dp/B0CPN38V6B" TargetMode="External"/><Relationship Id="rId23" Type="http://schemas.openxmlformats.org/officeDocument/2006/relationships/hyperlink" Target="https://amazon.com/dp/B0DSVFBXZT" TargetMode="External"/><Relationship Id="rId28" Type="http://schemas.openxmlformats.org/officeDocument/2006/relationships/hyperlink" Target="https://amazon.com/dp/B0CTVH53L5" TargetMode="External"/><Relationship Id="rId36" Type="http://schemas.openxmlformats.org/officeDocument/2006/relationships/hyperlink" Target="https://amazon.com/dp/B0D84HKGHG" TargetMode="External"/><Relationship Id="rId49" Type="http://schemas.openxmlformats.org/officeDocument/2006/relationships/hyperlink" Target="https://amazon.com/dp/B0D1R935KD" TargetMode="External"/><Relationship Id="rId57" Type="http://schemas.openxmlformats.org/officeDocument/2006/relationships/hyperlink" Target="https://amazon.com/dp/B0D5QXY5JN" TargetMode="External"/><Relationship Id="rId10" Type="http://schemas.openxmlformats.org/officeDocument/2006/relationships/hyperlink" Target="https://amazon.com/dp/B0FNM6ZFGG" TargetMode="External"/><Relationship Id="rId31" Type="http://schemas.openxmlformats.org/officeDocument/2006/relationships/hyperlink" Target="https://amazon.com/dp/B0CKLVYY1J" TargetMode="External"/><Relationship Id="rId44" Type="http://schemas.openxmlformats.org/officeDocument/2006/relationships/hyperlink" Target="https://amazon.com/dp/B0DNJZB9RK" TargetMode="External"/><Relationship Id="rId52" Type="http://schemas.openxmlformats.org/officeDocument/2006/relationships/hyperlink" Target="https://amazon.com/dp/B0D56CNCW1" TargetMode="External"/><Relationship Id="rId60" Type="http://schemas.openxmlformats.org/officeDocument/2006/relationships/hyperlink" Target="https://amazon.com/dp/B0DMZSBPNT" TargetMode="External"/><Relationship Id="rId65" Type="http://schemas.openxmlformats.org/officeDocument/2006/relationships/hyperlink" Target="https://amazon.com/dp/B0DW3ZPC1N" TargetMode="External"/><Relationship Id="rId73" Type="http://schemas.openxmlformats.org/officeDocument/2006/relationships/hyperlink" Target="https://amazon.com/dp/B07C4WS8PZ" TargetMode="External"/><Relationship Id="rId78" Type="http://schemas.openxmlformats.org/officeDocument/2006/relationships/hyperlink" Target="https://amazon.com/dp/B0D5B8RY8P" TargetMode="External"/><Relationship Id="rId81" Type="http://schemas.openxmlformats.org/officeDocument/2006/relationships/hyperlink" Target="https://amazon.com/dp/B0F1ZYBGJL" TargetMode="External"/><Relationship Id="rId86" Type="http://schemas.openxmlformats.org/officeDocument/2006/relationships/hyperlink" Target="https://amazon.com/dp/B0DZTCYBFQ" TargetMode="External"/><Relationship Id="rId94" Type="http://schemas.openxmlformats.org/officeDocument/2006/relationships/hyperlink" Target="https://amazon.com/dp/B0DW8SV9B4" TargetMode="External"/><Relationship Id="rId99" Type="http://schemas.openxmlformats.org/officeDocument/2006/relationships/hyperlink" Target="https://amazon.com/dp/B0DXR8NFXX" TargetMode="External"/><Relationship Id="rId101" Type="http://schemas.openxmlformats.org/officeDocument/2006/relationships/table" Target="../tables/table3.xml"/><Relationship Id="rId4" Type="http://schemas.openxmlformats.org/officeDocument/2006/relationships/hyperlink" Target="https://amazon.com/dp/B0CNXP8JBV" TargetMode="External"/><Relationship Id="rId9" Type="http://schemas.openxmlformats.org/officeDocument/2006/relationships/hyperlink" Target="https://amazon.com/dp/B0FMDJC7VB" TargetMode="External"/><Relationship Id="rId13" Type="http://schemas.openxmlformats.org/officeDocument/2006/relationships/hyperlink" Target="https://amazon.com/dp/B0CP8N943X" TargetMode="External"/><Relationship Id="rId18" Type="http://schemas.openxmlformats.org/officeDocument/2006/relationships/hyperlink" Target="https://amazon.com/dp/B0FRGFKHHG" TargetMode="External"/><Relationship Id="rId39" Type="http://schemas.openxmlformats.org/officeDocument/2006/relationships/hyperlink" Target="https://amazon.com/dp/B0DLDYXW27" TargetMode="External"/><Relationship Id="rId34" Type="http://schemas.openxmlformats.org/officeDocument/2006/relationships/hyperlink" Target="https://amazon.com/dp/B07C4WS8PZ" TargetMode="External"/><Relationship Id="rId50" Type="http://schemas.openxmlformats.org/officeDocument/2006/relationships/hyperlink" Target="https://amazon.com/dp/B0D1RB6PBJ" TargetMode="External"/><Relationship Id="rId55" Type="http://schemas.openxmlformats.org/officeDocument/2006/relationships/hyperlink" Target="https://amazon.com/dp/B0BRY2694B" TargetMode="External"/><Relationship Id="rId76" Type="http://schemas.openxmlformats.org/officeDocument/2006/relationships/hyperlink" Target="https://amazon.com/dp/B002Q6UG3W" TargetMode="External"/><Relationship Id="rId97" Type="http://schemas.openxmlformats.org/officeDocument/2006/relationships/hyperlink" Target="https://amazon.com/dp/B0FQBV5QXN" TargetMode="External"/><Relationship Id="rId7" Type="http://schemas.openxmlformats.org/officeDocument/2006/relationships/hyperlink" Target="https://amazon.com/dp/B0F5WCSL4H" TargetMode="External"/><Relationship Id="rId71" Type="http://schemas.openxmlformats.org/officeDocument/2006/relationships/hyperlink" Target="https://amazon.com/dp/B0DSBXKFJD" TargetMode="External"/><Relationship Id="rId92" Type="http://schemas.openxmlformats.org/officeDocument/2006/relationships/hyperlink" Target="https://amazon.com/dp/B0CP4RWTJ7" TargetMode="External"/><Relationship Id="rId2" Type="http://schemas.openxmlformats.org/officeDocument/2006/relationships/hyperlink" Target="https://amazon.com/dp/B0FMDQK4S8" TargetMode="External"/><Relationship Id="rId29" Type="http://schemas.openxmlformats.org/officeDocument/2006/relationships/hyperlink" Target="https://amazon.com/dp/B0BN8CQ571" TargetMode="External"/><Relationship Id="rId24" Type="http://schemas.openxmlformats.org/officeDocument/2006/relationships/hyperlink" Target="https://amazon.com/dp/B07YCXCTCP" TargetMode="External"/><Relationship Id="rId40" Type="http://schemas.openxmlformats.org/officeDocument/2006/relationships/hyperlink" Target="https://amazon.com/dp/B0DSQ2QM7Q" TargetMode="External"/><Relationship Id="rId45" Type="http://schemas.openxmlformats.org/officeDocument/2006/relationships/hyperlink" Target="https://amazon.com/dp/B0C4TCBPHX" TargetMode="External"/><Relationship Id="rId66" Type="http://schemas.openxmlformats.org/officeDocument/2006/relationships/hyperlink" Target="https://amazon.com/dp/B0FW4H9MXB" TargetMode="External"/><Relationship Id="rId87" Type="http://schemas.openxmlformats.org/officeDocument/2006/relationships/hyperlink" Target="https://amazon.com/dp/B0DZNNGH3P" TargetMode="External"/><Relationship Id="rId61" Type="http://schemas.openxmlformats.org/officeDocument/2006/relationships/hyperlink" Target="https://amazon.com/dp/B0CNXPDG7R" TargetMode="External"/><Relationship Id="rId82" Type="http://schemas.openxmlformats.org/officeDocument/2006/relationships/hyperlink" Target="https://amazon.com/dp/B0BN8CQ571" TargetMode="External"/><Relationship Id="rId19" Type="http://schemas.openxmlformats.org/officeDocument/2006/relationships/hyperlink" Target="https://amazon.com/dp/B0CTVDMD16" TargetMode="External"/><Relationship Id="rId14" Type="http://schemas.openxmlformats.org/officeDocument/2006/relationships/hyperlink" Target="https://amazon.com/dp/B096HD7WYC" TargetMode="External"/><Relationship Id="rId30" Type="http://schemas.openxmlformats.org/officeDocument/2006/relationships/hyperlink" Target="https://amazon.com/dp/B0BRY25L5X" TargetMode="External"/><Relationship Id="rId35" Type="http://schemas.openxmlformats.org/officeDocument/2006/relationships/hyperlink" Target="https://amazon.com/dp/B0CFH7SGZK" TargetMode="External"/><Relationship Id="rId56" Type="http://schemas.openxmlformats.org/officeDocument/2006/relationships/hyperlink" Target="https://amazon.com/dp/B0FMDJC7VB" TargetMode="External"/><Relationship Id="rId77" Type="http://schemas.openxmlformats.org/officeDocument/2006/relationships/hyperlink" Target="https://amazon.com/dp/B0CKYMVYTK" TargetMode="External"/><Relationship Id="rId100" Type="http://schemas.openxmlformats.org/officeDocument/2006/relationships/hyperlink" Target="https://amazon.com/dp/B0DK2KPKW8" TargetMode="External"/><Relationship Id="rId8" Type="http://schemas.openxmlformats.org/officeDocument/2006/relationships/hyperlink" Target="https://amazon.com/dp/B0DZNNGH3P" TargetMode="External"/><Relationship Id="rId51" Type="http://schemas.openxmlformats.org/officeDocument/2006/relationships/hyperlink" Target="https://amazon.com/dp/B0FMDQK4S8" TargetMode="External"/><Relationship Id="rId72" Type="http://schemas.openxmlformats.org/officeDocument/2006/relationships/hyperlink" Target="https://amazon.com/dp/B0988TDVTW" TargetMode="External"/><Relationship Id="rId93" Type="http://schemas.openxmlformats.org/officeDocument/2006/relationships/hyperlink" Target="https://amazon.com/dp/B0CPV9ZL6T" TargetMode="External"/><Relationship Id="rId98" Type="http://schemas.openxmlformats.org/officeDocument/2006/relationships/hyperlink" Target="https://amazon.com/dp/B0FQNXBQM2" TargetMode="External"/><Relationship Id="rId3" Type="http://schemas.openxmlformats.org/officeDocument/2006/relationships/hyperlink" Target="https://amazon.com/dp/B0D5QXY5J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hyperlink" Target="https://amazon.com/dp/B07S7H86Z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hyperlink" Target="https://amazon.com/dp/B07S7H86Z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hyperlink" Target="https://amazon.com/dp/B07S7H86Z1" TargetMode="External"/><Relationship Id="rId7" Type="http://schemas.openxmlformats.org/officeDocument/2006/relationships/table" Target="../tables/table21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CM3FBXJT" TargetMode="External"/><Relationship Id="rId6" Type="http://schemas.openxmlformats.org/officeDocument/2006/relationships/hyperlink" Target="https://amazon.com/dp/B07S7H86Z1" TargetMode="External"/><Relationship Id="rId5" Type="http://schemas.openxmlformats.org/officeDocument/2006/relationships/hyperlink" Target="https://amazon.com/dp/B07S7H86Z1" TargetMode="External"/><Relationship Id="rId4" Type="http://schemas.openxmlformats.org/officeDocument/2006/relationships/hyperlink" Target="https://amazon.com/dp/B07S7H86Z1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amazon.com/dp/B07S7H86Z1" TargetMode="Externa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CFF8Z1NF" TargetMode="Externa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hyperlink" Target="https://amazon.com/dp/B07S7H86Z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9"/>
  <sheetViews>
    <sheetView tabSelected="1" zoomScaleNormal="100" workbookViewId="0">
      <selection activeCell="B40" sqref="B40"/>
    </sheetView>
  </sheetViews>
  <sheetFormatPr baseColWidth="10" defaultColWidth="11.1640625" defaultRowHeight="16" x14ac:dyDescent="0.2"/>
  <cols>
    <col min="1" max="2" width="15.33203125" customWidth="1"/>
    <col min="3" max="3" width="17.6640625" customWidth="1"/>
    <col min="4" max="4" width="23.6640625" customWidth="1"/>
    <col min="5" max="5" width="20.83203125" style="13" customWidth="1"/>
    <col min="6" max="6" width="25.33203125" bestFit="1" customWidth="1"/>
    <col min="7" max="7" width="19.83203125" customWidth="1"/>
    <col min="8" max="9" width="15.33203125" customWidth="1"/>
  </cols>
  <sheetData>
    <row r="1" spans="1:9" ht="26" customHeight="1" x14ac:dyDescent="0.25">
      <c r="A1" s="112" t="s">
        <v>0</v>
      </c>
      <c r="B1" s="113"/>
      <c r="C1" s="113"/>
      <c r="D1" s="113"/>
      <c r="E1" s="114"/>
      <c r="F1" s="113"/>
      <c r="G1" s="113"/>
      <c r="H1" s="113"/>
      <c r="I1" s="113"/>
    </row>
    <row r="2" spans="1:9" x14ac:dyDescent="0.2">
      <c r="A2" s="1" t="s">
        <v>1</v>
      </c>
      <c r="B2" s="2" t="s">
        <v>2</v>
      </c>
      <c r="C2" s="3" t="s">
        <v>3</v>
      </c>
      <c r="D2" s="12" t="s">
        <v>4</v>
      </c>
      <c r="E2" s="15" t="s">
        <v>5</v>
      </c>
      <c r="F2" s="2" t="s">
        <v>6</v>
      </c>
      <c r="G2" s="2" t="s">
        <v>7</v>
      </c>
      <c r="H2" s="2" t="s">
        <v>8</v>
      </c>
      <c r="I2" s="4" t="s">
        <v>9</v>
      </c>
    </row>
    <row r="3" spans="1:9" x14ac:dyDescent="0.2">
      <c r="A3" t="s">
        <v>10</v>
      </c>
      <c r="B3">
        <v>2</v>
      </c>
      <c r="C3" s="108">
        <v>500691.66</v>
      </c>
      <c r="D3">
        <v>6008299.9199999999</v>
      </c>
      <c r="E3">
        <v>1038</v>
      </c>
      <c r="F3">
        <v>0.1740157150798626</v>
      </c>
      <c r="G3">
        <v>482.36190751445082</v>
      </c>
      <c r="H3">
        <v>348</v>
      </c>
      <c r="I3" s="88">
        <v>4.4000000000000004</v>
      </c>
    </row>
    <row r="4" spans="1:9" x14ac:dyDescent="0.2">
      <c r="A4" t="s">
        <v>11</v>
      </c>
      <c r="B4">
        <v>3</v>
      </c>
      <c r="C4" s="108">
        <v>385302.43</v>
      </c>
      <c r="D4">
        <v>4623629.16</v>
      </c>
      <c r="E4">
        <v>378</v>
      </c>
      <c r="F4">
        <v>0.1339121124535182</v>
      </c>
      <c r="G4">
        <v>1019.318597883598</v>
      </c>
      <c r="H4">
        <v>86</v>
      </c>
      <c r="I4" s="88">
        <v>4.6418604651162791</v>
      </c>
    </row>
    <row r="5" spans="1:9" x14ac:dyDescent="0.2">
      <c r="A5" t="s">
        <v>12</v>
      </c>
      <c r="B5">
        <v>2</v>
      </c>
      <c r="C5" s="108">
        <v>380930.95</v>
      </c>
      <c r="D5">
        <v>4571171.4000000004</v>
      </c>
      <c r="E5">
        <v>3710</v>
      </c>
      <c r="F5">
        <v>0.13239280171014109</v>
      </c>
      <c r="G5">
        <v>102.6768059299191</v>
      </c>
      <c r="H5">
        <v>476</v>
      </c>
      <c r="I5" s="91">
        <v>4.5999999999999996</v>
      </c>
    </row>
    <row r="6" spans="1:9" x14ac:dyDescent="0.2">
      <c r="A6" t="s">
        <v>13</v>
      </c>
      <c r="B6">
        <v>19</v>
      </c>
      <c r="C6" s="108">
        <v>311030.43</v>
      </c>
      <c r="D6">
        <v>3732365.16</v>
      </c>
      <c r="E6">
        <v>788</v>
      </c>
      <c r="F6">
        <v>0.108098830102437</v>
      </c>
      <c r="G6">
        <v>394.70866751269028</v>
      </c>
      <c r="H6">
        <v>1927</v>
      </c>
      <c r="I6" s="91">
        <v>4.2656979761286973</v>
      </c>
    </row>
    <row r="7" spans="1:9" x14ac:dyDescent="0.2">
      <c r="A7" t="s">
        <v>14</v>
      </c>
      <c r="B7">
        <v>14</v>
      </c>
      <c r="C7" s="108">
        <v>278454.58</v>
      </c>
      <c r="D7">
        <v>3341454.96</v>
      </c>
      <c r="E7">
        <v>150</v>
      </c>
      <c r="F7">
        <v>9.6777072052613794E-2</v>
      </c>
      <c r="G7">
        <v>1856.363866666667</v>
      </c>
      <c r="H7">
        <v>222</v>
      </c>
      <c r="I7" s="91">
        <v>4.4090090090090088</v>
      </c>
    </row>
    <row r="8" spans="1:9" x14ac:dyDescent="0.2">
      <c r="A8" t="s">
        <v>15</v>
      </c>
      <c r="B8">
        <v>25</v>
      </c>
      <c r="C8" s="108">
        <v>153146.12</v>
      </c>
      <c r="D8">
        <v>1837753.44</v>
      </c>
      <c r="E8">
        <v>145</v>
      </c>
      <c r="F8">
        <v>5.322603452892833E-2</v>
      </c>
      <c r="G8">
        <v>1056.180137931035</v>
      </c>
      <c r="H8">
        <v>1845</v>
      </c>
      <c r="I8" s="91">
        <v>4.293875338753387</v>
      </c>
    </row>
    <row r="9" spans="1:9" x14ac:dyDescent="0.2">
      <c r="A9" t="s">
        <v>16</v>
      </c>
      <c r="B9">
        <v>3</v>
      </c>
      <c r="C9" s="108">
        <v>124542.8</v>
      </c>
      <c r="D9">
        <v>1494513.6</v>
      </c>
      <c r="E9">
        <v>1266</v>
      </c>
      <c r="F9">
        <v>4.3284931888117148E-2</v>
      </c>
      <c r="G9">
        <v>98.375039494470769</v>
      </c>
      <c r="H9">
        <v>812</v>
      </c>
      <c r="I9" s="91">
        <v>4.4000000000000004</v>
      </c>
    </row>
    <row r="10" spans="1:9" x14ac:dyDescent="0.2">
      <c r="A10" t="s">
        <v>17</v>
      </c>
      <c r="B10">
        <v>8</v>
      </c>
      <c r="C10" s="108">
        <v>90346.29</v>
      </c>
      <c r="D10">
        <v>1084155.48</v>
      </c>
      <c r="E10">
        <v>46</v>
      </c>
      <c r="F10">
        <v>3.1399912391515843E-2</v>
      </c>
      <c r="G10">
        <v>1964.049782608696</v>
      </c>
      <c r="H10">
        <v>44</v>
      </c>
      <c r="I10" s="91">
        <v>3.706818181818182</v>
      </c>
    </row>
    <row r="11" spans="1:9" x14ac:dyDescent="0.2">
      <c r="A11" t="s">
        <v>18</v>
      </c>
      <c r="B11">
        <v>3</v>
      </c>
      <c r="C11" s="108">
        <v>80425.52</v>
      </c>
      <c r="D11">
        <v>965106.24</v>
      </c>
      <c r="E11">
        <v>1157</v>
      </c>
      <c r="F11">
        <v>2.7951942266163949E-2</v>
      </c>
      <c r="G11">
        <v>69.512117545375972</v>
      </c>
      <c r="H11">
        <v>976</v>
      </c>
      <c r="I11" s="88">
        <v>4</v>
      </c>
    </row>
    <row r="12" spans="1:9" x14ac:dyDescent="0.2">
      <c r="A12" t="s">
        <v>19</v>
      </c>
      <c r="B12">
        <v>4</v>
      </c>
      <c r="C12" s="108">
        <v>58955.24</v>
      </c>
      <c r="D12">
        <v>707462.88</v>
      </c>
      <c r="E12">
        <v>323</v>
      </c>
      <c r="F12">
        <v>2.048993235937846E-2</v>
      </c>
      <c r="G12">
        <v>182.5239628482972</v>
      </c>
      <c r="H12">
        <v>2111</v>
      </c>
      <c r="I12" s="88">
        <v>3.823259118900995</v>
      </c>
    </row>
    <row r="13" spans="1:9" ht="17" customHeight="1" thickBot="1" x14ac:dyDescent="0.25">
      <c r="C13" s="108"/>
    </row>
    <row r="14" spans="1:9" s="100" customFormat="1" ht="17" customHeight="1" thickTop="1" x14ac:dyDescent="0.2">
      <c r="A14" s="92" t="s">
        <v>20</v>
      </c>
      <c r="B14" s="93">
        <v>413</v>
      </c>
      <c r="C14" s="95">
        <v>2877278.41</v>
      </c>
      <c r="D14" s="94">
        <v>34527340.920000002</v>
      </c>
      <c r="E14" s="96">
        <v>11436</v>
      </c>
      <c r="F14" s="97">
        <v>1</v>
      </c>
      <c r="G14" s="98">
        <v>251.59832196572219</v>
      </c>
      <c r="H14" s="96">
        <v>16952</v>
      </c>
      <c r="I14" s="99">
        <v>4.0836597451628123</v>
      </c>
    </row>
    <row r="16" spans="1:9" ht="26" customHeight="1" x14ac:dyDescent="0.25">
      <c r="A16" s="112" t="s">
        <v>21</v>
      </c>
      <c r="B16" s="113"/>
      <c r="C16" s="113"/>
      <c r="D16" s="113"/>
      <c r="E16" s="114"/>
      <c r="F16" s="113"/>
      <c r="G16" s="113"/>
      <c r="H16" s="113"/>
      <c r="I16" s="113"/>
    </row>
    <row r="17" spans="1:9" x14ac:dyDescent="0.2">
      <c r="A17" s="1" t="s">
        <v>1</v>
      </c>
      <c r="B17" s="2" t="s">
        <v>2</v>
      </c>
      <c r="C17" s="3" t="s">
        <v>3</v>
      </c>
      <c r="D17" s="14" t="s">
        <v>22</v>
      </c>
      <c r="E17" s="15" t="s">
        <v>5</v>
      </c>
      <c r="F17" s="2" t="s">
        <v>23</v>
      </c>
      <c r="G17" s="2" t="s">
        <v>7</v>
      </c>
      <c r="H17" s="2" t="s">
        <v>8</v>
      </c>
      <c r="I17" s="4" t="s">
        <v>9</v>
      </c>
    </row>
    <row r="18" spans="1:9" x14ac:dyDescent="0.2">
      <c r="A18" s="82" t="s">
        <v>12</v>
      </c>
      <c r="B18">
        <v>2</v>
      </c>
      <c r="C18" s="84">
        <v>380930.95</v>
      </c>
      <c r="D18" s="13">
        <v>44520</v>
      </c>
      <c r="E18" s="85">
        <v>3710</v>
      </c>
      <c r="F18" s="86">
        <v>0.32441413081497028</v>
      </c>
      <c r="G18" s="87">
        <v>102.6768059299191</v>
      </c>
      <c r="H18" s="13">
        <v>476</v>
      </c>
      <c r="I18" s="88">
        <v>4.5999999999999996</v>
      </c>
    </row>
    <row r="19" spans="1:9" x14ac:dyDescent="0.2">
      <c r="A19" s="82" t="s">
        <v>16</v>
      </c>
      <c r="B19">
        <v>3</v>
      </c>
      <c r="C19" s="84">
        <v>124542.8</v>
      </c>
      <c r="D19" s="13">
        <v>15192</v>
      </c>
      <c r="E19" s="85">
        <v>1266</v>
      </c>
      <c r="F19" s="86">
        <v>0.11070304302203569</v>
      </c>
      <c r="G19" s="87">
        <v>98.375039494470769</v>
      </c>
      <c r="H19" s="13">
        <v>812</v>
      </c>
      <c r="I19" s="88">
        <v>4.4000000000000004</v>
      </c>
    </row>
    <row r="20" spans="1:9" ht="17" customHeight="1" x14ac:dyDescent="0.2">
      <c r="A20" s="83" t="s">
        <v>18</v>
      </c>
      <c r="B20" s="19">
        <v>3</v>
      </c>
      <c r="C20" s="40">
        <v>80425.52</v>
      </c>
      <c r="D20" s="109">
        <v>13884</v>
      </c>
      <c r="E20" s="110">
        <v>1157</v>
      </c>
      <c r="F20" s="89">
        <v>0.10117173837005949</v>
      </c>
      <c r="G20" s="90">
        <v>69.512117545375972</v>
      </c>
      <c r="H20" s="48">
        <v>976</v>
      </c>
      <c r="I20" s="91">
        <v>4</v>
      </c>
    </row>
    <row r="21" spans="1:9" ht="17" customHeight="1" x14ac:dyDescent="0.2">
      <c r="A21" s="83" t="s">
        <v>10</v>
      </c>
      <c r="B21" s="19">
        <v>2</v>
      </c>
      <c r="C21" s="40">
        <v>500691.66</v>
      </c>
      <c r="D21" s="109">
        <v>12456</v>
      </c>
      <c r="E21" s="110">
        <v>1038</v>
      </c>
      <c r="F21" s="89">
        <v>9.076600209863589E-2</v>
      </c>
      <c r="G21" s="90">
        <v>482.36190751445082</v>
      </c>
      <c r="H21" s="48">
        <v>348</v>
      </c>
      <c r="I21" s="91">
        <v>4.4000000000000004</v>
      </c>
    </row>
    <row r="22" spans="1:9" ht="17" customHeight="1" x14ac:dyDescent="0.2">
      <c r="A22" s="83" t="s">
        <v>24</v>
      </c>
      <c r="B22" s="19">
        <v>1</v>
      </c>
      <c r="C22" s="40">
        <v>56678.34</v>
      </c>
      <c r="D22" s="109">
        <v>9852</v>
      </c>
      <c r="E22" s="110">
        <v>821</v>
      </c>
      <c r="F22" s="89">
        <v>7.1790835956628191E-2</v>
      </c>
      <c r="G22" s="90">
        <v>69.035736906211937</v>
      </c>
      <c r="H22" s="48">
        <v>129</v>
      </c>
      <c r="I22" s="91">
        <v>4.5</v>
      </c>
    </row>
    <row r="23" spans="1:9" ht="17" customHeight="1" x14ac:dyDescent="0.2">
      <c r="A23" s="83" t="s">
        <v>13</v>
      </c>
      <c r="B23" s="19">
        <v>19</v>
      </c>
      <c r="C23" s="40">
        <v>311030.43</v>
      </c>
      <c r="D23" s="109">
        <v>9456</v>
      </c>
      <c r="E23" s="110">
        <v>788</v>
      </c>
      <c r="F23" s="89">
        <v>6.8905211612451903E-2</v>
      </c>
      <c r="G23" s="90">
        <v>394.70866751269028</v>
      </c>
      <c r="H23" s="48">
        <v>1927</v>
      </c>
      <c r="I23" s="91">
        <v>4.2656979761286973</v>
      </c>
    </row>
    <row r="24" spans="1:9" ht="17" customHeight="1" x14ac:dyDescent="0.2">
      <c r="A24" s="83" t="s">
        <v>11</v>
      </c>
      <c r="B24" s="19">
        <v>3</v>
      </c>
      <c r="C24" s="40">
        <v>385302.43</v>
      </c>
      <c r="D24" s="109">
        <v>4536</v>
      </c>
      <c r="E24" s="110">
        <v>378</v>
      </c>
      <c r="F24" s="89">
        <v>3.3053515215110178E-2</v>
      </c>
      <c r="G24" s="90">
        <v>1019.318597883598</v>
      </c>
      <c r="H24" s="48">
        <v>86</v>
      </c>
      <c r="I24" s="91">
        <v>4.6418604651162791</v>
      </c>
    </row>
    <row r="25" spans="1:9" ht="17" customHeight="1" x14ac:dyDescent="0.2">
      <c r="A25" s="83" t="s">
        <v>19</v>
      </c>
      <c r="B25" s="19">
        <v>4</v>
      </c>
      <c r="C25" s="40">
        <v>58955.24</v>
      </c>
      <c r="D25" s="109">
        <v>3876</v>
      </c>
      <c r="E25" s="110">
        <v>323</v>
      </c>
      <c r="F25" s="89">
        <v>2.8244141308149701E-2</v>
      </c>
      <c r="G25" s="90">
        <v>182.5239628482972</v>
      </c>
      <c r="H25" s="48">
        <v>2111</v>
      </c>
      <c r="I25" s="91">
        <v>3.823259118900995</v>
      </c>
    </row>
    <row r="26" spans="1:9" x14ac:dyDescent="0.2">
      <c r="A26" s="82" t="s">
        <v>25</v>
      </c>
      <c r="B26">
        <v>5</v>
      </c>
      <c r="C26" s="84">
        <v>17263.89</v>
      </c>
      <c r="D26" s="13">
        <v>2136</v>
      </c>
      <c r="E26" s="85">
        <v>178</v>
      </c>
      <c r="F26" s="86">
        <v>1.5564882826162991E-2</v>
      </c>
      <c r="G26" s="87">
        <v>96.988146067415727</v>
      </c>
      <c r="H26" s="13">
        <v>136</v>
      </c>
      <c r="I26" s="88">
        <v>3.577941176470588</v>
      </c>
    </row>
    <row r="27" spans="1:9" x14ac:dyDescent="0.2">
      <c r="A27" s="82" t="s">
        <v>14</v>
      </c>
      <c r="B27">
        <v>14</v>
      </c>
      <c r="C27" s="84">
        <v>278454.58</v>
      </c>
      <c r="D27" s="13">
        <v>1800</v>
      </c>
      <c r="E27" s="85">
        <v>150</v>
      </c>
      <c r="F27" s="86">
        <v>1.311647429171039E-2</v>
      </c>
      <c r="G27" s="87">
        <v>1856.363866666667</v>
      </c>
      <c r="H27" s="13">
        <v>222</v>
      </c>
      <c r="I27" s="88">
        <v>4.4090090090090088</v>
      </c>
    </row>
    <row r="28" spans="1:9" ht="17" customHeight="1" thickBot="1" x14ac:dyDescent="0.25">
      <c r="C28" s="84"/>
      <c r="D28" s="13"/>
      <c r="E28" s="85"/>
      <c r="F28" s="86"/>
      <c r="G28" s="87"/>
      <c r="H28" s="13"/>
      <c r="I28" s="88"/>
    </row>
    <row r="29" spans="1:9" s="100" customFormat="1" ht="17" customHeight="1" thickTop="1" x14ac:dyDescent="0.2">
      <c r="A29" s="92" t="s">
        <v>20</v>
      </c>
      <c r="B29" s="93">
        <v>413</v>
      </c>
      <c r="C29" s="94">
        <v>2877278.41</v>
      </c>
      <c r="D29" s="94">
        <v>137232</v>
      </c>
      <c r="E29" s="111">
        <v>11436</v>
      </c>
      <c r="F29" s="97">
        <v>1</v>
      </c>
      <c r="G29" s="98">
        <v>251.59832196572219</v>
      </c>
      <c r="H29" s="96">
        <v>16952</v>
      </c>
      <c r="I29" s="99">
        <v>4.0836597451628123</v>
      </c>
    </row>
  </sheetData>
  <mergeCells count="2">
    <mergeCell ref="A1:I1"/>
    <mergeCell ref="A16:I16"/>
  </mergeCells>
  <pageMargins left="0.7" right="0.7" top="0.75" bottom="0.75" header="0.3" footer="0.3"/>
  <pageSetup orientation="portrait" horizontalDpi="1200" verticalDpi="12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Q106"/>
  <sheetViews>
    <sheetView zoomScaleNormal="100" workbookViewId="0">
      <selection activeCell="S53" sqref="S53"/>
    </sheetView>
  </sheetViews>
  <sheetFormatPr baseColWidth="10" defaultColWidth="11.1640625" defaultRowHeight="16" x14ac:dyDescent="0.2"/>
  <cols>
    <col min="1" max="1" width="9.6640625" customWidth="1"/>
    <col min="2" max="2" width="11.1640625" bestFit="1" customWidth="1"/>
    <col min="3" max="3" width="14.83203125" customWidth="1"/>
    <col min="5" max="5" width="9" bestFit="1" customWidth="1"/>
    <col min="6" max="6" width="10.6640625" hidden="1" bestFit="1" customWidth="1"/>
    <col min="7" max="7" width="8.1640625" hidden="1" customWidth="1"/>
    <col min="8" max="8" width="10.6640625" hidden="1" customWidth="1"/>
    <col min="9" max="9" width="13" hidden="1" customWidth="1"/>
    <col min="10" max="10" width="12" hidden="1" bestFit="1" customWidth="1"/>
    <col min="11" max="12" width="7.6640625" customWidth="1"/>
    <col min="14" max="14" width="6.6640625" customWidth="1"/>
    <col min="15" max="15" width="4.83203125" customWidth="1"/>
    <col min="16" max="16" width="28.5" style="104" hidden="1" customWidth="1"/>
    <col min="17" max="17" width="35.33203125" customWidth="1"/>
  </cols>
  <sheetData>
    <row r="1" spans="1:17" ht="26" customHeight="1" x14ac:dyDescent="0.25">
      <c r="A1" s="112" t="s">
        <v>26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5"/>
      <c r="Q1" s="113"/>
    </row>
    <row r="2" spans="1:17" ht="57" customHeight="1" x14ac:dyDescent="0.2">
      <c r="A2" s="49" t="s">
        <v>27</v>
      </c>
      <c r="B2" s="50" t="s">
        <v>28</v>
      </c>
      <c r="C2" s="50" t="s">
        <v>29</v>
      </c>
      <c r="D2" s="50" t="s">
        <v>1</v>
      </c>
      <c r="E2" s="51" t="s">
        <v>30</v>
      </c>
      <c r="F2" s="51" t="s">
        <v>31</v>
      </c>
      <c r="G2" s="51" t="s">
        <v>32</v>
      </c>
      <c r="H2" s="51" t="s">
        <v>33</v>
      </c>
      <c r="I2" s="51" t="s">
        <v>34</v>
      </c>
      <c r="J2" s="51" t="s">
        <v>35</v>
      </c>
      <c r="K2" s="51" t="s">
        <v>36</v>
      </c>
      <c r="L2" s="52" t="s">
        <v>37</v>
      </c>
      <c r="M2" s="53" t="s">
        <v>38</v>
      </c>
      <c r="N2" s="54" t="s">
        <v>39</v>
      </c>
      <c r="O2" s="55" t="s">
        <v>40</v>
      </c>
      <c r="P2" s="55" t="s">
        <v>41</v>
      </c>
      <c r="Q2" s="105" t="s">
        <v>42</v>
      </c>
    </row>
    <row r="3" spans="1:17" ht="16.25" customHeight="1" x14ac:dyDescent="0.2">
      <c r="A3" s="7">
        <v>1</v>
      </c>
      <c r="B3" s="8" t="s">
        <v>43</v>
      </c>
      <c r="C3" s="5" t="s">
        <v>44</v>
      </c>
      <c r="D3" s="5" t="s">
        <v>10</v>
      </c>
      <c r="E3" s="6" t="s">
        <v>45</v>
      </c>
      <c r="F3" s="6"/>
      <c r="G3" s="6"/>
      <c r="H3" s="6"/>
      <c r="I3" s="6"/>
      <c r="J3" s="6"/>
      <c r="K3" s="6">
        <v>406.6</v>
      </c>
      <c r="L3" s="6">
        <v>390473.49</v>
      </c>
      <c r="M3" s="9">
        <v>915</v>
      </c>
      <c r="N3" s="9">
        <v>172</v>
      </c>
      <c r="O3" s="5">
        <v>4.4000000000000004</v>
      </c>
      <c r="P3" s="5" t="s">
        <v>46</v>
      </c>
      <c r="Q3" s="22" t="str">
        <f t="shared" ref="Q3:Q34" si="0">HYPERLINK(P3)</f>
        <v>https://amazon.com/dp/B0D56CNCW1</v>
      </c>
    </row>
    <row r="4" spans="1:17" ht="16.25" customHeight="1" x14ac:dyDescent="0.2">
      <c r="A4" s="7">
        <v>2</v>
      </c>
      <c r="B4" s="8" t="s">
        <v>47</v>
      </c>
      <c r="C4" s="5" t="s">
        <v>48</v>
      </c>
      <c r="D4" s="5" t="s">
        <v>12</v>
      </c>
      <c r="E4" s="6" t="s">
        <v>45</v>
      </c>
      <c r="F4" s="6"/>
      <c r="G4" s="6"/>
      <c r="H4" s="6"/>
      <c r="I4" s="6"/>
      <c r="J4" s="6"/>
      <c r="K4" s="6">
        <v>99.98</v>
      </c>
      <c r="L4" s="6">
        <v>321020.94</v>
      </c>
      <c r="M4" s="9">
        <v>3211</v>
      </c>
      <c r="N4" s="9">
        <v>238</v>
      </c>
      <c r="O4" s="5">
        <v>4.5999999999999996</v>
      </c>
      <c r="P4" s="5" t="s">
        <v>49</v>
      </c>
      <c r="Q4" s="22" t="str">
        <f t="shared" si="0"/>
        <v>https://amazon.com/dp/B0FMDQK4S8</v>
      </c>
    </row>
    <row r="5" spans="1:17" ht="16.25" customHeight="1" x14ac:dyDescent="0.2">
      <c r="A5" s="7">
        <v>3</v>
      </c>
      <c r="B5" s="8" t="s">
        <v>50</v>
      </c>
      <c r="C5" s="5" t="s">
        <v>51</v>
      </c>
      <c r="D5" s="5" t="s">
        <v>11</v>
      </c>
      <c r="E5" s="6" t="s">
        <v>45</v>
      </c>
      <c r="F5" s="6"/>
      <c r="G5" s="6"/>
      <c r="H5" s="6"/>
      <c r="I5" s="6"/>
      <c r="J5" s="6"/>
      <c r="K5" s="6">
        <v>899</v>
      </c>
      <c r="L5" s="6">
        <v>306407.5</v>
      </c>
      <c r="M5" s="9">
        <v>346</v>
      </c>
      <c r="N5" s="9">
        <v>77</v>
      </c>
      <c r="O5" s="5">
        <v>4.5999999999999996</v>
      </c>
      <c r="P5" s="5" t="s">
        <v>52</v>
      </c>
      <c r="Q5" s="22" t="str">
        <f t="shared" si="0"/>
        <v>https://amazon.com/dp/B0D5QXY5JN</v>
      </c>
    </row>
    <row r="6" spans="1:17" ht="16.25" customHeight="1" x14ac:dyDescent="0.2">
      <c r="A6" s="7">
        <v>4</v>
      </c>
      <c r="B6" s="8" t="s">
        <v>53</v>
      </c>
      <c r="C6" s="5" t="s">
        <v>54</v>
      </c>
      <c r="D6" s="5" t="s">
        <v>13</v>
      </c>
      <c r="E6" s="6" t="s">
        <v>45</v>
      </c>
      <c r="F6" s="6"/>
      <c r="G6" s="6"/>
      <c r="H6" s="6"/>
      <c r="I6" s="6"/>
      <c r="J6" s="6"/>
      <c r="K6" s="6">
        <v>369</v>
      </c>
      <c r="L6" s="6">
        <v>116832.27</v>
      </c>
      <c r="M6" s="9">
        <v>317</v>
      </c>
      <c r="N6" s="9">
        <v>251</v>
      </c>
      <c r="O6" s="5">
        <v>4.3</v>
      </c>
      <c r="P6" s="5" t="s">
        <v>55</v>
      </c>
      <c r="Q6" s="22" t="str">
        <f t="shared" si="0"/>
        <v>https://amazon.com/dp/B0CNXP8JBV</v>
      </c>
    </row>
    <row r="7" spans="1:17" ht="16.25" customHeight="1" x14ac:dyDescent="0.2">
      <c r="A7" s="7">
        <v>5</v>
      </c>
      <c r="B7" s="8" t="s">
        <v>56</v>
      </c>
      <c r="C7" s="5" t="s">
        <v>57</v>
      </c>
      <c r="D7" s="5" t="s">
        <v>10</v>
      </c>
      <c r="E7" s="6" t="s">
        <v>45</v>
      </c>
      <c r="F7" s="6"/>
      <c r="G7" s="6"/>
      <c r="H7" s="6"/>
      <c r="I7" s="6"/>
      <c r="J7" s="6"/>
      <c r="K7" s="6">
        <v>899</v>
      </c>
      <c r="L7" s="6">
        <v>110218.17</v>
      </c>
      <c r="M7" s="9">
        <v>123</v>
      </c>
      <c r="N7" s="9">
        <v>176</v>
      </c>
      <c r="O7" s="5">
        <v>4.4000000000000004</v>
      </c>
      <c r="P7" s="5" t="s">
        <v>58</v>
      </c>
      <c r="Q7" s="22" t="str">
        <f t="shared" si="0"/>
        <v>https://amazon.com/dp/B0FW4H9MXB</v>
      </c>
    </row>
    <row r="8" spans="1:17" ht="16.25" customHeight="1" x14ac:dyDescent="0.2">
      <c r="A8" s="7">
        <v>6</v>
      </c>
      <c r="B8" s="8" t="s">
        <v>59</v>
      </c>
      <c r="C8" s="5" t="s">
        <v>60</v>
      </c>
      <c r="D8" s="5" t="s">
        <v>13</v>
      </c>
      <c r="E8" s="6" t="s">
        <v>45</v>
      </c>
      <c r="F8" s="6"/>
      <c r="G8" s="6"/>
      <c r="H8" s="6"/>
      <c r="I8" s="6"/>
      <c r="J8" s="6"/>
      <c r="K8" s="6">
        <v>404.1</v>
      </c>
      <c r="L8" s="6">
        <v>105720.5</v>
      </c>
      <c r="M8" s="9">
        <v>262</v>
      </c>
      <c r="N8" s="9">
        <v>251</v>
      </c>
      <c r="O8" s="5">
        <v>4.3</v>
      </c>
      <c r="P8" s="5" t="s">
        <v>61</v>
      </c>
      <c r="Q8" s="22" t="str">
        <f t="shared" si="0"/>
        <v>https://amazon.com/dp/B0CNXPDG7R</v>
      </c>
    </row>
    <row r="9" spans="1:17" ht="16.25" customHeight="1" x14ac:dyDescent="0.2">
      <c r="A9" s="7">
        <v>7</v>
      </c>
      <c r="B9" s="8" t="s">
        <v>62</v>
      </c>
      <c r="C9" s="5" t="s">
        <v>63</v>
      </c>
      <c r="D9" s="5" t="s">
        <v>16</v>
      </c>
      <c r="E9" s="6" t="s">
        <v>45</v>
      </c>
      <c r="F9" s="6"/>
      <c r="G9" s="6"/>
      <c r="H9" s="6"/>
      <c r="I9" s="6"/>
      <c r="J9" s="6"/>
      <c r="K9" s="6">
        <v>89.99</v>
      </c>
      <c r="L9" s="6">
        <v>75319.789999999994</v>
      </c>
      <c r="M9" s="9">
        <v>809</v>
      </c>
      <c r="N9" s="9">
        <v>242</v>
      </c>
      <c r="O9" s="5">
        <v>4.4000000000000004</v>
      </c>
      <c r="P9" s="5" t="s">
        <v>64</v>
      </c>
      <c r="Q9" s="22" t="str">
        <f t="shared" si="0"/>
        <v>https://amazon.com/dp/B0F5WCSL4H</v>
      </c>
    </row>
    <row r="10" spans="1:17" ht="16.25" customHeight="1" x14ac:dyDescent="0.2">
      <c r="A10" s="7">
        <v>8</v>
      </c>
      <c r="B10" s="8" t="s">
        <v>65</v>
      </c>
      <c r="C10" s="5" t="s">
        <v>66</v>
      </c>
      <c r="D10" s="5" t="s">
        <v>11</v>
      </c>
      <c r="E10" s="6" t="s">
        <v>45</v>
      </c>
      <c r="F10" s="6"/>
      <c r="G10" s="6"/>
      <c r="H10" s="6"/>
      <c r="I10" s="6"/>
      <c r="J10" s="6"/>
      <c r="K10" s="6">
        <v>2399</v>
      </c>
      <c r="L10" s="6">
        <v>68090.31</v>
      </c>
      <c r="M10" s="9">
        <v>28</v>
      </c>
      <c r="N10" s="9">
        <v>3</v>
      </c>
      <c r="O10" s="5">
        <v>5</v>
      </c>
      <c r="P10" s="5" t="s">
        <v>67</v>
      </c>
      <c r="Q10" s="22" t="str">
        <f t="shared" si="0"/>
        <v>https://amazon.com/dp/B0DZNNGH3P</v>
      </c>
    </row>
    <row r="11" spans="1:17" ht="16.25" customHeight="1" x14ac:dyDescent="0.2">
      <c r="A11" s="7">
        <v>9</v>
      </c>
      <c r="B11" s="8" t="s">
        <v>68</v>
      </c>
      <c r="C11" s="5" t="s">
        <v>69</v>
      </c>
      <c r="D11" s="5" t="s">
        <v>12</v>
      </c>
      <c r="E11" s="6" t="s">
        <v>45</v>
      </c>
      <c r="F11" s="6"/>
      <c r="G11" s="6"/>
      <c r="H11" s="6"/>
      <c r="I11" s="6"/>
      <c r="J11" s="6"/>
      <c r="K11" s="6">
        <v>99.98</v>
      </c>
      <c r="L11" s="6">
        <v>59910.01</v>
      </c>
      <c r="M11" s="9">
        <v>499</v>
      </c>
      <c r="N11" s="9">
        <v>238</v>
      </c>
      <c r="O11" s="5">
        <v>4.5999999999999996</v>
      </c>
      <c r="P11" s="5" t="s">
        <v>70</v>
      </c>
      <c r="Q11" s="22" t="str">
        <f t="shared" si="0"/>
        <v>https://amazon.com/dp/B0FMDJC7VB</v>
      </c>
    </row>
    <row r="12" spans="1:17" ht="16.25" customHeight="1" x14ac:dyDescent="0.2">
      <c r="A12" s="7">
        <v>10</v>
      </c>
      <c r="B12" s="8" t="s">
        <v>71</v>
      </c>
      <c r="C12" s="5" t="s">
        <v>72</v>
      </c>
      <c r="D12" s="5" t="s">
        <v>24</v>
      </c>
      <c r="E12" s="6" t="s">
        <v>45</v>
      </c>
      <c r="F12" s="6"/>
      <c r="G12" s="6"/>
      <c r="H12" s="6"/>
      <c r="I12" s="6"/>
      <c r="J12" s="6"/>
      <c r="K12" s="6">
        <v>89.99</v>
      </c>
      <c r="L12" s="6">
        <v>56678.34</v>
      </c>
      <c r="M12" s="9">
        <v>821</v>
      </c>
      <c r="N12" s="9">
        <v>129</v>
      </c>
      <c r="O12" s="5">
        <v>4.5</v>
      </c>
      <c r="P12" s="5" t="s">
        <v>73</v>
      </c>
      <c r="Q12" s="22" t="str">
        <f t="shared" si="0"/>
        <v>https://amazon.com/dp/B0FNM6ZFGG</v>
      </c>
    </row>
    <row r="13" spans="1:17" ht="16.25" customHeight="1" x14ac:dyDescent="0.2">
      <c r="A13" s="7">
        <v>11</v>
      </c>
      <c r="B13" s="8" t="s">
        <v>74</v>
      </c>
      <c r="C13" s="5" t="s">
        <v>75</v>
      </c>
      <c r="D13" s="5" t="s">
        <v>76</v>
      </c>
      <c r="E13" s="6" t="s">
        <v>45</v>
      </c>
      <c r="F13" s="6"/>
      <c r="G13" s="6"/>
      <c r="H13" s="6"/>
      <c r="I13" s="6"/>
      <c r="J13" s="6"/>
      <c r="K13" s="6">
        <v>399.99</v>
      </c>
      <c r="L13" s="6">
        <v>54148.36</v>
      </c>
      <c r="M13" s="9">
        <v>135</v>
      </c>
      <c r="N13" s="9">
        <v>151</v>
      </c>
      <c r="O13" s="5">
        <v>4.0999999999999996</v>
      </c>
      <c r="P13" s="5" t="s">
        <v>77</v>
      </c>
      <c r="Q13" s="22" t="str">
        <f t="shared" si="0"/>
        <v>https://amazon.com/dp/B0DW3ZPC1N</v>
      </c>
    </row>
    <row r="14" spans="1:17" ht="16.25" customHeight="1" x14ac:dyDescent="0.2">
      <c r="A14" s="7">
        <v>12</v>
      </c>
      <c r="B14" s="8" t="s">
        <v>78</v>
      </c>
      <c r="C14" s="5" t="s">
        <v>79</v>
      </c>
      <c r="D14" s="5" t="s">
        <v>14</v>
      </c>
      <c r="E14" s="6" t="s">
        <v>45</v>
      </c>
      <c r="F14" s="6"/>
      <c r="G14" s="6"/>
      <c r="H14" s="6"/>
      <c r="I14" s="6"/>
      <c r="J14" s="6"/>
      <c r="K14" s="6">
        <v>1859.99</v>
      </c>
      <c r="L14" s="6">
        <v>49246.81</v>
      </c>
      <c r="M14" s="9">
        <v>26</v>
      </c>
      <c r="N14" s="9">
        <v>39</v>
      </c>
      <c r="O14" s="5">
        <v>4.3</v>
      </c>
      <c r="P14" s="5" t="s">
        <v>80</v>
      </c>
      <c r="Q14" s="22" t="str">
        <f t="shared" si="0"/>
        <v>https://amazon.com/dp/B0C37XZWZJ</v>
      </c>
    </row>
    <row r="15" spans="1:17" ht="16.25" customHeight="1" x14ac:dyDescent="0.2">
      <c r="A15" s="7">
        <v>13</v>
      </c>
      <c r="B15" s="8" t="s">
        <v>81</v>
      </c>
      <c r="C15" s="5" t="s">
        <v>82</v>
      </c>
      <c r="D15" s="5" t="s">
        <v>17</v>
      </c>
      <c r="E15" s="6" t="s">
        <v>45</v>
      </c>
      <c r="F15" s="6"/>
      <c r="G15" s="6"/>
      <c r="H15" s="6"/>
      <c r="I15" s="6"/>
      <c r="J15" s="6"/>
      <c r="K15" s="6">
        <v>1583.12</v>
      </c>
      <c r="L15" s="6">
        <v>42087.92</v>
      </c>
      <c r="M15" s="9">
        <v>27</v>
      </c>
      <c r="N15" s="9">
        <v>19</v>
      </c>
      <c r="O15" s="5">
        <v>3.9</v>
      </c>
      <c r="P15" s="5" t="s">
        <v>83</v>
      </c>
      <c r="Q15" s="22" t="str">
        <f t="shared" si="0"/>
        <v>https://amazon.com/dp/B0CP8N943X</v>
      </c>
    </row>
    <row r="16" spans="1:17" ht="16.25" customHeight="1" x14ac:dyDescent="0.2">
      <c r="A16" s="7">
        <v>14</v>
      </c>
      <c r="B16" s="8" t="s">
        <v>84</v>
      </c>
      <c r="C16" s="5" t="s">
        <v>85</v>
      </c>
      <c r="D16" s="5" t="s">
        <v>19</v>
      </c>
      <c r="E16" s="6" t="s">
        <v>45</v>
      </c>
      <c r="F16" s="6"/>
      <c r="G16" s="6"/>
      <c r="H16" s="6"/>
      <c r="I16" s="6"/>
      <c r="J16" s="6"/>
      <c r="K16" s="6">
        <v>199.95</v>
      </c>
      <c r="L16" s="6">
        <v>38106.74</v>
      </c>
      <c r="M16" s="9">
        <v>255</v>
      </c>
      <c r="N16" s="9">
        <v>491</v>
      </c>
      <c r="O16" s="5">
        <v>3.9</v>
      </c>
      <c r="P16" s="5" t="s">
        <v>86</v>
      </c>
      <c r="Q16" s="22" t="str">
        <f t="shared" si="0"/>
        <v>https://amazon.com/dp/B096HD7WYC</v>
      </c>
    </row>
    <row r="17" spans="1:17" ht="16.25" customHeight="1" x14ac:dyDescent="0.2">
      <c r="A17" s="7">
        <v>15</v>
      </c>
      <c r="B17" s="8" t="s">
        <v>87</v>
      </c>
      <c r="C17" s="5" t="s">
        <v>88</v>
      </c>
      <c r="D17" s="5" t="s">
        <v>17</v>
      </c>
      <c r="E17" s="6" t="s">
        <v>45</v>
      </c>
      <c r="F17" s="6"/>
      <c r="G17" s="6"/>
      <c r="H17" s="6"/>
      <c r="I17" s="6"/>
      <c r="J17" s="6"/>
      <c r="K17" s="6">
        <v>2723</v>
      </c>
      <c r="L17" s="6">
        <v>38078.1</v>
      </c>
      <c r="M17" s="9">
        <v>14</v>
      </c>
      <c r="N17" s="9">
        <v>18</v>
      </c>
      <c r="O17" s="5">
        <v>4</v>
      </c>
      <c r="P17" s="5" t="s">
        <v>89</v>
      </c>
      <c r="Q17" s="22" t="str">
        <f t="shared" si="0"/>
        <v>https://amazon.com/dp/B0CPN38V6B</v>
      </c>
    </row>
    <row r="18" spans="1:17" ht="16.25" customHeight="1" x14ac:dyDescent="0.2">
      <c r="A18" s="7">
        <v>16</v>
      </c>
      <c r="B18" s="8" t="s">
        <v>90</v>
      </c>
      <c r="C18" s="5" t="s">
        <v>91</v>
      </c>
      <c r="D18" s="5" t="s">
        <v>18</v>
      </c>
      <c r="E18" s="6" t="s">
        <v>45</v>
      </c>
      <c r="F18" s="6"/>
      <c r="G18" s="6"/>
      <c r="H18" s="6"/>
      <c r="I18" s="6"/>
      <c r="J18" s="6"/>
      <c r="K18" s="6">
        <v>65.989999999999995</v>
      </c>
      <c r="L18" s="6">
        <v>36088.160000000003</v>
      </c>
      <c r="M18" s="9">
        <v>561</v>
      </c>
      <c r="N18" s="9">
        <v>435</v>
      </c>
      <c r="O18" s="5">
        <v>4</v>
      </c>
      <c r="P18" s="5" t="s">
        <v>92</v>
      </c>
      <c r="Q18" s="22" t="str">
        <f t="shared" si="0"/>
        <v>https://amazon.com/dp/B0BRY2694B</v>
      </c>
    </row>
    <row r="19" spans="1:17" ht="16.25" customHeight="1" x14ac:dyDescent="0.2">
      <c r="A19" s="7">
        <v>17</v>
      </c>
      <c r="B19" s="8" t="s">
        <v>93</v>
      </c>
      <c r="C19" s="5" t="s">
        <v>94</v>
      </c>
      <c r="D19" s="5" t="s">
        <v>14</v>
      </c>
      <c r="E19" s="6" t="s">
        <v>45</v>
      </c>
      <c r="F19" s="6"/>
      <c r="G19" s="6"/>
      <c r="H19" s="6"/>
      <c r="I19" s="6"/>
      <c r="J19" s="6"/>
      <c r="K19" s="6">
        <v>2379.9699999999998</v>
      </c>
      <c r="L19" s="6">
        <v>35611.01</v>
      </c>
      <c r="M19" s="9">
        <v>15</v>
      </c>
      <c r="N19" s="9">
        <v>61</v>
      </c>
      <c r="O19" s="5">
        <v>4.4000000000000004</v>
      </c>
      <c r="P19" s="5" t="s">
        <v>95</v>
      </c>
      <c r="Q19" s="22" t="str">
        <f t="shared" si="0"/>
        <v>https://amazon.com/dp/B0B6GJ84TZ</v>
      </c>
    </row>
    <row r="20" spans="1:17" ht="16.25" customHeight="1" x14ac:dyDescent="0.2">
      <c r="A20" s="7">
        <v>18</v>
      </c>
      <c r="B20" s="8" t="s">
        <v>96</v>
      </c>
      <c r="C20" s="5" t="s">
        <v>97</v>
      </c>
      <c r="D20" s="5" t="s">
        <v>16</v>
      </c>
      <c r="E20" s="6" t="s">
        <v>45</v>
      </c>
      <c r="F20" s="6"/>
      <c r="G20" s="6"/>
      <c r="H20" s="6"/>
      <c r="I20" s="6"/>
      <c r="J20" s="6"/>
      <c r="K20" s="6">
        <v>139.99</v>
      </c>
      <c r="L20" s="6">
        <v>32929.85</v>
      </c>
      <c r="M20" s="9">
        <v>204</v>
      </c>
      <c r="N20" s="9">
        <v>285</v>
      </c>
      <c r="O20" s="5">
        <v>4.4000000000000004</v>
      </c>
      <c r="P20" s="5" t="s">
        <v>98</v>
      </c>
      <c r="Q20" s="22" t="str">
        <f t="shared" si="0"/>
        <v>https://amazon.com/dp/B0FRGFKHHG</v>
      </c>
    </row>
    <row r="21" spans="1:17" ht="16.25" customHeight="1" x14ac:dyDescent="0.2">
      <c r="A21" s="7">
        <v>19</v>
      </c>
      <c r="B21" s="8" t="s">
        <v>99</v>
      </c>
      <c r="C21" s="5" t="s">
        <v>100</v>
      </c>
      <c r="D21" s="5" t="s">
        <v>14</v>
      </c>
      <c r="E21" s="6" t="s">
        <v>45</v>
      </c>
      <c r="F21" s="6"/>
      <c r="G21" s="6"/>
      <c r="H21" s="6"/>
      <c r="I21" s="6"/>
      <c r="J21" s="6"/>
      <c r="K21" s="6">
        <v>1949.99</v>
      </c>
      <c r="L21" s="6">
        <v>28044.14</v>
      </c>
      <c r="M21" s="9">
        <v>14</v>
      </c>
      <c r="N21" s="9">
        <v>15</v>
      </c>
      <c r="O21" s="5">
        <v>4.3</v>
      </c>
      <c r="P21" s="5" t="s">
        <v>101</v>
      </c>
      <c r="Q21" s="22" t="str">
        <f t="shared" si="0"/>
        <v>https://amazon.com/dp/B0CTVDMD16</v>
      </c>
    </row>
    <row r="22" spans="1:17" ht="16.25" customHeight="1" x14ac:dyDescent="0.2">
      <c r="A22" s="7">
        <v>20</v>
      </c>
      <c r="B22" s="8" t="s">
        <v>102</v>
      </c>
      <c r="C22" s="5" t="s">
        <v>103</v>
      </c>
      <c r="D22" s="5" t="s">
        <v>14</v>
      </c>
      <c r="E22" s="6" t="s">
        <v>45</v>
      </c>
      <c r="F22" s="6"/>
      <c r="G22" s="6"/>
      <c r="H22" s="6"/>
      <c r="I22" s="6"/>
      <c r="J22" s="6"/>
      <c r="K22" s="6">
        <v>3499.99</v>
      </c>
      <c r="L22" s="6">
        <v>26646.76</v>
      </c>
      <c r="M22" s="9">
        <v>7</v>
      </c>
      <c r="N22" s="9">
        <v>6</v>
      </c>
      <c r="O22" s="5">
        <v>4.8</v>
      </c>
      <c r="P22" s="5" t="s">
        <v>104</v>
      </c>
      <c r="Q22" s="22" t="str">
        <f t="shared" si="0"/>
        <v>https://amazon.com/dp/B0CTW1RCM1</v>
      </c>
    </row>
    <row r="23" spans="1:17" ht="16.25" customHeight="1" x14ac:dyDescent="0.2">
      <c r="A23" s="7">
        <v>21</v>
      </c>
      <c r="B23" s="8" t="s">
        <v>105</v>
      </c>
      <c r="C23" s="5" t="s">
        <v>106</v>
      </c>
      <c r="D23" s="5" t="s">
        <v>14</v>
      </c>
      <c r="E23" s="6" t="s">
        <v>45</v>
      </c>
      <c r="F23" s="6"/>
      <c r="G23" s="6"/>
      <c r="H23" s="6"/>
      <c r="I23" s="6"/>
      <c r="J23" s="6"/>
      <c r="K23" s="6">
        <v>2349</v>
      </c>
      <c r="L23" s="6">
        <v>25996.18</v>
      </c>
      <c r="M23" s="9">
        <v>11</v>
      </c>
      <c r="N23" s="9">
        <v>6</v>
      </c>
      <c r="O23" s="5">
        <v>4.8</v>
      </c>
      <c r="P23" s="5" t="s">
        <v>107</v>
      </c>
      <c r="Q23" s="22" t="str">
        <f t="shared" si="0"/>
        <v>https://amazon.com/dp/B0CTVD7WNF</v>
      </c>
    </row>
    <row r="24" spans="1:17" ht="16.25" customHeight="1" x14ac:dyDescent="0.2">
      <c r="A24" s="7">
        <v>22</v>
      </c>
      <c r="B24" s="8" t="s">
        <v>108</v>
      </c>
      <c r="C24" s="5" t="s">
        <v>109</v>
      </c>
      <c r="D24" s="5" t="s">
        <v>15</v>
      </c>
      <c r="E24" s="6" t="s">
        <v>45</v>
      </c>
      <c r="F24" s="6"/>
      <c r="G24" s="6"/>
      <c r="H24" s="6"/>
      <c r="I24" s="6"/>
      <c r="J24" s="6"/>
      <c r="K24" s="6">
        <v>549.99</v>
      </c>
      <c r="L24" s="6">
        <v>25264.26</v>
      </c>
      <c r="M24" s="9">
        <v>51</v>
      </c>
      <c r="N24" s="9">
        <v>846</v>
      </c>
      <c r="O24" s="5">
        <v>4.3</v>
      </c>
      <c r="P24" s="5" t="s">
        <v>110</v>
      </c>
      <c r="Q24" s="22" t="str">
        <f t="shared" si="0"/>
        <v>https://amazon.com/dp/B0988TDVTW</v>
      </c>
    </row>
    <row r="25" spans="1:17" ht="16.25" customHeight="1" x14ac:dyDescent="0.2">
      <c r="A25" s="7">
        <v>23</v>
      </c>
      <c r="B25" s="8" t="s">
        <v>111</v>
      </c>
      <c r="C25" s="5" t="s">
        <v>112</v>
      </c>
      <c r="D25" s="5" t="s">
        <v>113</v>
      </c>
      <c r="E25" s="6" t="s">
        <v>45</v>
      </c>
      <c r="F25" s="6"/>
      <c r="G25" s="6"/>
      <c r="H25" s="6"/>
      <c r="I25" s="6"/>
      <c r="J25" s="6"/>
      <c r="K25" s="6">
        <v>329.99</v>
      </c>
      <c r="L25" s="6">
        <v>25212.12</v>
      </c>
      <c r="M25" s="9">
        <v>76</v>
      </c>
      <c r="N25" s="9">
        <v>23</v>
      </c>
      <c r="O25" s="5">
        <v>4.0999999999999996</v>
      </c>
      <c r="P25" s="5" t="s">
        <v>114</v>
      </c>
      <c r="Q25" s="22" t="str">
        <f t="shared" si="0"/>
        <v>https://amazon.com/dp/B0DSVFBXZT</v>
      </c>
    </row>
    <row r="26" spans="1:17" ht="16.25" customHeight="1" x14ac:dyDescent="0.2">
      <c r="A26" s="7">
        <v>24</v>
      </c>
      <c r="B26" s="8" t="s">
        <v>115</v>
      </c>
      <c r="C26" s="5" t="s">
        <v>116</v>
      </c>
      <c r="D26" s="5" t="s">
        <v>15</v>
      </c>
      <c r="E26" s="6" t="s">
        <v>45</v>
      </c>
      <c r="F26" s="6"/>
      <c r="G26" s="6"/>
      <c r="H26" s="6"/>
      <c r="I26" s="6"/>
      <c r="J26" s="6"/>
      <c r="K26" s="6">
        <v>2609</v>
      </c>
      <c r="L26" s="6">
        <v>24381.279999999999</v>
      </c>
      <c r="M26" s="9">
        <v>9</v>
      </c>
      <c r="N26" s="9">
        <v>36</v>
      </c>
      <c r="O26" s="5">
        <v>4.5999999999999996</v>
      </c>
      <c r="P26" s="5" t="s">
        <v>117</v>
      </c>
      <c r="Q26" s="22" t="str">
        <f t="shared" si="0"/>
        <v>https://amazon.com/dp/B07YCXCTCP</v>
      </c>
    </row>
    <row r="27" spans="1:17" ht="16.25" customHeight="1" x14ac:dyDescent="0.2">
      <c r="A27" s="7">
        <v>25</v>
      </c>
      <c r="B27" s="8" t="s">
        <v>118</v>
      </c>
      <c r="C27" s="5" t="s">
        <v>119</v>
      </c>
      <c r="D27" s="5" t="s">
        <v>18</v>
      </c>
      <c r="E27" s="6" t="s">
        <v>45</v>
      </c>
      <c r="F27" s="6"/>
      <c r="G27" s="6"/>
      <c r="H27" s="6"/>
      <c r="I27" s="6"/>
      <c r="J27" s="6"/>
      <c r="K27" s="6">
        <v>83.99</v>
      </c>
      <c r="L27" s="6">
        <v>24024.32</v>
      </c>
      <c r="M27" s="9">
        <v>280</v>
      </c>
      <c r="N27" s="9">
        <v>107</v>
      </c>
      <c r="O27" s="5">
        <v>4</v>
      </c>
      <c r="P27" s="5" t="s">
        <v>120</v>
      </c>
      <c r="Q27" s="22" t="str">
        <f t="shared" si="0"/>
        <v>https://amazon.com/dp/B0DMZSBPNT</v>
      </c>
    </row>
    <row r="28" spans="1:17" ht="16.25" customHeight="1" x14ac:dyDescent="0.2">
      <c r="A28" s="7">
        <v>26</v>
      </c>
      <c r="B28" s="8" t="s">
        <v>121</v>
      </c>
      <c r="C28" s="5" t="s">
        <v>122</v>
      </c>
      <c r="D28" s="5" t="s">
        <v>13</v>
      </c>
      <c r="E28" s="6" t="s">
        <v>45</v>
      </c>
      <c r="F28" s="6"/>
      <c r="G28" s="6"/>
      <c r="H28" s="6"/>
      <c r="I28" s="6"/>
      <c r="J28" s="6"/>
      <c r="K28" s="6">
        <v>519</v>
      </c>
      <c r="L28" s="6">
        <v>23949.75</v>
      </c>
      <c r="M28" s="9">
        <v>46</v>
      </c>
      <c r="N28" s="9">
        <v>181</v>
      </c>
      <c r="O28" s="5">
        <v>4.3</v>
      </c>
      <c r="P28" s="5" t="s">
        <v>123</v>
      </c>
      <c r="Q28" s="22" t="str">
        <f t="shared" si="0"/>
        <v>https://amazon.com/dp/B0FNWKSKYK</v>
      </c>
    </row>
    <row r="29" spans="1:17" ht="16.25" customHeight="1" x14ac:dyDescent="0.2">
      <c r="A29" s="7">
        <v>27</v>
      </c>
      <c r="B29" s="8" t="s">
        <v>124</v>
      </c>
      <c r="C29" s="5" t="s">
        <v>125</v>
      </c>
      <c r="D29" s="5" t="s">
        <v>15</v>
      </c>
      <c r="E29" s="6" t="s">
        <v>45</v>
      </c>
      <c r="F29" s="6"/>
      <c r="G29" s="6"/>
      <c r="H29" s="6"/>
      <c r="I29" s="6"/>
      <c r="J29" s="6"/>
      <c r="K29" s="6">
        <v>700</v>
      </c>
      <c r="L29" s="6">
        <v>22252.32</v>
      </c>
      <c r="M29" s="9">
        <v>36</v>
      </c>
      <c r="N29" s="9">
        <v>846</v>
      </c>
      <c r="O29" s="5">
        <v>4.3</v>
      </c>
      <c r="P29" s="5" t="s">
        <v>126</v>
      </c>
      <c r="Q29" s="22" t="str">
        <f t="shared" si="0"/>
        <v>https://amazon.com/dp/B09897SNLP</v>
      </c>
    </row>
    <row r="30" spans="1:17" ht="16.25" customHeight="1" x14ac:dyDescent="0.2">
      <c r="A30" s="7">
        <v>28</v>
      </c>
      <c r="B30" s="8" t="s">
        <v>127</v>
      </c>
      <c r="C30" s="5" t="s">
        <v>128</v>
      </c>
      <c r="D30" s="5" t="s">
        <v>14</v>
      </c>
      <c r="E30" s="6" t="s">
        <v>45</v>
      </c>
      <c r="F30" s="6"/>
      <c r="G30" s="6"/>
      <c r="H30" s="6"/>
      <c r="I30" s="6"/>
      <c r="J30" s="6"/>
      <c r="K30" s="6">
        <v>2499.9699999999998</v>
      </c>
      <c r="L30" s="6">
        <v>21496.74</v>
      </c>
      <c r="M30" s="9">
        <v>8</v>
      </c>
      <c r="N30" s="9">
        <v>15</v>
      </c>
      <c r="O30" s="5">
        <v>4.3</v>
      </c>
      <c r="P30" s="5" t="s">
        <v>129</v>
      </c>
      <c r="Q30" s="22" t="str">
        <f t="shared" si="0"/>
        <v>https://amazon.com/dp/B0CTVH53L5</v>
      </c>
    </row>
    <row r="31" spans="1:17" ht="16.25" customHeight="1" x14ac:dyDescent="0.2">
      <c r="A31" s="7">
        <v>29</v>
      </c>
      <c r="B31" s="8" t="s">
        <v>130</v>
      </c>
      <c r="C31" s="5" t="s">
        <v>131</v>
      </c>
      <c r="D31" s="5" t="s">
        <v>132</v>
      </c>
      <c r="E31" s="6" t="s">
        <v>45</v>
      </c>
      <c r="F31" s="6"/>
      <c r="G31" s="6"/>
      <c r="H31" s="6"/>
      <c r="I31" s="6"/>
      <c r="J31" s="6"/>
      <c r="K31" s="6">
        <v>659</v>
      </c>
      <c r="L31" s="6">
        <v>21271.919999999998</v>
      </c>
      <c r="M31" s="9">
        <v>32</v>
      </c>
      <c r="N31" s="9">
        <v>1108</v>
      </c>
      <c r="O31" s="5">
        <v>3.9</v>
      </c>
      <c r="P31" s="5" t="s">
        <v>133</v>
      </c>
      <c r="Q31" s="22" t="str">
        <f t="shared" si="0"/>
        <v>https://amazon.com/dp/B0BN8CQ571</v>
      </c>
    </row>
    <row r="32" spans="1:17" ht="16.25" customHeight="1" x14ac:dyDescent="0.2">
      <c r="A32" s="7">
        <v>30</v>
      </c>
      <c r="B32" s="8" t="s">
        <v>134</v>
      </c>
      <c r="C32" s="5" t="s">
        <v>135</v>
      </c>
      <c r="D32" s="5" t="s">
        <v>18</v>
      </c>
      <c r="E32" s="6" t="s">
        <v>45</v>
      </c>
      <c r="F32" s="6"/>
      <c r="G32" s="6"/>
      <c r="H32" s="6"/>
      <c r="I32" s="6"/>
      <c r="J32" s="6"/>
      <c r="K32" s="6">
        <v>65.989999999999995</v>
      </c>
      <c r="L32" s="6">
        <v>20313.04</v>
      </c>
      <c r="M32" s="9">
        <v>316</v>
      </c>
      <c r="N32" s="9">
        <v>434</v>
      </c>
      <c r="O32" s="5">
        <v>4</v>
      </c>
      <c r="P32" s="5" t="s">
        <v>136</v>
      </c>
      <c r="Q32" s="22" t="str">
        <f t="shared" si="0"/>
        <v>https://amazon.com/dp/B0BRY25L5X</v>
      </c>
    </row>
    <row r="33" spans="1:17" ht="16.25" customHeight="1" x14ac:dyDescent="0.2">
      <c r="A33" s="7">
        <v>31</v>
      </c>
      <c r="B33" s="8" t="s">
        <v>137</v>
      </c>
      <c r="C33" s="5" t="s">
        <v>138</v>
      </c>
      <c r="D33" s="5" t="s">
        <v>14</v>
      </c>
      <c r="E33" s="6" t="s">
        <v>45</v>
      </c>
      <c r="F33" s="6"/>
      <c r="G33" s="6"/>
      <c r="H33" s="6"/>
      <c r="I33" s="6"/>
      <c r="J33" s="6"/>
      <c r="K33" s="6">
        <v>3495</v>
      </c>
      <c r="L33" s="6">
        <v>17342.77</v>
      </c>
      <c r="M33" s="9">
        <v>5</v>
      </c>
      <c r="N33" s="9">
        <v>15</v>
      </c>
      <c r="O33" s="5">
        <v>4.3</v>
      </c>
      <c r="P33" s="5" t="s">
        <v>139</v>
      </c>
      <c r="Q33" s="22" t="str">
        <f t="shared" si="0"/>
        <v>https://amazon.com/dp/B0CKLVYY1J</v>
      </c>
    </row>
    <row r="34" spans="1:17" ht="16.25" customHeight="1" x14ac:dyDescent="0.2">
      <c r="A34" s="7">
        <v>32</v>
      </c>
      <c r="B34" s="8" t="s">
        <v>140</v>
      </c>
      <c r="C34" s="5" t="s">
        <v>141</v>
      </c>
      <c r="D34" s="5" t="s">
        <v>14</v>
      </c>
      <c r="E34" s="6" t="s">
        <v>45</v>
      </c>
      <c r="F34" s="6"/>
      <c r="G34" s="6"/>
      <c r="H34" s="6"/>
      <c r="I34" s="6"/>
      <c r="J34" s="6"/>
      <c r="K34" s="6">
        <v>3999.97</v>
      </c>
      <c r="L34" s="6">
        <v>17219.41</v>
      </c>
      <c r="M34" s="9">
        <v>4</v>
      </c>
      <c r="N34" s="9">
        <v>6</v>
      </c>
      <c r="O34" s="5">
        <v>4.8</v>
      </c>
      <c r="P34" s="5" t="s">
        <v>142</v>
      </c>
      <c r="Q34" s="22" t="str">
        <f t="shared" si="0"/>
        <v>https://amazon.com/dp/B003QNIZ14</v>
      </c>
    </row>
    <row r="35" spans="1:17" ht="16.25" customHeight="1" x14ac:dyDescent="0.2">
      <c r="A35" s="7">
        <v>33</v>
      </c>
      <c r="B35" s="8" t="s">
        <v>143</v>
      </c>
      <c r="C35" s="5" t="s">
        <v>144</v>
      </c>
      <c r="D35" s="5" t="s">
        <v>16</v>
      </c>
      <c r="E35" s="6" t="s">
        <v>45</v>
      </c>
      <c r="F35" s="6"/>
      <c r="G35" s="6"/>
      <c r="H35" s="6"/>
      <c r="I35" s="6"/>
      <c r="J35" s="6"/>
      <c r="K35" s="6">
        <v>59.99</v>
      </c>
      <c r="L35" s="6">
        <v>16293.16</v>
      </c>
      <c r="M35" s="9">
        <v>253</v>
      </c>
      <c r="N35" s="9">
        <v>285</v>
      </c>
      <c r="O35" s="5">
        <v>4.4000000000000004</v>
      </c>
      <c r="P35" s="5" t="s">
        <v>145</v>
      </c>
      <c r="Q35" s="22" t="str">
        <f t="shared" ref="Q35:Q66" si="1">HYPERLINK(P35)</f>
        <v>https://amazon.com/dp/B0FJM2TBJZ</v>
      </c>
    </row>
    <row r="36" spans="1:17" ht="16.25" customHeight="1" x14ac:dyDescent="0.2">
      <c r="A36" s="7">
        <v>34</v>
      </c>
      <c r="B36" s="8" t="s">
        <v>146</v>
      </c>
      <c r="C36" s="5" t="s">
        <v>147</v>
      </c>
      <c r="D36" s="5" t="s">
        <v>19</v>
      </c>
      <c r="E36" s="6" t="s">
        <v>45</v>
      </c>
      <c r="F36" s="6"/>
      <c r="G36" s="6"/>
      <c r="H36" s="6"/>
      <c r="I36" s="6"/>
      <c r="J36" s="6"/>
      <c r="K36" s="6">
        <v>314.95999999999998</v>
      </c>
      <c r="L36" s="6">
        <v>14872.91</v>
      </c>
      <c r="M36" s="9">
        <v>47</v>
      </c>
      <c r="N36" s="9">
        <v>540</v>
      </c>
      <c r="O36" s="5">
        <v>3.8</v>
      </c>
      <c r="P36" s="5" t="s">
        <v>148</v>
      </c>
      <c r="Q36" s="22" t="str">
        <f t="shared" si="1"/>
        <v>https://amazon.com/dp/B07C4WS8PZ</v>
      </c>
    </row>
    <row r="37" spans="1:17" ht="16.25" customHeight="1" x14ac:dyDescent="0.2">
      <c r="A37" s="7">
        <v>35</v>
      </c>
      <c r="B37" s="8" t="s">
        <v>149</v>
      </c>
      <c r="C37" s="5" t="s">
        <v>150</v>
      </c>
      <c r="D37" s="5" t="s">
        <v>13</v>
      </c>
      <c r="E37" s="6" t="s">
        <v>45</v>
      </c>
      <c r="F37" s="6"/>
      <c r="G37" s="6"/>
      <c r="H37" s="6"/>
      <c r="I37" s="6"/>
      <c r="J37" s="6"/>
      <c r="K37" s="6">
        <v>229</v>
      </c>
      <c r="L37" s="6">
        <v>14526.11</v>
      </c>
      <c r="M37" s="9">
        <v>63</v>
      </c>
      <c r="N37" s="9">
        <v>182</v>
      </c>
      <c r="O37" s="5">
        <v>4.4000000000000004</v>
      </c>
      <c r="P37" s="5" t="s">
        <v>151</v>
      </c>
      <c r="Q37" s="22" t="str">
        <f t="shared" si="1"/>
        <v>https://amazon.com/dp/B0CFH7SGZK</v>
      </c>
    </row>
    <row r="38" spans="1:17" ht="16.25" customHeight="1" x14ac:dyDescent="0.2">
      <c r="A38" s="7">
        <v>36</v>
      </c>
      <c r="B38" s="8" t="s">
        <v>152</v>
      </c>
      <c r="C38" s="5" t="s">
        <v>153</v>
      </c>
      <c r="D38" s="5" t="s">
        <v>14</v>
      </c>
      <c r="E38" s="6" t="s">
        <v>45</v>
      </c>
      <c r="F38" s="6"/>
      <c r="G38" s="6"/>
      <c r="H38" s="6"/>
      <c r="I38" s="6"/>
      <c r="J38" s="6"/>
      <c r="K38" s="6">
        <v>4699</v>
      </c>
      <c r="L38" s="6">
        <v>14462.75</v>
      </c>
      <c r="M38" s="9">
        <v>3</v>
      </c>
      <c r="N38" s="9">
        <v>15</v>
      </c>
      <c r="O38" s="5">
        <v>4.3</v>
      </c>
      <c r="P38" s="5" t="s">
        <v>154</v>
      </c>
      <c r="Q38" s="22" t="str">
        <f t="shared" si="1"/>
        <v>https://amazon.com/dp/B0D84HKGHG</v>
      </c>
    </row>
    <row r="39" spans="1:17" ht="16.25" customHeight="1" x14ac:dyDescent="0.2">
      <c r="A39" s="7">
        <v>37</v>
      </c>
      <c r="B39" s="8" t="s">
        <v>155</v>
      </c>
      <c r="C39" s="5" t="s">
        <v>156</v>
      </c>
      <c r="D39" s="5" t="s">
        <v>14</v>
      </c>
      <c r="E39" s="6" t="s">
        <v>45</v>
      </c>
      <c r="F39" s="6"/>
      <c r="G39" s="6"/>
      <c r="H39" s="6"/>
      <c r="I39" s="6"/>
      <c r="J39" s="6"/>
      <c r="K39" s="6">
        <v>5499.97</v>
      </c>
      <c r="L39" s="6">
        <v>14357.52</v>
      </c>
      <c r="M39" s="9">
        <v>3</v>
      </c>
      <c r="N39" s="9">
        <v>6</v>
      </c>
      <c r="O39" s="5">
        <v>4.8</v>
      </c>
      <c r="P39" s="5" t="s">
        <v>157</v>
      </c>
      <c r="Q39" s="22" t="str">
        <f t="shared" si="1"/>
        <v>https://amazon.com/dp/B0D84GH4GB</v>
      </c>
    </row>
    <row r="40" spans="1:17" ht="16.25" customHeight="1" x14ac:dyDescent="0.2">
      <c r="A40" s="7">
        <v>38</v>
      </c>
      <c r="B40" s="8" t="s">
        <v>158</v>
      </c>
      <c r="C40" s="5" t="s">
        <v>159</v>
      </c>
      <c r="D40" s="5" t="s">
        <v>160</v>
      </c>
      <c r="E40" s="6" t="s">
        <v>45</v>
      </c>
      <c r="F40" s="6"/>
      <c r="G40" s="6"/>
      <c r="H40" s="6"/>
      <c r="I40" s="6"/>
      <c r="J40" s="6"/>
      <c r="K40" s="6">
        <v>369.98</v>
      </c>
      <c r="L40" s="6">
        <v>13974.24</v>
      </c>
      <c r="M40" s="9">
        <v>38</v>
      </c>
      <c r="N40" s="9">
        <v>23</v>
      </c>
      <c r="O40" s="5">
        <v>3.9</v>
      </c>
      <c r="P40" s="5" t="s">
        <v>161</v>
      </c>
      <c r="Q40" s="22" t="str">
        <f t="shared" si="1"/>
        <v>https://amazon.com/dp/B0D5B8RY8P</v>
      </c>
    </row>
    <row r="41" spans="1:17" ht="16.25" customHeight="1" x14ac:dyDescent="0.2">
      <c r="A41" s="7">
        <v>39</v>
      </c>
      <c r="B41" s="8" t="s">
        <v>162</v>
      </c>
      <c r="C41" s="5" t="s">
        <v>163</v>
      </c>
      <c r="D41" s="5" t="s">
        <v>14</v>
      </c>
      <c r="E41" s="6" t="s">
        <v>45</v>
      </c>
      <c r="F41" s="6"/>
      <c r="G41" s="6"/>
      <c r="H41" s="6"/>
      <c r="I41" s="6"/>
      <c r="J41" s="6"/>
      <c r="K41" s="6">
        <v>2199.9699999999998</v>
      </c>
      <c r="L41" s="6">
        <v>13664.92</v>
      </c>
      <c r="M41" s="9">
        <v>7</v>
      </c>
      <c r="N41" s="9">
        <v>14</v>
      </c>
      <c r="O41" s="5">
        <v>4.5999999999999996</v>
      </c>
      <c r="P41" s="5" t="s">
        <v>164</v>
      </c>
      <c r="Q41" s="22" t="str">
        <f t="shared" si="1"/>
        <v>https://amazon.com/dp/B0DLDYXW27</v>
      </c>
    </row>
    <row r="42" spans="1:17" ht="16.25" customHeight="1" x14ac:dyDescent="0.2">
      <c r="A42" s="7">
        <v>40</v>
      </c>
      <c r="B42" s="8" t="s">
        <v>165</v>
      </c>
      <c r="C42" s="5" t="s">
        <v>166</v>
      </c>
      <c r="D42" s="5" t="s">
        <v>167</v>
      </c>
      <c r="E42" s="6" t="s">
        <v>45</v>
      </c>
      <c r="F42" s="6"/>
      <c r="G42" s="6"/>
      <c r="H42" s="6"/>
      <c r="I42" s="6"/>
      <c r="J42" s="6"/>
      <c r="K42" s="6">
        <v>339.99</v>
      </c>
      <c r="L42" s="6">
        <v>13388.12</v>
      </c>
      <c r="M42" s="9">
        <v>44</v>
      </c>
      <c r="N42" s="9">
        <v>40</v>
      </c>
      <c r="O42" s="5">
        <v>4.4000000000000004</v>
      </c>
      <c r="P42" s="5" t="s">
        <v>168</v>
      </c>
      <c r="Q42" s="22" t="str">
        <f t="shared" si="1"/>
        <v>https://amazon.com/dp/B0DSQ2QM7Q</v>
      </c>
    </row>
    <row r="43" spans="1:17" ht="16.25" customHeight="1" x14ac:dyDescent="0.2">
      <c r="A43" s="7">
        <v>41</v>
      </c>
      <c r="B43" s="8" t="s">
        <v>169</v>
      </c>
      <c r="C43" s="5" t="s">
        <v>170</v>
      </c>
      <c r="D43" s="5" t="s">
        <v>15</v>
      </c>
      <c r="E43" s="6" t="s">
        <v>45</v>
      </c>
      <c r="F43" s="6"/>
      <c r="G43" s="6"/>
      <c r="H43" s="6"/>
      <c r="I43" s="6"/>
      <c r="J43" s="6"/>
      <c r="K43" s="6">
        <v>1599</v>
      </c>
      <c r="L43" s="6">
        <v>12427.62</v>
      </c>
      <c r="M43" s="9">
        <v>8</v>
      </c>
      <c r="N43" s="9">
        <v>28</v>
      </c>
      <c r="O43" s="5">
        <v>4.4000000000000004</v>
      </c>
      <c r="P43" s="5" t="s">
        <v>171</v>
      </c>
      <c r="Q43" s="22" t="str">
        <f t="shared" si="1"/>
        <v>https://amazon.com/dp/B09LWY7717</v>
      </c>
    </row>
    <row r="44" spans="1:17" ht="16.25" customHeight="1" x14ac:dyDescent="0.2">
      <c r="A44" s="7">
        <v>42</v>
      </c>
      <c r="B44" s="8" t="s">
        <v>172</v>
      </c>
      <c r="C44" s="5" t="s">
        <v>173</v>
      </c>
      <c r="D44" s="5" t="s">
        <v>174</v>
      </c>
      <c r="E44" s="6" t="s">
        <v>45</v>
      </c>
      <c r="F44" s="6"/>
      <c r="G44" s="6"/>
      <c r="H44" s="6"/>
      <c r="I44" s="6"/>
      <c r="J44" s="6"/>
      <c r="K44" s="6">
        <v>3299.99</v>
      </c>
      <c r="L44" s="6">
        <v>12207.96</v>
      </c>
      <c r="M44" s="9">
        <v>4</v>
      </c>
      <c r="N44" s="9"/>
      <c r="O44" s="5"/>
      <c r="P44" s="5" t="s">
        <v>175</v>
      </c>
      <c r="Q44" s="22" t="str">
        <f t="shared" si="1"/>
        <v>https://amazon.com/dp/B0FTG8VLSM</v>
      </c>
    </row>
    <row r="45" spans="1:17" ht="16.25" customHeight="1" x14ac:dyDescent="0.2">
      <c r="A45" s="7">
        <v>43</v>
      </c>
      <c r="B45" s="8" t="s">
        <v>176</v>
      </c>
      <c r="C45" s="5" t="s">
        <v>177</v>
      </c>
      <c r="D45" s="5" t="s">
        <v>178</v>
      </c>
      <c r="E45" s="6" t="s">
        <v>45</v>
      </c>
      <c r="F45" s="6"/>
      <c r="G45" s="6"/>
      <c r="H45" s="6"/>
      <c r="I45" s="6"/>
      <c r="J45" s="6"/>
      <c r="K45" s="6">
        <v>3499</v>
      </c>
      <c r="L45" s="6">
        <v>11928.86</v>
      </c>
      <c r="M45" s="9">
        <v>3</v>
      </c>
      <c r="N45" s="9">
        <v>20</v>
      </c>
      <c r="O45" s="5">
        <v>4.5</v>
      </c>
      <c r="P45" s="5" t="s">
        <v>179</v>
      </c>
      <c r="Q45" s="22" t="str">
        <f t="shared" si="1"/>
        <v>https://amazon.com/dp/B09JT1VXGG</v>
      </c>
    </row>
    <row r="46" spans="1:17" ht="16.25" customHeight="1" x14ac:dyDescent="0.2">
      <c r="A46" s="7">
        <v>44</v>
      </c>
      <c r="B46" s="8" t="s">
        <v>180</v>
      </c>
      <c r="C46" s="5" t="s">
        <v>181</v>
      </c>
      <c r="D46" s="5" t="s">
        <v>182</v>
      </c>
      <c r="E46" s="6" t="s">
        <v>45</v>
      </c>
      <c r="F46" s="6"/>
      <c r="G46" s="6"/>
      <c r="H46" s="6"/>
      <c r="I46" s="6"/>
      <c r="J46" s="6"/>
      <c r="K46" s="6">
        <v>1595</v>
      </c>
      <c r="L46" s="6">
        <v>11167.19</v>
      </c>
      <c r="M46" s="9">
        <v>6</v>
      </c>
      <c r="N46" s="9">
        <v>18</v>
      </c>
      <c r="O46" s="5">
        <v>4</v>
      </c>
      <c r="P46" s="5" t="s">
        <v>183</v>
      </c>
      <c r="Q46" s="22" t="str">
        <f t="shared" si="1"/>
        <v>https://amazon.com/dp/B0DNJZB9RK</v>
      </c>
    </row>
    <row r="47" spans="1:17" ht="16.25" customHeight="1" x14ac:dyDescent="0.2">
      <c r="A47" s="7">
        <v>45</v>
      </c>
      <c r="B47" s="8" t="s">
        <v>184</v>
      </c>
      <c r="C47" s="5" t="s">
        <v>185</v>
      </c>
      <c r="D47" s="5" t="s">
        <v>15</v>
      </c>
      <c r="E47" s="6" t="s">
        <v>45</v>
      </c>
      <c r="F47" s="6"/>
      <c r="G47" s="6"/>
      <c r="H47" s="6"/>
      <c r="I47" s="6"/>
      <c r="J47" s="6"/>
      <c r="K47" s="6">
        <v>1595</v>
      </c>
      <c r="L47" s="6">
        <v>10941.71</v>
      </c>
      <c r="M47" s="9">
        <v>7</v>
      </c>
      <c r="N47" s="9">
        <v>2</v>
      </c>
      <c r="O47" s="5">
        <v>5</v>
      </c>
      <c r="P47" s="5" t="s">
        <v>186</v>
      </c>
      <c r="Q47" s="22" t="str">
        <f t="shared" si="1"/>
        <v>https://amazon.com/dp/B0C4TCBPHX</v>
      </c>
    </row>
    <row r="48" spans="1:17" ht="16.25" customHeight="1" x14ac:dyDescent="0.2">
      <c r="A48" s="7">
        <v>46</v>
      </c>
      <c r="B48" s="8" t="s">
        <v>187</v>
      </c>
      <c r="C48" s="5" t="s">
        <v>188</v>
      </c>
      <c r="D48" s="5" t="s">
        <v>11</v>
      </c>
      <c r="E48" s="6" t="s">
        <v>45</v>
      </c>
      <c r="F48" s="6"/>
      <c r="G48" s="6"/>
      <c r="H48" s="6"/>
      <c r="I48" s="6"/>
      <c r="J48" s="6"/>
      <c r="K48" s="6">
        <v>2999</v>
      </c>
      <c r="L48" s="6">
        <v>10804.62</v>
      </c>
      <c r="M48" s="9">
        <v>4</v>
      </c>
      <c r="N48" s="9">
        <v>6</v>
      </c>
      <c r="O48" s="5">
        <v>5</v>
      </c>
      <c r="P48" s="5" t="s">
        <v>189</v>
      </c>
      <c r="Q48" s="22" t="str">
        <f t="shared" si="1"/>
        <v>https://amazon.com/dp/B0CY16GT91</v>
      </c>
    </row>
    <row r="49" spans="1:17" ht="16.25" customHeight="1" x14ac:dyDescent="0.2">
      <c r="A49" s="7">
        <v>47</v>
      </c>
      <c r="B49" s="8" t="s">
        <v>190</v>
      </c>
      <c r="C49" s="5" t="s">
        <v>191</v>
      </c>
      <c r="D49" s="5" t="s">
        <v>15</v>
      </c>
      <c r="E49" s="6" t="s">
        <v>45</v>
      </c>
      <c r="F49" s="6"/>
      <c r="G49" s="6"/>
      <c r="H49" s="6"/>
      <c r="I49" s="6"/>
      <c r="J49" s="6"/>
      <c r="K49" s="6">
        <v>4837.75</v>
      </c>
      <c r="L49" s="6">
        <v>10557.16</v>
      </c>
      <c r="M49" s="9">
        <v>2</v>
      </c>
      <c r="N49" s="9"/>
      <c r="O49" s="5"/>
      <c r="P49" s="5" t="s">
        <v>192</v>
      </c>
      <c r="Q49" s="22" t="str">
        <f t="shared" si="1"/>
        <v>https://amazon.com/dp/B0B8M93WR8</v>
      </c>
    </row>
    <row r="50" spans="1:17" ht="16.25" customHeight="1" x14ac:dyDescent="0.2">
      <c r="A50" s="7">
        <v>48</v>
      </c>
      <c r="B50" s="8" t="s">
        <v>193</v>
      </c>
      <c r="C50" s="5" t="s">
        <v>194</v>
      </c>
      <c r="D50" s="5" t="s">
        <v>132</v>
      </c>
      <c r="E50" s="6" t="s">
        <v>45</v>
      </c>
      <c r="F50" s="6"/>
      <c r="G50" s="6"/>
      <c r="H50" s="6"/>
      <c r="I50" s="6"/>
      <c r="J50" s="6"/>
      <c r="K50" s="6">
        <v>2899</v>
      </c>
      <c r="L50" s="6">
        <v>10321.83</v>
      </c>
      <c r="M50" s="9">
        <v>4</v>
      </c>
      <c r="N50" s="9">
        <v>126</v>
      </c>
      <c r="O50" s="5">
        <v>4</v>
      </c>
      <c r="P50" s="5" t="s">
        <v>195</v>
      </c>
      <c r="Q50" s="22" t="str">
        <f t="shared" si="1"/>
        <v>https://amazon.com/dp/B06XGS6611</v>
      </c>
    </row>
    <row r="51" spans="1:17" ht="16.25" customHeight="1" x14ac:dyDescent="0.2">
      <c r="A51" s="7">
        <v>49</v>
      </c>
      <c r="B51" s="8" t="s">
        <v>196</v>
      </c>
      <c r="C51" s="5" t="s">
        <v>197</v>
      </c>
      <c r="D51" s="5" t="s">
        <v>13</v>
      </c>
      <c r="E51" s="6" t="s">
        <v>45</v>
      </c>
      <c r="F51" s="6"/>
      <c r="G51" s="6"/>
      <c r="H51" s="6"/>
      <c r="I51" s="6"/>
      <c r="J51" s="6"/>
      <c r="K51" s="6">
        <v>664.99</v>
      </c>
      <c r="L51" s="6">
        <v>10135.36</v>
      </c>
      <c r="M51" s="9">
        <v>15</v>
      </c>
      <c r="N51" s="9">
        <v>52</v>
      </c>
      <c r="O51" s="5">
        <v>4.3</v>
      </c>
      <c r="P51" s="5" t="s">
        <v>198</v>
      </c>
      <c r="Q51" s="22" t="str">
        <f t="shared" si="1"/>
        <v>https://amazon.com/dp/B0D1R935KD</v>
      </c>
    </row>
    <row r="52" spans="1:17" ht="16.25" customHeight="1" x14ac:dyDescent="0.2">
      <c r="A52" s="7">
        <v>50</v>
      </c>
      <c r="B52" s="8" t="s">
        <v>199</v>
      </c>
      <c r="C52" s="5" t="s">
        <v>200</v>
      </c>
      <c r="D52" s="5" t="s">
        <v>13</v>
      </c>
      <c r="E52" s="6" t="s">
        <v>45</v>
      </c>
      <c r="F52" s="6"/>
      <c r="G52" s="6"/>
      <c r="H52" s="6"/>
      <c r="I52" s="6"/>
      <c r="J52" s="6"/>
      <c r="K52" s="6">
        <v>759.05</v>
      </c>
      <c r="L52" s="6">
        <v>10131.83</v>
      </c>
      <c r="M52" s="9">
        <v>13</v>
      </c>
      <c r="N52" s="9">
        <v>51</v>
      </c>
      <c r="O52" s="5">
        <v>4.3</v>
      </c>
      <c r="P52" s="5" t="s">
        <v>201</v>
      </c>
      <c r="Q52" s="22" t="str">
        <f t="shared" si="1"/>
        <v>https://amazon.com/dp/B0D1RB6PBJ</v>
      </c>
    </row>
    <row r="53" spans="1:17" x14ac:dyDescent="0.2">
      <c r="E53" s="6"/>
      <c r="F53" s="6"/>
      <c r="G53" s="6"/>
      <c r="H53" s="9"/>
      <c r="I53" s="9"/>
      <c r="K53" s="16"/>
    </row>
    <row r="54" spans="1:17" x14ac:dyDescent="0.2">
      <c r="E54" s="6"/>
      <c r="F54" s="6"/>
      <c r="G54" s="6"/>
      <c r="H54" s="9"/>
      <c r="I54" s="9"/>
    </row>
    <row r="55" spans="1:17" ht="26" customHeight="1" x14ac:dyDescent="0.25">
      <c r="A55" s="112" t="s">
        <v>202</v>
      </c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5"/>
      <c r="Q55" s="113"/>
    </row>
    <row r="56" spans="1:17" ht="57" customHeight="1" x14ac:dyDescent="0.2">
      <c r="A56" s="49" t="s">
        <v>27</v>
      </c>
      <c r="B56" s="50" t="s">
        <v>28</v>
      </c>
      <c r="C56" s="50" t="s">
        <v>29</v>
      </c>
      <c r="D56" s="50" t="s">
        <v>1</v>
      </c>
      <c r="E56" s="51" t="s">
        <v>30</v>
      </c>
      <c r="F56" s="51" t="s">
        <v>31</v>
      </c>
      <c r="G56" s="51" t="s">
        <v>32</v>
      </c>
      <c r="H56" s="51" t="s">
        <v>33</v>
      </c>
      <c r="I56" s="51" t="s">
        <v>34</v>
      </c>
      <c r="J56" s="51" t="s">
        <v>35</v>
      </c>
      <c r="K56" s="51" t="s">
        <v>36</v>
      </c>
      <c r="L56" s="52" t="s">
        <v>37</v>
      </c>
      <c r="M56" s="53" t="s">
        <v>38</v>
      </c>
      <c r="N56" s="54" t="s">
        <v>39</v>
      </c>
      <c r="O56" s="55" t="s">
        <v>40</v>
      </c>
      <c r="P56" s="55" t="s">
        <v>41</v>
      </c>
      <c r="Q56" s="105" t="s">
        <v>42</v>
      </c>
    </row>
    <row r="57" spans="1:17" ht="18.25" customHeight="1" x14ac:dyDescent="0.2">
      <c r="A57" s="7">
        <v>1</v>
      </c>
      <c r="B57" s="5" t="s">
        <v>47</v>
      </c>
      <c r="C57" s="10" t="s">
        <v>48</v>
      </c>
      <c r="D57" s="11" t="s">
        <v>12</v>
      </c>
      <c r="E57" s="6" t="s">
        <v>45</v>
      </c>
      <c r="F57" s="6"/>
      <c r="G57" s="6"/>
      <c r="H57" s="6"/>
      <c r="I57" s="6"/>
      <c r="J57" s="6"/>
      <c r="K57" s="6">
        <v>99.98</v>
      </c>
      <c r="L57" s="6">
        <v>321020.94</v>
      </c>
      <c r="M57" s="9">
        <v>3211</v>
      </c>
      <c r="N57" s="9">
        <v>238</v>
      </c>
      <c r="O57" s="5">
        <v>4.5999999999999996</v>
      </c>
      <c r="P57" s="5" t="s">
        <v>49</v>
      </c>
      <c r="Q57" s="22" t="str">
        <f t="shared" ref="Q57:Q88" si="2">HYPERLINK(P57)</f>
        <v>https://amazon.com/dp/B0FMDQK4S8</v>
      </c>
    </row>
    <row r="58" spans="1:17" ht="18.25" customHeight="1" x14ac:dyDescent="0.2">
      <c r="A58" s="7">
        <v>2</v>
      </c>
      <c r="B58" s="5" t="s">
        <v>43</v>
      </c>
      <c r="C58" s="10" t="s">
        <v>44</v>
      </c>
      <c r="D58" s="11" t="s">
        <v>10</v>
      </c>
      <c r="E58" s="6" t="s">
        <v>45</v>
      </c>
      <c r="F58" s="6"/>
      <c r="G58" s="6"/>
      <c r="H58" s="6"/>
      <c r="I58" s="6"/>
      <c r="J58" s="6"/>
      <c r="K58" s="6">
        <v>406.6</v>
      </c>
      <c r="L58" s="6">
        <v>390473.49</v>
      </c>
      <c r="M58" s="9">
        <v>915</v>
      </c>
      <c r="N58" s="9">
        <v>172</v>
      </c>
      <c r="O58" s="5">
        <v>4.4000000000000004</v>
      </c>
      <c r="P58" s="5" t="s">
        <v>46</v>
      </c>
      <c r="Q58" s="22" t="str">
        <f t="shared" si="2"/>
        <v>https://amazon.com/dp/B0D56CNCW1</v>
      </c>
    </row>
    <row r="59" spans="1:17" ht="18.25" customHeight="1" x14ac:dyDescent="0.2">
      <c r="A59" s="7">
        <v>3</v>
      </c>
      <c r="B59" s="5" t="s">
        <v>71</v>
      </c>
      <c r="C59" s="10" t="s">
        <v>72</v>
      </c>
      <c r="D59" s="11" t="s">
        <v>24</v>
      </c>
      <c r="E59" s="6" t="s">
        <v>45</v>
      </c>
      <c r="F59" s="6"/>
      <c r="G59" s="6"/>
      <c r="H59" s="6"/>
      <c r="I59" s="6"/>
      <c r="J59" s="6"/>
      <c r="K59" s="6">
        <v>89.99</v>
      </c>
      <c r="L59" s="6">
        <v>56678.34</v>
      </c>
      <c r="M59" s="9">
        <v>821</v>
      </c>
      <c r="N59" s="9">
        <v>129</v>
      </c>
      <c r="O59" s="5">
        <v>4.5</v>
      </c>
      <c r="P59" s="5" t="s">
        <v>73</v>
      </c>
      <c r="Q59" s="22" t="str">
        <f t="shared" si="2"/>
        <v>https://amazon.com/dp/B0FNM6ZFGG</v>
      </c>
    </row>
    <row r="60" spans="1:17" ht="18.25" customHeight="1" x14ac:dyDescent="0.2">
      <c r="A60" s="7">
        <v>4</v>
      </c>
      <c r="B60" s="5" t="s">
        <v>62</v>
      </c>
      <c r="C60" s="10" t="s">
        <v>63</v>
      </c>
      <c r="D60" s="11" t="s">
        <v>16</v>
      </c>
      <c r="E60" s="6" t="s">
        <v>45</v>
      </c>
      <c r="F60" s="6"/>
      <c r="G60" s="6"/>
      <c r="H60" s="6"/>
      <c r="I60" s="6"/>
      <c r="J60" s="6"/>
      <c r="K60" s="6">
        <v>89.99</v>
      </c>
      <c r="L60" s="6">
        <v>75319.789999999994</v>
      </c>
      <c r="M60" s="9">
        <v>809</v>
      </c>
      <c r="N60" s="9">
        <v>242</v>
      </c>
      <c r="O60" s="5">
        <v>4.4000000000000004</v>
      </c>
      <c r="P60" s="5" t="s">
        <v>64</v>
      </c>
      <c r="Q60" s="22" t="str">
        <f t="shared" si="2"/>
        <v>https://amazon.com/dp/B0F5WCSL4H</v>
      </c>
    </row>
    <row r="61" spans="1:17" ht="18.25" customHeight="1" x14ac:dyDescent="0.2">
      <c r="A61" s="7">
        <v>5</v>
      </c>
      <c r="B61" s="5" t="s">
        <v>90</v>
      </c>
      <c r="C61" s="10" t="s">
        <v>91</v>
      </c>
      <c r="D61" s="11" t="s">
        <v>18</v>
      </c>
      <c r="E61" s="6" t="s">
        <v>45</v>
      </c>
      <c r="F61" s="6"/>
      <c r="G61" s="6"/>
      <c r="H61" s="6"/>
      <c r="I61" s="6"/>
      <c r="J61" s="6"/>
      <c r="K61" s="6">
        <v>65.989999999999995</v>
      </c>
      <c r="L61" s="6">
        <v>36088.160000000003</v>
      </c>
      <c r="M61" s="9">
        <v>561</v>
      </c>
      <c r="N61" s="9">
        <v>435</v>
      </c>
      <c r="O61" s="5">
        <v>4</v>
      </c>
      <c r="P61" s="5" t="s">
        <v>92</v>
      </c>
      <c r="Q61" s="22" t="str">
        <f t="shared" si="2"/>
        <v>https://amazon.com/dp/B0BRY2694B</v>
      </c>
    </row>
    <row r="62" spans="1:17" ht="18.25" customHeight="1" x14ac:dyDescent="0.2">
      <c r="A62" s="7">
        <v>6</v>
      </c>
      <c r="B62" s="5" t="s">
        <v>68</v>
      </c>
      <c r="C62" s="10" t="s">
        <v>69</v>
      </c>
      <c r="D62" s="11" t="s">
        <v>12</v>
      </c>
      <c r="E62" s="6" t="s">
        <v>45</v>
      </c>
      <c r="F62" s="6"/>
      <c r="G62" s="6"/>
      <c r="H62" s="6"/>
      <c r="I62" s="6"/>
      <c r="J62" s="6"/>
      <c r="K62" s="6">
        <v>99.98</v>
      </c>
      <c r="L62" s="6">
        <v>59910.01</v>
      </c>
      <c r="M62" s="9">
        <v>499</v>
      </c>
      <c r="N62" s="9">
        <v>238</v>
      </c>
      <c r="O62" s="5">
        <v>4.5999999999999996</v>
      </c>
      <c r="P62" s="5" t="s">
        <v>70</v>
      </c>
      <c r="Q62" s="22" t="str">
        <f t="shared" si="2"/>
        <v>https://amazon.com/dp/B0FMDJC7VB</v>
      </c>
    </row>
    <row r="63" spans="1:17" ht="18.25" customHeight="1" x14ac:dyDescent="0.2">
      <c r="A63" s="7">
        <v>7</v>
      </c>
      <c r="B63" s="5" t="s">
        <v>50</v>
      </c>
      <c r="C63" s="10" t="s">
        <v>51</v>
      </c>
      <c r="D63" s="11" t="s">
        <v>11</v>
      </c>
      <c r="E63" s="6" t="s">
        <v>45</v>
      </c>
      <c r="F63" s="6"/>
      <c r="G63" s="6"/>
      <c r="H63" s="6"/>
      <c r="I63" s="6"/>
      <c r="J63" s="6"/>
      <c r="K63" s="6">
        <v>899</v>
      </c>
      <c r="L63" s="6">
        <v>306407.5</v>
      </c>
      <c r="M63" s="9">
        <v>346</v>
      </c>
      <c r="N63" s="9">
        <v>77</v>
      </c>
      <c r="O63" s="5">
        <v>4.5999999999999996</v>
      </c>
      <c r="P63" s="5" t="s">
        <v>52</v>
      </c>
      <c r="Q63" s="22" t="str">
        <f t="shared" si="2"/>
        <v>https://amazon.com/dp/B0D5QXY5JN</v>
      </c>
    </row>
    <row r="64" spans="1:17" ht="18.25" customHeight="1" x14ac:dyDescent="0.2">
      <c r="A64" s="7">
        <v>8</v>
      </c>
      <c r="B64" s="5" t="s">
        <v>53</v>
      </c>
      <c r="C64" s="10" t="s">
        <v>54</v>
      </c>
      <c r="D64" s="11" t="s">
        <v>13</v>
      </c>
      <c r="E64" s="6" t="s">
        <v>45</v>
      </c>
      <c r="F64" s="6"/>
      <c r="G64" s="6"/>
      <c r="H64" s="6"/>
      <c r="I64" s="6"/>
      <c r="J64" s="6"/>
      <c r="K64" s="6">
        <v>369</v>
      </c>
      <c r="L64" s="6">
        <v>116832.27</v>
      </c>
      <c r="M64" s="9">
        <v>317</v>
      </c>
      <c r="N64" s="9">
        <v>251</v>
      </c>
      <c r="O64" s="5">
        <v>4.3</v>
      </c>
      <c r="P64" s="5" t="s">
        <v>55</v>
      </c>
      <c r="Q64" s="22" t="str">
        <f t="shared" si="2"/>
        <v>https://amazon.com/dp/B0CNXP8JBV</v>
      </c>
    </row>
    <row r="65" spans="1:17" ht="18.25" customHeight="1" x14ac:dyDescent="0.2">
      <c r="A65" s="7">
        <v>9</v>
      </c>
      <c r="B65" s="5" t="s">
        <v>134</v>
      </c>
      <c r="C65" s="10" t="s">
        <v>135</v>
      </c>
      <c r="D65" s="11" t="s">
        <v>18</v>
      </c>
      <c r="E65" s="6" t="s">
        <v>45</v>
      </c>
      <c r="F65" s="6"/>
      <c r="G65" s="6"/>
      <c r="H65" s="6"/>
      <c r="I65" s="6"/>
      <c r="J65" s="6"/>
      <c r="K65" s="6">
        <v>65.989999999999995</v>
      </c>
      <c r="L65" s="6">
        <v>20313.04</v>
      </c>
      <c r="M65" s="9">
        <v>316</v>
      </c>
      <c r="N65" s="9">
        <v>434</v>
      </c>
      <c r="O65" s="5">
        <v>4</v>
      </c>
      <c r="P65" s="5" t="s">
        <v>136</v>
      </c>
      <c r="Q65" s="22" t="str">
        <f t="shared" si="2"/>
        <v>https://amazon.com/dp/B0BRY25L5X</v>
      </c>
    </row>
    <row r="66" spans="1:17" ht="18.25" customHeight="1" x14ac:dyDescent="0.2">
      <c r="A66" s="7">
        <v>10</v>
      </c>
      <c r="B66" s="5" t="s">
        <v>118</v>
      </c>
      <c r="C66" s="10" t="s">
        <v>119</v>
      </c>
      <c r="D66" s="11" t="s">
        <v>18</v>
      </c>
      <c r="E66" s="6" t="s">
        <v>45</v>
      </c>
      <c r="F66" s="6"/>
      <c r="G66" s="6"/>
      <c r="H66" s="6"/>
      <c r="I66" s="6"/>
      <c r="J66" s="6"/>
      <c r="K66" s="6">
        <v>83.99</v>
      </c>
      <c r="L66" s="6">
        <v>24024.32</v>
      </c>
      <c r="M66" s="9">
        <v>280</v>
      </c>
      <c r="N66" s="9">
        <v>107</v>
      </c>
      <c r="O66" s="5">
        <v>4</v>
      </c>
      <c r="P66" s="5" t="s">
        <v>120</v>
      </c>
      <c r="Q66" s="22" t="str">
        <f t="shared" si="2"/>
        <v>https://amazon.com/dp/B0DMZSBPNT</v>
      </c>
    </row>
    <row r="67" spans="1:17" ht="18.25" customHeight="1" x14ac:dyDescent="0.2">
      <c r="A67" s="7">
        <v>11</v>
      </c>
      <c r="B67" s="5" t="s">
        <v>59</v>
      </c>
      <c r="C67" s="10" t="s">
        <v>60</v>
      </c>
      <c r="D67" s="11" t="s">
        <v>13</v>
      </c>
      <c r="E67" s="6" t="s">
        <v>45</v>
      </c>
      <c r="F67" s="6"/>
      <c r="G67" s="6"/>
      <c r="H67" s="6"/>
      <c r="I67" s="6"/>
      <c r="J67" s="6"/>
      <c r="K67" s="6">
        <v>404.1</v>
      </c>
      <c r="L67" s="6">
        <v>105720.5</v>
      </c>
      <c r="M67" s="9">
        <v>262</v>
      </c>
      <c r="N67" s="9">
        <v>251</v>
      </c>
      <c r="O67" s="5">
        <v>4.3</v>
      </c>
      <c r="P67" s="5" t="s">
        <v>61</v>
      </c>
      <c r="Q67" s="22" t="str">
        <f t="shared" si="2"/>
        <v>https://amazon.com/dp/B0CNXPDG7R</v>
      </c>
    </row>
    <row r="68" spans="1:17" ht="18.25" customHeight="1" x14ac:dyDescent="0.2">
      <c r="A68" s="7">
        <v>12</v>
      </c>
      <c r="B68" s="5" t="s">
        <v>84</v>
      </c>
      <c r="C68" s="10" t="s">
        <v>85</v>
      </c>
      <c r="D68" s="11" t="s">
        <v>19</v>
      </c>
      <c r="E68" s="6" t="s">
        <v>45</v>
      </c>
      <c r="F68" s="6"/>
      <c r="G68" s="6"/>
      <c r="H68" s="6"/>
      <c r="I68" s="6"/>
      <c r="J68" s="6"/>
      <c r="K68" s="6">
        <v>199.95</v>
      </c>
      <c r="L68" s="6">
        <v>38106.74</v>
      </c>
      <c r="M68" s="9">
        <v>255</v>
      </c>
      <c r="N68" s="9">
        <v>491</v>
      </c>
      <c r="O68" s="5">
        <v>3.9</v>
      </c>
      <c r="P68" s="5" t="s">
        <v>86</v>
      </c>
      <c r="Q68" s="22" t="str">
        <f t="shared" si="2"/>
        <v>https://amazon.com/dp/B096HD7WYC</v>
      </c>
    </row>
    <row r="69" spans="1:17" ht="18.25" customHeight="1" x14ac:dyDescent="0.2">
      <c r="A69" s="7">
        <v>13</v>
      </c>
      <c r="B69" s="5" t="s">
        <v>143</v>
      </c>
      <c r="C69" s="10" t="s">
        <v>144</v>
      </c>
      <c r="D69" s="11" t="s">
        <v>16</v>
      </c>
      <c r="E69" s="6" t="s">
        <v>45</v>
      </c>
      <c r="F69" s="6"/>
      <c r="G69" s="6"/>
      <c r="H69" s="6"/>
      <c r="I69" s="6"/>
      <c r="J69" s="6"/>
      <c r="K69" s="6">
        <v>59.99</v>
      </c>
      <c r="L69" s="6">
        <v>16293.16</v>
      </c>
      <c r="M69" s="9">
        <v>253</v>
      </c>
      <c r="N69" s="9">
        <v>285</v>
      </c>
      <c r="O69" s="5">
        <v>4.4000000000000004</v>
      </c>
      <c r="P69" s="5" t="s">
        <v>145</v>
      </c>
      <c r="Q69" s="22" t="str">
        <f t="shared" si="2"/>
        <v>https://amazon.com/dp/B0FJM2TBJZ</v>
      </c>
    </row>
    <row r="70" spans="1:17" ht="18.25" customHeight="1" x14ac:dyDescent="0.2">
      <c r="A70" s="7">
        <v>14</v>
      </c>
      <c r="B70" s="5" t="s">
        <v>96</v>
      </c>
      <c r="C70" s="10" t="s">
        <v>97</v>
      </c>
      <c r="D70" s="11" t="s">
        <v>16</v>
      </c>
      <c r="E70" s="6" t="s">
        <v>45</v>
      </c>
      <c r="F70" s="6"/>
      <c r="G70" s="6"/>
      <c r="H70" s="6"/>
      <c r="I70" s="6"/>
      <c r="J70" s="6"/>
      <c r="K70" s="6">
        <v>139.99</v>
      </c>
      <c r="L70" s="6">
        <v>32929.85</v>
      </c>
      <c r="M70" s="9">
        <v>204</v>
      </c>
      <c r="N70" s="9">
        <v>285</v>
      </c>
      <c r="O70" s="5">
        <v>4.4000000000000004</v>
      </c>
      <c r="P70" s="5" t="s">
        <v>98</v>
      </c>
      <c r="Q70" s="22" t="str">
        <f t="shared" si="2"/>
        <v>https://amazon.com/dp/B0FRGFKHHG</v>
      </c>
    </row>
    <row r="71" spans="1:17" ht="18.25" customHeight="1" x14ac:dyDescent="0.2">
      <c r="A71" s="7">
        <v>15</v>
      </c>
      <c r="B71" s="5" t="s">
        <v>74</v>
      </c>
      <c r="C71" s="10" t="s">
        <v>75</v>
      </c>
      <c r="D71" s="11" t="s">
        <v>76</v>
      </c>
      <c r="E71" s="6" t="s">
        <v>45</v>
      </c>
      <c r="F71" s="6"/>
      <c r="G71" s="6"/>
      <c r="H71" s="6"/>
      <c r="I71" s="6"/>
      <c r="J71" s="6"/>
      <c r="K71" s="6">
        <v>399.99</v>
      </c>
      <c r="L71" s="6">
        <v>54148.36</v>
      </c>
      <c r="M71" s="9">
        <v>135</v>
      </c>
      <c r="N71" s="9">
        <v>151</v>
      </c>
      <c r="O71" s="5">
        <v>4.0999999999999996</v>
      </c>
      <c r="P71" s="5" t="s">
        <v>77</v>
      </c>
      <c r="Q71" s="22" t="str">
        <f t="shared" si="2"/>
        <v>https://amazon.com/dp/B0DW3ZPC1N</v>
      </c>
    </row>
    <row r="72" spans="1:17" ht="18.25" customHeight="1" x14ac:dyDescent="0.2">
      <c r="A72" s="7">
        <v>16</v>
      </c>
      <c r="B72" s="5" t="s">
        <v>56</v>
      </c>
      <c r="C72" s="10" t="s">
        <v>57</v>
      </c>
      <c r="D72" s="11" t="s">
        <v>10</v>
      </c>
      <c r="E72" s="6" t="s">
        <v>45</v>
      </c>
      <c r="F72" s="6"/>
      <c r="G72" s="6"/>
      <c r="H72" s="6"/>
      <c r="I72" s="6"/>
      <c r="J72" s="6"/>
      <c r="K72" s="6">
        <v>899</v>
      </c>
      <c r="L72" s="6">
        <v>110218.17</v>
      </c>
      <c r="M72" s="9">
        <v>123</v>
      </c>
      <c r="N72" s="9">
        <v>176</v>
      </c>
      <c r="O72" s="5">
        <v>4.4000000000000004</v>
      </c>
      <c r="P72" s="5" t="s">
        <v>58</v>
      </c>
      <c r="Q72" s="22" t="str">
        <f t="shared" si="2"/>
        <v>https://amazon.com/dp/B0FW4H9MXB</v>
      </c>
    </row>
    <row r="73" spans="1:17" ht="18.25" customHeight="1" x14ac:dyDescent="0.2">
      <c r="A73" s="7">
        <v>17</v>
      </c>
      <c r="B73" s="5" t="s">
        <v>203</v>
      </c>
      <c r="C73" s="10" t="s">
        <v>204</v>
      </c>
      <c r="D73" s="11" t="s">
        <v>25</v>
      </c>
      <c r="E73" s="6" t="s">
        <v>45</v>
      </c>
      <c r="F73" s="6"/>
      <c r="G73" s="6"/>
      <c r="H73" s="6"/>
      <c r="I73" s="6"/>
      <c r="J73" s="6"/>
      <c r="K73" s="6">
        <v>95.99</v>
      </c>
      <c r="L73" s="6">
        <v>8416.25</v>
      </c>
      <c r="M73" s="9">
        <v>88</v>
      </c>
      <c r="N73" s="9">
        <v>55</v>
      </c>
      <c r="O73" s="5">
        <v>3.6</v>
      </c>
      <c r="P73" s="5" t="s">
        <v>205</v>
      </c>
      <c r="Q73" s="22" t="str">
        <f t="shared" si="2"/>
        <v>https://amazon.com/dp/B0DLKCCBBT</v>
      </c>
    </row>
    <row r="74" spans="1:17" ht="18.25" customHeight="1" x14ac:dyDescent="0.2">
      <c r="A74" s="7">
        <v>18</v>
      </c>
      <c r="B74" s="5" t="s">
        <v>206</v>
      </c>
      <c r="C74" s="10" t="s">
        <v>207</v>
      </c>
      <c r="D74" s="11" t="s">
        <v>208</v>
      </c>
      <c r="E74" s="6" t="s">
        <v>45</v>
      </c>
      <c r="F74" s="6"/>
      <c r="G74" s="6"/>
      <c r="H74" s="6"/>
      <c r="I74" s="6"/>
      <c r="J74" s="6"/>
      <c r="K74" s="6">
        <v>55.99</v>
      </c>
      <c r="L74" s="6">
        <v>4367.47</v>
      </c>
      <c r="M74" s="9">
        <v>78</v>
      </c>
      <c r="N74" s="9">
        <v>33</v>
      </c>
      <c r="O74" s="5">
        <v>4.4000000000000004</v>
      </c>
      <c r="P74" s="5" t="s">
        <v>209</v>
      </c>
      <c r="Q74" s="22" t="str">
        <f t="shared" si="2"/>
        <v>https://amazon.com/dp/B0DPHT54L9</v>
      </c>
    </row>
    <row r="75" spans="1:17" ht="18.25" customHeight="1" x14ac:dyDescent="0.2">
      <c r="A75" s="7">
        <v>19</v>
      </c>
      <c r="B75" s="5" t="s">
        <v>111</v>
      </c>
      <c r="C75" s="10" t="s">
        <v>112</v>
      </c>
      <c r="D75" s="11" t="s">
        <v>113</v>
      </c>
      <c r="E75" s="6" t="s">
        <v>45</v>
      </c>
      <c r="F75" s="6"/>
      <c r="G75" s="6"/>
      <c r="H75" s="6"/>
      <c r="I75" s="6"/>
      <c r="J75" s="6"/>
      <c r="K75" s="6">
        <v>329.99</v>
      </c>
      <c r="L75" s="6">
        <v>25212.12</v>
      </c>
      <c r="M75" s="9">
        <v>76</v>
      </c>
      <c r="N75" s="9">
        <v>23</v>
      </c>
      <c r="O75" s="5">
        <v>4.0999999999999996</v>
      </c>
      <c r="P75" s="5" t="s">
        <v>114</v>
      </c>
      <c r="Q75" s="22" t="str">
        <f t="shared" si="2"/>
        <v>https://amazon.com/dp/B0DSVFBXZT</v>
      </c>
    </row>
    <row r="76" spans="1:17" ht="18.25" customHeight="1" x14ac:dyDescent="0.2">
      <c r="A76" s="7">
        <v>20</v>
      </c>
      <c r="B76" s="5" t="s">
        <v>149</v>
      </c>
      <c r="C76" s="10" t="s">
        <v>150</v>
      </c>
      <c r="D76" s="11" t="s">
        <v>13</v>
      </c>
      <c r="E76" s="6" t="s">
        <v>45</v>
      </c>
      <c r="F76" s="6"/>
      <c r="G76" s="6"/>
      <c r="H76" s="6"/>
      <c r="I76" s="6"/>
      <c r="J76" s="6"/>
      <c r="K76" s="6">
        <v>229</v>
      </c>
      <c r="L76" s="6">
        <v>14526.11</v>
      </c>
      <c r="M76" s="9">
        <v>63</v>
      </c>
      <c r="N76" s="9">
        <v>182</v>
      </c>
      <c r="O76" s="5">
        <v>4.4000000000000004</v>
      </c>
      <c r="P76" s="5" t="s">
        <v>151</v>
      </c>
      <c r="Q76" s="22" t="str">
        <f t="shared" si="2"/>
        <v>https://amazon.com/dp/B0CFH7SGZK</v>
      </c>
    </row>
    <row r="77" spans="1:17" ht="18.25" customHeight="1" x14ac:dyDescent="0.2">
      <c r="A77" s="7">
        <v>21</v>
      </c>
      <c r="B77" s="5" t="s">
        <v>210</v>
      </c>
      <c r="C77" s="10" t="s">
        <v>211</v>
      </c>
      <c r="D77" s="11" t="s">
        <v>25</v>
      </c>
      <c r="E77" s="6" t="s">
        <v>45</v>
      </c>
      <c r="F77" s="6"/>
      <c r="G77" s="6"/>
      <c r="H77" s="6"/>
      <c r="I77" s="6"/>
      <c r="J77" s="6"/>
      <c r="K77" s="6">
        <v>99.98</v>
      </c>
      <c r="L77" s="6">
        <v>6117.68</v>
      </c>
      <c r="M77" s="9">
        <v>61</v>
      </c>
      <c r="N77" s="9">
        <v>24</v>
      </c>
      <c r="O77" s="5">
        <v>3.6</v>
      </c>
      <c r="P77" s="5" t="s">
        <v>212</v>
      </c>
      <c r="Q77" s="22" t="str">
        <f t="shared" si="2"/>
        <v>https://amazon.com/dp/B0DSBXKFJD</v>
      </c>
    </row>
    <row r="78" spans="1:17" ht="18.25" customHeight="1" x14ac:dyDescent="0.2">
      <c r="A78" s="7">
        <v>22</v>
      </c>
      <c r="B78" s="5" t="s">
        <v>108</v>
      </c>
      <c r="C78" s="10" t="s">
        <v>109</v>
      </c>
      <c r="D78" s="11" t="s">
        <v>15</v>
      </c>
      <c r="E78" s="6" t="s">
        <v>45</v>
      </c>
      <c r="F78" s="6"/>
      <c r="G78" s="6"/>
      <c r="H78" s="6"/>
      <c r="I78" s="6"/>
      <c r="J78" s="6"/>
      <c r="K78" s="6">
        <v>549.99</v>
      </c>
      <c r="L78" s="6">
        <v>25264.26</v>
      </c>
      <c r="M78" s="9">
        <v>51</v>
      </c>
      <c r="N78" s="9">
        <v>846</v>
      </c>
      <c r="O78" s="5">
        <v>4.3</v>
      </c>
      <c r="P78" s="5" t="s">
        <v>110</v>
      </c>
      <c r="Q78" s="22" t="str">
        <f t="shared" si="2"/>
        <v>https://amazon.com/dp/B0988TDVTW</v>
      </c>
    </row>
    <row r="79" spans="1:17" ht="18.25" customHeight="1" x14ac:dyDescent="0.2">
      <c r="A79" s="7">
        <v>23</v>
      </c>
      <c r="B79" s="5" t="s">
        <v>146</v>
      </c>
      <c r="C79" s="10" t="s">
        <v>147</v>
      </c>
      <c r="D79" s="11" t="s">
        <v>19</v>
      </c>
      <c r="E79" s="6" t="s">
        <v>45</v>
      </c>
      <c r="F79" s="6"/>
      <c r="G79" s="6"/>
      <c r="H79" s="6"/>
      <c r="I79" s="6"/>
      <c r="J79" s="6"/>
      <c r="K79" s="6">
        <v>314.95999999999998</v>
      </c>
      <c r="L79" s="6">
        <v>14872.91</v>
      </c>
      <c r="M79" s="9">
        <v>47</v>
      </c>
      <c r="N79" s="9">
        <v>540</v>
      </c>
      <c r="O79" s="5">
        <v>3.8</v>
      </c>
      <c r="P79" s="5" t="s">
        <v>148</v>
      </c>
      <c r="Q79" s="22" t="str">
        <f t="shared" si="2"/>
        <v>https://amazon.com/dp/B07C4WS8PZ</v>
      </c>
    </row>
    <row r="80" spans="1:17" ht="18.25" customHeight="1" x14ac:dyDescent="0.2">
      <c r="A80" s="7">
        <v>24</v>
      </c>
      <c r="B80" s="5" t="s">
        <v>121</v>
      </c>
      <c r="C80" s="10" t="s">
        <v>122</v>
      </c>
      <c r="D80" s="11" t="s">
        <v>13</v>
      </c>
      <c r="E80" s="6" t="s">
        <v>45</v>
      </c>
      <c r="F80" s="6"/>
      <c r="G80" s="6"/>
      <c r="H80" s="6"/>
      <c r="I80" s="6"/>
      <c r="J80" s="6"/>
      <c r="K80" s="6">
        <v>519</v>
      </c>
      <c r="L80" s="6">
        <v>23949.75</v>
      </c>
      <c r="M80" s="9">
        <v>46</v>
      </c>
      <c r="N80" s="9">
        <v>181</v>
      </c>
      <c r="O80" s="5">
        <v>4.3</v>
      </c>
      <c r="P80" s="5" t="s">
        <v>123</v>
      </c>
      <c r="Q80" s="22" t="str">
        <f t="shared" si="2"/>
        <v>https://amazon.com/dp/B0FNWKSKYK</v>
      </c>
    </row>
    <row r="81" spans="1:17" ht="18.25" customHeight="1" x14ac:dyDescent="0.2">
      <c r="A81" s="7">
        <v>25</v>
      </c>
      <c r="B81" s="5" t="s">
        <v>165</v>
      </c>
      <c r="C81" s="10" t="s">
        <v>166</v>
      </c>
      <c r="D81" s="11" t="s">
        <v>167</v>
      </c>
      <c r="E81" s="6" t="s">
        <v>45</v>
      </c>
      <c r="F81" s="6"/>
      <c r="G81" s="6"/>
      <c r="H81" s="6"/>
      <c r="I81" s="6"/>
      <c r="J81" s="6"/>
      <c r="K81" s="6">
        <v>339.99</v>
      </c>
      <c r="L81" s="6">
        <v>13388.12</v>
      </c>
      <c r="M81" s="9">
        <v>44</v>
      </c>
      <c r="N81" s="9">
        <v>40</v>
      </c>
      <c r="O81" s="5">
        <v>4.4000000000000004</v>
      </c>
      <c r="P81" s="5" t="s">
        <v>168</v>
      </c>
      <c r="Q81" s="22" t="str">
        <f t="shared" si="2"/>
        <v>https://amazon.com/dp/B0DSQ2QM7Q</v>
      </c>
    </row>
    <row r="82" spans="1:17" ht="18.25" customHeight="1" x14ac:dyDescent="0.2">
      <c r="A82" s="7">
        <v>26</v>
      </c>
      <c r="B82" s="5" t="s">
        <v>213</v>
      </c>
      <c r="C82" s="10" t="s">
        <v>214</v>
      </c>
      <c r="D82" s="11" t="s">
        <v>14</v>
      </c>
      <c r="E82" s="6" t="s">
        <v>45</v>
      </c>
      <c r="F82" s="6"/>
      <c r="G82" s="6"/>
      <c r="H82" s="6"/>
      <c r="I82" s="6"/>
      <c r="J82" s="6"/>
      <c r="K82" s="6">
        <v>129.97</v>
      </c>
      <c r="L82" s="6">
        <v>5598.78</v>
      </c>
      <c r="M82" s="9">
        <v>43</v>
      </c>
      <c r="N82" s="9">
        <v>7</v>
      </c>
      <c r="O82" s="5">
        <v>4.4000000000000004</v>
      </c>
      <c r="P82" s="5" t="s">
        <v>215</v>
      </c>
      <c r="Q82" s="22" t="str">
        <f t="shared" si="2"/>
        <v>https://amazon.com/dp/B002Q6UG3W</v>
      </c>
    </row>
    <row r="83" spans="1:17" ht="18.25" customHeight="1" x14ac:dyDescent="0.2">
      <c r="A83" s="7">
        <v>27</v>
      </c>
      <c r="B83" s="5" t="s">
        <v>216</v>
      </c>
      <c r="C83" s="10" t="s">
        <v>217</v>
      </c>
      <c r="D83" s="11" t="s">
        <v>218</v>
      </c>
      <c r="E83" s="6" t="s">
        <v>45</v>
      </c>
      <c r="F83" s="6"/>
      <c r="G83" s="6"/>
      <c r="H83" s="6"/>
      <c r="I83" s="6"/>
      <c r="J83" s="6"/>
      <c r="K83" s="6">
        <v>39.99</v>
      </c>
      <c r="L83" s="6">
        <v>1650.47</v>
      </c>
      <c r="M83" s="9">
        <v>41</v>
      </c>
      <c r="N83" s="9">
        <v>104</v>
      </c>
      <c r="O83" s="5">
        <v>4</v>
      </c>
      <c r="P83" s="5" t="s">
        <v>219</v>
      </c>
      <c r="Q83" s="22" t="str">
        <f t="shared" si="2"/>
        <v>https://amazon.com/dp/B0CKYMVYTK</v>
      </c>
    </row>
    <row r="84" spans="1:17" ht="18.25" customHeight="1" x14ac:dyDescent="0.2">
      <c r="A84" s="7">
        <v>28</v>
      </c>
      <c r="B84" s="5" t="s">
        <v>158</v>
      </c>
      <c r="C84" s="10" t="s">
        <v>159</v>
      </c>
      <c r="D84" s="11" t="s">
        <v>160</v>
      </c>
      <c r="E84" s="6" t="s">
        <v>45</v>
      </c>
      <c r="F84" s="6"/>
      <c r="G84" s="6"/>
      <c r="H84" s="6"/>
      <c r="I84" s="6"/>
      <c r="J84" s="6"/>
      <c r="K84" s="6">
        <v>369.98</v>
      </c>
      <c r="L84" s="6">
        <v>13974.24</v>
      </c>
      <c r="M84" s="9">
        <v>38</v>
      </c>
      <c r="N84" s="9">
        <v>23</v>
      </c>
      <c r="O84" s="5">
        <v>3.9</v>
      </c>
      <c r="P84" s="5" t="s">
        <v>161</v>
      </c>
      <c r="Q84" s="22" t="str">
        <f t="shared" si="2"/>
        <v>https://amazon.com/dp/B0D5B8RY8P</v>
      </c>
    </row>
    <row r="85" spans="1:17" ht="18.25" customHeight="1" x14ac:dyDescent="0.2">
      <c r="A85" s="7">
        <v>29</v>
      </c>
      <c r="B85" s="5" t="s">
        <v>124</v>
      </c>
      <c r="C85" s="10" t="s">
        <v>125</v>
      </c>
      <c r="D85" s="11" t="s">
        <v>15</v>
      </c>
      <c r="E85" s="6" t="s">
        <v>45</v>
      </c>
      <c r="F85" s="6"/>
      <c r="G85" s="6"/>
      <c r="H85" s="6"/>
      <c r="I85" s="6"/>
      <c r="J85" s="6"/>
      <c r="K85" s="6">
        <v>700</v>
      </c>
      <c r="L85" s="6">
        <v>22252.32</v>
      </c>
      <c r="M85" s="9">
        <v>36</v>
      </c>
      <c r="N85" s="9">
        <v>846</v>
      </c>
      <c r="O85" s="5">
        <v>4.3</v>
      </c>
      <c r="P85" s="5" t="s">
        <v>126</v>
      </c>
      <c r="Q85" s="22" t="str">
        <f t="shared" si="2"/>
        <v>https://amazon.com/dp/B09897SNLP</v>
      </c>
    </row>
    <row r="86" spans="1:17" ht="18.25" customHeight="1" x14ac:dyDescent="0.2">
      <c r="A86" s="7">
        <v>30</v>
      </c>
      <c r="B86" s="5" t="s">
        <v>220</v>
      </c>
      <c r="C86" s="10" t="s">
        <v>221</v>
      </c>
      <c r="D86" s="11" t="s">
        <v>222</v>
      </c>
      <c r="E86" s="6" t="s">
        <v>45</v>
      </c>
      <c r="F86" s="6"/>
      <c r="G86" s="6"/>
      <c r="H86" s="6"/>
      <c r="I86" s="6"/>
      <c r="J86" s="6"/>
      <c r="K86" s="6">
        <v>139.97999999999999</v>
      </c>
      <c r="L86" s="6">
        <v>4404.79</v>
      </c>
      <c r="M86" s="9">
        <v>33</v>
      </c>
      <c r="N86" s="9">
        <v>5</v>
      </c>
      <c r="O86" s="5">
        <v>4.5999999999999996</v>
      </c>
      <c r="P86" s="5" t="s">
        <v>223</v>
      </c>
      <c r="Q86" s="22" t="str">
        <f t="shared" si="2"/>
        <v>https://amazon.com/dp/B0FMK3PKNQ</v>
      </c>
    </row>
    <row r="87" spans="1:17" ht="18.25" customHeight="1" x14ac:dyDescent="0.2">
      <c r="A87" s="7">
        <v>31</v>
      </c>
      <c r="B87" s="5" t="s">
        <v>224</v>
      </c>
      <c r="C87" s="10" t="s">
        <v>225</v>
      </c>
      <c r="D87" s="11" t="s">
        <v>222</v>
      </c>
      <c r="E87" s="6" t="s">
        <v>45</v>
      </c>
      <c r="F87" s="6"/>
      <c r="G87" s="6"/>
      <c r="H87" s="6"/>
      <c r="I87" s="6"/>
      <c r="J87" s="6"/>
      <c r="K87" s="6">
        <v>129.97999999999999</v>
      </c>
      <c r="L87" s="6">
        <v>4110.0600000000004</v>
      </c>
      <c r="M87" s="9">
        <v>32</v>
      </c>
      <c r="N87" s="9">
        <v>12</v>
      </c>
      <c r="O87" s="5">
        <v>3.4</v>
      </c>
      <c r="P87" s="5" t="s">
        <v>226</v>
      </c>
      <c r="Q87" s="22" t="str">
        <f t="shared" si="2"/>
        <v>https://amazon.com/dp/B0F1ZYBGJL</v>
      </c>
    </row>
    <row r="88" spans="1:17" ht="18.25" customHeight="1" x14ac:dyDescent="0.2">
      <c r="A88" s="7">
        <v>32</v>
      </c>
      <c r="B88" s="5" t="s">
        <v>130</v>
      </c>
      <c r="C88" s="10" t="s">
        <v>131</v>
      </c>
      <c r="D88" s="11" t="s">
        <v>132</v>
      </c>
      <c r="E88" s="6" t="s">
        <v>45</v>
      </c>
      <c r="F88" s="6"/>
      <c r="G88" s="6"/>
      <c r="H88" s="6"/>
      <c r="I88" s="6"/>
      <c r="J88" s="6"/>
      <c r="K88" s="6">
        <v>659</v>
      </c>
      <c r="L88" s="6">
        <v>21271.919999999998</v>
      </c>
      <c r="M88" s="9">
        <v>32</v>
      </c>
      <c r="N88" s="9">
        <v>1108</v>
      </c>
      <c r="O88" s="5">
        <v>3.9</v>
      </c>
      <c r="P88" s="5" t="s">
        <v>133</v>
      </c>
      <c r="Q88" s="22" t="str">
        <f t="shared" si="2"/>
        <v>https://amazon.com/dp/B0BN8CQ571</v>
      </c>
    </row>
    <row r="89" spans="1:17" ht="18.25" customHeight="1" x14ac:dyDescent="0.2">
      <c r="A89" s="7">
        <v>33</v>
      </c>
      <c r="B89" s="5" t="s">
        <v>227</v>
      </c>
      <c r="C89" s="10" t="s">
        <v>228</v>
      </c>
      <c r="D89" s="11" t="s">
        <v>229</v>
      </c>
      <c r="E89" s="6" t="s">
        <v>45</v>
      </c>
      <c r="F89" s="6"/>
      <c r="G89" s="6"/>
      <c r="H89" s="6"/>
      <c r="I89" s="6"/>
      <c r="J89" s="6"/>
      <c r="K89" s="6">
        <v>229.98</v>
      </c>
      <c r="L89" s="6">
        <v>7938.66</v>
      </c>
      <c r="M89" s="9">
        <v>32</v>
      </c>
      <c r="N89" s="9">
        <v>50</v>
      </c>
      <c r="O89" s="5">
        <v>4</v>
      </c>
      <c r="P89" s="5" t="s">
        <v>230</v>
      </c>
      <c r="Q89" s="22" t="str">
        <f t="shared" ref="Q89:Q120" si="3">HYPERLINK(P89)</f>
        <v>https://amazon.com/dp/B09RZS74XM</v>
      </c>
    </row>
    <row r="90" spans="1:17" ht="18.25" customHeight="1" x14ac:dyDescent="0.2">
      <c r="A90" s="7">
        <v>34</v>
      </c>
      <c r="B90" s="5" t="s">
        <v>231</v>
      </c>
      <c r="C90" s="10" t="s">
        <v>232</v>
      </c>
      <c r="D90" s="11" t="s">
        <v>13</v>
      </c>
      <c r="E90" s="6" t="s">
        <v>45</v>
      </c>
      <c r="F90" s="6"/>
      <c r="G90" s="6"/>
      <c r="H90" s="6"/>
      <c r="I90" s="6"/>
      <c r="J90" s="6"/>
      <c r="K90" s="6">
        <v>249</v>
      </c>
      <c r="L90" s="6">
        <v>7578.42</v>
      </c>
      <c r="M90" s="9">
        <v>30</v>
      </c>
      <c r="N90" s="9">
        <v>181</v>
      </c>
      <c r="O90" s="5">
        <v>4.3</v>
      </c>
      <c r="P90" s="5" t="s">
        <v>233</v>
      </c>
      <c r="Q90" s="22" t="str">
        <f t="shared" si="3"/>
        <v>https://amazon.com/dp/B0CFH6TPWQ</v>
      </c>
    </row>
    <row r="91" spans="1:17" ht="18.25" customHeight="1" x14ac:dyDescent="0.2">
      <c r="A91" s="7">
        <v>35</v>
      </c>
      <c r="B91" s="5" t="s">
        <v>234</v>
      </c>
      <c r="C91" s="10" t="s">
        <v>235</v>
      </c>
      <c r="D91" s="11" t="s">
        <v>236</v>
      </c>
      <c r="E91" s="6" t="s">
        <v>45</v>
      </c>
      <c r="F91" s="6"/>
      <c r="G91" s="6"/>
      <c r="H91" s="6"/>
      <c r="I91" s="6"/>
      <c r="J91" s="6"/>
      <c r="K91" s="6">
        <v>62.36</v>
      </c>
      <c r="L91" s="6">
        <v>1992.8</v>
      </c>
      <c r="M91" s="9">
        <v>30</v>
      </c>
      <c r="N91" s="9">
        <v>22</v>
      </c>
      <c r="O91" s="5">
        <v>4.0999999999999996</v>
      </c>
      <c r="P91" s="5" t="s">
        <v>237</v>
      </c>
      <c r="Q91" s="22" t="str">
        <f t="shared" si="3"/>
        <v>https://amazon.com/dp/B0DKJKWY24</v>
      </c>
    </row>
    <row r="92" spans="1:17" ht="18.25" customHeight="1" x14ac:dyDescent="0.2">
      <c r="A92" s="7">
        <v>36</v>
      </c>
      <c r="B92" s="5" t="s">
        <v>238</v>
      </c>
      <c r="C92" s="10" t="s">
        <v>239</v>
      </c>
      <c r="D92" s="11" t="s">
        <v>240</v>
      </c>
      <c r="E92" s="6" t="s">
        <v>45</v>
      </c>
      <c r="F92" s="6"/>
      <c r="G92" s="6"/>
      <c r="H92" s="6"/>
      <c r="I92" s="6"/>
      <c r="J92" s="6"/>
      <c r="K92" s="6">
        <v>119.98</v>
      </c>
      <c r="L92" s="6">
        <v>3529.74</v>
      </c>
      <c r="M92" s="9">
        <v>29</v>
      </c>
      <c r="N92" s="9">
        <v>23</v>
      </c>
      <c r="O92" s="5">
        <v>3.6</v>
      </c>
      <c r="P92" s="5" t="s">
        <v>241</v>
      </c>
      <c r="Q92" s="22" t="str">
        <f t="shared" si="3"/>
        <v>https://amazon.com/dp/B0DZTCYBFQ</v>
      </c>
    </row>
    <row r="93" spans="1:17" ht="18.25" customHeight="1" x14ac:dyDescent="0.2">
      <c r="A93" s="7">
        <v>37</v>
      </c>
      <c r="B93" s="5" t="s">
        <v>65</v>
      </c>
      <c r="C93" s="10" t="s">
        <v>66</v>
      </c>
      <c r="D93" s="11" t="s">
        <v>11</v>
      </c>
      <c r="E93" s="6" t="s">
        <v>45</v>
      </c>
      <c r="F93" s="6"/>
      <c r="G93" s="6"/>
      <c r="H93" s="6"/>
      <c r="I93" s="6"/>
      <c r="J93" s="6"/>
      <c r="K93" s="6">
        <v>2399</v>
      </c>
      <c r="L93" s="6">
        <v>68090.31</v>
      </c>
      <c r="M93" s="9">
        <v>28</v>
      </c>
      <c r="N93" s="9">
        <v>3</v>
      </c>
      <c r="O93" s="5">
        <v>5</v>
      </c>
      <c r="P93" s="5" t="s">
        <v>67</v>
      </c>
      <c r="Q93" s="22" t="str">
        <f t="shared" si="3"/>
        <v>https://amazon.com/dp/B0DZNNGH3P</v>
      </c>
    </row>
    <row r="94" spans="1:17" ht="18.25" customHeight="1" x14ac:dyDescent="0.2">
      <c r="A94" s="7">
        <v>38</v>
      </c>
      <c r="B94" s="5" t="s">
        <v>81</v>
      </c>
      <c r="C94" s="10" t="s">
        <v>82</v>
      </c>
      <c r="D94" s="11" t="s">
        <v>17</v>
      </c>
      <c r="E94" s="6" t="s">
        <v>45</v>
      </c>
      <c r="F94" s="6"/>
      <c r="G94" s="6"/>
      <c r="H94" s="6"/>
      <c r="I94" s="6"/>
      <c r="J94" s="6"/>
      <c r="K94" s="6">
        <v>1583.12</v>
      </c>
      <c r="L94" s="6">
        <v>42087.92</v>
      </c>
      <c r="M94" s="9">
        <v>27</v>
      </c>
      <c r="N94" s="9">
        <v>19</v>
      </c>
      <c r="O94" s="5">
        <v>3.9</v>
      </c>
      <c r="P94" s="5" t="s">
        <v>83</v>
      </c>
      <c r="Q94" s="22" t="str">
        <f t="shared" si="3"/>
        <v>https://amazon.com/dp/B0CP8N943X</v>
      </c>
    </row>
    <row r="95" spans="1:17" ht="18.25" customHeight="1" x14ac:dyDescent="0.2">
      <c r="A95" s="7">
        <v>39</v>
      </c>
      <c r="B95" s="5" t="s">
        <v>242</v>
      </c>
      <c r="C95" s="10" t="s">
        <v>243</v>
      </c>
      <c r="D95" s="11" t="s">
        <v>244</v>
      </c>
      <c r="E95" s="6" t="s">
        <v>45</v>
      </c>
      <c r="F95" s="6"/>
      <c r="G95" s="6"/>
      <c r="H95" s="6"/>
      <c r="I95" s="6"/>
      <c r="J95" s="6"/>
      <c r="K95" s="6">
        <v>99.99</v>
      </c>
      <c r="L95" s="6">
        <v>2863.74</v>
      </c>
      <c r="M95" s="9">
        <v>26</v>
      </c>
      <c r="N95" s="9">
        <v>2</v>
      </c>
      <c r="O95" s="5">
        <v>5</v>
      </c>
      <c r="P95" s="5" t="s">
        <v>245</v>
      </c>
      <c r="Q95" s="22" t="str">
        <f t="shared" si="3"/>
        <v>https://amazon.com/dp/B0F1NT1NLK</v>
      </c>
    </row>
    <row r="96" spans="1:17" ht="18.25" customHeight="1" x14ac:dyDescent="0.2">
      <c r="A96" s="7">
        <v>40</v>
      </c>
      <c r="B96" s="5" t="s">
        <v>78</v>
      </c>
      <c r="C96" s="10" t="s">
        <v>79</v>
      </c>
      <c r="D96" s="11" t="s">
        <v>14</v>
      </c>
      <c r="E96" s="6" t="s">
        <v>45</v>
      </c>
      <c r="F96" s="6"/>
      <c r="G96" s="6"/>
      <c r="H96" s="6"/>
      <c r="I96" s="6"/>
      <c r="J96" s="6"/>
      <c r="K96" s="6">
        <v>1859.99</v>
      </c>
      <c r="L96" s="6">
        <v>49246.81</v>
      </c>
      <c r="M96" s="9">
        <v>26</v>
      </c>
      <c r="N96" s="9">
        <v>39</v>
      </c>
      <c r="O96" s="5">
        <v>4.3</v>
      </c>
      <c r="P96" s="5" t="s">
        <v>80</v>
      </c>
      <c r="Q96" s="22" t="str">
        <f t="shared" si="3"/>
        <v>https://amazon.com/dp/B0C37XZWZJ</v>
      </c>
    </row>
    <row r="97" spans="1:17" ht="18.25" customHeight="1" x14ac:dyDescent="0.2">
      <c r="A97" s="7">
        <v>41</v>
      </c>
      <c r="B97" s="5" t="s">
        <v>246</v>
      </c>
      <c r="C97" s="10" t="s">
        <v>247</v>
      </c>
      <c r="D97" s="11" t="s">
        <v>222</v>
      </c>
      <c r="E97" s="6" t="s">
        <v>45</v>
      </c>
      <c r="F97" s="6"/>
      <c r="G97" s="6"/>
      <c r="H97" s="6"/>
      <c r="I97" s="6"/>
      <c r="J97" s="6"/>
      <c r="K97" s="6">
        <v>139.99</v>
      </c>
      <c r="L97" s="6">
        <v>3415.31</v>
      </c>
      <c r="M97" s="9">
        <v>24</v>
      </c>
      <c r="N97" s="9">
        <v>8</v>
      </c>
      <c r="O97" s="5">
        <v>4.2</v>
      </c>
      <c r="P97" s="5" t="s">
        <v>248</v>
      </c>
      <c r="Q97" s="22" t="str">
        <f t="shared" si="3"/>
        <v>https://amazon.com/dp/B0FJQYHZ1S</v>
      </c>
    </row>
    <row r="98" spans="1:17" ht="18.25" customHeight="1" x14ac:dyDescent="0.2">
      <c r="A98" s="7">
        <v>42</v>
      </c>
      <c r="B98" s="5" t="s">
        <v>249</v>
      </c>
      <c r="C98" s="10" t="s">
        <v>250</v>
      </c>
      <c r="D98" s="11" t="s">
        <v>251</v>
      </c>
      <c r="E98" s="6" t="s">
        <v>45</v>
      </c>
      <c r="F98" s="6"/>
      <c r="G98" s="6"/>
      <c r="H98" s="6"/>
      <c r="I98" s="6"/>
      <c r="J98" s="6"/>
      <c r="K98" s="6">
        <v>16.989999999999998</v>
      </c>
      <c r="L98" s="6">
        <v>398.56</v>
      </c>
      <c r="M98" s="9">
        <v>23</v>
      </c>
      <c r="N98" s="9">
        <v>8</v>
      </c>
      <c r="O98" s="5">
        <v>2.9</v>
      </c>
      <c r="P98" s="5" t="s">
        <v>252</v>
      </c>
      <c r="Q98" s="22" t="str">
        <f t="shared" si="3"/>
        <v>https://amazon.com/dp/B0CP4RWTJ7</v>
      </c>
    </row>
    <row r="99" spans="1:17" ht="18.25" customHeight="1" x14ac:dyDescent="0.2">
      <c r="A99" s="7">
        <v>43</v>
      </c>
      <c r="B99" s="5" t="s">
        <v>253</v>
      </c>
      <c r="C99" s="10" t="s">
        <v>254</v>
      </c>
      <c r="D99" s="11" t="s">
        <v>255</v>
      </c>
      <c r="E99" s="6" t="s">
        <v>45</v>
      </c>
      <c r="F99" s="6"/>
      <c r="G99" s="6"/>
      <c r="H99" s="6"/>
      <c r="I99" s="6"/>
      <c r="J99" s="6"/>
      <c r="K99" s="6">
        <v>29.99</v>
      </c>
      <c r="L99" s="6">
        <v>666.36</v>
      </c>
      <c r="M99" s="9">
        <v>22</v>
      </c>
      <c r="N99" s="9">
        <v>5</v>
      </c>
      <c r="O99" s="5">
        <v>5</v>
      </c>
      <c r="P99" s="5" t="s">
        <v>256</v>
      </c>
      <c r="Q99" s="22" t="str">
        <f t="shared" si="3"/>
        <v>https://amazon.com/dp/B0CPV9ZL6T</v>
      </c>
    </row>
    <row r="100" spans="1:17" ht="18.25" customHeight="1" x14ac:dyDescent="0.2">
      <c r="A100" s="7">
        <v>44</v>
      </c>
      <c r="B100" s="5" t="s">
        <v>257</v>
      </c>
      <c r="C100" s="10" t="s">
        <v>258</v>
      </c>
      <c r="D100" s="11" t="s">
        <v>259</v>
      </c>
      <c r="E100" s="6" t="s">
        <v>45</v>
      </c>
      <c r="F100" s="6"/>
      <c r="G100" s="6"/>
      <c r="H100" s="6"/>
      <c r="I100" s="6"/>
      <c r="J100" s="6"/>
      <c r="K100" s="6">
        <v>349</v>
      </c>
      <c r="L100" s="6">
        <v>8352.59</v>
      </c>
      <c r="M100" s="9">
        <v>22</v>
      </c>
      <c r="N100" s="9">
        <v>13</v>
      </c>
      <c r="O100" s="5">
        <v>4.2</v>
      </c>
      <c r="P100" s="5" t="s">
        <v>260</v>
      </c>
      <c r="Q100" s="22" t="str">
        <f t="shared" si="3"/>
        <v>https://amazon.com/dp/B0DW8SV9B4</v>
      </c>
    </row>
    <row r="101" spans="1:17" ht="18.25" customHeight="1" x14ac:dyDescent="0.2">
      <c r="A101" s="7">
        <v>45</v>
      </c>
      <c r="B101" s="5" t="s">
        <v>261</v>
      </c>
      <c r="C101" s="10" t="s">
        <v>262</v>
      </c>
      <c r="D101" s="11" t="s">
        <v>263</v>
      </c>
      <c r="E101" s="6" t="s">
        <v>45</v>
      </c>
      <c r="F101" s="6"/>
      <c r="G101" s="6"/>
      <c r="H101" s="6"/>
      <c r="I101" s="6"/>
      <c r="J101" s="6"/>
      <c r="K101" s="6">
        <v>399.99</v>
      </c>
      <c r="L101" s="6">
        <v>8409.08</v>
      </c>
      <c r="M101" s="9">
        <v>21</v>
      </c>
      <c r="N101" s="9">
        <v>9</v>
      </c>
      <c r="O101" s="5">
        <v>3.5</v>
      </c>
      <c r="P101" s="5" t="s">
        <v>264</v>
      </c>
      <c r="Q101" s="22" t="str">
        <f t="shared" si="3"/>
        <v>https://amazon.com/dp/B0FDW99SWF</v>
      </c>
    </row>
    <row r="102" spans="1:17" ht="18.25" customHeight="1" x14ac:dyDescent="0.2">
      <c r="A102" s="7">
        <v>46</v>
      </c>
      <c r="B102" s="5" t="s">
        <v>265</v>
      </c>
      <c r="C102" s="10" t="s">
        <v>266</v>
      </c>
      <c r="D102" s="11" t="s">
        <v>267</v>
      </c>
      <c r="E102" s="6" t="s">
        <v>45</v>
      </c>
      <c r="F102" s="6"/>
      <c r="G102" s="6"/>
      <c r="H102" s="6"/>
      <c r="I102" s="6"/>
      <c r="J102" s="6"/>
      <c r="K102" s="6">
        <v>102.59</v>
      </c>
      <c r="L102" s="6">
        <v>2202.36</v>
      </c>
      <c r="M102" s="9">
        <v>21</v>
      </c>
      <c r="N102" s="9">
        <v>185</v>
      </c>
      <c r="O102" s="5">
        <v>4.0999999999999996</v>
      </c>
      <c r="P102" s="5" t="s">
        <v>268</v>
      </c>
      <c r="Q102" s="22" t="str">
        <f t="shared" si="3"/>
        <v>https://amazon.com/dp/B0DGT9WM5P</v>
      </c>
    </row>
    <row r="103" spans="1:17" ht="18.25" customHeight="1" x14ac:dyDescent="0.2">
      <c r="A103" s="7">
        <v>47</v>
      </c>
      <c r="B103" s="5" t="s">
        <v>269</v>
      </c>
      <c r="C103" s="10" t="s">
        <v>270</v>
      </c>
      <c r="D103" s="11" t="s">
        <v>271</v>
      </c>
      <c r="E103" s="6" t="s">
        <v>45</v>
      </c>
      <c r="F103" s="6"/>
      <c r="G103" s="6"/>
      <c r="H103" s="6"/>
      <c r="I103" s="6"/>
      <c r="J103" s="6"/>
      <c r="K103" s="6">
        <v>90.99</v>
      </c>
      <c r="L103" s="6">
        <v>1959.41</v>
      </c>
      <c r="M103" s="9">
        <v>20</v>
      </c>
      <c r="N103" s="9">
        <v>4</v>
      </c>
      <c r="O103" s="5">
        <v>5</v>
      </c>
      <c r="P103" s="5" t="s">
        <v>272</v>
      </c>
      <c r="Q103" s="22" t="str">
        <f t="shared" si="3"/>
        <v>https://amazon.com/dp/B0FQBV5QXN</v>
      </c>
    </row>
    <row r="104" spans="1:17" ht="18.25" customHeight="1" x14ac:dyDescent="0.2">
      <c r="A104" s="7">
        <v>48</v>
      </c>
      <c r="B104" s="5" t="s">
        <v>273</v>
      </c>
      <c r="C104" s="10" t="s">
        <v>274</v>
      </c>
      <c r="D104" s="11" t="s">
        <v>275</v>
      </c>
      <c r="E104" s="6" t="s">
        <v>45</v>
      </c>
      <c r="F104" s="6"/>
      <c r="G104" s="6"/>
      <c r="H104" s="6"/>
      <c r="I104" s="6"/>
      <c r="J104" s="6"/>
      <c r="K104" s="6">
        <v>229</v>
      </c>
      <c r="L104" s="6">
        <v>4318.8100000000004</v>
      </c>
      <c r="M104" s="9">
        <v>19</v>
      </c>
      <c r="N104" s="9">
        <v>5</v>
      </c>
      <c r="O104" s="5">
        <v>5</v>
      </c>
      <c r="P104" s="5" t="s">
        <v>276</v>
      </c>
      <c r="Q104" s="22" t="str">
        <f t="shared" si="3"/>
        <v>https://amazon.com/dp/B0FQNXBQM2</v>
      </c>
    </row>
    <row r="105" spans="1:17" ht="18.25" customHeight="1" x14ac:dyDescent="0.2">
      <c r="A105" s="7">
        <v>49</v>
      </c>
      <c r="B105" s="5" t="s">
        <v>277</v>
      </c>
      <c r="C105" s="10" t="s">
        <v>278</v>
      </c>
      <c r="D105" s="11" t="s">
        <v>279</v>
      </c>
      <c r="E105" s="6" t="s">
        <v>45</v>
      </c>
      <c r="F105" s="6"/>
      <c r="G105" s="6"/>
      <c r="H105" s="6"/>
      <c r="I105" s="6"/>
      <c r="J105" s="6"/>
      <c r="K105" s="6">
        <v>99.99</v>
      </c>
      <c r="L105" s="6">
        <v>1894.52</v>
      </c>
      <c r="M105" s="9">
        <v>19</v>
      </c>
      <c r="N105" s="9">
        <v>5</v>
      </c>
      <c r="O105" s="5">
        <v>4.3</v>
      </c>
      <c r="P105" s="5" t="s">
        <v>280</v>
      </c>
      <c r="Q105" s="22" t="str">
        <f t="shared" si="3"/>
        <v>https://amazon.com/dp/B0DXR8NFXX</v>
      </c>
    </row>
    <row r="106" spans="1:17" ht="18.25" customHeight="1" x14ac:dyDescent="0.2">
      <c r="A106" s="7">
        <v>50</v>
      </c>
      <c r="B106" s="5" t="s">
        <v>281</v>
      </c>
      <c r="C106" s="10" t="s">
        <v>282</v>
      </c>
      <c r="D106" s="11" t="s">
        <v>283</v>
      </c>
      <c r="E106" s="6" t="s">
        <v>45</v>
      </c>
      <c r="F106" s="6"/>
      <c r="G106" s="6"/>
      <c r="H106" s="6"/>
      <c r="I106" s="6"/>
      <c r="J106" s="6"/>
      <c r="K106" s="6">
        <v>18.989999999999998</v>
      </c>
      <c r="L106" s="6">
        <v>368.38</v>
      </c>
      <c r="M106" s="9">
        <v>19</v>
      </c>
      <c r="N106" s="9">
        <v>13</v>
      </c>
      <c r="O106" s="5">
        <v>4.0999999999999996</v>
      </c>
      <c r="P106" s="5" t="s">
        <v>284</v>
      </c>
      <c r="Q106" s="22" t="str">
        <f t="shared" si="3"/>
        <v>https://amazon.com/dp/B0DK2KPKW8</v>
      </c>
    </row>
  </sheetData>
  <mergeCells count="2">
    <mergeCell ref="A55:Q55"/>
    <mergeCell ref="A1:Q1"/>
  </mergeCells>
  <hyperlinks>
    <hyperlink ref="Q3" r:id="rId1" display="https://amazon.com/dp/B0D56CNCW1" xr:uid="{00000000-0004-0000-0100-000000000000}"/>
    <hyperlink ref="Q4" r:id="rId2" display="https://amazon.com/dp/B0FMDQK4S8" xr:uid="{00000000-0004-0000-0100-000001000000}"/>
    <hyperlink ref="Q5" r:id="rId3" display="https://amazon.com/dp/B0D5QXY5JN" xr:uid="{00000000-0004-0000-0100-000002000000}"/>
    <hyperlink ref="Q6" r:id="rId4" display="https://amazon.com/dp/B0CNXP8JBV" xr:uid="{00000000-0004-0000-0100-000003000000}"/>
    <hyperlink ref="Q7" r:id="rId5" display="https://amazon.com/dp/B0FW4H9MXB" xr:uid="{00000000-0004-0000-0100-000004000000}"/>
    <hyperlink ref="Q8" r:id="rId6" display="https://amazon.com/dp/B0CNXPDG7R" xr:uid="{00000000-0004-0000-0100-000005000000}"/>
    <hyperlink ref="Q9" r:id="rId7" display="https://amazon.com/dp/B0F5WCSL4H" xr:uid="{00000000-0004-0000-0100-000006000000}"/>
    <hyperlink ref="Q10" r:id="rId8" display="https://amazon.com/dp/B0DZNNGH3P" xr:uid="{00000000-0004-0000-0100-000007000000}"/>
    <hyperlink ref="Q11" r:id="rId9" display="https://amazon.com/dp/B0FMDJC7VB" xr:uid="{00000000-0004-0000-0100-000008000000}"/>
    <hyperlink ref="Q12" r:id="rId10" display="https://amazon.com/dp/B0FNM6ZFGG" xr:uid="{00000000-0004-0000-0100-000009000000}"/>
    <hyperlink ref="Q13" r:id="rId11" display="https://amazon.com/dp/B0DW3ZPC1N" xr:uid="{00000000-0004-0000-0100-00000A000000}"/>
    <hyperlink ref="Q14" r:id="rId12" display="https://amazon.com/dp/B0C37XZWZJ" xr:uid="{00000000-0004-0000-0100-00000B000000}"/>
    <hyperlink ref="Q15" r:id="rId13" display="https://amazon.com/dp/B0CP8N943X" xr:uid="{00000000-0004-0000-0100-00000C000000}"/>
    <hyperlink ref="Q16" r:id="rId14" display="https://amazon.com/dp/B096HD7WYC" xr:uid="{00000000-0004-0000-0100-00000D000000}"/>
    <hyperlink ref="Q17" r:id="rId15" display="https://amazon.com/dp/B0CPN38V6B" xr:uid="{00000000-0004-0000-0100-00000E000000}"/>
    <hyperlink ref="Q18" r:id="rId16" display="https://amazon.com/dp/B0BRY2694B" xr:uid="{00000000-0004-0000-0100-00000F000000}"/>
    <hyperlink ref="Q19" r:id="rId17" display="https://amazon.com/dp/B0B6GJ84TZ" xr:uid="{00000000-0004-0000-0100-000010000000}"/>
    <hyperlink ref="Q20" r:id="rId18" display="https://amazon.com/dp/B0FRGFKHHG" xr:uid="{00000000-0004-0000-0100-000011000000}"/>
    <hyperlink ref="Q21" r:id="rId19" display="https://amazon.com/dp/B0CTVDMD16" xr:uid="{00000000-0004-0000-0100-000012000000}"/>
    <hyperlink ref="Q22" r:id="rId20" display="https://amazon.com/dp/B0CTW1RCM1" xr:uid="{00000000-0004-0000-0100-000013000000}"/>
    <hyperlink ref="Q23" r:id="rId21" display="https://amazon.com/dp/B0CTVD7WNF" xr:uid="{00000000-0004-0000-0100-000014000000}"/>
    <hyperlink ref="Q24" r:id="rId22" display="https://amazon.com/dp/B0988TDVTW" xr:uid="{00000000-0004-0000-0100-000015000000}"/>
    <hyperlink ref="Q25" r:id="rId23" display="https://amazon.com/dp/B0DSVFBXZT" xr:uid="{00000000-0004-0000-0100-000016000000}"/>
    <hyperlink ref="Q26" r:id="rId24" display="https://amazon.com/dp/B07YCXCTCP" xr:uid="{00000000-0004-0000-0100-000017000000}"/>
    <hyperlink ref="Q27" r:id="rId25" display="https://amazon.com/dp/B0DMZSBPNT" xr:uid="{00000000-0004-0000-0100-000018000000}"/>
    <hyperlink ref="Q28" r:id="rId26" display="https://amazon.com/dp/B0FNWKSKYK" xr:uid="{00000000-0004-0000-0100-000019000000}"/>
    <hyperlink ref="Q29" r:id="rId27" display="https://amazon.com/dp/B09897SNLP" xr:uid="{00000000-0004-0000-0100-00001A000000}"/>
    <hyperlink ref="Q30" r:id="rId28" display="https://amazon.com/dp/B0CTVH53L5" xr:uid="{00000000-0004-0000-0100-00001B000000}"/>
    <hyperlink ref="Q31" r:id="rId29" display="https://amazon.com/dp/B0BN8CQ571" xr:uid="{00000000-0004-0000-0100-00001C000000}"/>
    <hyperlink ref="Q32" r:id="rId30" display="https://amazon.com/dp/B0BRY25L5X" xr:uid="{00000000-0004-0000-0100-00001D000000}"/>
    <hyperlink ref="Q33" r:id="rId31" display="https://amazon.com/dp/B0CKLVYY1J" xr:uid="{00000000-0004-0000-0100-00001E000000}"/>
    <hyperlink ref="Q34" r:id="rId32" display="https://amazon.com/dp/B003QNIZ14" xr:uid="{00000000-0004-0000-0100-00001F000000}"/>
    <hyperlink ref="Q35" r:id="rId33" display="https://amazon.com/dp/B0FJM2TBJZ" xr:uid="{00000000-0004-0000-0100-000020000000}"/>
    <hyperlink ref="Q36" r:id="rId34" display="https://amazon.com/dp/B07C4WS8PZ" xr:uid="{00000000-0004-0000-0100-000021000000}"/>
    <hyperlink ref="Q37" r:id="rId35" display="https://amazon.com/dp/B0CFH7SGZK" xr:uid="{00000000-0004-0000-0100-000022000000}"/>
    <hyperlink ref="Q38" r:id="rId36" display="https://amazon.com/dp/B0D84HKGHG" xr:uid="{00000000-0004-0000-0100-000023000000}"/>
    <hyperlink ref="Q39" r:id="rId37" display="https://amazon.com/dp/B0D84GH4GB" xr:uid="{00000000-0004-0000-0100-000024000000}"/>
    <hyperlink ref="Q40" r:id="rId38" display="https://amazon.com/dp/B0D5B8RY8P" xr:uid="{00000000-0004-0000-0100-000025000000}"/>
    <hyperlink ref="Q41" r:id="rId39" display="https://amazon.com/dp/B0DLDYXW27" xr:uid="{00000000-0004-0000-0100-000026000000}"/>
    <hyperlink ref="Q42" r:id="rId40" display="https://amazon.com/dp/B0DSQ2QM7Q" xr:uid="{00000000-0004-0000-0100-000027000000}"/>
    <hyperlink ref="Q43" r:id="rId41" display="https://amazon.com/dp/B09LWY7717" xr:uid="{00000000-0004-0000-0100-000028000000}"/>
    <hyperlink ref="Q44" r:id="rId42" display="https://amazon.com/dp/B0FTG8VLSM" xr:uid="{00000000-0004-0000-0100-000029000000}"/>
    <hyperlink ref="Q45" r:id="rId43" display="https://amazon.com/dp/B09JT1VXGG" xr:uid="{00000000-0004-0000-0100-00002A000000}"/>
    <hyperlink ref="Q46" r:id="rId44" display="https://amazon.com/dp/B0DNJZB9RK" xr:uid="{00000000-0004-0000-0100-00002B000000}"/>
    <hyperlink ref="Q47" r:id="rId45" display="https://amazon.com/dp/B0C4TCBPHX" xr:uid="{00000000-0004-0000-0100-00002C000000}"/>
    <hyperlink ref="Q48" r:id="rId46" display="https://amazon.com/dp/B0CY16GT91" xr:uid="{00000000-0004-0000-0100-00002D000000}"/>
    <hyperlink ref="Q49" r:id="rId47" display="https://amazon.com/dp/B0B8M93WR8" xr:uid="{00000000-0004-0000-0100-00002E000000}"/>
    <hyperlink ref="Q50" r:id="rId48" display="https://amazon.com/dp/B06XGS6611" xr:uid="{00000000-0004-0000-0100-00002F000000}"/>
    <hyperlink ref="Q51" r:id="rId49" display="https://amazon.com/dp/B0D1R935KD" xr:uid="{00000000-0004-0000-0100-000030000000}"/>
    <hyperlink ref="Q52" r:id="rId50" display="https://amazon.com/dp/B0D1RB6PBJ" xr:uid="{00000000-0004-0000-0100-000031000000}"/>
    <hyperlink ref="Q57" r:id="rId51" display="https://amazon.com/dp/B0FMDQK4S8" xr:uid="{00000000-0004-0000-0100-000032000000}"/>
    <hyperlink ref="Q58" r:id="rId52" display="https://amazon.com/dp/B0D56CNCW1" xr:uid="{00000000-0004-0000-0100-000033000000}"/>
    <hyperlink ref="Q59" r:id="rId53" display="https://amazon.com/dp/B0FNM6ZFGG" xr:uid="{00000000-0004-0000-0100-000034000000}"/>
    <hyperlink ref="Q60" r:id="rId54" display="https://amazon.com/dp/B0F5WCSL4H" xr:uid="{00000000-0004-0000-0100-000035000000}"/>
    <hyperlink ref="Q61" r:id="rId55" display="https://amazon.com/dp/B0BRY2694B" xr:uid="{00000000-0004-0000-0100-000036000000}"/>
    <hyperlink ref="Q62" r:id="rId56" display="https://amazon.com/dp/B0FMDJC7VB" xr:uid="{00000000-0004-0000-0100-000037000000}"/>
    <hyperlink ref="Q63" r:id="rId57" display="https://amazon.com/dp/B0D5QXY5JN" xr:uid="{00000000-0004-0000-0100-000038000000}"/>
    <hyperlink ref="Q64" r:id="rId58" display="https://amazon.com/dp/B0CNXP8JBV" xr:uid="{00000000-0004-0000-0100-000039000000}"/>
    <hyperlink ref="Q65" r:id="rId59" display="https://amazon.com/dp/B0BRY25L5X" xr:uid="{00000000-0004-0000-0100-00003A000000}"/>
    <hyperlink ref="Q66" r:id="rId60" display="https://amazon.com/dp/B0DMZSBPNT" xr:uid="{00000000-0004-0000-0100-00003B000000}"/>
    <hyperlink ref="Q67" r:id="rId61" display="https://amazon.com/dp/B0CNXPDG7R" xr:uid="{00000000-0004-0000-0100-00003C000000}"/>
    <hyperlink ref="Q68" r:id="rId62" display="https://amazon.com/dp/B096HD7WYC" xr:uid="{00000000-0004-0000-0100-00003D000000}"/>
    <hyperlink ref="Q69" r:id="rId63" display="https://amazon.com/dp/B0FJM2TBJZ" xr:uid="{00000000-0004-0000-0100-00003E000000}"/>
    <hyperlink ref="Q70" r:id="rId64" display="https://amazon.com/dp/B0FRGFKHHG" xr:uid="{00000000-0004-0000-0100-00003F000000}"/>
    <hyperlink ref="Q71" r:id="rId65" display="https://amazon.com/dp/B0DW3ZPC1N" xr:uid="{00000000-0004-0000-0100-000040000000}"/>
    <hyperlink ref="Q72" r:id="rId66" display="https://amazon.com/dp/B0FW4H9MXB" xr:uid="{00000000-0004-0000-0100-000041000000}"/>
    <hyperlink ref="Q73" r:id="rId67" display="https://amazon.com/dp/B0DLKCCBBT" xr:uid="{00000000-0004-0000-0100-000042000000}"/>
    <hyperlink ref="Q74" r:id="rId68" display="https://amazon.com/dp/B0DPHT54L9" xr:uid="{00000000-0004-0000-0100-000043000000}"/>
    <hyperlink ref="Q75" r:id="rId69" display="https://amazon.com/dp/B0DSVFBXZT" xr:uid="{00000000-0004-0000-0100-000044000000}"/>
    <hyperlink ref="Q76" r:id="rId70" display="https://amazon.com/dp/B0CFH7SGZK" xr:uid="{00000000-0004-0000-0100-000045000000}"/>
    <hyperlink ref="Q77" r:id="rId71" display="https://amazon.com/dp/B0DSBXKFJD" xr:uid="{00000000-0004-0000-0100-000046000000}"/>
    <hyperlink ref="Q78" r:id="rId72" display="https://amazon.com/dp/B0988TDVTW" xr:uid="{00000000-0004-0000-0100-000047000000}"/>
    <hyperlink ref="Q79" r:id="rId73" display="https://amazon.com/dp/B07C4WS8PZ" xr:uid="{00000000-0004-0000-0100-000048000000}"/>
    <hyperlink ref="Q80" r:id="rId74" display="https://amazon.com/dp/B0FNWKSKYK" xr:uid="{00000000-0004-0000-0100-000049000000}"/>
    <hyperlink ref="Q81" r:id="rId75" display="https://amazon.com/dp/B0DSQ2QM7Q" xr:uid="{00000000-0004-0000-0100-00004A000000}"/>
    <hyperlink ref="Q82" r:id="rId76" display="https://amazon.com/dp/B002Q6UG3W" xr:uid="{00000000-0004-0000-0100-00004B000000}"/>
    <hyperlink ref="Q83" r:id="rId77" display="https://amazon.com/dp/B0CKYMVYTK" xr:uid="{00000000-0004-0000-0100-00004C000000}"/>
    <hyperlink ref="Q84" r:id="rId78" display="https://amazon.com/dp/B0D5B8RY8P" xr:uid="{00000000-0004-0000-0100-00004D000000}"/>
    <hyperlink ref="Q85" r:id="rId79" display="https://amazon.com/dp/B09897SNLP" xr:uid="{00000000-0004-0000-0100-00004E000000}"/>
    <hyperlink ref="Q86" r:id="rId80" display="https://amazon.com/dp/B0FMK3PKNQ" xr:uid="{00000000-0004-0000-0100-00004F000000}"/>
    <hyperlink ref="Q87" r:id="rId81" display="https://amazon.com/dp/B0F1ZYBGJL" xr:uid="{00000000-0004-0000-0100-000050000000}"/>
    <hyperlink ref="Q88" r:id="rId82" display="https://amazon.com/dp/B0BN8CQ571" xr:uid="{00000000-0004-0000-0100-000051000000}"/>
    <hyperlink ref="Q89" r:id="rId83" display="https://amazon.com/dp/B09RZS74XM" xr:uid="{00000000-0004-0000-0100-000052000000}"/>
    <hyperlink ref="Q90" r:id="rId84" display="https://amazon.com/dp/B0CFH6TPWQ" xr:uid="{00000000-0004-0000-0100-000053000000}"/>
    <hyperlink ref="Q91" r:id="rId85" display="https://amazon.com/dp/B0DKJKWY24" xr:uid="{00000000-0004-0000-0100-000054000000}"/>
    <hyperlink ref="Q92" r:id="rId86" display="https://amazon.com/dp/B0DZTCYBFQ" xr:uid="{00000000-0004-0000-0100-000055000000}"/>
    <hyperlink ref="Q93" r:id="rId87" display="https://amazon.com/dp/B0DZNNGH3P" xr:uid="{00000000-0004-0000-0100-000056000000}"/>
    <hyperlink ref="Q94" r:id="rId88" display="https://amazon.com/dp/B0CP8N943X" xr:uid="{00000000-0004-0000-0100-000057000000}"/>
    <hyperlink ref="Q95" r:id="rId89" display="https://amazon.com/dp/B0F1NT1NLK" xr:uid="{00000000-0004-0000-0100-000058000000}"/>
    <hyperlink ref="Q96" r:id="rId90" display="https://amazon.com/dp/B0C37XZWZJ" xr:uid="{00000000-0004-0000-0100-000059000000}"/>
    <hyperlink ref="Q97" r:id="rId91" display="https://amazon.com/dp/B0FJQYHZ1S" xr:uid="{00000000-0004-0000-0100-00005A000000}"/>
    <hyperlink ref="Q98" r:id="rId92" display="https://amazon.com/dp/B0CP4RWTJ7" xr:uid="{00000000-0004-0000-0100-00005B000000}"/>
    <hyperlink ref="Q99" r:id="rId93" display="https://amazon.com/dp/B0CPV9ZL6T" xr:uid="{00000000-0004-0000-0100-00005C000000}"/>
    <hyperlink ref="Q100" r:id="rId94" display="https://amazon.com/dp/B0DW8SV9B4" xr:uid="{00000000-0004-0000-0100-00005D000000}"/>
    <hyperlink ref="Q101" r:id="rId95" display="https://amazon.com/dp/B0FDW99SWF" xr:uid="{00000000-0004-0000-0100-00005E000000}"/>
    <hyperlink ref="Q102" r:id="rId96" display="https://amazon.com/dp/B0DGT9WM5P" xr:uid="{00000000-0004-0000-0100-00005F000000}"/>
    <hyperlink ref="Q103" r:id="rId97" display="https://amazon.com/dp/B0FQBV5QXN" xr:uid="{00000000-0004-0000-0100-000060000000}"/>
    <hyperlink ref="Q104" r:id="rId98" display="https://amazon.com/dp/B0FQNXBQM2" xr:uid="{00000000-0004-0000-0100-000061000000}"/>
    <hyperlink ref="Q105" r:id="rId99" display="https://amazon.com/dp/B0DXR8NFXX" xr:uid="{00000000-0004-0000-0100-000062000000}"/>
    <hyperlink ref="Q106" r:id="rId100" display="https://amazon.com/dp/B0DK2KPKW8" xr:uid="{00000000-0004-0000-0100-000063000000}"/>
  </hyperlinks>
  <pageMargins left="0.7" right="0.7" top="0.75" bottom="0.75" header="0.3" footer="0.3"/>
  <tableParts count="2">
    <tablePart r:id="rId101"/>
    <tablePart r:id="rId1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topLeftCell="A17" zoomScale="125" workbookViewId="0">
      <selection activeCell="L35" sqref="L35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30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45</v>
      </c>
      <c r="B3" s="77">
        <v>1517.6032</v>
      </c>
      <c r="C3" s="78">
        <v>9987</v>
      </c>
      <c r="D3" s="79">
        <v>1</v>
      </c>
      <c r="E3" s="80">
        <v>2486547.15</v>
      </c>
      <c r="F3" s="79">
        <v>1</v>
      </c>
    </row>
    <row r="5" spans="1:6" x14ac:dyDescent="0.2">
      <c r="A5" s="76"/>
      <c r="B5" s="77"/>
      <c r="C5" s="78"/>
      <c r="D5" s="79"/>
      <c r="E5" s="80"/>
      <c r="F5" s="79"/>
    </row>
    <row r="6" spans="1:6" x14ac:dyDescent="0.2">
      <c r="A6" s="66"/>
      <c r="B6" s="67"/>
      <c r="C6" s="68"/>
      <c r="D6" s="69"/>
      <c r="E6" s="70"/>
      <c r="F6" s="69"/>
    </row>
    <row r="7" spans="1:6" x14ac:dyDescent="0.2">
      <c r="A7" s="76"/>
      <c r="B7" s="77"/>
      <c r="C7" s="78"/>
      <c r="D7" s="79"/>
      <c r="E7" s="80"/>
      <c r="F7" s="79"/>
    </row>
    <row r="8" spans="1:6" x14ac:dyDescent="0.2">
      <c r="A8" s="76"/>
      <c r="B8" s="77"/>
      <c r="C8" s="78"/>
      <c r="D8" s="79"/>
      <c r="E8" s="80"/>
      <c r="F8" s="79"/>
    </row>
    <row r="9" spans="1:6" x14ac:dyDescent="0.2">
      <c r="A9" s="76"/>
      <c r="B9" s="77"/>
      <c r="C9" s="78"/>
      <c r="D9" s="79"/>
      <c r="E9" s="80"/>
      <c r="F9" s="79"/>
    </row>
    <row r="10" spans="1:6" x14ac:dyDescent="0.2">
      <c r="A10" s="71" t="s">
        <v>291</v>
      </c>
      <c r="B10" s="72">
        <v>1517.6032</v>
      </c>
      <c r="C10" s="73">
        <v>9987</v>
      </c>
      <c r="D10" s="74">
        <v>1</v>
      </c>
      <c r="E10" s="75">
        <v>2486547.15</v>
      </c>
      <c r="F10" s="74">
        <v>1</v>
      </c>
    </row>
    <row r="28" spans="1:6" ht="26" customHeight="1" x14ac:dyDescent="0.25">
      <c r="A28" s="112" t="s">
        <v>292</v>
      </c>
      <c r="B28" s="113"/>
      <c r="C28" s="113"/>
      <c r="D28" s="114"/>
      <c r="E28" s="113"/>
      <c r="F28" s="113"/>
    </row>
    <row r="29" spans="1:6" x14ac:dyDescent="0.2">
      <c r="A29" s="61" t="s">
        <v>30</v>
      </c>
      <c r="B29" s="62" t="s">
        <v>286</v>
      </c>
      <c r="C29" s="62" t="s">
        <v>287</v>
      </c>
      <c r="D29" s="63" t="s">
        <v>288</v>
      </c>
      <c r="E29" s="64" t="s">
        <v>289</v>
      </c>
      <c r="F29" s="65" t="s">
        <v>290</v>
      </c>
    </row>
    <row r="30" spans="1:6" x14ac:dyDescent="0.2">
      <c r="A30" s="76" t="s">
        <v>45</v>
      </c>
      <c r="B30" s="77">
        <v>343.16520000000003</v>
      </c>
      <c r="C30" s="78">
        <v>10554</v>
      </c>
      <c r="D30" s="79">
        <v>1</v>
      </c>
      <c r="E30" s="80">
        <v>2189175.67</v>
      </c>
      <c r="F30" s="79">
        <v>1</v>
      </c>
    </row>
    <row r="31" spans="1:6" x14ac:dyDescent="0.2">
      <c r="A31" s="76"/>
      <c r="B31" s="77"/>
      <c r="C31" s="78"/>
      <c r="D31" s="79"/>
      <c r="E31" s="80"/>
      <c r="F31" s="79"/>
    </row>
    <row r="32" spans="1:6" x14ac:dyDescent="0.2">
      <c r="A32" s="76"/>
      <c r="B32" s="77"/>
      <c r="C32" s="78"/>
      <c r="D32" s="79"/>
      <c r="E32" s="80"/>
      <c r="F32" s="79"/>
    </row>
    <row r="33" spans="1:6" x14ac:dyDescent="0.2">
      <c r="A33" s="76"/>
      <c r="B33" s="77"/>
      <c r="C33" s="78"/>
      <c r="D33" s="79"/>
      <c r="E33" s="80"/>
      <c r="F33" s="79"/>
    </row>
    <row r="34" spans="1:6" x14ac:dyDescent="0.2">
      <c r="A34" s="71" t="s">
        <v>291</v>
      </c>
      <c r="B34" s="72">
        <v>343.16520000000003</v>
      </c>
      <c r="C34" s="73">
        <v>10554</v>
      </c>
      <c r="D34" s="74">
        <v>1</v>
      </c>
      <c r="E34" s="75">
        <v>2189175.669999999</v>
      </c>
      <c r="F34" s="74">
        <v>1</v>
      </c>
    </row>
  </sheetData>
  <mergeCells count="2">
    <mergeCell ref="A1:F1"/>
    <mergeCell ref="A28:F28"/>
  </mergeCells>
  <conditionalFormatting sqref="C3:F3 C5:F10 C30:F34">
    <cfRule type="expression" dxfId="5" priority="1">
      <formula>C3&lt;0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="57" workbookViewId="0">
      <selection activeCell="I25" sqref="I25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31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293</v>
      </c>
      <c r="B3" s="77">
        <v>151.215</v>
      </c>
      <c r="C3" s="78">
        <v>14280</v>
      </c>
      <c r="D3" s="79">
        <v>0.28413952285253802</v>
      </c>
      <c r="E3" s="80">
        <v>1876739.62</v>
      </c>
      <c r="F3" s="79">
        <v>0.51593326895524494</v>
      </c>
    </row>
    <row r="4" spans="1:6" x14ac:dyDescent="0.2">
      <c r="A4" s="66" t="s">
        <v>294</v>
      </c>
      <c r="B4" s="67">
        <v>483.32333333333332</v>
      </c>
      <c r="C4" s="68">
        <v>224</v>
      </c>
      <c r="D4" s="69">
        <v>4.4570905545496149E-3</v>
      </c>
      <c r="E4" s="70">
        <v>99487.319999999992</v>
      </c>
      <c r="F4" s="69">
        <v>2.7349994469236239E-2</v>
      </c>
    </row>
    <row r="5" spans="1:6" x14ac:dyDescent="0.2">
      <c r="A5" s="76" t="s">
        <v>295</v>
      </c>
      <c r="B5" s="77">
        <v>38.231666666666669</v>
      </c>
      <c r="C5" s="78">
        <v>9741</v>
      </c>
      <c r="D5" s="79">
        <v>0.1938237459458384</v>
      </c>
      <c r="E5" s="80">
        <v>327595.06</v>
      </c>
      <c r="F5" s="79">
        <v>9.0058944990669298E-2</v>
      </c>
    </row>
    <row r="6" spans="1:6" x14ac:dyDescent="0.2">
      <c r="A6" s="66"/>
      <c r="B6" s="67">
        <v>112.4752</v>
      </c>
      <c r="C6" s="68">
        <v>26012</v>
      </c>
      <c r="D6" s="69">
        <v>0.51757964064707407</v>
      </c>
      <c r="E6" s="70">
        <v>1333740.71</v>
      </c>
      <c r="F6" s="69">
        <v>0.36665779158484929</v>
      </c>
    </row>
    <row r="7" spans="1:6" x14ac:dyDescent="0.2">
      <c r="A7" s="71" t="s">
        <v>291</v>
      </c>
      <c r="B7" s="72">
        <v>196.31129999999999</v>
      </c>
      <c r="C7" s="73">
        <v>50257</v>
      </c>
      <c r="D7" s="74">
        <v>1</v>
      </c>
      <c r="E7" s="75">
        <v>3637562.71</v>
      </c>
      <c r="F7" s="74">
        <v>1</v>
      </c>
    </row>
    <row r="25" spans="1:6" ht="26" customHeight="1" x14ac:dyDescent="0.25">
      <c r="A25" s="112" t="s">
        <v>292</v>
      </c>
      <c r="B25" s="113"/>
      <c r="C25" s="113"/>
      <c r="D25" s="114"/>
      <c r="E25" s="113"/>
      <c r="F25" s="113"/>
    </row>
    <row r="26" spans="1:6" x14ac:dyDescent="0.2">
      <c r="A26" s="61" t="s">
        <v>31</v>
      </c>
      <c r="B26" s="62" t="s">
        <v>286</v>
      </c>
      <c r="C26" s="62" t="s">
        <v>287</v>
      </c>
      <c r="D26" s="63" t="s">
        <v>288</v>
      </c>
      <c r="E26" s="64" t="s">
        <v>289</v>
      </c>
      <c r="F26" s="65" t="s">
        <v>290</v>
      </c>
    </row>
    <row r="27" spans="1:6" x14ac:dyDescent="0.2">
      <c r="A27" s="76" t="s">
        <v>293</v>
      </c>
      <c r="B27" s="77">
        <v>125.215</v>
      </c>
      <c r="C27" s="78">
        <v>12014</v>
      </c>
      <c r="D27" s="79">
        <v>0.20775402919001179</v>
      </c>
      <c r="E27" s="80">
        <v>1536111.87</v>
      </c>
      <c r="F27" s="79">
        <v>0.4679783155738596</v>
      </c>
    </row>
    <row r="28" spans="1:6" x14ac:dyDescent="0.2">
      <c r="A28" s="66" t="s">
        <v>295</v>
      </c>
      <c r="B28" s="67">
        <v>33.448749999999997</v>
      </c>
      <c r="C28" s="68">
        <v>15781</v>
      </c>
      <c r="D28" s="69">
        <v>0.27289548315694823</v>
      </c>
      <c r="E28" s="70">
        <v>514452.73</v>
      </c>
      <c r="F28" s="69">
        <v>0.15672863853839861</v>
      </c>
    </row>
    <row r="29" spans="1:6" x14ac:dyDescent="0.2">
      <c r="A29" s="76"/>
      <c r="B29" s="77">
        <v>46.160384615384608</v>
      </c>
      <c r="C29" s="78">
        <v>30033</v>
      </c>
      <c r="D29" s="79">
        <v>0.51935048765304004</v>
      </c>
      <c r="E29" s="80">
        <v>1231877.81</v>
      </c>
      <c r="F29" s="79">
        <v>0.37529304588774193</v>
      </c>
    </row>
    <row r="30" spans="1:6" x14ac:dyDescent="0.2">
      <c r="A30" s="71" t="s">
        <v>291</v>
      </c>
      <c r="B30" s="72">
        <v>68.274711538461531</v>
      </c>
      <c r="C30" s="73">
        <v>57828</v>
      </c>
      <c r="D30" s="74">
        <v>1</v>
      </c>
      <c r="E30" s="75">
        <v>3282442.41</v>
      </c>
      <c r="F30" s="74">
        <v>1</v>
      </c>
    </row>
  </sheetData>
  <mergeCells count="2">
    <mergeCell ref="A1:F1"/>
    <mergeCell ref="A25:F25"/>
  </mergeCells>
  <conditionalFormatting sqref="C3:F7 C27:F30">
    <cfRule type="expression" dxfId="4" priority="1">
      <formula>C3&lt;0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opLeftCell="A21" zoomScale="85" workbookViewId="0">
      <selection activeCell="I42" sqref="I42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32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296</v>
      </c>
      <c r="B3" s="77">
        <v>90.504705882352937</v>
      </c>
      <c r="C3" s="78">
        <v>16596</v>
      </c>
      <c r="D3" s="79">
        <v>0.33022265555047059</v>
      </c>
      <c r="E3" s="80">
        <v>1058372.78</v>
      </c>
      <c r="F3" s="79">
        <v>0.29095657295211269</v>
      </c>
    </row>
    <row r="4" spans="1:6" x14ac:dyDescent="0.2">
      <c r="A4" s="66" t="s">
        <v>297</v>
      </c>
      <c r="B4" s="67">
        <v>142.49</v>
      </c>
      <c r="C4" s="68">
        <v>7113</v>
      </c>
      <c r="D4" s="69">
        <v>0.1415325228326402</v>
      </c>
      <c r="E4" s="70">
        <v>927695.57</v>
      </c>
      <c r="F4" s="69">
        <v>0.25503218609803702</v>
      </c>
    </row>
    <row r="5" spans="1:6" x14ac:dyDescent="0.2">
      <c r="A5" s="76" t="s">
        <v>298</v>
      </c>
      <c r="B5" s="77">
        <v>189.22076923076921</v>
      </c>
      <c r="C5" s="78">
        <v>6508</v>
      </c>
      <c r="D5" s="79">
        <v>0.12949439879021829</v>
      </c>
      <c r="E5" s="80">
        <v>877990.86</v>
      </c>
      <c r="F5" s="79">
        <v>0.24136789658259941</v>
      </c>
    </row>
    <row r="6" spans="1:6" x14ac:dyDescent="0.2">
      <c r="A6" s="66" t="s">
        <v>299</v>
      </c>
      <c r="B6" s="67">
        <v>699.99</v>
      </c>
      <c r="C6" s="68">
        <v>58</v>
      </c>
      <c r="D6" s="69">
        <v>1.1540680900173109E-3</v>
      </c>
      <c r="E6" s="70">
        <v>40745.769999999997</v>
      </c>
      <c r="F6" s="69">
        <v>1.1201393143817439E-2</v>
      </c>
    </row>
    <row r="7" spans="1:6" x14ac:dyDescent="0.2">
      <c r="A7" s="76" t="s">
        <v>300</v>
      </c>
      <c r="B7" s="77">
        <v>659.99</v>
      </c>
      <c r="C7" s="78">
        <v>48</v>
      </c>
      <c r="D7" s="79">
        <v>9.5509083311777466E-4</v>
      </c>
      <c r="E7" s="80">
        <v>33096.25</v>
      </c>
      <c r="F7" s="79">
        <v>9.0984685732057105E-3</v>
      </c>
    </row>
    <row r="8" spans="1:6" x14ac:dyDescent="0.2">
      <c r="A8" s="76" t="s">
        <v>301</v>
      </c>
      <c r="B8" s="77">
        <v>38.134</v>
      </c>
      <c r="C8" s="78">
        <v>18839</v>
      </c>
      <c r="D8" s="79">
        <v>0.37485325427303662</v>
      </c>
      <c r="E8" s="80">
        <v>589842.49</v>
      </c>
      <c r="F8" s="79">
        <v>0.16215321549741751</v>
      </c>
    </row>
    <row r="9" spans="1:6" x14ac:dyDescent="0.2">
      <c r="A9" s="66"/>
      <c r="B9" s="67">
        <v>150.23750000000001</v>
      </c>
      <c r="C9" s="68">
        <v>1095</v>
      </c>
      <c r="D9" s="69">
        <v>2.178800963049923E-2</v>
      </c>
      <c r="E9" s="70">
        <v>109818.99</v>
      </c>
      <c r="F9" s="69">
        <v>3.0190267152810129E-2</v>
      </c>
    </row>
    <row r="10" spans="1:6" x14ac:dyDescent="0.2">
      <c r="A10" s="71" t="s">
        <v>291</v>
      </c>
      <c r="B10" s="72">
        <v>281.50956787330318</v>
      </c>
      <c r="C10" s="73">
        <v>50257</v>
      </c>
      <c r="D10" s="74">
        <v>1</v>
      </c>
      <c r="E10" s="75">
        <v>3637562.71</v>
      </c>
      <c r="F10" s="74">
        <v>1</v>
      </c>
    </row>
    <row r="28" spans="1:6" ht="26" customHeight="1" x14ac:dyDescent="0.25">
      <c r="A28" s="112" t="s">
        <v>292</v>
      </c>
      <c r="B28" s="113"/>
      <c r="C28" s="113"/>
      <c r="D28" s="114"/>
      <c r="E28" s="113"/>
      <c r="F28" s="113"/>
    </row>
    <row r="29" spans="1:6" x14ac:dyDescent="0.2">
      <c r="A29" s="61" t="s">
        <v>32</v>
      </c>
      <c r="B29" s="62" t="s">
        <v>286</v>
      </c>
      <c r="C29" s="62" t="s">
        <v>287</v>
      </c>
      <c r="D29" s="63" t="s">
        <v>288</v>
      </c>
      <c r="E29" s="64" t="s">
        <v>289</v>
      </c>
      <c r="F29" s="65" t="s">
        <v>290</v>
      </c>
    </row>
    <row r="30" spans="1:6" x14ac:dyDescent="0.2">
      <c r="A30" s="76" t="s">
        <v>302</v>
      </c>
      <c r="B30" s="77">
        <v>29.9</v>
      </c>
      <c r="C30" s="78">
        <v>599</v>
      </c>
      <c r="D30" s="79">
        <v>1.0358303935809641E-2</v>
      </c>
      <c r="E30" s="80">
        <v>17916.11</v>
      </c>
      <c r="F30" s="79">
        <v>5.4581643063769704E-3</v>
      </c>
    </row>
    <row r="31" spans="1:6" x14ac:dyDescent="0.2">
      <c r="A31" s="66" t="s">
        <v>296</v>
      </c>
      <c r="B31" s="67">
        <v>47.4315</v>
      </c>
      <c r="C31" s="68">
        <v>20510</v>
      </c>
      <c r="D31" s="69">
        <v>0.35467247700076088</v>
      </c>
      <c r="E31" s="70">
        <v>1037368.91</v>
      </c>
      <c r="F31" s="69">
        <v>0.31603567722609338</v>
      </c>
    </row>
    <row r="32" spans="1:6" x14ac:dyDescent="0.2">
      <c r="A32" s="76" t="s">
        <v>297</v>
      </c>
      <c r="B32" s="77">
        <v>136.65666666666669</v>
      </c>
      <c r="C32" s="78">
        <v>6727</v>
      </c>
      <c r="D32" s="79">
        <v>0.1163277305111711</v>
      </c>
      <c r="E32" s="80">
        <v>872541.08</v>
      </c>
      <c r="F32" s="79">
        <v>0.26582068198418141</v>
      </c>
    </row>
    <row r="33" spans="1:6" x14ac:dyDescent="0.2">
      <c r="A33" s="66" t="s">
        <v>298</v>
      </c>
      <c r="B33" s="67">
        <v>124.0233333333333</v>
      </c>
      <c r="C33" s="68">
        <v>5160</v>
      </c>
      <c r="D33" s="69">
        <v>8.9230130732517121E-2</v>
      </c>
      <c r="E33" s="70">
        <v>607604.94999999995</v>
      </c>
      <c r="F33" s="69">
        <v>0.1851075736009638</v>
      </c>
    </row>
    <row r="34" spans="1:6" x14ac:dyDescent="0.2">
      <c r="A34" s="76" t="s">
        <v>301</v>
      </c>
      <c r="B34" s="77">
        <v>28.917894736842111</v>
      </c>
      <c r="C34" s="78">
        <v>24174</v>
      </c>
      <c r="D34" s="79">
        <v>0.41803278688524592</v>
      </c>
      <c r="E34" s="80">
        <v>710814.25</v>
      </c>
      <c r="F34" s="79">
        <v>0.21655041009538989</v>
      </c>
    </row>
    <row r="35" spans="1:6" x14ac:dyDescent="0.2">
      <c r="A35" s="66"/>
      <c r="B35" s="67">
        <v>54.99</v>
      </c>
      <c r="C35" s="68">
        <v>658</v>
      </c>
      <c r="D35" s="69">
        <v>1.1378570934495401E-2</v>
      </c>
      <c r="E35" s="70">
        <v>36197.11</v>
      </c>
      <c r="F35" s="69">
        <v>1.1027492786994549E-2</v>
      </c>
    </row>
    <row r="36" spans="1:6" x14ac:dyDescent="0.2">
      <c r="A36" s="71" t="s">
        <v>291</v>
      </c>
      <c r="B36" s="72">
        <v>70.31989912280703</v>
      </c>
      <c r="C36" s="73">
        <v>57828</v>
      </c>
      <c r="D36" s="74">
        <v>1</v>
      </c>
      <c r="E36" s="75">
        <v>3282442.41</v>
      </c>
      <c r="F36" s="74">
        <v>1</v>
      </c>
    </row>
  </sheetData>
  <mergeCells count="2">
    <mergeCell ref="A1:F1"/>
    <mergeCell ref="A28:F28"/>
  </mergeCells>
  <conditionalFormatting sqref="C3:F10 C30:F36">
    <cfRule type="expression" dxfId="3" priority="1">
      <formula>C3&lt;0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zoomScale="75" zoomScaleNormal="342" workbookViewId="0">
      <selection activeCell="I61" sqref="I61:I62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33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303</v>
      </c>
      <c r="B3" s="77">
        <v>659.99</v>
      </c>
      <c r="C3" s="78">
        <v>48</v>
      </c>
      <c r="D3" s="79">
        <v>9.5509083311777466E-4</v>
      </c>
      <c r="E3" s="80">
        <v>33096.25</v>
      </c>
      <c r="F3" s="79">
        <v>9.0984685732057105E-3</v>
      </c>
    </row>
    <row r="4" spans="1:6" x14ac:dyDescent="0.2">
      <c r="A4" s="66" t="s">
        <v>304</v>
      </c>
      <c r="B4" s="67">
        <v>699.99</v>
      </c>
      <c r="C4" s="68">
        <v>58</v>
      </c>
      <c r="D4" s="69">
        <v>1.1540680900173109E-3</v>
      </c>
      <c r="E4" s="70">
        <v>40745.769999999997</v>
      </c>
      <c r="F4" s="69">
        <v>1.1201393143817439E-2</v>
      </c>
    </row>
    <row r="5" spans="1:6" x14ac:dyDescent="0.2">
      <c r="A5" s="76" t="s">
        <v>305</v>
      </c>
      <c r="B5" s="77">
        <v>134.84</v>
      </c>
      <c r="C5" s="78">
        <v>2029</v>
      </c>
      <c r="D5" s="79">
        <v>4.0372485424915942E-2</v>
      </c>
      <c r="E5" s="80">
        <v>289538.83</v>
      </c>
      <c r="F5" s="79">
        <v>7.959693153991014E-2</v>
      </c>
    </row>
    <row r="6" spans="1:6" x14ac:dyDescent="0.2">
      <c r="A6" s="76" t="s">
        <v>306</v>
      </c>
      <c r="B6" s="77">
        <v>149.99</v>
      </c>
      <c r="C6" s="78">
        <v>595</v>
      </c>
      <c r="D6" s="79">
        <v>1.1839146785522409E-2</v>
      </c>
      <c r="E6" s="80">
        <v>65856.69</v>
      </c>
      <c r="F6" s="79">
        <v>1.8104619837605491E-2</v>
      </c>
    </row>
    <row r="7" spans="1:6" x14ac:dyDescent="0.2">
      <c r="A7" s="76" t="s">
        <v>307</v>
      </c>
      <c r="B7" s="77">
        <v>84.89</v>
      </c>
      <c r="C7" s="78">
        <v>298</v>
      </c>
      <c r="D7" s="79">
        <v>5.9295222556061842E-3</v>
      </c>
      <c r="E7" s="80">
        <v>28620.75</v>
      </c>
      <c r="F7" s="79">
        <v>7.868111777514895E-3</v>
      </c>
    </row>
    <row r="8" spans="1:6" x14ac:dyDescent="0.2">
      <c r="A8" s="76" t="s">
        <v>308</v>
      </c>
      <c r="B8" s="77">
        <v>299.99</v>
      </c>
      <c r="C8" s="78">
        <v>348</v>
      </c>
      <c r="D8" s="79">
        <v>6.9244085401038661E-3</v>
      </c>
      <c r="E8" s="80">
        <v>102859.3</v>
      </c>
      <c r="F8" s="79">
        <v>2.82769832990728E-2</v>
      </c>
    </row>
    <row r="9" spans="1:6" x14ac:dyDescent="0.2">
      <c r="A9" s="66" t="s">
        <v>309</v>
      </c>
      <c r="B9" s="67">
        <v>449.99</v>
      </c>
      <c r="C9" s="68">
        <v>71</v>
      </c>
      <c r="D9" s="69">
        <v>1.4127385239867079E-3</v>
      </c>
      <c r="E9" s="70">
        <v>31681.51</v>
      </c>
      <c r="F9" s="69">
        <v>8.7095433194607375E-3</v>
      </c>
    </row>
    <row r="10" spans="1:6" x14ac:dyDescent="0.2">
      <c r="A10" s="76" t="s">
        <v>310</v>
      </c>
      <c r="B10" s="77">
        <v>139.38999999999999</v>
      </c>
      <c r="C10" s="78">
        <v>2210</v>
      </c>
      <c r="D10" s="79">
        <v>4.3973973774797538E-2</v>
      </c>
      <c r="E10" s="80">
        <v>300981.94</v>
      </c>
      <c r="F10" s="79">
        <v>8.2742749471389862E-2</v>
      </c>
    </row>
    <row r="11" spans="1:6" x14ac:dyDescent="0.2">
      <c r="A11" s="76" t="s">
        <v>311</v>
      </c>
      <c r="B11" s="77">
        <v>85.033823529411762</v>
      </c>
      <c r="C11" s="78">
        <v>44163</v>
      </c>
      <c r="D11" s="79">
        <v>0.87874325964542255</v>
      </c>
      <c r="E11" s="80">
        <v>2670559.79</v>
      </c>
      <c r="F11" s="79">
        <v>0.73416185586529714</v>
      </c>
    </row>
    <row r="12" spans="1:6" x14ac:dyDescent="0.2">
      <c r="A12" s="66"/>
      <c r="B12" s="67">
        <v>181.98666666666671</v>
      </c>
      <c r="C12" s="68">
        <v>437</v>
      </c>
      <c r="D12" s="69">
        <v>8.6953061265097401E-3</v>
      </c>
      <c r="E12" s="70">
        <v>73621.88</v>
      </c>
      <c r="F12" s="69">
        <v>2.023934317272567E-2</v>
      </c>
    </row>
    <row r="13" spans="1:6" x14ac:dyDescent="0.2">
      <c r="A13" s="71" t="s">
        <v>291</v>
      </c>
      <c r="B13" s="72">
        <v>288.60904901960782</v>
      </c>
      <c r="C13" s="73">
        <v>50257</v>
      </c>
      <c r="D13" s="74">
        <v>1</v>
      </c>
      <c r="E13" s="75">
        <v>3637562.71</v>
      </c>
      <c r="F13" s="74">
        <v>1</v>
      </c>
    </row>
    <row r="31" spans="1:6" ht="26" customHeight="1" x14ac:dyDescent="0.25">
      <c r="A31" s="112" t="s">
        <v>292</v>
      </c>
      <c r="B31" s="113"/>
      <c r="C31" s="113"/>
      <c r="D31" s="114"/>
      <c r="E31" s="113"/>
      <c r="F31" s="113"/>
    </row>
    <row r="32" spans="1:6" x14ac:dyDescent="0.2">
      <c r="A32" s="61" t="s">
        <v>33</v>
      </c>
      <c r="B32" s="62" t="s">
        <v>286</v>
      </c>
      <c r="C32" s="62" t="s">
        <v>287</v>
      </c>
      <c r="D32" s="63" t="s">
        <v>288</v>
      </c>
      <c r="E32" s="64" t="s">
        <v>289</v>
      </c>
      <c r="F32" s="65" t="s">
        <v>290</v>
      </c>
    </row>
    <row r="33" spans="1:6" x14ac:dyDescent="0.2">
      <c r="A33" s="76" t="s">
        <v>304</v>
      </c>
      <c r="B33" s="77">
        <v>39.979999999999997</v>
      </c>
      <c r="C33" s="78">
        <v>533</v>
      </c>
      <c r="D33" s="79">
        <v>9.2169883101611682E-3</v>
      </c>
      <c r="E33" s="80">
        <v>21020.51</v>
      </c>
      <c r="F33" s="79">
        <v>6.4039234735576061E-3</v>
      </c>
    </row>
    <row r="34" spans="1:6" x14ac:dyDescent="0.2">
      <c r="A34" s="66" t="s">
        <v>305</v>
      </c>
      <c r="B34" s="67">
        <v>133.19</v>
      </c>
      <c r="C34" s="68">
        <v>1575</v>
      </c>
      <c r="D34" s="69">
        <v>2.7235941066611331E-2</v>
      </c>
      <c r="E34" s="70">
        <v>232842.09</v>
      </c>
      <c r="F34" s="69">
        <v>7.0935620771485228E-2</v>
      </c>
    </row>
    <row r="35" spans="1:6" x14ac:dyDescent="0.2">
      <c r="A35" s="76" t="s">
        <v>310</v>
      </c>
      <c r="B35" s="77">
        <v>89.69</v>
      </c>
      <c r="C35" s="78">
        <v>2800</v>
      </c>
      <c r="D35" s="79">
        <v>4.8419450785086811E-2</v>
      </c>
      <c r="E35" s="80">
        <v>321694.51</v>
      </c>
      <c r="F35" s="79">
        <v>9.8004616629359248E-2</v>
      </c>
    </row>
    <row r="36" spans="1:6" x14ac:dyDescent="0.2">
      <c r="A36" s="76" t="s">
        <v>311</v>
      </c>
      <c r="B36" s="77">
        <v>50.029555555555547</v>
      </c>
      <c r="C36" s="78">
        <v>52920</v>
      </c>
      <c r="D36" s="79">
        <v>0.91512761983814073</v>
      </c>
      <c r="E36" s="80">
        <v>2706885.3</v>
      </c>
      <c r="F36" s="79">
        <v>0.82465583912559792</v>
      </c>
    </row>
    <row r="37" spans="1:6" x14ac:dyDescent="0.2">
      <c r="A37" s="71" t="s">
        <v>291</v>
      </c>
      <c r="B37" s="72">
        <v>78.222388888888887</v>
      </c>
      <c r="C37" s="73">
        <v>57828</v>
      </c>
      <c r="D37" s="74">
        <v>1</v>
      </c>
      <c r="E37" s="75">
        <v>3282442.41</v>
      </c>
      <c r="F37" s="74">
        <v>1</v>
      </c>
    </row>
  </sheetData>
  <mergeCells count="2">
    <mergeCell ref="A31:F31"/>
    <mergeCell ref="A1:F1"/>
  </mergeCells>
  <conditionalFormatting sqref="C3:F13 C33:F37">
    <cfRule type="expression" dxfId="2" priority="1">
      <formula>C3&lt;0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zoomScale="75" workbookViewId="0">
      <selection activeCell="H25" sqref="H25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34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312</v>
      </c>
      <c r="B3" s="77">
        <v>113.49</v>
      </c>
      <c r="C3" s="78">
        <v>20239</v>
      </c>
      <c r="D3" s="79">
        <v>0.40271007023897171</v>
      </c>
      <c r="E3" s="80">
        <v>1220047.49</v>
      </c>
      <c r="F3" s="79">
        <v>0.33540246238119148</v>
      </c>
    </row>
    <row r="4" spans="1:6" x14ac:dyDescent="0.2">
      <c r="A4" s="66" t="s">
        <v>313</v>
      </c>
      <c r="B4" s="67">
        <v>150.12960000000001</v>
      </c>
      <c r="C4" s="68">
        <v>27353</v>
      </c>
      <c r="D4" s="69">
        <v>0.54426249079730182</v>
      </c>
      <c r="E4" s="70">
        <v>2069390.53</v>
      </c>
      <c r="F4" s="69">
        <v>0.5688948053901729</v>
      </c>
    </row>
    <row r="5" spans="1:6" x14ac:dyDescent="0.2">
      <c r="A5" s="76" t="s">
        <v>314</v>
      </c>
      <c r="B5" s="77">
        <v>142.16499999999999</v>
      </c>
      <c r="C5" s="78">
        <v>2228</v>
      </c>
      <c r="D5" s="79">
        <v>4.4332132837216709E-2</v>
      </c>
      <c r="E5" s="80">
        <v>274502.81</v>
      </c>
      <c r="F5" s="79">
        <v>7.5463389055909907E-2</v>
      </c>
    </row>
    <row r="6" spans="1:6" x14ac:dyDescent="0.2">
      <c r="A6" s="76"/>
      <c r="B6" s="77">
        <v>181.98666666666671</v>
      </c>
      <c r="C6" s="78">
        <v>437</v>
      </c>
      <c r="D6" s="79">
        <v>8.6953061265097401E-3</v>
      </c>
      <c r="E6" s="80">
        <v>73621.88</v>
      </c>
      <c r="F6" s="79">
        <v>2.023934317272567E-2</v>
      </c>
    </row>
    <row r="7" spans="1:6" x14ac:dyDescent="0.2">
      <c r="A7" s="71" t="s">
        <v>291</v>
      </c>
      <c r="B7" s="72">
        <v>146.94281666666669</v>
      </c>
      <c r="C7" s="73">
        <v>50257</v>
      </c>
      <c r="D7" s="74">
        <v>1</v>
      </c>
      <c r="E7" s="75">
        <v>3637562.71</v>
      </c>
      <c r="F7" s="74">
        <v>1</v>
      </c>
    </row>
    <row r="25" spans="1:6" ht="26" customHeight="1" x14ac:dyDescent="0.25">
      <c r="A25" s="112" t="s">
        <v>292</v>
      </c>
      <c r="B25" s="113"/>
      <c r="C25" s="113"/>
      <c r="D25" s="114"/>
      <c r="E25" s="113"/>
      <c r="F25" s="113"/>
    </row>
    <row r="26" spans="1:6" x14ac:dyDescent="0.2">
      <c r="A26" s="61" t="s">
        <v>34</v>
      </c>
      <c r="B26" s="62" t="s">
        <v>286</v>
      </c>
      <c r="C26" s="62" t="s">
        <v>287</v>
      </c>
      <c r="D26" s="63" t="s">
        <v>288</v>
      </c>
      <c r="E26" s="64" t="s">
        <v>289</v>
      </c>
      <c r="F26" s="65" t="s">
        <v>290</v>
      </c>
    </row>
    <row r="27" spans="1:6" x14ac:dyDescent="0.2">
      <c r="A27" s="76" t="s">
        <v>312</v>
      </c>
      <c r="B27" s="77">
        <v>65.282222222222231</v>
      </c>
      <c r="C27" s="78">
        <v>22164</v>
      </c>
      <c r="D27" s="79">
        <v>0.38327453828595143</v>
      </c>
      <c r="E27" s="80">
        <v>1102923.21</v>
      </c>
      <c r="F27" s="79">
        <v>0.33600687300405679</v>
      </c>
    </row>
    <row r="28" spans="1:6" x14ac:dyDescent="0.2">
      <c r="A28" s="66" t="s">
        <v>313</v>
      </c>
      <c r="B28" s="67">
        <v>43.140333333333338</v>
      </c>
      <c r="C28" s="68">
        <v>33888</v>
      </c>
      <c r="D28" s="69">
        <v>0.58601369578750773</v>
      </c>
      <c r="E28" s="70">
        <v>1968776.22</v>
      </c>
      <c r="F28" s="69">
        <v>0.59979002647604718</v>
      </c>
    </row>
    <row r="29" spans="1:6" x14ac:dyDescent="0.2">
      <c r="A29" s="76" t="s">
        <v>314</v>
      </c>
      <c r="B29" s="77">
        <v>133.88999999999999</v>
      </c>
      <c r="C29" s="78">
        <v>1776</v>
      </c>
      <c r="D29" s="79">
        <v>3.071176592654078E-2</v>
      </c>
      <c r="E29" s="80">
        <v>210742.98</v>
      </c>
      <c r="F29" s="79">
        <v>6.4203100519896097E-2</v>
      </c>
    </row>
    <row r="30" spans="1:6" x14ac:dyDescent="0.2">
      <c r="A30" s="71" t="s">
        <v>291</v>
      </c>
      <c r="B30" s="72">
        <v>80.770851851851845</v>
      </c>
      <c r="C30" s="73">
        <v>57828</v>
      </c>
      <c r="D30" s="74">
        <v>1</v>
      </c>
      <c r="E30" s="75">
        <v>3282442.41</v>
      </c>
      <c r="F30" s="74">
        <v>1</v>
      </c>
    </row>
  </sheetData>
  <mergeCells count="2">
    <mergeCell ref="A1:F1"/>
    <mergeCell ref="A25:F25"/>
  </mergeCells>
  <conditionalFormatting sqref="C3:F7 C27:F30">
    <cfRule type="expression" dxfId="1" priority="1">
      <formula>C3&lt;0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zoomScale="75" workbookViewId="0">
      <selection activeCell="H38" sqref="H38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3" customWidth="1"/>
    <col min="5" max="5" width="19.83203125" customWidth="1"/>
    <col min="6" max="6" width="15.33203125" customWidth="1"/>
  </cols>
  <sheetData>
    <row r="1" spans="1:6" ht="26" customHeight="1" x14ac:dyDescent="0.25">
      <c r="A1" s="112" t="s">
        <v>285</v>
      </c>
      <c r="B1" s="113"/>
      <c r="C1" s="113"/>
      <c r="D1" s="114"/>
      <c r="E1" s="113"/>
      <c r="F1" s="113"/>
    </row>
    <row r="2" spans="1:6" x14ac:dyDescent="0.2">
      <c r="A2" s="61" t="s">
        <v>35</v>
      </c>
      <c r="B2" s="62" t="s">
        <v>286</v>
      </c>
      <c r="C2" s="62" t="s">
        <v>287</v>
      </c>
      <c r="D2" s="63" t="s">
        <v>288</v>
      </c>
      <c r="E2" s="64" t="s">
        <v>289</v>
      </c>
      <c r="F2" s="65" t="s">
        <v>290</v>
      </c>
    </row>
    <row r="3" spans="1:6" x14ac:dyDescent="0.2">
      <c r="A3" s="76" t="s">
        <v>315</v>
      </c>
      <c r="B3" s="77">
        <v>120.95666666666671</v>
      </c>
      <c r="C3" s="78">
        <v>1678</v>
      </c>
      <c r="D3" s="79">
        <v>3.3388383707742213E-2</v>
      </c>
      <c r="E3" s="80">
        <v>126034.43</v>
      </c>
      <c r="F3" s="79">
        <v>3.464804322232564E-2</v>
      </c>
    </row>
    <row r="4" spans="1:6" x14ac:dyDescent="0.2">
      <c r="A4" s="66" t="s">
        <v>316</v>
      </c>
      <c r="B4" s="67">
        <v>52.773684210526319</v>
      </c>
      <c r="C4" s="68">
        <v>30505</v>
      </c>
      <c r="D4" s="69">
        <v>0.60698012217203579</v>
      </c>
      <c r="E4" s="70">
        <v>1165435.6299999999</v>
      </c>
      <c r="F4" s="69">
        <v>0.32038915144915808</v>
      </c>
    </row>
    <row r="5" spans="1:6" x14ac:dyDescent="0.2">
      <c r="A5" s="76" t="s">
        <v>317</v>
      </c>
      <c r="B5" s="77">
        <v>659.99</v>
      </c>
      <c r="C5" s="78">
        <v>48</v>
      </c>
      <c r="D5" s="79">
        <v>9.5509083311777466E-4</v>
      </c>
      <c r="E5" s="80">
        <v>33096.25</v>
      </c>
      <c r="F5" s="79">
        <v>9.0984685732057105E-3</v>
      </c>
    </row>
    <row r="6" spans="1:6" x14ac:dyDescent="0.2">
      <c r="A6" s="76" t="s">
        <v>318</v>
      </c>
      <c r="B6" s="77">
        <v>40.99</v>
      </c>
      <c r="C6" s="78">
        <v>915</v>
      </c>
      <c r="D6" s="79">
        <v>1.8206419006307581E-2</v>
      </c>
      <c r="E6" s="80">
        <v>33366.730000000003</v>
      </c>
      <c r="F6" s="79">
        <v>9.1728260541795587E-3</v>
      </c>
    </row>
    <row r="7" spans="1:6" x14ac:dyDescent="0.2">
      <c r="A7" s="76" t="s">
        <v>319</v>
      </c>
      <c r="B7" s="77">
        <v>199.99</v>
      </c>
      <c r="C7" s="78">
        <v>232</v>
      </c>
      <c r="D7" s="79">
        <v>4.6162723600692438E-3</v>
      </c>
      <c r="E7" s="80">
        <v>36138.18</v>
      </c>
      <c r="F7" s="79">
        <v>9.9347235720920381E-3</v>
      </c>
    </row>
    <row r="8" spans="1:6" x14ac:dyDescent="0.2">
      <c r="A8" s="76" t="s">
        <v>320</v>
      </c>
      <c r="B8" s="77">
        <v>108.45666666666671</v>
      </c>
      <c r="C8" s="78">
        <v>3453</v>
      </c>
      <c r="D8" s="79">
        <v>6.8706846807409919E-2</v>
      </c>
      <c r="E8" s="80">
        <v>406987.28</v>
      </c>
      <c r="F8" s="79">
        <v>0.111884608581772</v>
      </c>
    </row>
    <row r="9" spans="1:6" x14ac:dyDescent="0.2">
      <c r="A9" s="76" t="s">
        <v>321</v>
      </c>
      <c r="B9" s="77">
        <v>99.99</v>
      </c>
      <c r="C9" s="78">
        <v>363</v>
      </c>
      <c r="D9" s="79">
        <v>7.2228744254531707E-3</v>
      </c>
      <c r="E9" s="80">
        <v>29718.51</v>
      </c>
      <c r="F9" s="79">
        <v>8.1698962655134526E-3</v>
      </c>
    </row>
    <row r="10" spans="1:6" x14ac:dyDescent="0.2">
      <c r="A10" s="66" t="s">
        <v>322</v>
      </c>
      <c r="B10" s="67">
        <v>122.16500000000001</v>
      </c>
      <c r="C10" s="68">
        <v>2314</v>
      </c>
      <c r="D10" s="69">
        <v>4.6043337246552719E-2</v>
      </c>
      <c r="E10" s="70">
        <v>266749.69</v>
      </c>
      <c r="F10" s="69">
        <v>7.3331983876643594E-2</v>
      </c>
    </row>
    <row r="11" spans="1:6" x14ac:dyDescent="0.2">
      <c r="A11" s="76" t="s">
        <v>323</v>
      </c>
      <c r="B11" s="77">
        <v>242.59833333333339</v>
      </c>
      <c r="C11" s="78">
        <v>9858</v>
      </c>
      <c r="D11" s="79">
        <v>0.19615177985156301</v>
      </c>
      <c r="E11" s="80">
        <v>1409717.39</v>
      </c>
      <c r="F11" s="79">
        <v>0.38754449129483182</v>
      </c>
    </row>
    <row r="12" spans="1:6" x14ac:dyDescent="0.2">
      <c r="A12" s="76" t="s">
        <v>324</v>
      </c>
      <c r="B12" s="77">
        <v>136.49</v>
      </c>
      <c r="C12" s="78">
        <v>454</v>
      </c>
      <c r="D12" s="79">
        <v>9.0335674632389517E-3</v>
      </c>
      <c r="E12" s="80">
        <v>56696.740000000013</v>
      </c>
      <c r="F12" s="79">
        <v>1.55864639375523E-2</v>
      </c>
    </row>
    <row r="13" spans="1:6" x14ac:dyDescent="0.2">
      <c r="A13" s="66"/>
      <c r="B13" s="67">
        <v>181.98666666666671</v>
      </c>
      <c r="C13" s="68">
        <v>437</v>
      </c>
      <c r="D13" s="69">
        <v>8.6953061265097401E-3</v>
      </c>
      <c r="E13" s="70">
        <v>73621.88</v>
      </c>
      <c r="F13" s="69">
        <v>2.023934317272567E-2</v>
      </c>
    </row>
    <row r="14" spans="1:6" x14ac:dyDescent="0.2">
      <c r="A14" s="71" t="s">
        <v>291</v>
      </c>
      <c r="B14" s="72">
        <v>178.76245614035091</v>
      </c>
      <c r="C14" s="73">
        <v>50257</v>
      </c>
      <c r="D14" s="74">
        <v>1</v>
      </c>
      <c r="E14" s="75">
        <v>3637562.71</v>
      </c>
      <c r="F14" s="74">
        <v>1</v>
      </c>
    </row>
    <row r="32" spans="1:6" ht="26" customHeight="1" x14ac:dyDescent="0.25">
      <c r="A32" s="112" t="s">
        <v>292</v>
      </c>
      <c r="B32" s="113"/>
      <c r="C32" s="113"/>
      <c r="D32" s="114"/>
      <c r="E32" s="113"/>
      <c r="F32" s="113"/>
    </row>
    <row r="33" spans="1:6" x14ac:dyDescent="0.2">
      <c r="A33" s="61" t="s">
        <v>35</v>
      </c>
      <c r="B33" s="62" t="s">
        <v>286</v>
      </c>
      <c r="C33" s="62" t="s">
        <v>287</v>
      </c>
      <c r="D33" s="63" t="s">
        <v>288</v>
      </c>
      <c r="E33" s="64" t="s">
        <v>289</v>
      </c>
      <c r="F33" s="65" t="s">
        <v>290</v>
      </c>
    </row>
    <row r="34" spans="1:6" x14ac:dyDescent="0.2">
      <c r="A34" s="76" t="s">
        <v>315</v>
      </c>
      <c r="B34" s="77">
        <v>22.73</v>
      </c>
      <c r="C34" s="78">
        <v>1675</v>
      </c>
      <c r="D34" s="79">
        <v>2.896520716607872E-2</v>
      </c>
      <c r="E34" s="80">
        <v>42400.6</v>
      </c>
      <c r="F34" s="79">
        <v>1.291739342351478E-2</v>
      </c>
    </row>
    <row r="35" spans="1:6" x14ac:dyDescent="0.2">
      <c r="A35" s="66" t="s">
        <v>316</v>
      </c>
      <c r="B35" s="67">
        <v>37.308181818181822</v>
      </c>
      <c r="C35" s="68">
        <v>39098</v>
      </c>
      <c r="D35" s="69">
        <v>0.67610845956975862</v>
      </c>
      <c r="E35" s="70">
        <v>1382202.05</v>
      </c>
      <c r="F35" s="69">
        <v>0.42108950511640508</v>
      </c>
    </row>
    <row r="36" spans="1:6" x14ac:dyDescent="0.2">
      <c r="A36" s="76" t="s">
        <v>318</v>
      </c>
      <c r="B36" s="77">
        <v>40.99</v>
      </c>
      <c r="C36" s="78">
        <v>915</v>
      </c>
      <c r="D36" s="79">
        <v>1.582278481012658E-2</v>
      </c>
      <c r="E36" s="80">
        <v>33366.730000000003</v>
      </c>
      <c r="F36" s="79">
        <v>1.016521414004031E-2</v>
      </c>
    </row>
    <row r="37" spans="1:6" x14ac:dyDescent="0.2">
      <c r="A37" s="76" t="s">
        <v>325</v>
      </c>
      <c r="B37" s="77">
        <v>39.99</v>
      </c>
      <c r="C37" s="78">
        <v>581</v>
      </c>
      <c r="D37" s="79">
        <v>1.0047036037905511E-2</v>
      </c>
      <c r="E37" s="80">
        <v>19298.900000000001</v>
      </c>
      <c r="F37" s="79">
        <v>5.8794329311629883E-3</v>
      </c>
    </row>
    <row r="38" spans="1:6" x14ac:dyDescent="0.2">
      <c r="A38" s="76" t="s">
        <v>320</v>
      </c>
      <c r="B38" s="77">
        <v>108.45666666666671</v>
      </c>
      <c r="C38" s="78">
        <v>3453</v>
      </c>
      <c r="D38" s="79">
        <v>5.9711558414608838E-2</v>
      </c>
      <c r="E38" s="80">
        <v>406987.28</v>
      </c>
      <c r="F38" s="79">
        <v>0.12398916086390679</v>
      </c>
    </row>
    <row r="39" spans="1:6" x14ac:dyDescent="0.2">
      <c r="A39" s="76" t="s">
        <v>322</v>
      </c>
      <c r="B39" s="77">
        <v>102.59</v>
      </c>
      <c r="C39" s="78">
        <v>2366</v>
      </c>
      <c r="D39" s="79">
        <v>4.0914435913398363E-2</v>
      </c>
      <c r="E39" s="80">
        <v>231455.55</v>
      </c>
      <c r="F39" s="79">
        <v>7.0513209704721067E-2</v>
      </c>
    </row>
    <row r="40" spans="1:6" x14ac:dyDescent="0.2">
      <c r="A40" s="66" t="s">
        <v>323</v>
      </c>
      <c r="B40" s="67">
        <v>119.38833333333331</v>
      </c>
      <c r="C40" s="68">
        <v>9094</v>
      </c>
      <c r="D40" s="69">
        <v>0.1572594590855641</v>
      </c>
      <c r="E40" s="70">
        <v>1150145.1000000001</v>
      </c>
      <c r="F40" s="69">
        <v>0.3503930781835104</v>
      </c>
    </row>
    <row r="41" spans="1:6" x14ac:dyDescent="0.2">
      <c r="A41" s="76" t="s">
        <v>324</v>
      </c>
      <c r="B41" s="77">
        <v>29.99</v>
      </c>
      <c r="C41" s="78">
        <v>646</v>
      </c>
      <c r="D41" s="79">
        <v>1.1171059002559309E-2</v>
      </c>
      <c r="E41" s="80">
        <v>16586.2</v>
      </c>
      <c r="F41" s="79">
        <v>5.0530056367386507E-3</v>
      </c>
    </row>
    <row r="42" spans="1:6" x14ac:dyDescent="0.2">
      <c r="A42" s="71" t="s">
        <v>291</v>
      </c>
      <c r="B42" s="72">
        <v>62.68039772727272</v>
      </c>
      <c r="C42" s="73">
        <v>57828</v>
      </c>
      <c r="D42" s="74">
        <v>1</v>
      </c>
      <c r="E42" s="75">
        <v>3282442.41</v>
      </c>
      <c r="F42" s="74">
        <v>1</v>
      </c>
    </row>
  </sheetData>
  <mergeCells count="2">
    <mergeCell ref="A1:F1"/>
    <mergeCell ref="A32:F32"/>
  </mergeCells>
  <conditionalFormatting sqref="C3:F14 C34:F42">
    <cfRule type="expression" dxfId="0" priority="1">
      <formula>C3&lt;0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8"/>
  <sheetViews>
    <sheetView workbookViewId="0">
      <selection activeCell="E13" sqref="E13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3320312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16" t="e">
        <v>#VALUE!</v>
      </c>
      <c r="B1" s="117"/>
      <c r="C1" s="118"/>
      <c r="D1" s="117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7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7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7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8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51</v>
      </c>
      <c r="B9" s="18" t="s">
        <v>50</v>
      </c>
      <c r="C9" s="41">
        <v>899</v>
      </c>
      <c r="D9" s="42">
        <v>3676890</v>
      </c>
      <c r="E9" s="43">
        <v>306407.5</v>
      </c>
      <c r="F9" s="44">
        <v>4152</v>
      </c>
      <c r="G9" s="44">
        <v>346</v>
      </c>
      <c r="H9" s="44">
        <v>77</v>
      </c>
      <c r="I9" s="45">
        <v>4.5999999999999996</v>
      </c>
      <c r="J9" s="45" t="s">
        <v>52</v>
      </c>
      <c r="K9" s="56" t="str">
        <f>HYPERLINK(J9)</f>
        <v>https://amazon.com/dp/B0D5QXY5JN</v>
      </c>
    </row>
    <row r="10" spans="1:11" ht="45" customHeight="1" x14ac:dyDescent="0.2">
      <c r="A10" s="18" t="s">
        <v>66</v>
      </c>
      <c r="B10" s="18" t="s">
        <v>65</v>
      </c>
      <c r="C10" s="41">
        <v>2399</v>
      </c>
      <c r="D10" s="42">
        <v>817083.72</v>
      </c>
      <c r="E10" s="43">
        <v>68090.31</v>
      </c>
      <c r="F10" s="44">
        <v>336</v>
      </c>
      <c r="G10" s="44">
        <v>28</v>
      </c>
      <c r="H10" s="44">
        <v>3</v>
      </c>
      <c r="I10" s="45">
        <v>5</v>
      </c>
      <c r="J10" s="45" t="s">
        <v>67</v>
      </c>
      <c r="K10" s="56" t="str">
        <f>HYPERLINK(J10)</f>
        <v>https://amazon.com/dp/B0DZNNGH3P</v>
      </c>
    </row>
    <row r="11" spans="1:11" ht="45" customHeight="1" x14ac:dyDescent="0.2">
      <c r="A11" s="18" t="s">
        <v>188</v>
      </c>
      <c r="B11" s="18" t="s">
        <v>187</v>
      </c>
      <c r="C11" s="41">
        <v>2999</v>
      </c>
      <c r="D11" s="42">
        <v>129655.44</v>
      </c>
      <c r="E11" s="43">
        <v>10804.62</v>
      </c>
      <c r="F11" s="44">
        <v>48</v>
      </c>
      <c r="G11" s="44">
        <v>4</v>
      </c>
      <c r="H11" s="44">
        <v>6</v>
      </c>
      <c r="I11" s="45">
        <v>5</v>
      </c>
      <c r="J11" s="45" t="s">
        <v>189</v>
      </c>
      <c r="K11" s="56" t="str">
        <f>HYPERLINK(J11)</f>
        <v>https://amazon.com/dp/B0CY16GT91</v>
      </c>
    </row>
    <row r="12" spans="1:11" ht="17" customHeight="1" x14ac:dyDescent="0.2">
      <c r="A12" s="18" t="s">
        <v>291</v>
      </c>
      <c r="B12" s="18"/>
      <c r="C12" s="41"/>
      <c r="D12" s="42">
        <f ca="1">SUM(rix!D9:D13)</f>
        <v>4623629.16</v>
      </c>
      <c r="E12" s="43">
        <f>SUM(rix!E9:E11)</f>
        <v>385302.43</v>
      </c>
      <c r="F12" s="124"/>
      <c r="G12" s="124"/>
      <c r="H12" s="124"/>
      <c r="I12" s="125"/>
      <c r="J12" s="125"/>
      <c r="K12" s="16" t="str">
        <f>HYPERLINK(J12)</f>
        <v/>
      </c>
    </row>
    <row r="13" spans="1:11" x14ac:dyDescent="0.2">
      <c r="A13" s="18"/>
      <c r="B13" s="18"/>
      <c r="C13" s="42"/>
      <c r="D13" s="42"/>
      <c r="E13" s="44"/>
      <c r="F13" s="44"/>
      <c r="G13" s="44"/>
      <c r="H13" s="45"/>
      <c r="I13" s="18"/>
    </row>
    <row r="14" spans="1:11" x14ac:dyDescent="0.2">
      <c r="C14" s="19"/>
      <c r="E14" s="19"/>
      <c r="F14" s="44"/>
      <c r="G14" s="44"/>
      <c r="H14" s="45"/>
      <c r="I14" s="18"/>
    </row>
    <row r="15" spans="1:11" x14ac:dyDescent="0.2">
      <c r="A15" s="121" t="s">
        <v>329</v>
      </c>
      <c r="B15" s="117"/>
      <c r="C15" s="118"/>
      <c r="D15" s="117"/>
      <c r="E15" s="119"/>
      <c r="F15" s="119"/>
      <c r="G15" s="119"/>
      <c r="H15" s="120"/>
      <c r="I15" s="117"/>
      <c r="J15" s="117"/>
      <c r="K15" s="117"/>
    </row>
    <row r="16" spans="1:11" ht="17" customHeight="1" x14ac:dyDescent="0.2">
      <c r="A16" s="24" t="s">
        <v>29</v>
      </c>
      <c r="B16" s="25" t="s">
        <v>28</v>
      </c>
      <c r="C16" s="26" t="s">
        <v>286</v>
      </c>
      <c r="D16" s="27" t="s">
        <v>4</v>
      </c>
      <c r="E16" s="25" t="s">
        <v>3</v>
      </c>
      <c r="F16" s="29" t="s">
        <v>22</v>
      </c>
      <c r="G16" s="32" t="s">
        <v>5</v>
      </c>
      <c r="H16" s="29" t="s">
        <v>39</v>
      </c>
      <c r="I16" s="30" t="s">
        <v>327</v>
      </c>
      <c r="J16" s="30" t="s">
        <v>328</v>
      </c>
      <c r="K16" s="31" t="s">
        <v>42</v>
      </c>
    </row>
    <row r="17" spans="1:11" ht="45" customHeight="1" x14ac:dyDescent="0.2">
      <c r="A17" s="18" t="s">
        <v>51</v>
      </c>
      <c r="B17" s="18" t="s">
        <v>50</v>
      </c>
      <c r="C17" s="41">
        <v>899</v>
      </c>
      <c r="D17" s="42">
        <v>3676890</v>
      </c>
      <c r="E17" s="42">
        <v>306407.5</v>
      </c>
      <c r="F17" s="44">
        <v>4152</v>
      </c>
      <c r="G17" s="46">
        <v>346</v>
      </c>
      <c r="H17" s="44">
        <v>77</v>
      </c>
      <c r="I17" s="45">
        <v>4.5999999999999996</v>
      </c>
      <c r="J17" s="45" t="s">
        <v>52</v>
      </c>
      <c r="K17" s="22" t="str">
        <f>HYPERLINK(J17)</f>
        <v>https://amazon.com/dp/B0D5QXY5JN</v>
      </c>
    </row>
    <row r="18" spans="1:11" ht="45" customHeight="1" x14ac:dyDescent="0.2">
      <c r="A18" s="18" t="s">
        <v>66</v>
      </c>
      <c r="B18" s="18" t="s">
        <v>65</v>
      </c>
      <c r="C18" s="41">
        <v>2399</v>
      </c>
      <c r="D18" s="42">
        <v>817083.72</v>
      </c>
      <c r="E18" s="42">
        <v>68090.31</v>
      </c>
      <c r="F18" s="44">
        <v>336</v>
      </c>
      <c r="G18" s="46">
        <v>28</v>
      </c>
      <c r="H18" s="44">
        <v>3</v>
      </c>
      <c r="I18" s="45">
        <v>5</v>
      </c>
      <c r="J18" s="45" t="s">
        <v>67</v>
      </c>
      <c r="K18" s="22" t="str">
        <f>HYPERLINK(J18)</f>
        <v>https://amazon.com/dp/B0DZNNGH3P</v>
      </c>
    </row>
    <row r="19" spans="1:11" ht="45" customHeight="1" x14ac:dyDescent="0.2">
      <c r="A19" s="18" t="s">
        <v>188</v>
      </c>
      <c r="B19" s="18" t="s">
        <v>187</v>
      </c>
      <c r="C19" s="41">
        <v>2999</v>
      </c>
      <c r="D19" s="42">
        <v>129655.44</v>
      </c>
      <c r="E19" s="42">
        <v>10804.62</v>
      </c>
      <c r="F19" s="44">
        <v>48</v>
      </c>
      <c r="G19" s="46">
        <v>4</v>
      </c>
      <c r="H19" s="44">
        <v>6</v>
      </c>
      <c r="I19" s="45">
        <v>5</v>
      </c>
      <c r="J19" s="45" t="s">
        <v>189</v>
      </c>
      <c r="K19" s="22" t="str">
        <f>HYPERLINK(J19)</f>
        <v>https://amazon.com/dp/B0CY16GT91</v>
      </c>
    </row>
    <row r="20" spans="1:11" ht="45" customHeight="1" x14ac:dyDescent="0.2">
      <c r="A20" s="18"/>
      <c r="B20" s="18"/>
      <c r="C20" s="41"/>
      <c r="D20" s="42"/>
      <c r="E20" s="42"/>
      <c r="F20" s="44"/>
      <c r="G20" s="46"/>
      <c r="H20" s="44"/>
      <c r="I20" s="45"/>
      <c r="J20" s="45"/>
      <c r="K20" s="22"/>
    </row>
    <row r="21" spans="1:11" ht="45" customHeight="1" x14ac:dyDescent="0.2">
      <c r="A21" s="18"/>
      <c r="B21" s="18"/>
      <c r="C21" s="41"/>
      <c r="D21" s="42"/>
      <c r="E21" s="42"/>
      <c r="F21" s="44"/>
      <c r="G21" s="46"/>
      <c r="H21" s="44"/>
      <c r="I21" s="45"/>
      <c r="J21" s="45"/>
      <c r="K21" s="22"/>
    </row>
    <row r="22" spans="1:11" ht="60" customHeight="1" x14ac:dyDescent="0.2">
      <c r="A22" s="18"/>
      <c r="B22" s="18"/>
      <c r="C22" s="41"/>
      <c r="D22" s="42"/>
      <c r="E22" s="42"/>
      <c r="F22" s="44"/>
      <c r="G22" s="46"/>
      <c r="H22" s="44"/>
      <c r="I22" s="45"/>
      <c r="J22" s="45"/>
      <c r="K22" s="22"/>
    </row>
    <row r="23" spans="1:11" ht="45" customHeight="1" x14ac:dyDescent="0.2">
      <c r="A23" s="18"/>
      <c r="B23" s="18"/>
      <c r="C23" s="41"/>
      <c r="D23" s="42"/>
      <c r="E23" s="42"/>
      <c r="F23" s="44"/>
      <c r="G23" s="46"/>
      <c r="H23" s="44"/>
      <c r="I23" s="45"/>
      <c r="J23" s="45"/>
      <c r="K23" s="22"/>
    </row>
    <row r="24" spans="1:11" ht="45" customHeight="1" x14ac:dyDescent="0.2">
      <c r="A24" s="18"/>
      <c r="B24" s="18"/>
      <c r="C24" s="41"/>
      <c r="D24" s="42"/>
      <c r="E24" s="42"/>
      <c r="F24" s="44"/>
      <c r="G24" s="46"/>
      <c r="H24" s="44"/>
      <c r="I24" s="45"/>
      <c r="J24" s="45"/>
      <c r="K24" s="22"/>
    </row>
    <row r="25" spans="1:11" ht="45" customHeight="1" x14ac:dyDescent="0.2">
      <c r="A25" s="18"/>
      <c r="B25" s="18"/>
      <c r="C25" s="41"/>
      <c r="D25" s="42"/>
      <c r="E25" s="42"/>
      <c r="F25" s="44"/>
      <c r="G25" s="46"/>
      <c r="H25" s="44"/>
      <c r="I25" s="45"/>
      <c r="J25" s="45"/>
      <c r="K25" s="22"/>
    </row>
    <row r="26" spans="1:11" ht="45" customHeight="1" x14ac:dyDescent="0.2">
      <c r="A26" s="18"/>
      <c r="B26" s="18"/>
      <c r="C26" s="41"/>
      <c r="D26" s="42"/>
      <c r="E26" s="42"/>
      <c r="F26" s="44"/>
      <c r="G26" s="46"/>
      <c r="H26" s="44"/>
      <c r="I26" s="45"/>
      <c r="J26" s="45"/>
      <c r="K26" s="22"/>
    </row>
    <row r="27" spans="1:11" ht="45" customHeight="1" x14ac:dyDescent="0.2">
      <c r="A27" s="18"/>
      <c r="B27" s="18"/>
      <c r="C27" s="41"/>
      <c r="D27" s="42"/>
      <c r="E27" s="42"/>
      <c r="F27" s="44"/>
      <c r="G27" s="46"/>
      <c r="H27" s="44"/>
      <c r="I27" s="45"/>
      <c r="J27" s="45"/>
      <c r="K27" s="22"/>
    </row>
    <row r="28" spans="1:11" ht="45" customHeight="1" x14ac:dyDescent="0.2">
      <c r="A28" s="18"/>
      <c r="B28" s="18"/>
      <c r="C28" s="41"/>
      <c r="D28" s="42"/>
      <c r="E28" s="42"/>
      <c r="F28" s="44"/>
      <c r="G28" s="46"/>
      <c r="H28" s="44"/>
      <c r="I28" s="45"/>
      <c r="J28" s="45"/>
      <c r="K28" s="22"/>
    </row>
    <row r="29" spans="1:11" ht="45" customHeight="1" x14ac:dyDescent="0.2">
      <c r="A29" s="18"/>
      <c r="B29" s="18"/>
      <c r="C29" s="41"/>
      <c r="D29" s="42"/>
      <c r="E29" s="42"/>
      <c r="F29" s="44"/>
      <c r="G29" s="46"/>
      <c r="H29" s="44"/>
      <c r="I29" s="45"/>
      <c r="J29" s="45"/>
      <c r="K29" s="22"/>
    </row>
    <row r="30" spans="1:11" ht="45" customHeight="1" x14ac:dyDescent="0.2">
      <c r="A30" s="18"/>
      <c r="B30" s="18"/>
      <c r="C30" s="41"/>
      <c r="D30" s="42"/>
      <c r="E30" s="42"/>
      <c r="F30" s="44"/>
      <c r="G30" s="46"/>
      <c r="H30" s="44"/>
      <c r="I30" s="45"/>
      <c r="J30" s="45"/>
      <c r="K30" s="22"/>
    </row>
    <row r="31" spans="1:11" ht="45" customHeight="1" x14ac:dyDescent="0.2">
      <c r="A31" s="18"/>
      <c r="B31" s="18"/>
      <c r="C31" s="41"/>
      <c r="D31" s="42"/>
      <c r="E31" s="42"/>
      <c r="F31" s="44"/>
      <c r="G31" s="46"/>
      <c r="H31" s="44"/>
      <c r="I31" s="45"/>
      <c r="J31" s="45"/>
      <c r="K31" s="22"/>
    </row>
    <row r="32" spans="1:11" ht="45" customHeight="1" x14ac:dyDescent="0.2">
      <c r="A32" s="18"/>
      <c r="B32" s="18"/>
      <c r="C32" s="41"/>
      <c r="D32" s="42"/>
      <c r="E32" s="42"/>
      <c r="F32" s="44"/>
      <c r="G32" s="46"/>
      <c r="H32" s="44"/>
      <c r="I32" s="45"/>
      <c r="J32" s="45"/>
      <c r="K32" s="22"/>
    </row>
    <row r="33" spans="1:11" ht="60" customHeight="1" x14ac:dyDescent="0.2">
      <c r="A33" s="18"/>
      <c r="B33" s="18"/>
      <c r="C33" s="41"/>
      <c r="D33" s="42"/>
      <c r="E33" s="42"/>
      <c r="F33" s="44"/>
      <c r="G33" s="46"/>
      <c r="H33" s="44"/>
      <c r="I33" s="45"/>
      <c r="J33" s="45"/>
      <c r="K33" s="22"/>
    </row>
    <row r="34" spans="1:11" ht="45" customHeight="1" x14ac:dyDescent="0.2">
      <c r="A34" s="18"/>
      <c r="B34" s="18"/>
      <c r="C34" s="41"/>
      <c r="D34" s="42"/>
      <c r="E34" s="42"/>
      <c r="F34" s="44"/>
      <c r="G34" s="46"/>
      <c r="H34" s="44"/>
      <c r="I34" s="45"/>
      <c r="J34" s="45"/>
      <c r="K34" s="22"/>
    </row>
    <row r="35" spans="1:11" ht="45" customHeight="1" x14ac:dyDescent="0.2">
      <c r="A35" s="18"/>
      <c r="B35" s="18"/>
      <c r="C35" s="41"/>
      <c r="D35" s="42"/>
      <c r="E35" s="42"/>
      <c r="F35" s="44"/>
      <c r="G35" s="46"/>
      <c r="H35" s="44"/>
      <c r="I35" s="45"/>
      <c r="J35" s="45"/>
      <c r="K35" s="22"/>
    </row>
    <row r="36" spans="1:11" ht="45" customHeight="1" x14ac:dyDescent="0.2">
      <c r="A36" s="18"/>
      <c r="B36" s="18"/>
      <c r="C36" s="41"/>
      <c r="D36" s="42"/>
      <c r="E36" s="42"/>
      <c r="F36" s="44"/>
      <c r="G36" s="46"/>
      <c r="H36" s="44"/>
      <c r="I36" s="45"/>
      <c r="J36" s="45"/>
      <c r="K36" s="22"/>
    </row>
    <row r="37" spans="1:11" ht="45" customHeight="1" x14ac:dyDescent="0.2">
      <c r="A37" s="18"/>
      <c r="B37" s="18"/>
      <c r="C37" s="41"/>
      <c r="D37" s="42"/>
      <c r="E37" s="42"/>
      <c r="F37" s="44"/>
      <c r="G37" s="46"/>
      <c r="H37" s="44"/>
      <c r="I37" s="45"/>
      <c r="J37" s="45"/>
      <c r="K37" s="22"/>
    </row>
    <row r="38" spans="1:11" ht="45" customHeight="1" x14ac:dyDescent="0.2">
      <c r="A38" s="18"/>
      <c r="B38" s="18"/>
      <c r="C38" s="41"/>
      <c r="D38" s="42"/>
      <c r="E38" s="42"/>
      <c r="F38" s="44"/>
      <c r="G38" s="46"/>
      <c r="H38" s="44"/>
      <c r="I38" s="45"/>
      <c r="J38" s="45"/>
      <c r="K38" s="22"/>
    </row>
    <row r="39" spans="1:11" ht="60" customHeight="1" x14ac:dyDescent="0.2">
      <c r="A39" s="18"/>
      <c r="B39" s="18"/>
      <c r="C39" s="41"/>
      <c r="D39" s="42"/>
      <c r="E39" s="42"/>
      <c r="F39" s="44"/>
      <c r="G39" s="46"/>
      <c r="H39" s="44"/>
      <c r="I39" s="45"/>
      <c r="J39" s="45"/>
      <c r="K39" s="22"/>
    </row>
    <row r="40" spans="1:11" ht="45" customHeight="1" x14ac:dyDescent="0.2">
      <c r="A40" s="18"/>
      <c r="B40" s="18"/>
      <c r="C40" s="41"/>
      <c r="D40" s="42"/>
      <c r="E40" s="42"/>
      <c r="F40" s="44"/>
      <c r="G40" s="46"/>
      <c r="H40" s="44"/>
      <c r="I40" s="45"/>
      <c r="J40" s="45"/>
      <c r="K40" s="22"/>
    </row>
    <row r="41" spans="1:11" ht="45" customHeight="1" x14ac:dyDescent="0.2">
      <c r="A41" s="18"/>
      <c r="B41" s="18"/>
      <c r="C41" s="41"/>
      <c r="D41" s="42"/>
      <c r="E41" s="42"/>
      <c r="F41" s="44"/>
      <c r="G41" s="46"/>
      <c r="H41" s="44"/>
      <c r="I41" s="45"/>
      <c r="J41" s="45"/>
      <c r="K41" s="22"/>
    </row>
    <row r="42" spans="1:11" ht="45" customHeight="1" x14ac:dyDescent="0.2">
      <c r="A42" s="18"/>
      <c r="B42" s="18"/>
      <c r="C42" s="41"/>
      <c r="D42" s="42"/>
      <c r="E42" s="42"/>
      <c r="F42" s="44"/>
      <c r="G42" s="46"/>
      <c r="H42" s="44"/>
      <c r="I42" s="45"/>
      <c r="J42" s="45"/>
      <c r="K42" s="22"/>
    </row>
    <row r="43" spans="1:11" ht="45" customHeight="1" x14ac:dyDescent="0.2">
      <c r="A43" s="18"/>
      <c r="B43" s="18"/>
      <c r="C43" s="41"/>
      <c r="D43" s="42"/>
      <c r="E43" s="42"/>
      <c r="F43" s="44"/>
      <c r="G43" s="46"/>
      <c r="H43" s="44"/>
      <c r="I43" s="45"/>
      <c r="J43" s="45"/>
      <c r="K43" s="22"/>
    </row>
    <row r="44" spans="1:11" ht="45" customHeight="1" x14ac:dyDescent="0.2">
      <c r="A44" s="18"/>
      <c r="B44" s="18"/>
      <c r="C44" s="41"/>
      <c r="D44" s="42"/>
      <c r="E44" s="42"/>
      <c r="F44" s="44"/>
      <c r="G44" s="46"/>
      <c r="H44" s="44"/>
      <c r="I44" s="45"/>
      <c r="J44" s="45"/>
      <c r="K44" s="22"/>
    </row>
    <row r="45" spans="1:11" ht="45" customHeight="1" x14ac:dyDescent="0.2">
      <c r="A45" s="18"/>
      <c r="B45" s="18"/>
      <c r="C45" s="41"/>
      <c r="D45" s="42"/>
      <c r="E45" s="42"/>
      <c r="F45" s="44"/>
      <c r="G45" s="46"/>
      <c r="H45" s="44"/>
      <c r="I45" s="45"/>
      <c r="J45" s="45"/>
      <c r="K45" s="22"/>
    </row>
    <row r="46" spans="1:11" ht="45" customHeight="1" x14ac:dyDescent="0.2">
      <c r="A46" s="18"/>
      <c r="B46" s="18"/>
      <c r="C46" s="41"/>
      <c r="D46" s="42"/>
      <c r="E46" s="42"/>
      <c r="F46" s="44"/>
      <c r="G46" s="46"/>
      <c r="H46" s="44"/>
      <c r="I46" s="45"/>
      <c r="J46" s="45"/>
      <c r="K46" s="22"/>
    </row>
    <row r="47" spans="1:11" ht="45" customHeight="1" x14ac:dyDescent="0.2">
      <c r="A47" s="18"/>
      <c r="B47" s="18"/>
      <c r="C47" s="41"/>
      <c r="D47" s="42"/>
      <c r="E47" s="42"/>
      <c r="F47" s="44"/>
      <c r="G47" s="46"/>
      <c r="H47" s="44"/>
      <c r="I47" s="45"/>
      <c r="J47" s="45"/>
      <c r="K47" s="22"/>
    </row>
    <row r="48" spans="1:11" ht="45" customHeight="1" x14ac:dyDescent="0.2">
      <c r="A48" s="18"/>
      <c r="B48" s="18"/>
      <c r="C48" s="41"/>
      <c r="D48" s="42"/>
      <c r="E48" s="42"/>
      <c r="F48" s="44"/>
      <c r="G48" s="46"/>
      <c r="H48" s="44"/>
      <c r="I48" s="45"/>
      <c r="J48" s="45"/>
      <c r="K48" s="22"/>
    </row>
    <row r="49" spans="1:11" ht="45" customHeight="1" x14ac:dyDescent="0.2">
      <c r="A49" s="18"/>
      <c r="B49" s="18"/>
      <c r="C49" s="41"/>
      <c r="D49" s="42"/>
      <c r="E49" s="42"/>
      <c r="F49" s="44"/>
      <c r="G49" s="46"/>
      <c r="H49" s="44"/>
      <c r="I49" s="45"/>
      <c r="J49" s="45"/>
      <c r="K49" s="22"/>
    </row>
    <row r="50" spans="1:11" ht="45" customHeight="1" x14ac:dyDescent="0.2">
      <c r="A50" s="18"/>
      <c r="B50" s="18"/>
      <c r="C50" s="41"/>
      <c r="D50" s="42"/>
      <c r="E50" s="42"/>
      <c r="F50" s="44"/>
      <c r="G50" s="46"/>
      <c r="H50" s="44"/>
      <c r="I50" s="45"/>
      <c r="J50" s="45"/>
      <c r="K50" s="22"/>
    </row>
    <row r="51" spans="1:11" ht="45" customHeight="1" x14ac:dyDescent="0.2">
      <c r="A51" s="18"/>
      <c r="B51" s="18"/>
      <c r="C51" s="41"/>
      <c r="D51" s="42"/>
      <c r="E51" s="42"/>
      <c r="F51" s="44"/>
      <c r="G51" s="46"/>
      <c r="H51" s="44"/>
      <c r="I51" s="45"/>
      <c r="J51" s="45"/>
      <c r="K51" s="22"/>
    </row>
    <row r="52" spans="1:11" ht="45" customHeight="1" x14ac:dyDescent="0.2">
      <c r="A52" s="18"/>
      <c r="B52" s="18"/>
      <c r="C52" s="41"/>
      <c r="D52" s="42"/>
      <c r="E52" s="42"/>
      <c r="F52" s="44"/>
      <c r="G52" s="46"/>
      <c r="H52" s="44"/>
      <c r="I52" s="45"/>
      <c r="J52" s="45"/>
      <c r="K52" s="22"/>
    </row>
    <row r="53" spans="1:11" ht="45" customHeight="1" x14ac:dyDescent="0.2">
      <c r="A53" s="18"/>
      <c r="B53" s="18"/>
      <c r="C53" s="41"/>
      <c r="D53" s="42"/>
      <c r="E53" s="42"/>
      <c r="F53" s="44"/>
      <c r="G53" s="46"/>
      <c r="H53" s="44"/>
      <c r="I53" s="45"/>
      <c r="J53" s="45"/>
      <c r="K53" s="22"/>
    </row>
    <row r="54" spans="1:11" ht="45" customHeight="1" x14ac:dyDescent="0.2">
      <c r="A54" s="18"/>
      <c r="B54" s="18"/>
      <c r="C54" s="41"/>
      <c r="D54" s="42"/>
      <c r="E54" s="42"/>
      <c r="F54" s="44"/>
      <c r="G54" s="46"/>
      <c r="H54" s="44"/>
      <c r="I54" s="45"/>
      <c r="J54" s="45"/>
      <c r="K54" s="22"/>
    </row>
    <row r="55" spans="1:11" ht="45" customHeight="1" x14ac:dyDescent="0.2">
      <c r="A55" s="18"/>
      <c r="B55" s="18"/>
      <c r="C55" s="41"/>
      <c r="D55" s="42"/>
      <c r="E55" s="42"/>
      <c r="F55" s="44"/>
      <c r="G55" s="46"/>
      <c r="H55" s="44"/>
      <c r="I55" s="45"/>
      <c r="J55" s="45"/>
      <c r="K55" s="22"/>
    </row>
    <row r="56" spans="1:11" ht="45" customHeight="1" x14ac:dyDescent="0.2">
      <c r="A56" s="18"/>
      <c r="B56" s="18"/>
      <c r="C56" s="41"/>
      <c r="D56" s="42"/>
      <c r="E56" s="42"/>
      <c r="F56" s="44"/>
      <c r="G56" s="46"/>
      <c r="H56" s="44"/>
      <c r="I56" s="45"/>
      <c r="J56" s="45"/>
      <c r="K56" s="22"/>
    </row>
    <row r="57" spans="1:11" ht="45" customHeight="1" x14ac:dyDescent="0.2">
      <c r="A57" s="18"/>
      <c r="B57" s="18"/>
      <c r="C57" s="41"/>
      <c r="D57" s="42"/>
      <c r="E57" s="42"/>
      <c r="F57" s="44"/>
      <c r="G57" s="46"/>
      <c r="H57" s="44"/>
      <c r="I57" s="45"/>
      <c r="J57" s="45"/>
      <c r="K57" s="22"/>
    </row>
    <row r="58" spans="1:11" ht="45" customHeight="1" x14ac:dyDescent="0.2">
      <c r="A58" s="18"/>
      <c r="B58" s="18"/>
      <c r="C58" s="41"/>
      <c r="D58" s="42"/>
      <c r="E58" s="42"/>
      <c r="F58" s="44"/>
      <c r="G58" s="46"/>
      <c r="H58" s="44"/>
      <c r="I58" s="45"/>
      <c r="J58" s="45"/>
      <c r="K58" s="22"/>
    </row>
    <row r="59" spans="1:11" ht="45" customHeight="1" x14ac:dyDescent="0.2">
      <c r="A59" s="18"/>
      <c r="B59" s="18"/>
      <c r="C59" s="41"/>
      <c r="D59" s="42"/>
      <c r="E59" s="42"/>
      <c r="F59" s="44"/>
      <c r="G59" s="46"/>
      <c r="H59" s="44"/>
      <c r="I59" s="45"/>
      <c r="J59" s="45"/>
      <c r="K59" s="22"/>
    </row>
    <row r="60" spans="1:11" ht="45" customHeight="1" x14ac:dyDescent="0.2">
      <c r="A60" s="18"/>
      <c r="B60" s="18"/>
      <c r="C60" s="41"/>
      <c r="D60" s="42"/>
      <c r="E60" s="42"/>
      <c r="F60" s="44"/>
      <c r="G60" s="46"/>
      <c r="H60" s="44"/>
      <c r="I60" s="45"/>
      <c r="J60" s="45"/>
      <c r="K60" s="22"/>
    </row>
    <row r="61" spans="1:11" ht="30" customHeight="1" x14ac:dyDescent="0.2">
      <c r="A61" s="18"/>
      <c r="B61" s="18"/>
      <c r="C61" s="41"/>
      <c r="D61" s="42"/>
      <c r="E61" s="42"/>
      <c r="F61" s="44"/>
      <c r="G61" s="46"/>
      <c r="H61" s="44"/>
      <c r="I61" s="45"/>
      <c r="J61" s="45"/>
      <c r="K61" s="22"/>
    </row>
    <row r="62" spans="1:11" ht="45" customHeight="1" x14ac:dyDescent="0.2">
      <c r="A62" s="18"/>
      <c r="B62" s="18"/>
      <c r="C62" s="41"/>
      <c r="D62" s="42"/>
      <c r="E62" s="42"/>
      <c r="F62" s="44"/>
      <c r="G62" s="46"/>
      <c r="H62" s="44"/>
      <c r="I62" s="45"/>
      <c r="J62" s="45"/>
      <c r="K62" s="22"/>
    </row>
    <row r="63" spans="1:11" ht="45" customHeight="1" x14ac:dyDescent="0.2">
      <c r="A63" s="18"/>
      <c r="B63" s="18"/>
      <c r="C63" s="41"/>
      <c r="D63" s="42"/>
      <c r="E63" s="42"/>
      <c r="F63" s="44"/>
      <c r="G63" s="46"/>
      <c r="H63" s="44"/>
      <c r="I63" s="45"/>
      <c r="J63" s="45"/>
      <c r="K63" s="22"/>
    </row>
    <row r="64" spans="1:11" ht="45" customHeight="1" x14ac:dyDescent="0.2">
      <c r="A64" s="18"/>
      <c r="B64" s="18"/>
      <c r="C64" s="41"/>
      <c r="D64" s="42"/>
      <c r="E64" s="42"/>
      <c r="F64" s="44"/>
      <c r="G64" s="46"/>
      <c r="H64" s="44"/>
      <c r="I64" s="45"/>
      <c r="J64" s="45"/>
      <c r="K64" s="22"/>
    </row>
    <row r="65" spans="1:11" ht="45" customHeight="1" x14ac:dyDescent="0.2">
      <c r="A65" s="18"/>
      <c r="B65" s="18"/>
      <c r="C65" s="41"/>
      <c r="D65" s="42"/>
      <c r="E65" s="42"/>
      <c r="F65" s="44"/>
      <c r="G65" s="46"/>
      <c r="H65" s="44"/>
      <c r="I65" s="45"/>
      <c r="J65" s="45"/>
      <c r="K65" s="22"/>
    </row>
    <row r="66" spans="1:11" ht="45" customHeight="1" x14ac:dyDescent="0.2">
      <c r="A66" s="18"/>
      <c r="B66" s="18"/>
      <c r="C66" s="41"/>
      <c r="D66" s="42"/>
      <c r="E66" s="42"/>
      <c r="F66" s="44"/>
      <c r="G66" s="46"/>
      <c r="H66" s="44"/>
      <c r="I66" s="45"/>
      <c r="J66" s="45"/>
      <c r="K66" s="22"/>
    </row>
    <row r="67" spans="1:11" ht="30" customHeight="1" x14ac:dyDescent="0.2">
      <c r="A67" s="18"/>
      <c r="B67" s="18"/>
      <c r="C67" s="41"/>
      <c r="D67" s="42"/>
      <c r="E67" s="42"/>
      <c r="F67" s="44"/>
      <c r="G67" s="46"/>
      <c r="H67" s="44"/>
      <c r="I67" s="45"/>
      <c r="J67" s="45"/>
      <c r="K67" s="22"/>
    </row>
    <row r="68" spans="1:11" ht="30" customHeight="1" x14ac:dyDescent="0.2">
      <c r="A68" s="18"/>
      <c r="B68" s="18"/>
      <c r="C68" s="41"/>
      <c r="D68" s="42"/>
      <c r="E68" s="42"/>
      <c r="F68" s="44"/>
      <c r="G68" s="46"/>
      <c r="H68" s="44"/>
      <c r="I68" s="45"/>
      <c r="J68" s="45"/>
      <c r="K68" s="22"/>
    </row>
    <row r="69" spans="1:11" ht="45" customHeight="1" x14ac:dyDescent="0.2">
      <c r="A69" s="18"/>
      <c r="B69" s="18"/>
      <c r="C69" s="41"/>
      <c r="D69" s="42"/>
      <c r="E69" s="42"/>
      <c r="F69" s="44"/>
      <c r="G69" s="46"/>
      <c r="H69" s="44"/>
      <c r="I69" s="45"/>
      <c r="J69" s="45"/>
      <c r="K69" s="22"/>
    </row>
    <row r="70" spans="1:11" ht="30" customHeight="1" x14ac:dyDescent="0.2">
      <c r="A70" s="18"/>
      <c r="B70" s="18"/>
      <c r="C70" s="41"/>
      <c r="D70" s="42"/>
      <c r="E70" s="42"/>
      <c r="F70" s="44"/>
      <c r="G70" s="46"/>
      <c r="H70" s="44"/>
      <c r="I70" s="45"/>
      <c r="J70" s="45"/>
      <c r="K70" s="22"/>
    </row>
    <row r="71" spans="1:11" ht="45" customHeight="1" x14ac:dyDescent="0.2">
      <c r="A71" s="18"/>
      <c r="B71" s="18"/>
      <c r="C71" s="41"/>
      <c r="D71" s="42"/>
      <c r="E71" s="42"/>
      <c r="F71" s="44"/>
      <c r="G71" s="46"/>
      <c r="H71" s="44"/>
      <c r="I71" s="45"/>
      <c r="J71" s="45"/>
      <c r="K71" s="22"/>
    </row>
    <row r="72" spans="1:11" ht="45" customHeight="1" x14ac:dyDescent="0.2">
      <c r="A72" s="18"/>
      <c r="B72" s="18"/>
      <c r="C72" s="41"/>
      <c r="D72" s="42"/>
      <c r="E72" s="42"/>
      <c r="F72" s="44"/>
      <c r="G72" s="46"/>
      <c r="H72" s="44"/>
      <c r="I72" s="45"/>
      <c r="J72" s="45"/>
      <c r="K72" s="22"/>
    </row>
    <row r="73" spans="1:11" ht="45" customHeight="1" x14ac:dyDescent="0.2">
      <c r="A73" s="18"/>
      <c r="B73" s="18"/>
      <c r="C73" s="41"/>
      <c r="D73" s="42"/>
      <c r="E73" s="42"/>
      <c r="F73" s="44"/>
      <c r="G73" s="46"/>
      <c r="H73" s="44"/>
      <c r="I73" s="45"/>
      <c r="J73" s="45"/>
      <c r="K73" s="22"/>
    </row>
    <row r="74" spans="1:11" ht="45" customHeight="1" x14ac:dyDescent="0.2">
      <c r="A74" s="18"/>
      <c r="B74" s="18"/>
      <c r="C74" s="41"/>
      <c r="D74" s="42"/>
      <c r="E74" s="42"/>
      <c r="F74" s="44"/>
      <c r="G74" s="46"/>
      <c r="H74" s="44"/>
      <c r="I74" s="45"/>
      <c r="J74" s="45"/>
      <c r="K74" s="22"/>
    </row>
    <row r="75" spans="1:11" ht="45" customHeight="1" x14ac:dyDescent="0.2">
      <c r="A75" s="18"/>
      <c r="B75" s="18"/>
      <c r="C75" s="41"/>
      <c r="D75" s="42"/>
      <c r="E75" s="42"/>
      <c r="F75" s="44"/>
      <c r="G75" s="46"/>
      <c r="H75" s="44"/>
      <c r="I75" s="45"/>
      <c r="J75" s="45"/>
      <c r="K75" s="22"/>
    </row>
    <row r="76" spans="1:11" ht="45" customHeight="1" x14ac:dyDescent="0.2">
      <c r="A76" s="18"/>
      <c r="B76" s="18"/>
      <c r="C76" s="41"/>
      <c r="D76" s="42"/>
      <c r="E76" s="42"/>
      <c r="F76" s="44"/>
      <c r="G76" s="46"/>
      <c r="H76" s="44"/>
      <c r="I76" s="45"/>
      <c r="J76" s="45"/>
      <c r="K76" s="22"/>
    </row>
    <row r="77" spans="1:11" ht="30" customHeight="1" x14ac:dyDescent="0.2">
      <c r="A77" s="18"/>
      <c r="B77" s="18"/>
      <c r="C77" s="41"/>
      <c r="D77" s="42"/>
      <c r="E77" s="42"/>
      <c r="F77" s="44"/>
      <c r="G77" s="46"/>
      <c r="H77" s="44"/>
      <c r="I77" s="45"/>
      <c r="J77" s="45"/>
      <c r="K77" s="22"/>
    </row>
    <row r="78" spans="1:11" ht="17" customHeight="1" x14ac:dyDescent="0.2">
      <c r="A78" s="21" t="s">
        <v>291</v>
      </c>
      <c r="B78" s="21"/>
      <c r="C78" s="58"/>
      <c r="D78" s="58"/>
      <c r="E78" s="58"/>
      <c r="F78" s="59">
        <f>SUM(rix!F17:F77)</f>
        <v>4536</v>
      </c>
      <c r="G78" s="59">
        <f>SUM(rix!G17:G77)</f>
        <v>378</v>
      </c>
      <c r="H78" s="59"/>
      <c r="I78" s="60"/>
      <c r="J78" s="21"/>
    </row>
  </sheetData>
  <mergeCells count="3">
    <mergeCell ref="A1:K5"/>
    <mergeCell ref="A7:K7"/>
    <mergeCell ref="A15:K15"/>
  </mergeCells>
  <hyperlinks>
    <hyperlink ref="K17" r:id="rId1" display="https://amazon.com/dp/B07S7H86Z1" xr:uid="{00000000-0004-0000-0800-000000000000}"/>
  </hyperlinks>
  <pageMargins left="0.7" right="0.7" top="0.75" bottom="0.75" header="0.3" footer="0.3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0"/>
  <sheetViews>
    <sheetView workbookViewId="0">
      <selection activeCell="L8" sqref="L8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164062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16" t="e">
        <v>#VALUE!</v>
      </c>
      <c r="B1" s="117"/>
      <c r="C1" s="118"/>
      <c r="D1" s="117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7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7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7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8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54</v>
      </c>
      <c r="B9" s="18" t="s">
        <v>53</v>
      </c>
      <c r="C9" s="41">
        <v>369</v>
      </c>
      <c r="D9" s="42">
        <v>1401987.24</v>
      </c>
      <c r="E9" s="43">
        <v>116832.27</v>
      </c>
      <c r="F9" s="44">
        <v>3804</v>
      </c>
      <c r="G9" s="44">
        <v>317</v>
      </c>
      <c r="H9" s="44">
        <v>251</v>
      </c>
      <c r="I9" s="45">
        <v>4.3</v>
      </c>
      <c r="J9" s="45" t="s">
        <v>55</v>
      </c>
      <c r="K9" s="56" t="str">
        <f t="shared" ref="K9:K27" si="0">HYPERLINK(J9)</f>
        <v>https://amazon.com/dp/B0CNXP8JBV</v>
      </c>
    </row>
    <row r="10" spans="1:11" ht="45" customHeight="1" x14ac:dyDescent="0.2">
      <c r="A10" s="18" t="s">
        <v>60</v>
      </c>
      <c r="B10" s="18" t="s">
        <v>59</v>
      </c>
      <c r="C10" s="41">
        <v>404.1</v>
      </c>
      <c r="D10" s="42">
        <v>1268646</v>
      </c>
      <c r="E10" s="43">
        <v>105720.5</v>
      </c>
      <c r="F10" s="44">
        <v>3144</v>
      </c>
      <c r="G10" s="44">
        <v>262</v>
      </c>
      <c r="H10" s="44">
        <v>251</v>
      </c>
      <c r="I10" s="45">
        <v>4.3</v>
      </c>
      <c r="J10" s="45" t="s">
        <v>61</v>
      </c>
      <c r="K10" s="56" t="str">
        <f t="shared" si="0"/>
        <v>https://amazon.com/dp/B0CNXPDG7R</v>
      </c>
    </row>
    <row r="11" spans="1:11" ht="45" customHeight="1" x14ac:dyDescent="0.2">
      <c r="A11" s="18" t="s">
        <v>122</v>
      </c>
      <c r="B11" s="18" t="s">
        <v>121</v>
      </c>
      <c r="C11" s="41">
        <v>519</v>
      </c>
      <c r="D11" s="42">
        <v>287397</v>
      </c>
      <c r="E11" s="43">
        <v>23949.75</v>
      </c>
      <c r="F11" s="44">
        <v>552</v>
      </c>
      <c r="G11" s="44">
        <v>46</v>
      </c>
      <c r="H11" s="44">
        <v>181</v>
      </c>
      <c r="I11" s="45">
        <v>4.3</v>
      </c>
      <c r="J11" s="45" t="s">
        <v>123</v>
      </c>
      <c r="K11" s="56" t="str">
        <f t="shared" si="0"/>
        <v>https://amazon.com/dp/B0FNWKSKYK</v>
      </c>
    </row>
    <row r="12" spans="1:11" ht="45" customHeight="1" x14ac:dyDescent="0.2">
      <c r="A12" s="18" t="s">
        <v>150</v>
      </c>
      <c r="B12" s="18" t="s">
        <v>149</v>
      </c>
      <c r="C12" s="41">
        <v>229</v>
      </c>
      <c r="D12" s="42">
        <v>174313.32</v>
      </c>
      <c r="E12" s="43">
        <v>14526.11</v>
      </c>
      <c r="F12" s="44">
        <v>756</v>
      </c>
      <c r="G12" s="44">
        <v>63</v>
      </c>
      <c r="H12" s="44">
        <v>182</v>
      </c>
      <c r="I12" s="45">
        <v>4.4000000000000004</v>
      </c>
      <c r="J12" s="45" t="s">
        <v>151</v>
      </c>
      <c r="K12" s="56" t="str">
        <f t="shared" si="0"/>
        <v>https://amazon.com/dp/B0CFH7SGZK</v>
      </c>
    </row>
    <row r="13" spans="1:11" ht="45" customHeight="1" x14ac:dyDescent="0.2">
      <c r="A13" s="18" t="s">
        <v>197</v>
      </c>
      <c r="B13" s="18" t="s">
        <v>196</v>
      </c>
      <c r="C13" s="41">
        <v>664.99</v>
      </c>
      <c r="D13" s="42">
        <v>121624.32000000001</v>
      </c>
      <c r="E13" s="43">
        <v>10135.36</v>
      </c>
      <c r="F13" s="44">
        <v>180</v>
      </c>
      <c r="G13" s="44">
        <v>15</v>
      </c>
      <c r="H13" s="44">
        <v>52</v>
      </c>
      <c r="I13" s="45">
        <v>4.3</v>
      </c>
      <c r="J13" s="45" t="s">
        <v>198</v>
      </c>
      <c r="K13" s="56" t="str">
        <f t="shared" si="0"/>
        <v>https://amazon.com/dp/B0D1R935KD</v>
      </c>
    </row>
    <row r="14" spans="1:11" ht="60" customHeight="1" x14ac:dyDescent="0.2">
      <c r="A14" s="18" t="s">
        <v>200</v>
      </c>
      <c r="B14" s="18" t="s">
        <v>199</v>
      </c>
      <c r="C14" s="41">
        <v>759.05</v>
      </c>
      <c r="D14" s="42">
        <v>121581.96</v>
      </c>
      <c r="E14" s="43">
        <v>10131.83</v>
      </c>
      <c r="F14" s="44">
        <v>156</v>
      </c>
      <c r="G14" s="44">
        <v>13</v>
      </c>
      <c r="H14" s="44">
        <v>51</v>
      </c>
      <c r="I14" s="45">
        <v>4.3</v>
      </c>
      <c r="J14" s="45" t="s">
        <v>201</v>
      </c>
      <c r="K14" s="56" t="str">
        <f t="shared" si="0"/>
        <v>https://amazon.com/dp/B0D1RB6PBJ</v>
      </c>
    </row>
    <row r="15" spans="1:11" ht="45" customHeight="1" x14ac:dyDescent="0.2">
      <c r="A15" s="18" t="s">
        <v>330</v>
      </c>
      <c r="B15" s="18" t="s">
        <v>331</v>
      </c>
      <c r="C15" s="41">
        <v>1299</v>
      </c>
      <c r="D15" s="42">
        <v>119952.48</v>
      </c>
      <c r="E15" s="43">
        <v>9996.0400000000009</v>
      </c>
      <c r="F15" s="44">
        <v>96</v>
      </c>
      <c r="G15" s="44">
        <v>8</v>
      </c>
      <c r="H15" s="44">
        <v>181</v>
      </c>
      <c r="I15" s="45">
        <v>4.3</v>
      </c>
      <c r="J15" s="45" t="s">
        <v>332</v>
      </c>
      <c r="K15" s="56" t="str">
        <f t="shared" si="0"/>
        <v>https://amazon.com/dp/B0FNWHWHMR</v>
      </c>
    </row>
    <row r="16" spans="1:11" ht="45" customHeight="1" x14ac:dyDescent="0.2">
      <c r="A16" s="18" t="s">
        <v>232</v>
      </c>
      <c r="B16" s="18" t="s">
        <v>231</v>
      </c>
      <c r="C16" s="41">
        <v>249</v>
      </c>
      <c r="D16" s="42">
        <v>90941.040000000008</v>
      </c>
      <c r="E16" s="43">
        <v>7578.42</v>
      </c>
      <c r="F16" s="44">
        <v>360</v>
      </c>
      <c r="G16" s="44">
        <v>30</v>
      </c>
      <c r="H16" s="44">
        <v>181</v>
      </c>
      <c r="I16" s="45">
        <v>4.3</v>
      </c>
      <c r="J16" s="45" t="s">
        <v>233</v>
      </c>
      <c r="K16" s="56" t="str">
        <f t="shared" si="0"/>
        <v>https://amazon.com/dp/B0CFH6TPWQ</v>
      </c>
    </row>
    <row r="17" spans="1:11" ht="45" customHeight="1" x14ac:dyDescent="0.2">
      <c r="A17" s="18" t="s">
        <v>333</v>
      </c>
      <c r="B17" s="18" t="s">
        <v>334</v>
      </c>
      <c r="C17" s="41">
        <v>389</v>
      </c>
      <c r="D17" s="42">
        <v>82003.799999999988</v>
      </c>
      <c r="E17" s="43">
        <v>6833.65</v>
      </c>
      <c r="F17" s="44">
        <v>216</v>
      </c>
      <c r="G17" s="44">
        <v>18</v>
      </c>
      <c r="H17" s="44">
        <v>277</v>
      </c>
      <c r="I17" s="45">
        <v>4.2</v>
      </c>
      <c r="J17" s="45" t="s">
        <v>335</v>
      </c>
      <c r="K17" s="56" t="str">
        <f t="shared" si="0"/>
        <v>https://amazon.com/dp/B0CTH5MH9G</v>
      </c>
    </row>
    <row r="18" spans="1:11" ht="45" customHeight="1" x14ac:dyDescent="0.2">
      <c r="A18" s="18" t="s">
        <v>336</v>
      </c>
      <c r="B18" s="18" t="s">
        <v>337</v>
      </c>
      <c r="C18" s="41">
        <v>999</v>
      </c>
      <c r="D18" s="42">
        <v>27400.080000000002</v>
      </c>
      <c r="E18" s="43">
        <v>2283.34</v>
      </c>
      <c r="F18" s="44">
        <v>24</v>
      </c>
      <c r="G18" s="44">
        <v>2</v>
      </c>
      <c r="H18" s="44">
        <v>23</v>
      </c>
      <c r="I18" s="45">
        <v>3.7</v>
      </c>
      <c r="J18" s="45" t="s">
        <v>338</v>
      </c>
      <c r="K18" s="101" t="str">
        <f t="shared" si="0"/>
        <v>https://amazon.com/dp/B0CX1W3986</v>
      </c>
    </row>
    <row r="19" spans="1:11" ht="45" customHeight="1" x14ac:dyDescent="0.2">
      <c r="A19" s="18" t="s">
        <v>339</v>
      </c>
      <c r="B19" s="18" t="s">
        <v>340</v>
      </c>
      <c r="C19" s="41">
        <v>229</v>
      </c>
      <c r="D19" s="42">
        <v>26399.64</v>
      </c>
      <c r="E19" s="43">
        <v>2199.9699999999998</v>
      </c>
      <c r="F19" s="44">
        <v>120</v>
      </c>
      <c r="G19" s="44">
        <v>10</v>
      </c>
      <c r="H19" s="44">
        <v>277</v>
      </c>
      <c r="I19" s="45">
        <v>4.2</v>
      </c>
      <c r="J19" s="45" t="s">
        <v>341</v>
      </c>
      <c r="K19" s="101" t="str">
        <f t="shared" si="0"/>
        <v>https://amazon.com/dp/B0BZSBGQTW</v>
      </c>
    </row>
    <row r="20" spans="1:11" ht="45" customHeight="1" x14ac:dyDescent="0.2">
      <c r="A20" s="18" t="s">
        <v>342</v>
      </c>
      <c r="B20" s="18" t="s">
        <v>343</v>
      </c>
      <c r="C20" s="41">
        <v>369</v>
      </c>
      <c r="D20" s="42">
        <v>5705.64</v>
      </c>
      <c r="E20" s="43">
        <v>475.47</v>
      </c>
      <c r="F20" s="44">
        <v>12</v>
      </c>
      <c r="G20" s="44">
        <v>1</v>
      </c>
      <c r="H20" s="44">
        <v>8</v>
      </c>
      <c r="I20" s="45">
        <v>4</v>
      </c>
      <c r="J20" s="45" t="s">
        <v>344</v>
      </c>
      <c r="K20" s="101" t="str">
        <f t="shared" si="0"/>
        <v>https://amazon.com/dp/B0CBV6V43B</v>
      </c>
    </row>
    <row r="21" spans="1:11" ht="45" customHeight="1" x14ac:dyDescent="0.2">
      <c r="A21" s="18" t="s">
        <v>345</v>
      </c>
      <c r="B21" s="18" t="s">
        <v>346</v>
      </c>
      <c r="C21" s="41">
        <v>149</v>
      </c>
      <c r="D21" s="42">
        <v>4412.6400000000003</v>
      </c>
      <c r="E21" s="43">
        <v>367.72</v>
      </c>
      <c r="F21" s="44">
        <v>36</v>
      </c>
      <c r="G21" s="44">
        <v>3</v>
      </c>
      <c r="H21" s="44">
        <v>1</v>
      </c>
      <c r="I21" s="45">
        <v>5</v>
      </c>
      <c r="J21" s="45" t="s">
        <v>347</v>
      </c>
      <c r="K21" s="101" t="str">
        <f t="shared" si="0"/>
        <v>https://amazon.com/dp/B0CW1LVB59</v>
      </c>
    </row>
    <row r="22" spans="1:11" ht="45" customHeight="1" x14ac:dyDescent="0.2">
      <c r="A22" s="18" t="s">
        <v>348</v>
      </c>
      <c r="B22" s="18" t="s">
        <v>349</v>
      </c>
      <c r="C22" s="41">
        <v>1199</v>
      </c>
      <c r="D22" s="42"/>
      <c r="E22" s="43"/>
      <c r="F22" s="44">
        <v>0</v>
      </c>
      <c r="G22" s="44">
        <v>0</v>
      </c>
      <c r="H22" s="44">
        <v>5</v>
      </c>
      <c r="I22" s="45">
        <v>3.3</v>
      </c>
      <c r="J22" s="45" t="s">
        <v>350</v>
      </c>
      <c r="K22" s="101" t="str">
        <f t="shared" si="0"/>
        <v>https://amazon.com/dp/B0CX3YQQQ5</v>
      </c>
    </row>
    <row r="23" spans="1:11" ht="45" customHeight="1" x14ac:dyDescent="0.2">
      <c r="A23" s="18" t="s">
        <v>351</v>
      </c>
      <c r="B23" s="18" t="s">
        <v>352</v>
      </c>
      <c r="C23" s="41">
        <v>529</v>
      </c>
      <c r="D23" s="42"/>
      <c r="E23" s="43"/>
      <c r="F23" s="44">
        <v>0</v>
      </c>
      <c r="G23" s="44">
        <v>0</v>
      </c>
      <c r="H23" s="44">
        <v>3</v>
      </c>
      <c r="I23" s="45">
        <v>3</v>
      </c>
      <c r="J23" s="45" t="s">
        <v>353</v>
      </c>
      <c r="K23" s="101" t="str">
        <f t="shared" si="0"/>
        <v>https://amazon.com/dp/B0CWTPMVRM</v>
      </c>
    </row>
    <row r="24" spans="1:11" ht="60" customHeight="1" x14ac:dyDescent="0.2">
      <c r="A24" s="18" t="s">
        <v>354</v>
      </c>
      <c r="B24" s="18" t="s">
        <v>355</v>
      </c>
      <c r="C24" s="41">
        <v>598</v>
      </c>
      <c r="D24" s="42"/>
      <c r="E24" s="43"/>
      <c r="F24" s="44">
        <v>0</v>
      </c>
      <c r="G24" s="44">
        <v>0</v>
      </c>
      <c r="H24" s="44">
        <v>3</v>
      </c>
      <c r="I24" s="45">
        <v>2.8</v>
      </c>
      <c r="J24" s="45" t="s">
        <v>356</v>
      </c>
      <c r="K24" s="101" t="str">
        <f t="shared" si="0"/>
        <v>https://amazon.com/dp/B0CFV2H85F</v>
      </c>
    </row>
    <row r="25" spans="1:11" ht="45" customHeight="1" x14ac:dyDescent="0.2">
      <c r="A25" s="18" t="s">
        <v>357</v>
      </c>
      <c r="B25" s="18" t="s">
        <v>358</v>
      </c>
      <c r="C25" s="41">
        <v>399</v>
      </c>
      <c r="D25" s="42"/>
      <c r="E25" s="43"/>
      <c r="F25" s="44">
        <v>0</v>
      </c>
      <c r="G25" s="44">
        <v>0</v>
      </c>
      <c r="H25" s="44"/>
      <c r="I25" s="45"/>
      <c r="J25" s="45" t="s">
        <v>359</v>
      </c>
      <c r="K25" s="101" t="str">
        <f t="shared" si="0"/>
        <v>https://amazon.com/dp/B0CP3C49VZ</v>
      </c>
    </row>
    <row r="26" spans="1:11" ht="45" customHeight="1" x14ac:dyDescent="0.2">
      <c r="A26" s="18" t="s">
        <v>360</v>
      </c>
      <c r="B26" s="18" t="s">
        <v>361</v>
      </c>
      <c r="C26" s="41">
        <v>2130</v>
      </c>
      <c r="D26" s="42"/>
      <c r="E26" s="43"/>
      <c r="F26" s="44">
        <v>0</v>
      </c>
      <c r="G26" s="44">
        <v>0</v>
      </c>
      <c r="H26" s="44"/>
      <c r="I26" s="45"/>
      <c r="J26" s="45" t="s">
        <v>362</v>
      </c>
      <c r="K26" s="101" t="str">
        <f t="shared" si="0"/>
        <v>https://amazon.com/dp/B0BV6J7TZZ</v>
      </c>
    </row>
    <row r="27" spans="1:11" ht="45" customHeight="1" x14ac:dyDescent="0.2">
      <c r="A27" s="18" t="s">
        <v>363</v>
      </c>
      <c r="B27" s="18" t="s">
        <v>364</v>
      </c>
      <c r="C27" s="41">
        <v>928</v>
      </c>
      <c r="D27" s="42"/>
      <c r="E27" s="43"/>
      <c r="F27" s="44">
        <v>0</v>
      </c>
      <c r="G27" s="44">
        <v>0</v>
      </c>
      <c r="H27" s="44"/>
      <c r="I27" s="45"/>
      <c r="J27" s="45" t="s">
        <v>365</v>
      </c>
      <c r="K27" s="101" t="str">
        <f t="shared" si="0"/>
        <v>https://amazon.com/dp/B0CFVKXSS9</v>
      </c>
    </row>
    <row r="28" spans="1:11" ht="45" customHeight="1" x14ac:dyDescent="0.2">
      <c r="A28" s="18"/>
      <c r="B28" s="18"/>
      <c r="C28" s="41"/>
      <c r="D28" s="42"/>
      <c r="E28" s="43"/>
      <c r="F28" s="44"/>
      <c r="G28" s="44"/>
      <c r="H28" s="44"/>
      <c r="I28" s="45"/>
      <c r="J28" s="45"/>
      <c r="K28" s="101"/>
    </row>
    <row r="29" spans="1:11" ht="45" customHeight="1" x14ac:dyDescent="0.2">
      <c r="A29" s="18"/>
      <c r="B29" s="18"/>
      <c r="C29" s="41"/>
      <c r="D29" s="42"/>
      <c r="E29" s="43"/>
      <c r="F29" s="44"/>
      <c r="G29" s="44"/>
      <c r="H29" s="44"/>
      <c r="I29" s="45"/>
      <c r="J29" s="45"/>
      <c r="K29" s="101"/>
    </row>
    <row r="30" spans="1:11" ht="45" customHeight="1" x14ac:dyDescent="0.2">
      <c r="A30" s="18"/>
      <c r="B30" s="18"/>
      <c r="C30" s="41"/>
      <c r="D30" s="42"/>
      <c r="E30" s="43"/>
      <c r="F30" s="44"/>
      <c r="G30" s="44"/>
      <c r="H30" s="44"/>
      <c r="I30" s="45"/>
      <c r="J30" s="45"/>
      <c r="K30" s="101"/>
    </row>
    <row r="31" spans="1:11" ht="45" customHeight="1" x14ac:dyDescent="0.2">
      <c r="A31" s="18"/>
      <c r="B31" s="18"/>
      <c r="C31" s="41"/>
      <c r="D31" s="42"/>
      <c r="E31" s="43"/>
      <c r="F31" s="44"/>
      <c r="G31" s="44"/>
      <c r="H31" s="44"/>
      <c r="I31" s="45"/>
      <c r="J31" s="45"/>
      <c r="K31" s="101"/>
    </row>
    <row r="32" spans="1:11" ht="45" customHeight="1" x14ac:dyDescent="0.2">
      <c r="A32" s="18"/>
      <c r="B32" s="18"/>
      <c r="C32" s="41"/>
      <c r="D32" s="42"/>
      <c r="E32" s="43"/>
      <c r="F32" s="44"/>
      <c r="G32" s="44"/>
      <c r="H32" s="44"/>
      <c r="I32" s="45"/>
      <c r="J32" s="45"/>
      <c r="K32" s="56"/>
    </row>
    <row r="33" spans="1:11" ht="45" customHeight="1" x14ac:dyDescent="0.2">
      <c r="A33" s="18"/>
      <c r="B33" s="18"/>
      <c r="C33" s="41"/>
      <c r="D33" s="42"/>
      <c r="E33" s="43"/>
      <c r="F33" s="44"/>
      <c r="G33" s="44"/>
      <c r="H33" s="44"/>
      <c r="I33" s="45"/>
      <c r="J33" s="45"/>
      <c r="K33" s="56"/>
    </row>
    <row r="34" spans="1:11" ht="45" customHeight="1" x14ac:dyDescent="0.2">
      <c r="A34" s="18"/>
      <c r="B34" s="18"/>
      <c r="C34" s="41"/>
      <c r="D34" s="42"/>
      <c r="E34" s="43"/>
      <c r="F34" s="44"/>
      <c r="G34" s="44"/>
      <c r="H34" s="44"/>
      <c r="I34" s="45"/>
      <c r="J34" s="45"/>
      <c r="K34" s="56"/>
    </row>
    <row r="35" spans="1:11" ht="45" customHeight="1" x14ac:dyDescent="0.2">
      <c r="A35" s="18"/>
      <c r="B35" s="18"/>
      <c r="C35" s="41"/>
      <c r="D35" s="42"/>
      <c r="E35" s="43"/>
      <c r="F35" s="44"/>
      <c r="G35" s="44"/>
      <c r="H35" s="44"/>
      <c r="I35" s="45"/>
      <c r="J35" s="45"/>
      <c r="K35" s="56"/>
    </row>
    <row r="36" spans="1:11" ht="45" customHeight="1" x14ac:dyDescent="0.2">
      <c r="A36" s="18"/>
      <c r="B36" s="18"/>
      <c r="C36" s="41"/>
      <c r="D36" s="42"/>
      <c r="E36" s="43"/>
      <c r="F36" s="44"/>
      <c r="G36" s="44"/>
      <c r="H36" s="44"/>
      <c r="I36" s="45"/>
      <c r="J36" s="45"/>
      <c r="K36" s="56"/>
    </row>
    <row r="37" spans="1:11" ht="45" customHeight="1" x14ac:dyDescent="0.2">
      <c r="A37" s="18"/>
      <c r="B37" s="18"/>
      <c r="C37" s="41"/>
      <c r="D37" s="42"/>
      <c r="E37" s="43"/>
      <c r="F37" s="44"/>
      <c r="G37" s="44"/>
      <c r="H37" s="44"/>
      <c r="I37" s="45"/>
      <c r="J37" s="45"/>
      <c r="K37" s="56"/>
    </row>
    <row r="38" spans="1:11" ht="60" customHeight="1" x14ac:dyDescent="0.2">
      <c r="A38" s="18"/>
      <c r="B38" s="18"/>
      <c r="C38" s="41"/>
      <c r="D38" s="42"/>
      <c r="E38" s="43"/>
      <c r="F38" s="44"/>
      <c r="G38" s="44"/>
      <c r="H38" s="44"/>
      <c r="I38" s="45"/>
      <c r="J38" s="45"/>
      <c r="K38" s="56"/>
    </row>
    <row r="39" spans="1:11" ht="45" customHeight="1" x14ac:dyDescent="0.2">
      <c r="A39" s="18"/>
      <c r="B39" s="18"/>
      <c r="C39" s="41"/>
      <c r="D39" s="42"/>
      <c r="E39" s="43"/>
      <c r="F39" s="44"/>
      <c r="G39" s="44"/>
      <c r="H39" s="44"/>
      <c r="I39" s="45"/>
      <c r="J39" s="45"/>
      <c r="K39" s="56"/>
    </row>
    <row r="40" spans="1:11" ht="45" customHeight="1" x14ac:dyDescent="0.2">
      <c r="A40" s="18"/>
      <c r="B40" s="18"/>
      <c r="C40" s="41"/>
      <c r="D40" s="42"/>
      <c r="E40" s="43"/>
      <c r="F40" s="44"/>
      <c r="G40" s="44"/>
      <c r="H40" s="44"/>
      <c r="I40" s="45"/>
      <c r="J40" s="45"/>
      <c r="K40" s="56"/>
    </row>
    <row r="41" spans="1:11" ht="45" customHeight="1" x14ac:dyDescent="0.2">
      <c r="A41" s="18"/>
      <c r="B41" s="18"/>
      <c r="C41" s="41"/>
      <c r="D41" s="42"/>
      <c r="E41" s="43"/>
      <c r="F41" s="44"/>
      <c r="G41" s="44"/>
      <c r="H41" s="44"/>
      <c r="I41" s="45"/>
      <c r="J41" s="45"/>
      <c r="K41" s="56"/>
    </row>
    <row r="42" spans="1:11" ht="17" customHeight="1" x14ac:dyDescent="0.2">
      <c r="A42" s="21"/>
      <c r="B42" s="21"/>
      <c r="C42" s="57"/>
      <c r="D42" s="58"/>
      <c r="E42" s="58"/>
      <c r="F42" s="59"/>
      <c r="G42" s="59"/>
      <c r="H42" s="59"/>
      <c r="I42" s="60"/>
      <c r="J42" s="21"/>
    </row>
    <row r="43" spans="1:11" x14ac:dyDescent="0.2">
      <c r="A43" s="18"/>
      <c r="B43" s="18"/>
      <c r="C43" s="42"/>
      <c r="D43" s="42"/>
      <c r="E43" s="44"/>
      <c r="F43" s="44"/>
      <c r="G43" s="44"/>
      <c r="H43" s="45"/>
      <c r="I43" s="18"/>
    </row>
    <row r="44" spans="1:11" x14ac:dyDescent="0.2">
      <c r="A44" s="18" t="s">
        <v>291</v>
      </c>
      <c r="B44" s="18"/>
      <c r="C44" s="42"/>
      <c r="D44" s="42">
        <f>SUM(goyojo!D9:D43)</f>
        <v>3732365.16</v>
      </c>
      <c r="E44" s="44">
        <f>SUM(goyojo!E9:E43)</f>
        <v>311030.42999999993</v>
      </c>
      <c r="F44" s="44"/>
      <c r="G44" s="44"/>
      <c r="H44" s="45"/>
      <c r="I44" s="18"/>
    </row>
    <row r="45" spans="1:11" x14ac:dyDescent="0.2">
      <c r="A45" s="121" t="s">
        <v>329</v>
      </c>
      <c r="B45" s="117"/>
      <c r="C45" s="118"/>
      <c r="D45" s="117"/>
      <c r="E45" s="119"/>
      <c r="F45" s="119"/>
      <c r="G45" s="119"/>
      <c r="H45" s="120"/>
      <c r="I45" s="117"/>
      <c r="J45" s="117"/>
      <c r="K45" s="117"/>
    </row>
    <row r="46" spans="1:11" ht="17" customHeight="1" x14ac:dyDescent="0.2">
      <c r="A46" s="24" t="s">
        <v>29</v>
      </c>
      <c r="B46" s="25" t="s">
        <v>28</v>
      </c>
      <c r="C46" s="26" t="s">
        <v>286</v>
      </c>
      <c r="D46" s="27" t="s">
        <v>4</v>
      </c>
      <c r="E46" s="25" t="s">
        <v>3</v>
      </c>
      <c r="F46" s="29" t="s">
        <v>22</v>
      </c>
      <c r="G46" s="32" t="s">
        <v>5</v>
      </c>
      <c r="H46" s="29" t="s">
        <v>39</v>
      </c>
      <c r="I46" s="30" t="s">
        <v>327</v>
      </c>
      <c r="J46" s="30" t="s">
        <v>328</v>
      </c>
      <c r="K46" s="31" t="s">
        <v>42</v>
      </c>
    </row>
    <row r="47" spans="1:11" ht="45" customHeight="1" x14ac:dyDescent="0.2">
      <c r="A47" s="18" t="s">
        <v>54</v>
      </c>
      <c r="B47" s="18" t="s">
        <v>53</v>
      </c>
      <c r="C47" s="41">
        <v>369</v>
      </c>
      <c r="D47" s="42">
        <v>1401987.24</v>
      </c>
      <c r="E47" s="42">
        <v>116832.27</v>
      </c>
      <c r="F47" s="44">
        <v>3804</v>
      </c>
      <c r="G47" s="46">
        <v>317</v>
      </c>
      <c r="H47" s="44">
        <v>251</v>
      </c>
      <c r="I47" s="45">
        <v>4.3</v>
      </c>
      <c r="J47" s="45" t="s">
        <v>55</v>
      </c>
      <c r="K47" s="22" t="str">
        <f t="shared" ref="K47:K65" si="1">HYPERLINK(J47)</f>
        <v>https://amazon.com/dp/B0CNXP8JBV</v>
      </c>
    </row>
    <row r="48" spans="1:11" ht="45" customHeight="1" x14ac:dyDescent="0.2">
      <c r="A48" s="18" t="s">
        <v>60</v>
      </c>
      <c r="B48" s="18" t="s">
        <v>59</v>
      </c>
      <c r="C48" s="41">
        <v>404.1</v>
      </c>
      <c r="D48" s="42">
        <v>1268646</v>
      </c>
      <c r="E48" s="42">
        <v>105720.5</v>
      </c>
      <c r="F48" s="44">
        <v>3144</v>
      </c>
      <c r="G48" s="46">
        <v>262</v>
      </c>
      <c r="H48" s="44">
        <v>251</v>
      </c>
      <c r="I48" s="45">
        <v>4.3</v>
      </c>
      <c r="J48" s="45" t="s">
        <v>61</v>
      </c>
      <c r="K48" s="22" t="str">
        <f t="shared" si="1"/>
        <v>https://amazon.com/dp/B0CNXPDG7R</v>
      </c>
    </row>
    <row r="49" spans="1:11" ht="45" customHeight="1" x14ac:dyDescent="0.2">
      <c r="A49" s="18" t="s">
        <v>150</v>
      </c>
      <c r="B49" s="18" t="s">
        <v>149</v>
      </c>
      <c r="C49" s="41">
        <v>229</v>
      </c>
      <c r="D49" s="42">
        <v>174313.32</v>
      </c>
      <c r="E49" s="42">
        <v>14526.11</v>
      </c>
      <c r="F49" s="44">
        <v>756</v>
      </c>
      <c r="G49" s="46">
        <v>63</v>
      </c>
      <c r="H49" s="44">
        <v>182</v>
      </c>
      <c r="I49" s="45">
        <v>4.4000000000000004</v>
      </c>
      <c r="J49" s="45" t="s">
        <v>151</v>
      </c>
      <c r="K49" s="102" t="str">
        <f t="shared" si="1"/>
        <v>https://amazon.com/dp/B0CFH7SGZK</v>
      </c>
    </row>
    <row r="50" spans="1:11" ht="60" customHeight="1" x14ac:dyDescent="0.2">
      <c r="A50" s="18" t="s">
        <v>122</v>
      </c>
      <c r="B50" s="18" t="s">
        <v>121</v>
      </c>
      <c r="C50" s="41">
        <v>519</v>
      </c>
      <c r="D50" s="42">
        <v>287397</v>
      </c>
      <c r="E50" s="42">
        <v>23949.75</v>
      </c>
      <c r="F50" s="44">
        <v>552</v>
      </c>
      <c r="G50" s="46">
        <v>46</v>
      </c>
      <c r="H50" s="44">
        <v>181</v>
      </c>
      <c r="I50" s="45">
        <v>4.3</v>
      </c>
      <c r="J50" s="45" t="s">
        <v>123</v>
      </c>
      <c r="K50" s="22" t="str">
        <f t="shared" si="1"/>
        <v>https://amazon.com/dp/B0FNWKSKYK</v>
      </c>
    </row>
    <row r="51" spans="1:11" ht="45" customHeight="1" x14ac:dyDescent="0.2">
      <c r="A51" s="18" t="s">
        <v>232</v>
      </c>
      <c r="B51" s="18" t="s">
        <v>231</v>
      </c>
      <c r="C51" s="41">
        <v>249</v>
      </c>
      <c r="D51" s="42">
        <v>90941.040000000008</v>
      </c>
      <c r="E51" s="42">
        <v>7578.42</v>
      </c>
      <c r="F51" s="44">
        <v>360</v>
      </c>
      <c r="G51" s="46">
        <v>30</v>
      </c>
      <c r="H51" s="44">
        <v>181</v>
      </c>
      <c r="I51" s="45">
        <v>4.3</v>
      </c>
      <c r="J51" s="45" t="s">
        <v>233</v>
      </c>
      <c r="K51" s="22" t="str">
        <f t="shared" si="1"/>
        <v>https://amazon.com/dp/B0CFH6TPWQ</v>
      </c>
    </row>
    <row r="52" spans="1:11" ht="45" customHeight="1" x14ac:dyDescent="0.2">
      <c r="A52" s="18" t="s">
        <v>333</v>
      </c>
      <c r="B52" s="18" t="s">
        <v>334</v>
      </c>
      <c r="C52" s="41">
        <v>389</v>
      </c>
      <c r="D52" s="42">
        <v>82003.799999999988</v>
      </c>
      <c r="E52" s="42">
        <v>6833.65</v>
      </c>
      <c r="F52" s="44">
        <v>216</v>
      </c>
      <c r="G52" s="46">
        <v>18</v>
      </c>
      <c r="H52" s="44">
        <v>277</v>
      </c>
      <c r="I52" s="45">
        <v>4.2</v>
      </c>
      <c r="J52" s="45" t="s">
        <v>335</v>
      </c>
      <c r="K52" s="22" t="str">
        <f t="shared" si="1"/>
        <v>https://amazon.com/dp/B0CTH5MH9G</v>
      </c>
    </row>
    <row r="53" spans="1:11" ht="45" customHeight="1" x14ac:dyDescent="0.2">
      <c r="A53" s="18" t="s">
        <v>197</v>
      </c>
      <c r="B53" s="18" t="s">
        <v>196</v>
      </c>
      <c r="C53" s="41">
        <v>664.99</v>
      </c>
      <c r="D53" s="42">
        <v>121624.32000000001</v>
      </c>
      <c r="E53" s="42">
        <v>10135.36</v>
      </c>
      <c r="F53" s="44">
        <v>180</v>
      </c>
      <c r="G53" s="46">
        <v>15</v>
      </c>
      <c r="H53" s="44">
        <v>52</v>
      </c>
      <c r="I53" s="45">
        <v>4.3</v>
      </c>
      <c r="J53" s="45" t="s">
        <v>198</v>
      </c>
      <c r="K53" s="22" t="str">
        <f t="shared" si="1"/>
        <v>https://amazon.com/dp/B0D1R935KD</v>
      </c>
    </row>
    <row r="54" spans="1:11" ht="45" customHeight="1" x14ac:dyDescent="0.2">
      <c r="A54" s="18" t="s">
        <v>200</v>
      </c>
      <c r="B54" s="18" t="s">
        <v>199</v>
      </c>
      <c r="C54" s="41">
        <v>759.05</v>
      </c>
      <c r="D54" s="42">
        <v>121581.96</v>
      </c>
      <c r="E54" s="42">
        <v>10131.83</v>
      </c>
      <c r="F54" s="44">
        <v>156</v>
      </c>
      <c r="G54" s="46">
        <v>13</v>
      </c>
      <c r="H54" s="44">
        <v>51</v>
      </c>
      <c r="I54" s="45">
        <v>4.3</v>
      </c>
      <c r="J54" s="45" t="s">
        <v>201</v>
      </c>
      <c r="K54" s="22" t="str">
        <f t="shared" si="1"/>
        <v>https://amazon.com/dp/B0D1RB6PBJ</v>
      </c>
    </row>
    <row r="55" spans="1:11" ht="45" customHeight="1" x14ac:dyDescent="0.2">
      <c r="A55" s="18" t="s">
        <v>339</v>
      </c>
      <c r="B55" s="18" t="s">
        <v>340</v>
      </c>
      <c r="C55" s="41">
        <v>229</v>
      </c>
      <c r="D55" s="42">
        <v>26399.64</v>
      </c>
      <c r="E55" s="42">
        <v>2199.9699999999998</v>
      </c>
      <c r="F55" s="44">
        <v>120</v>
      </c>
      <c r="G55" s="46">
        <v>10</v>
      </c>
      <c r="H55" s="44">
        <v>277</v>
      </c>
      <c r="I55" s="45">
        <v>4.2</v>
      </c>
      <c r="J55" s="45" t="s">
        <v>341</v>
      </c>
      <c r="K55" s="22" t="str">
        <f t="shared" si="1"/>
        <v>https://amazon.com/dp/B0BZSBGQTW</v>
      </c>
    </row>
    <row r="56" spans="1:11" ht="60" customHeight="1" x14ac:dyDescent="0.2">
      <c r="A56" s="18" t="s">
        <v>330</v>
      </c>
      <c r="B56" s="18" t="s">
        <v>331</v>
      </c>
      <c r="C56" s="41">
        <v>1299</v>
      </c>
      <c r="D56" s="42">
        <v>119952.48</v>
      </c>
      <c r="E56" s="42">
        <v>9996.0400000000009</v>
      </c>
      <c r="F56" s="44">
        <v>96</v>
      </c>
      <c r="G56" s="46">
        <v>8</v>
      </c>
      <c r="H56" s="44">
        <v>181</v>
      </c>
      <c r="I56" s="45">
        <v>4.3</v>
      </c>
      <c r="J56" s="45" t="s">
        <v>332</v>
      </c>
      <c r="K56" s="102" t="str">
        <f t="shared" si="1"/>
        <v>https://amazon.com/dp/B0FNWHWHMR</v>
      </c>
    </row>
    <row r="57" spans="1:11" ht="45" customHeight="1" x14ac:dyDescent="0.2">
      <c r="A57" s="18" t="s">
        <v>345</v>
      </c>
      <c r="B57" s="18" t="s">
        <v>346</v>
      </c>
      <c r="C57" s="41">
        <v>149</v>
      </c>
      <c r="D57" s="42">
        <v>4412.6400000000003</v>
      </c>
      <c r="E57" s="42">
        <v>367.72</v>
      </c>
      <c r="F57" s="44">
        <v>36</v>
      </c>
      <c r="G57" s="46">
        <v>3</v>
      </c>
      <c r="H57" s="44">
        <v>1</v>
      </c>
      <c r="I57" s="45">
        <v>5</v>
      </c>
      <c r="J57" s="45" t="s">
        <v>347</v>
      </c>
      <c r="K57" s="102" t="str">
        <f t="shared" si="1"/>
        <v>https://amazon.com/dp/B0CW1LVB59</v>
      </c>
    </row>
    <row r="58" spans="1:11" ht="45" customHeight="1" x14ac:dyDescent="0.2">
      <c r="A58" s="18" t="s">
        <v>336</v>
      </c>
      <c r="B58" s="18" t="s">
        <v>337</v>
      </c>
      <c r="C58" s="41">
        <v>999</v>
      </c>
      <c r="D58" s="42">
        <v>27400.080000000002</v>
      </c>
      <c r="E58" s="42">
        <v>2283.34</v>
      </c>
      <c r="F58" s="44">
        <v>24</v>
      </c>
      <c r="G58" s="46">
        <v>2</v>
      </c>
      <c r="H58" s="44">
        <v>23</v>
      </c>
      <c r="I58" s="45">
        <v>3.7</v>
      </c>
      <c r="J58" s="45" t="s">
        <v>338</v>
      </c>
      <c r="K58" s="102" t="str">
        <f t="shared" si="1"/>
        <v>https://amazon.com/dp/B0CX1W3986</v>
      </c>
    </row>
    <row r="59" spans="1:11" ht="45" customHeight="1" x14ac:dyDescent="0.2">
      <c r="A59" s="18" t="s">
        <v>342</v>
      </c>
      <c r="B59" s="18" t="s">
        <v>343</v>
      </c>
      <c r="C59" s="41">
        <v>369</v>
      </c>
      <c r="D59" s="42">
        <v>5705.64</v>
      </c>
      <c r="E59" s="42">
        <v>475.47</v>
      </c>
      <c r="F59" s="44">
        <v>12</v>
      </c>
      <c r="G59" s="46">
        <v>1</v>
      </c>
      <c r="H59" s="44">
        <v>8</v>
      </c>
      <c r="I59" s="45">
        <v>4</v>
      </c>
      <c r="J59" s="45" t="s">
        <v>344</v>
      </c>
      <c r="K59" s="102" t="str">
        <f t="shared" si="1"/>
        <v>https://amazon.com/dp/B0CBV6V43B</v>
      </c>
    </row>
    <row r="60" spans="1:11" ht="45" customHeight="1" x14ac:dyDescent="0.2">
      <c r="A60" s="18" t="s">
        <v>351</v>
      </c>
      <c r="B60" s="18" t="s">
        <v>352</v>
      </c>
      <c r="C60" s="41">
        <v>529</v>
      </c>
      <c r="D60" s="42"/>
      <c r="E60" s="42"/>
      <c r="F60" s="44">
        <v>0</v>
      </c>
      <c r="G60" s="46">
        <v>0</v>
      </c>
      <c r="H60" s="44">
        <v>3</v>
      </c>
      <c r="I60" s="45">
        <v>3</v>
      </c>
      <c r="J60" s="45" t="s">
        <v>353</v>
      </c>
      <c r="K60" s="102" t="str">
        <f t="shared" si="1"/>
        <v>https://amazon.com/dp/B0CWTPMVRM</v>
      </c>
    </row>
    <row r="61" spans="1:11" ht="45" customHeight="1" x14ac:dyDescent="0.2">
      <c r="A61" s="18" t="s">
        <v>363</v>
      </c>
      <c r="B61" s="18" t="s">
        <v>364</v>
      </c>
      <c r="C61" s="41">
        <v>928</v>
      </c>
      <c r="D61" s="42"/>
      <c r="E61" s="42"/>
      <c r="F61" s="44">
        <v>0</v>
      </c>
      <c r="G61" s="46">
        <v>0</v>
      </c>
      <c r="H61" s="44"/>
      <c r="I61" s="45"/>
      <c r="J61" s="45" t="s">
        <v>365</v>
      </c>
      <c r="K61" s="102" t="str">
        <f t="shared" si="1"/>
        <v>https://amazon.com/dp/B0CFVKXSS9</v>
      </c>
    </row>
    <row r="62" spans="1:11" ht="45" customHeight="1" x14ac:dyDescent="0.2">
      <c r="A62" s="18" t="s">
        <v>360</v>
      </c>
      <c r="B62" s="18" t="s">
        <v>361</v>
      </c>
      <c r="C62" s="41">
        <v>2130</v>
      </c>
      <c r="D62" s="42"/>
      <c r="E62" s="42"/>
      <c r="F62" s="44">
        <v>0</v>
      </c>
      <c r="G62" s="46">
        <v>0</v>
      </c>
      <c r="H62" s="44"/>
      <c r="I62" s="45"/>
      <c r="J62" s="45" t="s">
        <v>362</v>
      </c>
      <c r="K62" s="102" t="str">
        <f t="shared" si="1"/>
        <v>https://amazon.com/dp/B0BV6J7TZZ</v>
      </c>
    </row>
    <row r="63" spans="1:11" ht="45" customHeight="1" x14ac:dyDescent="0.2">
      <c r="A63" s="18" t="s">
        <v>357</v>
      </c>
      <c r="B63" s="18" t="s">
        <v>358</v>
      </c>
      <c r="C63" s="41">
        <v>399</v>
      </c>
      <c r="D63" s="42"/>
      <c r="E63" s="42"/>
      <c r="F63" s="44">
        <v>0</v>
      </c>
      <c r="G63" s="46">
        <v>0</v>
      </c>
      <c r="H63" s="44"/>
      <c r="I63" s="45"/>
      <c r="J63" s="45" t="s">
        <v>359</v>
      </c>
      <c r="K63" s="102" t="str">
        <f t="shared" si="1"/>
        <v>https://amazon.com/dp/B0CP3C49VZ</v>
      </c>
    </row>
    <row r="64" spans="1:11" ht="45" customHeight="1" x14ac:dyDescent="0.2">
      <c r="A64" s="18" t="s">
        <v>354</v>
      </c>
      <c r="B64" s="18" t="s">
        <v>355</v>
      </c>
      <c r="C64" s="41">
        <v>598</v>
      </c>
      <c r="D64" s="42"/>
      <c r="E64" s="42"/>
      <c r="F64" s="44">
        <v>0</v>
      </c>
      <c r="G64" s="46">
        <v>0</v>
      </c>
      <c r="H64" s="44">
        <v>3</v>
      </c>
      <c r="I64" s="45">
        <v>2.8</v>
      </c>
      <c r="J64" s="45" t="s">
        <v>356</v>
      </c>
      <c r="K64" s="102" t="str">
        <f t="shared" si="1"/>
        <v>https://amazon.com/dp/B0CFV2H85F</v>
      </c>
    </row>
    <row r="65" spans="1:11" ht="45" customHeight="1" x14ac:dyDescent="0.2">
      <c r="A65" s="18" t="s">
        <v>348</v>
      </c>
      <c r="B65" s="18" t="s">
        <v>349</v>
      </c>
      <c r="C65" s="41">
        <v>1199</v>
      </c>
      <c r="D65" s="42"/>
      <c r="E65" s="42"/>
      <c r="F65" s="44">
        <v>0</v>
      </c>
      <c r="G65" s="46">
        <v>0</v>
      </c>
      <c r="H65" s="44">
        <v>5</v>
      </c>
      <c r="I65" s="45">
        <v>3.3</v>
      </c>
      <c r="J65" s="45" t="s">
        <v>350</v>
      </c>
      <c r="K65" s="102" t="str">
        <f t="shared" si="1"/>
        <v>https://amazon.com/dp/B0CX3YQQQ5</v>
      </c>
    </row>
    <row r="66" spans="1:11" ht="45" customHeight="1" x14ac:dyDescent="0.2">
      <c r="A66" s="18"/>
      <c r="B66" s="18"/>
      <c r="C66" s="41"/>
      <c r="D66" s="42"/>
      <c r="E66" s="42"/>
      <c r="F66" s="44"/>
      <c r="G66" s="46"/>
      <c r="H66" s="44"/>
      <c r="I66" s="45"/>
      <c r="J66" s="45"/>
      <c r="K66" s="102"/>
    </row>
    <row r="67" spans="1:11" ht="45" customHeight="1" x14ac:dyDescent="0.2">
      <c r="A67" s="18"/>
      <c r="B67" s="18"/>
      <c r="C67" s="41"/>
      <c r="D67" s="42"/>
      <c r="E67" s="42"/>
      <c r="F67" s="44"/>
      <c r="G67" s="46"/>
      <c r="H67" s="44"/>
      <c r="I67" s="45"/>
      <c r="J67" s="45"/>
      <c r="K67" s="102"/>
    </row>
    <row r="68" spans="1:11" ht="45" customHeight="1" x14ac:dyDescent="0.2">
      <c r="A68" s="18"/>
      <c r="B68" s="18"/>
      <c r="C68" s="41"/>
      <c r="D68" s="42"/>
      <c r="E68" s="42"/>
      <c r="F68" s="44"/>
      <c r="G68" s="46"/>
      <c r="H68" s="44"/>
      <c r="I68" s="45"/>
      <c r="J68" s="45"/>
      <c r="K68" s="102"/>
    </row>
    <row r="69" spans="1:11" ht="45" customHeight="1" x14ac:dyDescent="0.2">
      <c r="A69" s="18"/>
      <c r="B69" s="18"/>
      <c r="C69" s="41"/>
      <c r="D69" s="42"/>
      <c r="E69" s="42"/>
      <c r="F69" s="44"/>
      <c r="G69" s="46"/>
      <c r="H69" s="44"/>
      <c r="I69" s="45"/>
      <c r="J69" s="45"/>
      <c r="K69" s="102"/>
    </row>
    <row r="70" spans="1:11" ht="45" customHeight="1" x14ac:dyDescent="0.2">
      <c r="A70" s="18"/>
      <c r="B70" s="18"/>
      <c r="C70" s="41"/>
      <c r="D70" s="42"/>
      <c r="E70" s="42"/>
      <c r="F70" s="44"/>
      <c r="G70" s="46"/>
      <c r="H70" s="44"/>
      <c r="I70" s="45"/>
      <c r="J70" s="45"/>
      <c r="K70" s="102"/>
    </row>
    <row r="71" spans="1:11" ht="45" customHeight="1" x14ac:dyDescent="0.2">
      <c r="A71" s="18"/>
      <c r="B71" s="18"/>
      <c r="C71" s="41"/>
      <c r="D71" s="42"/>
      <c r="E71" s="42"/>
      <c r="F71" s="44"/>
      <c r="G71" s="46"/>
      <c r="H71" s="44"/>
      <c r="I71" s="45"/>
      <c r="J71" s="45"/>
      <c r="K71" s="102"/>
    </row>
    <row r="72" spans="1:11" ht="45" customHeight="1" x14ac:dyDescent="0.2">
      <c r="A72" s="18"/>
      <c r="B72" s="18"/>
      <c r="C72" s="41"/>
      <c r="D72" s="42"/>
      <c r="E72" s="42"/>
      <c r="F72" s="44"/>
      <c r="G72" s="46"/>
      <c r="H72" s="44"/>
      <c r="I72" s="45"/>
      <c r="J72" s="45"/>
      <c r="K72" s="102"/>
    </row>
    <row r="73" spans="1:11" ht="45" customHeight="1" x14ac:dyDescent="0.2">
      <c r="A73" s="18"/>
      <c r="B73" s="18"/>
      <c r="C73" s="41"/>
      <c r="D73" s="42"/>
      <c r="E73" s="42"/>
      <c r="F73" s="44"/>
      <c r="G73" s="46"/>
      <c r="H73" s="44"/>
      <c r="I73" s="45"/>
      <c r="J73" s="45"/>
      <c r="K73" s="102"/>
    </row>
    <row r="74" spans="1:11" ht="60" customHeight="1" x14ac:dyDescent="0.2">
      <c r="A74" s="18"/>
      <c r="B74" s="18"/>
      <c r="C74" s="41"/>
      <c r="D74" s="42"/>
      <c r="E74" s="42"/>
      <c r="F74" s="44"/>
      <c r="G74" s="46"/>
      <c r="H74" s="44"/>
      <c r="I74" s="45"/>
      <c r="J74" s="45"/>
      <c r="K74" s="102"/>
    </row>
    <row r="75" spans="1:11" ht="45" customHeight="1" x14ac:dyDescent="0.2">
      <c r="A75" s="18"/>
      <c r="B75" s="18"/>
      <c r="C75" s="41"/>
      <c r="D75" s="42"/>
      <c r="E75" s="42"/>
      <c r="F75" s="44"/>
      <c r="G75" s="46"/>
      <c r="H75" s="44"/>
      <c r="I75" s="45"/>
      <c r="J75" s="45"/>
      <c r="K75" s="102"/>
    </row>
    <row r="76" spans="1:11" ht="45" customHeight="1" x14ac:dyDescent="0.2">
      <c r="A76" s="18"/>
      <c r="B76" s="18"/>
      <c r="C76" s="41"/>
      <c r="D76" s="42"/>
      <c r="E76" s="42"/>
      <c r="F76" s="44"/>
      <c r="G76" s="46"/>
      <c r="H76" s="44"/>
      <c r="I76" s="45"/>
      <c r="J76" s="45"/>
      <c r="K76" s="102"/>
    </row>
    <row r="77" spans="1:11" ht="45" customHeight="1" x14ac:dyDescent="0.2">
      <c r="A77" s="18"/>
      <c r="B77" s="18"/>
      <c r="C77" s="41"/>
      <c r="D77" s="42"/>
      <c r="E77" s="42"/>
      <c r="F77" s="44"/>
      <c r="G77" s="46"/>
      <c r="H77" s="44"/>
      <c r="I77" s="45"/>
      <c r="J77" s="45"/>
      <c r="K77" s="22"/>
    </row>
    <row r="78" spans="1:11" ht="45" customHeight="1" x14ac:dyDescent="0.2">
      <c r="A78" s="18"/>
      <c r="B78" s="18"/>
      <c r="C78" s="41"/>
      <c r="D78" s="42"/>
      <c r="E78" s="42"/>
      <c r="F78" s="44"/>
      <c r="G78" s="46"/>
      <c r="H78" s="44"/>
      <c r="I78" s="45"/>
      <c r="J78" s="45"/>
      <c r="K78" s="22"/>
    </row>
    <row r="79" spans="1:11" ht="45" customHeight="1" x14ac:dyDescent="0.2">
      <c r="A79" s="18"/>
      <c r="B79" s="18"/>
      <c r="C79" s="41"/>
      <c r="D79" s="42"/>
      <c r="E79" s="42"/>
      <c r="F79" s="44"/>
      <c r="G79" s="46"/>
      <c r="H79" s="44"/>
      <c r="I79" s="45"/>
      <c r="J79" s="45"/>
      <c r="K79" s="22"/>
    </row>
    <row r="80" spans="1:11" ht="17" customHeight="1" x14ac:dyDescent="0.2">
      <c r="A80" s="21" t="s">
        <v>291</v>
      </c>
      <c r="B80" s="21"/>
      <c r="C80" s="58"/>
      <c r="D80" s="58"/>
      <c r="E80" s="58"/>
      <c r="F80" s="59">
        <f>SUM(goyojo!F47:F79)</f>
        <v>9456</v>
      </c>
      <c r="G80" s="59">
        <f>SUM(goyojo!G47:G79)</f>
        <v>788</v>
      </c>
      <c r="H80" s="59"/>
      <c r="I80" s="60"/>
      <c r="J80" s="21"/>
    </row>
  </sheetData>
  <mergeCells count="3">
    <mergeCell ref="A45:K45"/>
    <mergeCell ref="A7:K7"/>
    <mergeCell ref="A1:K5"/>
  </mergeCells>
  <hyperlinks>
    <hyperlink ref="K47" r:id="rId1" display="https://amazon.com/dp/B07S7H86Z1" xr:uid="{00000000-0004-0000-0900-000000000000}"/>
    <hyperlink ref="K48" r:id="rId2" display="https://amazon.com/dp/B07S7H86Z1" xr:uid="{00000000-0004-0000-0900-000001000000}"/>
  </hyperlinks>
  <pageMargins left="0.7" right="0.7" top="0.75" bottom="0.75" header="0.3" footer="0.3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"/>
  <sheetViews>
    <sheetView workbookViewId="0">
      <selection activeCell="L10" sqref="L10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3" style="19" bestFit="1" customWidth="1"/>
    <col min="10" max="10" width="28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16" t="e">
        <v>#VALUE!</v>
      </c>
      <c r="B1" s="117"/>
      <c r="C1" s="118"/>
      <c r="D1" s="117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7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7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7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8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109</v>
      </c>
      <c r="B9" s="18" t="s">
        <v>108</v>
      </c>
      <c r="C9" s="41">
        <v>549.99</v>
      </c>
      <c r="D9" s="42">
        <v>303171.12</v>
      </c>
      <c r="E9" s="43">
        <v>25264.26</v>
      </c>
      <c r="F9" s="44">
        <v>612</v>
      </c>
      <c r="G9" s="44">
        <v>51</v>
      </c>
      <c r="H9" s="44">
        <v>846</v>
      </c>
      <c r="I9" s="45">
        <v>4.3</v>
      </c>
      <c r="J9" s="45" t="s">
        <v>110</v>
      </c>
      <c r="K9" s="56" t="str">
        <f t="shared" ref="K9:K16" si="0">HYPERLINK(J9)</f>
        <v>https://amazon.com/dp/B0988TDVTW</v>
      </c>
    </row>
    <row r="10" spans="1:11" ht="45" customHeight="1" x14ac:dyDescent="0.2">
      <c r="A10" s="18" t="s">
        <v>116</v>
      </c>
      <c r="B10" s="18" t="s">
        <v>115</v>
      </c>
      <c r="C10" s="41">
        <v>2609</v>
      </c>
      <c r="D10" s="42">
        <v>292575.35999999999</v>
      </c>
      <c r="E10" s="43">
        <v>24381.279999999999</v>
      </c>
      <c r="F10" s="44">
        <v>108</v>
      </c>
      <c r="G10" s="44">
        <v>9</v>
      </c>
      <c r="H10" s="44">
        <v>36</v>
      </c>
      <c r="I10" s="45">
        <v>4.5999999999999996</v>
      </c>
      <c r="J10" s="45" t="s">
        <v>117</v>
      </c>
      <c r="K10" s="101" t="str">
        <f t="shared" si="0"/>
        <v>https://amazon.com/dp/B07YCXCTCP</v>
      </c>
    </row>
    <row r="11" spans="1:11" ht="45" customHeight="1" x14ac:dyDescent="0.2">
      <c r="A11" s="18" t="s">
        <v>125</v>
      </c>
      <c r="B11" s="18" t="s">
        <v>124</v>
      </c>
      <c r="C11" s="41">
        <v>700</v>
      </c>
      <c r="D11" s="42">
        <v>267027.84000000003</v>
      </c>
      <c r="E11" s="43">
        <v>22252.32</v>
      </c>
      <c r="F11" s="44">
        <v>432</v>
      </c>
      <c r="G11" s="44">
        <v>36</v>
      </c>
      <c r="H11" s="44">
        <v>846</v>
      </c>
      <c r="I11" s="45">
        <v>4.3</v>
      </c>
      <c r="J11" s="45" t="s">
        <v>126</v>
      </c>
      <c r="K11" s="101" t="str">
        <f t="shared" si="0"/>
        <v>https://amazon.com/dp/B09897SNLP</v>
      </c>
    </row>
    <row r="12" spans="1:11" ht="45" customHeight="1" x14ac:dyDescent="0.2">
      <c r="A12" s="18" t="s">
        <v>170</v>
      </c>
      <c r="B12" s="18" t="s">
        <v>169</v>
      </c>
      <c r="C12" s="41">
        <v>1599</v>
      </c>
      <c r="D12" s="42">
        <v>149131.44</v>
      </c>
      <c r="E12" s="43">
        <v>12427.62</v>
      </c>
      <c r="F12" s="44">
        <v>96</v>
      </c>
      <c r="G12" s="44">
        <v>8</v>
      </c>
      <c r="H12" s="44">
        <v>28</v>
      </c>
      <c r="I12" s="45">
        <v>4.4000000000000004</v>
      </c>
      <c r="J12" s="45" t="s">
        <v>171</v>
      </c>
      <c r="K12" s="101" t="str">
        <f t="shared" si="0"/>
        <v>https://amazon.com/dp/B09LWY7717</v>
      </c>
    </row>
    <row r="13" spans="1:11" ht="45" customHeight="1" x14ac:dyDescent="0.2">
      <c r="A13" s="18" t="s">
        <v>185</v>
      </c>
      <c r="B13" s="18" t="s">
        <v>184</v>
      </c>
      <c r="C13" s="41">
        <v>1595</v>
      </c>
      <c r="D13" s="42">
        <v>131300.51999999999</v>
      </c>
      <c r="E13" s="43">
        <v>10941.71</v>
      </c>
      <c r="F13" s="44">
        <v>84</v>
      </c>
      <c r="G13" s="44">
        <v>7</v>
      </c>
      <c r="H13" s="44">
        <v>2</v>
      </c>
      <c r="I13" s="45">
        <v>5</v>
      </c>
      <c r="J13" s="45" t="s">
        <v>186</v>
      </c>
      <c r="K13" s="101" t="str">
        <f t="shared" si="0"/>
        <v>https://amazon.com/dp/B0C4TCBPHX</v>
      </c>
    </row>
    <row r="14" spans="1:11" ht="30" customHeight="1" x14ac:dyDescent="0.2">
      <c r="A14" s="18" t="s">
        <v>191</v>
      </c>
      <c r="B14" s="18" t="s">
        <v>190</v>
      </c>
      <c r="C14" s="41">
        <v>4837.75</v>
      </c>
      <c r="D14" s="42">
        <v>126685.92</v>
      </c>
      <c r="E14" s="43">
        <v>10557.16</v>
      </c>
      <c r="F14" s="44">
        <v>24</v>
      </c>
      <c r="G14" s="44">
        <v>2</v>
      </c>
      <c r="H14" s="44"/>
      <c r="I14" s="45"/>
      <c r="J14" s="45" t="s">
        <v>192</v>
      </c>
      <c r="K14" s="101" t="str">
        <f t="shared" si="0"/>
        <v>https://amazon.com/dp/B0B8M93WR8</v>
      </c>
    </row>
    <row r="15" spans="1:11" ht="17" customHeight="1" x14ac:dyDescent="0.2">
      <c r="A15" s="21" t="s">
        <v>366</v>
      </c>
      <c r="B15" s="21" t="s">
        <v>367</v>
      </c>
      <c r="C15" s="57">
        <v>1818.04</v>
      </c>
      <c r="D15" s="106">
        <v>114649.68</v>
      </c>
      <c r="E15" s="106">
        <v>9554.14</v>
      </c>
      <c r="F15" s="59">
        <v>60</v>
      </c>
      <c r="G15" s="59">
        <v>5</v>
      </c>
      <c r="H15" s="59">
        <v>4</v>
      </c>
      <c r="I15" s="60">
        <v>5</v>
      </c>
      <c r="J15" s="21" t="s">
        <v>368</v>
      </c>
      <c r="K15" t="str">
        <f t="shared" si="0"/>
        <v>https://amazon.com/dp/B0DKTRC16M</v>
      </c>
    </row>
    <row r="16" spans="1:11" ht="45" x14ac:dyDescent="0.2">
      <c r="A16" s="18" t="s">
        <v>369</v>
      </c>
      <c r="B16" s="18" t="s">
        <v>370</v>
      </c>
      <c r="C16" s="42">
        <v>1933.72</v>
      </c>
      <c r="D16" s="42">
        <v>90974.16</v>
      </c>
      <c r="E16" s="44">
        <v>7581.18</v>
      </c>
      <c r="F16" s="44">
        <v>48</v>
      </c>
      <c r="G16" s="44">
        <v>4</v>
      </c>
      <c r="H16" s="45">
        <v>28</v>
      </c>
      <c r="I16" s="18">
        <v>4.4000000000000004</v>
      </c>
      <c r="J16" t="s">
        <v>371</v>
      </c>
      <c r="K16" t="str">
        <f t="shared" si="0"/>
        <v>https://amazon.com/dp/B09LX2LTD4</v>
      </c>
    </row>
    <row r="17" spans="1:11" x14ac:dyDescent="0.2">
      <c r="A17" s="18" t="s">
        <v>291</v>
      </c>
      <c r="B17" s="18"/>
      <c r="C17" s="42"/>
      <c r="D17" s="42">
        <f>SUM('agm global vision'!D9:D16)</f>
        <v>1475516.0399999998</v>
      </c>
      <c r="E17" s="44">
        <f>SUM('agm global vision'!E9:E16)</f>
        <v>122959.66999999998</v>
      </c>
      <c r="F17" s="44"/>
      <c r="G17" s="44"/>
      <c r="H17" s="45"/>
      <c r="I17" s="18"/>
    </row>
    <row r="18" spans="1:11" x14ac:dyDescent="0.2">
      <c r="A18" s="121" t="s">
        <v>329</v>
      </c>
      <c r="B18" s="117"/>
      <c r="C18" s="118"/>
      <c r="D18" s="117"/>
      <c r="E18" s="119"/>
      <c r="F18" s="119"/>
      <c r="G18" s="119"/>
      <c r="H18" s="120"/>
      <c r="I18" s="117"/>
      <c r="J18" s="117"/>
      <c r="K18" s="117"/>
    </row>
    <row r="19" spans="1:11" ht="17" customHeight="1" x14ac:dyDescent="0.2">
      <c r="A19" s="24" t="s">
        <v>29</v>
      </c>
      <c r="B19" s="25" t="s">
        <v>28</v>
      </c>
      <c r="C19" s="26" t="s">
        <v>286</v>
      </c>
      <c r="D19" s="27" t="s">
        <v>4</v>
      </c>
      <c r="E19" s="25" t="s">
        <v>3</v>
      </c>
      <c r="F19" s="29" t="s">
        <v>22</v>
      </c>
      <c r="G19" s="32" t="s">
        <v>5</v>
      </c>
      <c r="H19" s="29" t="s">
        <v>39</v>
      </c>
      <c r="I19" s="30" t="s">
        <v>327</v>
      </c>
      <c r="J19" s="30" t="s">
        <v>328</v>
      </c>
      <c r="K19" s="31" t="s">
        <v>42</v>
      </c>
    </row>
    <row r="20" spans="1:11" ht="45" customHeight="1" x14ac:dyDescent="0.2">
      <c r="A20" s="18" t="s">
        <v>109</v>
      </c>
      <c r="B20" s="18" t="s">
        <v>108</v>
      </c>
      <c r="C20" s="41">
        <v>549.99</v>
      </c>
      <c r="D20" s="42">
        <v>303171.12</v>
      </c>
      <c r="E20" s="42">
        <v>25264.26</v>
      </c>
      <c r="F20" s="44">
        <v>612</v>
      </c>
      <c r="G20" s="46">
        <v>51</v>
      </c>
      <c r="H20" s="44">
        <v>846</v>
      </c>
      <c r="I20" s="45">
        <v>4.3</v>
      </c>
      <c r="J20" s="45" t="s">
        <v>110</v>
      </c>
      <c r="K20" s="22" t="str">
        <f t="shared" ref="K20:K25" si="1">HYPERLINK(J20)</f>
        <v>https://amazon.com/dp/B0988TDVTW</v>
      </c>
    </row>
    <row r="21" spans="1:11" ht="45" customHeight="1" x14ac:dyDescent="0.2">
      <c r="A21" s="18" t="s">
        <v>125</v>
      </c>
      <c r="B21" s="18" t="s">
        <v>124</v>
      </c>
      <c r="C21" s="41">
        <v>700</v>
      </c>
      <c r="D21" s="42">
        <v>267027.84000000003</v>
      </c>
      <c r="E21" s="42">
        <v>22252.32</v>
      </c>
      <c r="F21" s="44">
        <v>432</v>
      </c>
      <c r="G21" s="46">
        <v>36</v>
      </c>
      <c r="H21" s="44">
        <v>846</v>
      </c>
      <c r="I21" s="45">
        <v>4.3</v>
      </c>
      <c r="J21" s="45" t="s">
        <v>126</v>
      </c>
      <c r="K21" s="22" t="str">
        <f t="shared" si="1"/>
        <v>https://amazon.com/dp/B09897SNLP</v>
      </c>
    </row>
    <row r="22" spans="1:11" ht="45" customHeight="1" x14ac:dyDescent="0.2">
      <c r="A22" s="18" t="s">
        <v>116</v>
      </c>
      <c r="B22" s="18" t="s">
        <v>115</v>
      </c>
      <c r="C22" s="41">
        <v>2609</v>
      </c>
      <c r="D22" s="42">
        <v>292575.35999999999</v>
      </c>
      <c r="E22" s="42">
        <v>24381.279999999999</v>
      </c>
      <c r="F22" s="44">
        <v>108</v>
      </c>
      <c r="G22" s="46">
        <v>9</v>
      </c>
      <c r="H22" s="44">
        <v>36</v>
      </c>
      <c r="I22" s="45">
        <v>4.5999999999999996</v>
      </c>
      <c r="J22" s="45" t="s">
        <v>117</v>
      </c>
      <c r="K22" s="22" t="str">
        <f t="shared" si="1"/>
        <v>https://amazon.com/dp/B07YCXCTCP</v>
      </c>
    </row>
    <row r="23" spans="1:11" ht="45" customHeight="1" x14ac:dyDescent="0.2">
      <c r="A23" s="18" t="s">
        <v>170</v>
      </c>
      <c r="B23" s="18" t="s">
        <v>169</v>
      </c>
      <c r="C23" s="41">
        <v>1599</v>
      </c>
      <c r="D23" s="42">
        <v>149131.44</v>
      </c>
      <c r="E23" s="42">
        <v>12427.62</v>
      </c>
      <c r="F23" s="44">
        <v>96</v>
      </c>
      <c r="G23" s="46">
        <v>8</v>
      </c>
      <c r="H23" s="44">
        <v>28</v>
      </c>
      <c r="I23" s="45">
        <v>4.4000000000000004</v>
      </c>
      <c r="J23" s="45" t="s">
        <v>171</v>
      </c>
      <c r="K23" s="22" t="str">
        <f t="shared" si="1"/>
        <v>https://amazon.com/dp/B09LWY7717</v>
      </c>
    </row>
    <row r="24" spans="1:11" ht="45" customHeight="1" x14ac:dyDescent="0.2">
      <c r="A24" s="18" t="s">
        <v>372</v>
      </c>
      <c r="B24" s="18" t="s">
        <v>373</v>
      </c>
      <c r="C24" s="41">
        <v>500</v>
      </c>
      <c r="D24" s="42">
        <v>46857</v>
      </c>
      <c r="E24" s="42">
        <v>3904.75</v>
      </c>
      <c r="F24" s="44">
        <v>84</v>
      </c>
      <c r="G24" s="46">
        <v>7</v>
      </c>
      <c r="H24" s="44">
        <v>3</v>
      </c>
      <c r="I24" s="45">
        <v>3.9</v>
      </c>
      <c r="J24" s="45" t="s">
        <v>374</v>
      </c>
      <c r="K24" s="22" t="str">
        <f t="shared" si="1"/>
        <v>https://amazon.com/dp/B0CLPCMW88</v>
      </c>
    </row>
    <row r="25" spans="1:11" ht="30" customHeight="1" x14ac:dyDescent="0.2">
      <c r="A25" s="18" t="s">
        <v>185</v>
      </c>
      <c r="B25" s="18" t="s">
        <v>184</v>
      </c>
      <c r="C25" s="41">
        <v>1595</v>
      </c>
      <c r="D25" s="42">
        <v>131300.51999999999</v>
      </c>
      <c r="E25" s="42">
        <v>10941.71</v>
      </c>
      <c r="F25" s="44">
        <v>84</v>
      </c>
      <c r="G25" s="46">
        <v>7</v>
      </c>
      <c r="H25" s="44">
        <v>2</v>
      </c>
      <c r="I25" s="45">
        <v>5</v>
      </c>
      <c r="J25" s="45" t="s">
        <v>186</v>
      </c>
      <c r="K25" s="22" t="str">
        <f t="shared" si="1"/>
        <v>https://amazon.com/dp/B0C4TCBPHX</v>
      </c>
    </row>
    <row r="26" spans="1:11" ht="17" customHeight="1" x14ac:dyDescent="0.2">
      <c r="A26" s="21" t="s">
        <v>291</v>
      </c>
      <c r="B26" s="21"/>
      <c r="C26" s="58"/>
      <c r="D26" s="58"/>
      <c r="E26" s="58"/>
      <c r="F26" s="59">
        <f>SUM('agm global vision'!F20:F25)</f>
        <v>1416</v>
      </c>
      <c r="G26" s="59">
        <f>SUM('agm global vision'!G20:G25)</f>
        <v>118</v>
      </c>
      <c r="H26" s="59"/>
      <c r="I26" s="60"/>
      <c r="J26" s="21"/>
    </row>
  </sheetData>
  <mergeCells count="3">
    <mergeCell ref="A1:K5"/>
    <mergeCell ref="A7:K7"/>
    <mergeCell ref="A18:K18"/>
  </mergeCells>
  <hyperlinks>
    <hyperlink ref="K20" r:id="rId1" display="https://amazon.com/dp/B07S7H86Z1" xr:uid="{00000000-0004-0000-0A00-000000000000}"/>
    <hyperlink ref="K24" r:id="rId2" display="https://amazon.com/dp/B07S7H86Z1" xr:uid="{00000000-0004-0000-0A00-000001000000}"/>
  </hyperlinks>
  <pageMargins left="0.7" right="0.7" top="0.75" bottom="0.75" header="0.3" footer="0.3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workbookViewId="0">
      <selection activeCell="L11" sqref="L11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664062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22" t="e">
        <v>#VALUE!</v>
      </c>
      <c r="B1" s="117"/>
      <c r="C1" s="118"/>
      <c r="D1" s="118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8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8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8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8"/>
      <c r="E5" s="119"/>
      <c r="F5" s="119"/>
      <c r="G5" s="119"/>
      <c r="H5" s="120"/>
      <c r="I5" s="117"/>
      <c r="J5" s="117"/>
      <c r="K5" s="117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1" t="s">
        <v>375</v>
      </c>
      <c r="B7" s="117"/>
      <c r="C7" s="118"/>
      <c r="D7" s="118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63</v>
      </c>
      <c r="B9" s="18" t="s">
        <v>62</v>
      </c>
      <c r="C9" s="41">
        <v>89.99</v>
      </c>
      <c r="D9" s="42">
        <v>903837.48</v>
      </c>
      <c r="E9" s="43">
        <v>75319.789999999994</v>
      </c>
      <c r="F9" s="44">
        <v>9708</v>
      </c>
      <c r="G9" s="44">
        <v>809</v>
      </c>
      <c r="H9" s="44">
        <v>242</v>
      </c>
      <c r="I9" s="45">
        <v>4.4000000000000004</v>
      </c>
      <c r="J9" s="45" t="s">
        <v>64</v>
      </c>
      <c r="K9" s="56" t="str">
        <f>HYPERLINK(J9)</f>
        <v>https://amazon.com/dp/B0F5WCSL4H</v>
      </c>
    </row>
    <row r="10" spans="1:11" ht="45" customHeight="1" x14ac:dyDescent="0.2">
      <c r="A10" s="18" t="s">
        <v>97</v>
      </c>
      <c r="B10" s="18" t="s">
        <v>96</v>
      </c>
      <c r="C10" s="41">
        <v>139.99</v>
      </c>
      <c r="D10" s="42">
        <v>395158.2</v>
      </c>
      <c r="E10" s="43">
        <v>32929.85</v>
      </c>
      <c r="F10" s="44">
        <v>2448</v>
      </c>
      <c r="G10" s="44">
        <v>204</v>
      </c>
      <c r="H10" s="44">
        <v>285</v>
      </c>
      <c r="I10" s="45">
        <v>4.4000000000000004</v>
      </c>
      <c r="J10" s="45" t="s">
        <v>98</v>
      </c>
      <c r="K10" s="56" t="str">
        <f>HYPERLINK(J10)</f>
        <v>https://amazon.com/dp/B0FRGFKHHG</v>
      </c>
    </row>
    <row r="11" spans="1:11" ht="45" customHeight="1" x14ac:dyDescent="0.2">
      <c r="A11" s="18" t="s">
        <v>144</v>
      </c>
      <c r="B11" s="18" t="s">
        <v>143</v>
      </c>
      <c r="C11" s="41">
        <v>59.99</v>
      </c>
      <c r="D11" s="42">
        <v>195517.92</v>
      </c>
      <c r="E11" s="43">
        <v>16293.16</v>
      </c>
      <c r="F11" s="44">
        <v>3036</v>
      </c>
      <c r="G11" s="44">
        <v>253</v>
      </c>
      <c r="H11" s="44">
        <v>285</v>
      </c>
      <c r="I11" s="45">
        <v>4.4000000000000004</v>
      </c>
      <c r="J11" s="45" t="s">
        <v>145</v>
      </c>
      <c r="K11" s="56" t="str">
        <f>HYPERLINK(J11)</f>
        <v>https://amazon.com/dp/B0FJM2TBJZ</v>
      </c>
    </row>
    <row r="12" spans="1:11" ht="45" customHeight="1" x14ac:dyDescent="0.2">
      <c r="A12" s="18"/>
      <c r="B12" s="18"/>
      <c r="C12" s="41"/>
      <c r="D12" s="42"/>
      <c r="E12" s="43"/>
      <c r="F12" s="44"/>
      <c r="G12" s="44"/>
      <c r="H12" s="44"/>
      <c r="I12" s="45"/>
      <c r="J12" s="45"/>
      <c r="K12" s="56"/>
    </row>
    <row r="13" spans="1:11" ht="45" customHeight="1" x14ac:dyDescent="0.2">
      <c r="A13" s="18"/>
      <c r="B13" s="18"/>
      <c r="C13" s="41"/>
      <c r="D13" s="42"/>
      <c r="E13" s="43"/>
      <c r="F13" s="44"/>
      <c r="G13" s="44"/>
      <c r="H13" s="44"/>
      <c r="I13" s="45"/>
      <c r="J13" s="45"/>
      <c r="K13" s="56"/>
    </row>
    <row r="14" spans="1:11" ht="45" customHeight="1" x14ac:dyDescent="0.2">
      <c r="A14" s="18"/>
      <c r="B14" s="18"/>
      <c r="C14" s="41"/>
      <c r="D14" s="42"/>
      <c r="E14" s="43"/>
      <c r="F14" s="44"/>
      <c r="G14" s="44"/>
      <c r="H14" s="44"/>
      <c r="I14" s="45"/>
      <c r="J14" s="45"/>
      <c r="K14" s="56"/>
    </row>
    <row r="15" spans="1:11" ht="17" customHeight="1" x14ac:dyDescent="0.2">
      <c r="A15" s="21"/>
      <c r="B15" s="21"/>
      <c r="C15" s="57"/>
      <c r="D15" s="58"/>
      <c r="E15" s="58"/>
      <c r="F15" s="59"/>
      <c r="G15" s="59"/>
      <c r="H15" s="59"/>
      <c r="I15" s="60"/>
      <c r="J15" s="21"/>
      <c r="K15" s="20"/>
    </row>
    <row r="17" spans="1:11" x14ac:dyDescent="0.2">
      <c r="A17" t="s">
        <v>291</v>
      </c>
      <c r="D17">
        <f>SUM(hotpeak!D9:D16)</f>
        <v>1494513.5999999999</v>
      </c>
      <c r="E17">
        <f>SUM(hotpeak!E9:E16)</f>
        <v>124542.79999999999</v>
      </c>
    </row>
    <row r="18" spans="1:11" x14ac:dyDescent="0.2">
      <c r="A18" s="121" t="s">
        <v>329</v>
      </c>
      <c r="B18" s="117"/>
      <c r="C18" s="118"/>
      <c r="D18" s="118"/>
      <c r="E18" s="119"/>
      <c r="F18" s="119"/>
      <c r="G18" s="119"/>
      <c r="H18" s="120"/>
      <c r="I18" s="117"/>
      <c r="J18" s="117"/>
      <c r="K18" s="117"/>
    </row>
    <row r="19" spans="1:11" ht="17" customHeight="1" x14ac:dyDescent="0.2">
      <c r="A19" s="24" t="s">
        <v>29</v>
      </c>
      <c r="B19" s="25" t="s">
        <v>28</v>
      </c>
      <c r="C19" s="26" t="s">
        <v>286</v>
      </c>
      <c r="D19" s="27" t="s">
        <v>4</v>
      </c>
      <c r="E19" s="25" t="s">
        <v>3</v>
      </c>
      <c r="F19" s="29" t="s">
        <v>22</v>
      </c>
      <c r="G19" s="32" t="s">
        <v>5</v>
      </c>
      <c r="H19" s="29" t="s">
        <v>39</v>
      </c>
      <c r="I19" s="30" t="s">
        <v>327</v>
      </c>
      <c r="J19" s="30" t="s">
        <v>328</v>
      </c>
      <c r="K19" s="31" t="s">
        <v>42</v>
      </c>
    </row>
    <row r="20" spans="1:11" ht="45" customHeight="1" x14ac:dyDescent="0.2">
      <c r="A20" s="18" t="s">
        <v>63</v>
      </c>
      <c r="B20" s="18" t="s">
        <v>62</v>
      </c>
      <c r="C20" s="41">
        <v>89.99</v>
      </c>
      <c r="D20" s="42">
        <v>903837.48</v>
      </c>
      <c r="E20" s="42">
        <v>75319.789999999994</v>
      </c>
      <c r="F20" s="44">
        <v>9708</v>
      </c>
      <c r="G20" s="46">
        <v>809</v>
      </c>
      <c r="H20" s="44">
        <v>242</v>
      </c>
      <c r="I20" s="45">
        <v>4.4000000000000004</v>
      </c>
      <c r="J20" s="45" t="s">
        <v>64</v>
      </c>
      <c r="K20" s="56" t="str">
        <f>HYPERLINK(J20)</f>
        <v>https://amazon.com/dp/B0F5WCSL4H</v>
      </c>
    </row>
    <row r="21" spans="1:11" ht="45" customHeight="1" x14ac:dyDescent="0.2">
      <c r="A21" s="18" t="s">
        <v>144</v>
      </c>
      <c r="B21" s="18" t="s">
        <v>143</v>
      </c>
      <c r="C21" s="41">
        <v>59.99</v>
      </c>
      <c r="D21" s="42">
        <v>195517.92</v>
      </c>
      <c r="E21" s="42">
        <v>16293.16</v>
      </c>
      <c r="F21" s="44">
        <v>3036</v>
      </c>
      <c r="G21" s="46">
        <v>253</v>
      </c>
      <c r="H21" s="44">
        <v>285</v>
      </c>
      <c r="I21" s="45">
        <v>4.4000000000000004</v>
      </c>
      <c r="J21" s="45" t="s">
        <v>145</v>
      </c>
      <c r="K21" s="56" t="str">
        <f>HYPERLINK(J21)</f>
        <v>https://amazon.com/dp/B0FJM2TBJZ</v>
      </c>
    </row>
    <row r="22" spans="1:11" ht="45" customHeight="1" x14ac:dyDescent="0.2">
      <c r="A22" s="18" t="s">
        <v>97</v>
      </c>
      <c r="B22" s="18" t="s">
        <v>96</v>
      </c>
      <c r="C22" s="41">
        <v>139.99</v>
      </c>
      <c r="D22" s="42">
        <v>395158.2</v>
      </c>
      <c r="E22" s="42">
        <v>32929.85</v>
      </c>
      <c r="F22" s="44">
        <v>2448</v>
      </c>
      <c r="G22" s="46">
        <v>204</v>
      </c>
      <c r="H22" s="44">
        <v>285</v>
      </c>
      <c r="I22" s="45">
        <v>4.4000000000000004</v>
      </c>
      <c r="J22" s="45" t="s">
        <v>98</v>
      </c>
      <c r="K22" s="56" t="str">
        <f>HYPERLINK(J22)</f>
        <v>https://amazon.com/dp/B0FRGFKHHG</v>
      </c>
    </row>
    <row r="23" spans="1:11" ht="45" customHeight="1" x14ac:dyDescent="0.2">
      <c r="A23" s="18"/>
      <c r="B23" s="18"/>
      <c r="C23" s="41"/>
      <c r="D23" s="42"/>
      <c r="E23" s="42"/>
      <c r="F23" s="44"/>
      <c r="G23" s="46"/>
      <c r="H23" s="44"/>
      <c r="I23" s="45"/>
      <c r="J23" s="45"/>
      <c r="K23" s="56"/>
    </row>
    <row r="24" spans="1:11" ht="45" customHeight="1" x14ac:dyDescent="0.2">
      <c r="A24" s="18"/>
      <c r="B24" s="18"/>
      <c r="C24" s="41"/>
      <c r="D24" s="42"/>
      <c r="E24" s="42"/>
      <c r="F24" s="44"/>
      <c r="G24" s="46"/>
      <c r="H24" s="44"/>
      <c r="I24" s="45"/>
      <c r="J24" s="45"/>
      <c r="K24" s="56"/>
    </row>
    <row r="25" spans="1:11" ht="45" customHeight="1" x14ac:dyDescent="0.2">
      <c r="A25" s="18"/>
      <c r="B25" s="18"/>
      <c r="C25" s="41"/>
      <c r="D25" s="42"/>
      <c r="E25" s="42"/>
      <c r="F25" s="44"/>
      <c r="G25" s="46"/>
      <c r="H25" s="44"/>
      <c r="I25" s="45"/>
      <c r="J25" s="45"/>
      <c r="K25" s="56"/>
    </row>
    <row r="26" spans="1:11" ht="45" customHeight="1" x14ac:dyDescent="0.2">
      <c r="A26" s="18"/>
      <c r="B26" s="18"/>
      <c r="C26" s="41"/>
      <c r="D26" s="42"/>
      <c r="E26" s="42"/>
      <c r="F26" s="44"/>
      <c r="G26" s="46"/>
      <c r="H26" s="44"/>
      <c r="I26" s="45"/>
      <c r="J26" s="45"/>
      <c r="K26" s="56"/>
    </row>
    <row r="27" spans="1:11" ht="17" customHeight="1" x14ac:dyDescent="0.2">
      <c r="A27" s="21" t="s">
        <v>291</v>
      </c>
      <c r="B27" s="21"/>
      <c r="C27" s="58"/>
      <c r="D27" s="58"/>
      <c r="E27" s="58"/>
      <c r="F27" s="59">
        <f>SUM(hotpeak!F20:F26)</f>
        <v>15192</v>
      </c>
      <c r="G27" s="59">
        <f>SUM(hotpeak!G20:G26)</f>
        <v>1266</v>
      </c>
      <c r="H27" s="59"/>
      <c r="I27" s="60"/>
      <c r="J27" s="21"/>
      <c r="K27" s="20"/>
    </row>
  </sheetData>
  <mergeCells count="3">
    <mergeCell ref="A1:K5"/>
    <mergeCell ref="A7:K7"/>
    <mergeCell ref="A18:K18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/>
  <dimension ref="A1:K30"/>
  <sheetViews>
    <sheetView workbookViewId="0">
      <selection activeCell="L9" sqref="L9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3" style="19" bestFit="1" customWidth="1"/>
    <col min="10" max="10" width="36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16" t="e">
        <v>#VALUE!</v>
      </c>
      <c r="B1" s="117"/>
      <c r="C1" s="118"/>
      <c r="D1" s="117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7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7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7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8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79</v>
      </c>
      <c r="B9" s="18" t="s">
        <v>78</v>
      </c>
      <c r="C9" s="41">
        <v>1859.99</v>
      </c>
      <c r="D9" s="42">
        <v>590961.72</v>
      </c>
      <c r="E9" s="43">
        <v>49246.81</v>
      </c>
      <c r="F9" s="44">
        <v>312</v>
      </c>
      <c r="G9" s="44">
        <v>26</v>
      </c>
      <c r="H9" s="44">
        <v>39</v>
      </c>
      <c r="I9" s="45">
        <v>4.3</v>
      </c>
      <c r="J9" s="45" t="s">
        <v>80</v>
      </c>
      <c r="K9" s="56" t="str">
        <f t="shared" ref="K9:K18" si="0">HYPERLINK(J9)</f>
        <v>https://amazon.com/dp/B0C37XZWZJ</v>
      </c>
    </row>
    <row r="10" spans="1:11" ht="45" customHeight="1" x14ac:dyDescent="0.2">
      <c r="A10" s="18" t="s">
        <v>94</v>
      </c>
      <c r="B10" s="18" t="s">
        <v>93</v>
      </c>
      <c r="C10" s="41">
        <v>2379.9699999999998</v>
      </c>
      <c r="D10" s="42">
        <v>427332.12</v>
      </c>
      <c r="E10" s="43">
        <v>35611.01</v>
      </c>
      <c r="F10" s="44">
        <v>180</v>
      </c>
      <c r="G10" s="44">
        <v>15</v>
      </c>
      <c r="H10" s="44">
        <v>61</v>
      </c>
      <c r="I10" s="45">
        <v>4.4000000000000004</v>
      </c>
      <c r="J10" s="45" t="s">
        <v>95</v>
      </c>
      <c r="K10" s="56" t="str">
        <f t="shared" si="0"/>
        <v>https://amazon.com/dp/B0B6GJ84TZ</v>
      </c>
    </row>
    <row r="11" spans="1:11" ht="45" customHeight="1" x14ac:dyDescent="0.2">
      <c r="A11" s="18" t="s">
        <v>100</v>
      </c>
      <c r="B11" s="18" t="s">
        <v>99</v>
      </c>
      <c r="C11" s="41">
        <v>1949.99</v>
      </c>
      <c r="D11" s="42">
        <v>336529.68</v>
      </c>
      <c r="E11" s="43">
        <v>28044.14</v>
      </c>
      <c r="F11" s="44">
        <v>168</v>
      </c>
      <c r="G11" s="44">
        <v>14</v>
      </c>
      <c r="H11" s="44">
        <v>15</v>
      </c>
      <c r="I11" s="45">
        <v>4.3</v>
      </c>
      <c r="J11" s="45" t="s">
        <v>101</v>
      </c>
      <c r="K11" s="56" t="str">
        <f t="shared" si="0"/>
        <v>https://amazon.com/dp/B0CTVDMD16</v>
      </c>
    </row>
    <row r="12" spans="1:11" ht="45" customHeight="1" x14ac:dyDescent="0.2">
      <c r="A12" s="18" t="s">
        <v>103</v>
      </c>
      <c r="B12" s="18" t="s">
        <v>102</v>
      </c>
      <c r="C12" s="41">
        <v>3499.99</v>
      </c>
      <c r="D12" s="42">
        <v>319761.12</v>
      </c>
      <c r="E12" s="43">
        <v>26646.76</v>
      </c>
      <c r="F12" s="44">
        <v>84</v>
      </c>
      <c r="G12" s="44">
        <v>7</v>
      </c>
      <c r="H12" s="44">
        <v>6</v>
      </c>
      <c r="I12" s="45">
        <v>4.8</v>
      </c>
      <c r="J12" s="45" t="s">
        <v>104</v>
      </c>
      <c r="K12" s="56" t="str">
        <f t="shared" si="0"/>
        <v>https://amazon.com/dp/B0CTW1RCM1</v>
      </c>
    </row>
    <row r="13" spans="1:11" ht="45" customHeight="1" x14ac:dyDescent="0.2">
      <c r="A13" s="18" t="s">
        <v>106</v>
      </c>
      <c r="B13" s="18" t="s">
        <v>105</v>
      </c>
      <c r="C13" s="41">
        <v>2349</v>
      </c>
      <c r="D13" s="42">
        <v>311954.15999999997</v>
      </c>
      <c r="E13" s="43">
        <v>25996.18</v>
      </c>
      <c r="F13" s="44">
        <v>132</v>
      </c>
      <c r="G13" s="44">
        <v>11</v>
      </c>
      <c r="H13" s="44">
        <v>6</v>
      </c>
      <c r="I13" s="45">
        <v>4.8</v>
      </c>
      <c r="J13" s="45" t="s">
        <v>107</v>
      </c>
      <c r="K13" s="56" t="str">
        <f t="shared" si="0"/>
        <v>https://amazon.com/dp/B0CTVD7WNF</v>
      </c>
    </row>
    <row r="14" spans="1:11" ht="45" customHeight="1" x14ac:dyDescent="0.2">
      <c r="A14" s="18" t="s">
        <v>128</v>
      </c>
      <c r="B14" s="18" t="s">
        <v>127</v>
      </c>
      <c r="C14" s="41">
        <v>2499.9699999999998</v>
      </c>
      <c r="D14" s="42">
        <v>257960.88</v>
      </c>
      <c r="E14" s="43">
        <v>21496.74</v>
      </c>
      <c r="F14" s="44">
        <v>96</v>
      </c>
      <c r="G14" s="44">
        <v>8</v>
      </c>
      <c r="H14" s="44">
        <v>15</v>
      </c>
      <c r="I14" s="45">
        <v>4.3</v>
      </c>
      <c r="J14" s="45" t="s">
        <v>129</v>
      </c>
      <c r="K14" s="56" t="str">
        <f t="shared" si="0"/>
        <v>https://amazon.com/dp/B0CTVH53L5</v>
      </c>
    </row>
    <row r="15" spans="1:11" ht="45" customHeight="1" x14ac:dyDescent="0.2">
      <c r="A15" s="18" t="s">
        <v>138</v>
      </c>
      <c r="B15" s="18" t="s">
        <v>137</v>
      </c>
      <c r="C15" s="41">
        <v>3495</v>
      </c>
      <c r="D15" s="42">
        <v>208113.24</v>
      </c>
      <c r="E15" s="43">
        <v>17342.77</v>
      </c>
      <c r="F15" s="44">
        <v>60</v>
      </c>
      <c r="G15" s="44">
        <v>5</v>
      </c>
      <c r="H15" s="44">
        <v>15</v>
      </c>
      <c r="I15" s="45">
        <v>4.3</v>
      </c>
      <c r="J15" s="45" t="s">
        <v>139</v>
      </c>
      <c r="K15" s="56" t="str">
        <f t="shared" si="0"/>
        <v>https://amazon.com/dp/B0CKLVYY1J</v>
      </c>
    </row>
    <row r="16" spans="1:11" ht="45" customHeight="1" x14ac:dyDescent="0.2">
      <c r="A16" s="18" t="s">
        <v>141</v>
      </c>
      <c r="B16" s="18" t="s">
        <v>140</v>
      </c>
      <c r="C16" s="41">
        <v>3999.97</v>
      </c>
      <c r="D16" s="42">
        <v>206632.92</v>
      </c>
      <c r="E16" s="43">
        <v>17219.41</v>
      </c>
      <c r="F16" s="44">
        <v>48</v>
      </c>
      <c r="G16" s="44">
        <v>4</v>
      </c>
      <c r="H16" s="44">
        <v>6</v>
      </c>
      <c r="I16" s="45">
        <v>4.8</v>
      </c>
      <c r="J16" s="45" t="s">
        <v>142</v>
      </c>
      <c r="K16" s="56" t="str">
        <f t="shared" si="0"/>
        <v>https://amazon.com/dp/B003QNIZ14</v>
      </c>
    </row>
    <row r="17" spans="1:11" ht="17" customHeight="1" x14ac:dyDescent="0.2">
      <c r="A17" s="21" t="s">
        <v>153</v>
      </c>
      <c r="B17" s="21" t="s">
        <v>152</v>
      </c>
      <c r="C17" s="57">
        <v>4699</v>
      </c>
      <c r="D17" s="58">
        <v>173553</v>
      </c>
      <c r="E17" s="58">
        <v>14462.75</v>
      </c>
      <c r="F17" s="59">
        <v>36</v>
      </c>
      <c r="G17" s="59">
        <v>3</v>
      </c>
      <c r="H17" s="59">
        <v>15</v>
      </c>
      <c r="I17" s="60">
        <v>4.3</v>
      </c>
      <c r="J17" s="21" t="s">
        <v>154</v>
      </c>
      <c r="K17" t="str">
        <f t="shared" si="0"/>
        <v>https://amazon.com/dp/B0D84HKGHG</v>
      </c>
    </row>
    <row r="18" spans="1:11" ht="30" x14ac:dyDescent="0.2">
      <c r="A18" s="18" t="s">
        <v>156</v>
      </c>
      <c r="B18" s="18" t="s">
        <v>155</v>
      </c>
      <c r="C18" s="42">
        <v>5499.97</v>
      </c>
      <c r="D18" s="42">
        <v>172290.24</v>
      </c>
      <c r="E18" s="44">
        <v>14357.52</v>
      </c>
      <c r="F18" s="44">
        <v>36</v>
      </c>
      <c r="G18" s="44">
        <v>3</v>
      </c>
      <c r="H18" s="45">
        <v>6</v>
      </c>
      <c r="I18" s="18">
        <v>4.8</v>
      </c>
      <c r="J18" t="s">
        <v>157</v>
      </c>
      <c r="K18" t="str">
        <f t="shared" si="0"/>
        <v>https://amazon.com/dp/B0D84GH4GB</v>
      </c>
    </row>
    <row r="19" spans="1:11" x14ac:dyDescent="0.2">
      <c r="A19" s="18" t="s">
        <v>291</v>
      </c>
      <c r="B19" s="18"/>
      <c r="C19" s="42"/>
      <c r="D19" s="42">
        <f>SUM(pulsar!D9:D18)</f>
        <v>3005089.08</v>
      </c>
      <c r="E19" s="44">
        <f>SUM(pulsar!E9:E18)</f>
        <v>250424.08999999997</v>
      </c>
      <c r="F19" s="44"/>
      <c r="G19" s="44"/>
      <c r="H19" s="45"/>
      <c r="I19" s="18"/>
    </row>
    <row r="20" spans="1:11" x14ac:dyDescent="0.2">
      <c r="A20" s="121" t="s">
        <v>329</v>
      </c>
      <c r="B20" s="117"/>
      <c r="C20" s="118"/>
      <c r="D20" s="117"/>
      <c r="E20" s="119"/>
      <c r="F20" s="119"/>
      <c r="G20" s="119"/>
      <c r="H20" s="120"/>
      <c r="I20" s="117"/>
      <c r="J20" s="117"/>
      <c r="K20" s="117"/>
    </row>
    <row r="21" spans="1:11" ht="17" customHeight="1" x14ac:dyDescent="0.2">
      <c r="A21" s="24" t="s">
        <v>29</v>
      </c>
      <c r="B21" s="25" t="s">
        <v>28</v>
      </c>
      <c r="C21" s="26" t="s">
        <v>286</v>
      </c>
      <c r="D21" s="27" t="s">
        <v>4</v>
      </c>
      <c r="E21" s="25" t="s">
        <v>3</v>
      </c>
      <c r="F21" s="29" t="s">
        <v>22</v>
      </c>
      <c r="G21" s="32" t="s">
        <v>5</v>
      </c>
      <c r="H21" s="29" t="s">
        <v>39</v>
      </c>
      <c r="I21" s="30" t="s">
        <v>327</v>
      </c>
      <c r="J21" s="30" t="s">
        <v>328</v>
      </c>
      <c r="K21" s="31" t="s">
        <v>42</v>
      </c>
    </row>
    <row r="22" spans="1:11" ht="45" customHeight="1" x14ac:dyDescent="0.2">
      <c r="A22" s="18" t="s">
        <v>214</v>
      </c>
      <c r="B22" s="18" t="s">
        <v>213</v>
      </c>
      <c r="C22" s="41">
        <v>129.97</v>
      </c>
      <c r="D22" s="42">
        <v>67185.36</v>
      </c>
      <c r="E22" s="42">
        <v>5598.78</v>
      </c>
      <c r="F22" s="44">
        <v>516</v>
      </c>
      <c r="G22" s="46">
        <v>43</v>
      </c>
      <c r="H22" s="44">
        <v>7</v>
      </c>
      <c r="I22" s="45">
        <v>4.4000000000000004</v>
      </c>
      <c r="J22" s="45" t="s">
        <v>215</v>
      </c>
      <c r="K22" s="22" t="str">
        <f t="shared" ref="K22:K29" si="1">HYPERLINK(J22)</f>
        <v>https://amazon.com/dp/B002Q6UG3W</v>
      </c>
    </row>
    <row r="23" spans="1:11" ht="45" customHeight="1" x14ac:dyDescent="0.2">
      <c r="A23" s="18" t="s">
        <v>79</v>
      </c>
      <c r="B23" s="18" t="s">
        <v>78</v>
      </c>
      <c r="C23" s="41">
        <v>1859.99</v>
      </c>
      <c r="D23" s="42">
        <v>590961.72</v>
      </c>
      <c r="E23" s="42">
        <v>49246.81</v>
      </c>
      <c r="F23" s="44">
        <v>312</v>
      </c>
      <c r="G23" s="46">
        <v>26</v>
      </c>
      <c r="H23" s="44">
        <v>39</v>
      </c>
      <c r="I23" s="45">
        <v>4.3</v>
      </c>
      <c r="J23" s="45" t="s">
        <v>80</v>
      </c>
      <c r="K23" s="102" t="str">
        <f t="shared" si="1"/>
        <v>https://amazon.com/dp/B0C37XZWZJ</v>
      </c>
    </row>
    <row r="24" spans="1:11" ht="45" customHeight="1" x14ac:dyDescent="0.2">
      <c r="A24" s="18" t="s">
        <v>94</v>
      </c>
      <c r="B24" s="18" t="s">
        <v>93</v>
      </c>
      <c r="C24" s="41">
        <v>2379.9699999999998</v>
      </c>
      <c r="D24" s="42">
        <v>427332.12</v>
      </c>
      <c r="E24" s="42">
        <v>35611.01</v>
      </c>
      <c r="F24" s="44">
        <v>180</v>
      </c>
      <c r="G24" s="46">
        <v>15</v>
      </c>
      <c r="H24" s="44">
        <v>61</v>
      </c>
      <c r="I24" s="45">
        <v>4.4000000000000004</v>
      </c>
      <c r="J24" s="45" t="s">
        <v>95</v>
      </c>
      <c r="K24" s="22" t="str">
        <f t="shared" si="1"/>
        <v>https://amazon.com/dp/B0B6GJ84TZ</v>
      </c>
    </row>
    <row r="25" spans="1:11" ht="45" customHeight="1" x14ac:dyDescent="0.2">
      <c r="A25" s="18" t="s">
        <v>100</v>
      </c>
      <c r="B25" s="18" t="s">
        <v>99</v>
      </c>
      <c r="C25" s="41">
        <v>1949.99</v>
      </c>
      <c r="D25" s="42">
        <v>336529.68</v>
      </c>
      <c r="E25" s="42">
        <v>28044.14</v>
      </c>
      <c r="F25" s="44">
        <v>168</v>
      </c>
      <c r="G25" s="46">
        <v>14</v>
      </c>
      <c r="H25" s="44">
        <v>15</v>
      </c>
      <c r="I25" s="45">
        <v>4.3</v>
      </c>
      <c r="J25" s="45" t="s">
        <v>101</v>
      </c>
      <c r="K25" s="22" t="str">
        <f t="shared" si="1"/>
        <v>https://amazon.com/dp/B0CTVDMD16</v>
      </c>
    </row>
    <row r="26" spans="1:11" ht="45" customHeight="1" x14ac:dyDescent="0.2">
      <c r="A26" s="18" t="s">
        <v>106</v>
      </c>
      <c r="B26" s="18" t="s">
        <v>105</v>
      </c>
      <c r="C26" s="41">
        <v>2349</v>
      </c>
      <c r="D26" s="42">
        <v>311954.15999999997</v>
      </c>
      <c r="E26" s="42">
        <v>25996.18</v>
      </c>
      <c r="F26" s="44">
        <v>132</v>
      </c>
      <c r="G26" s="46">
        <v>11</v>
      </c>
      <c r="H26" s="44">
        <v>6</v>
      </c>
      <c r="I26" s="45">
        <v>4.8</v>
      </c>
      <c r="J26" s="45" t="s">
        <v>107</v>
      </c>
      <c r="K26" s="22" t="str">
        <f t="shared" si="1"/>
        <v>https://amazon.com/dp/B0CTVD7WNF</v>
      </c>
    </row>
    <row r="27" spans="1:11" ht="45" customHeight="1" x14ac:dyDescent="0.2">
      <c r="A27" s="18" t="s">
        <v>128</v>
      </c>
      <c r="B27" s="18" t="s">
        <v>127</v>
      </c>
      <c r="C27" s="41">
        <v>2499.9699999999998</v>
      </c>
      <c r="D27" s="42">
        <v>257960.88</v>
      </c>
      <c r="E27" s="42">
        <v>21496.74</v>
      </c>
      <c r="F27" s="44">
        <v>96</v>
      </c>
      <c r="G27" s="46">
        <v>8</v>
      </c>
      <c r="H27" s="44">
        <v>15</v>
      </c>
      <c r="I27" s="45">
        <v>4.3</v>
      </c>
      <c r="J27" s="45" t="s">
        <v>129</v>
      </c>
      <c r="K27" s="22" t="str">
        <f t="shared" si="1"/>
        <v>https://amazon.com/dp/B0CTVH53L5</v>
      </c>
    </row>
    <row r="28" spans="1:11" ht="45" customHeight="1" x14ac:dyDescent="0.2">
      <c r="A28" s="18" t="s">
        <v>163</v>
      </c>
      <c r="B28" s="18" t="s">
        <v>162</v>
      </c>
      <c r="C28" s="41">
        <v>2199.9699999999998</v>
      </c>
      <c r="D28" s="42">
        <v>163979.04</v>
      </c>
      <c r="E28" s="42">
        <v>13664.92</v>
      </c>
      <c r="F28" s="44">
        <v>84</v>
      </c>
      <c r="G28" s="46">
        <v>7</v>
      </c>
      <c r="H28" s="44">
        <v>14</v>
      </c>
      <c r="I28" s="45">
        <v>4.5999999999999996</v>
      </c>
      <c r="J28" s="45" t="s">
        <v>164</v>
      </c>
      <c r="K28" s="102" t="str">
        <f t="shared" si="1"/>
        <v>https://amazon.com/dp/B0DLDYXW27</v>
      </c>
    </row>
    <row r="29" spans="1:11" ht="45" customHeight="1" x14ac:dyDescent="0.2">
      <c r="A29" s="18" t="s">
        <v>103</v>
      </c>
      <c r="B29" s="18" t="s">
        <v>102</v>
      </c>
      <c r="C29" s="41">
        <v>3499.99</v>
      </c>
      <c r="D29" s="42">
        <v>319761.12</v>
      </c>
      <c r="E29" s="42">
        <v>26646.76</v>
      </c>
      <c r="F29" s="44">
        <v>84</v>
      </c>
      <c r="G29" s="46">
        <v>7</v>
      </c>
      <c r="H29" s="44">
        <v>6</v>
      </c>
      <c r="I29" s="45">
        <v>4.8</v>
      </c>
      <c r="J29" s="45" t="s">
        <v>104</v>
      </c>
      <c r="K29" s="102" t="str">
        <f t="shared" si="1"/>
        <v>https://amazon.com/dp/B0CTW1RCM1</v>
      </c>
    </row>
    <row r="30" spans="1:11" ht="17" customHeight="1" x14ac:dyDescent="0.2">
      <c r="A30" s="21" t="s">
        <v>291</v>
      </c>
      <c r="B30" s="21"/>
      <c r="C30" s="58"/>
      <c r="D30" s="58"/>
      <c r="E30" s="58"/>
      <c r="F30" s="59">
        <f>SUM(pulsar!F22:F29)</f>
        <v>1572</v>
      </c>
      <c r="G30" s="59">
        <f>SUM(pulsar!G22:G29)</f>
        <v>131</v>
      </c>
      <c r="H30" s="59"/>
      <c r="I30" s="60"/>
      <c r="J30" s="21"/>
    </row>
  </sheetData>
  <mergeCells count="3">
    <mergeCell ref="A20:K20"/>
    <mergeCell ref="A7:K7"/>
    <mergeCell ref="A1:K5"/>
  </mergeCells>
  <hyperlinks>
    <hyperlink ref="K22" r:id="rId1" display="https://amazon.com/dp/B07S7H86Z1" xr:uid="{00000000-0004-0000-0C00-000000000000}"/>
  </hyperlinks>
  <pageMargins left="0.7" right="0.7" top="0.75" bottom="0.75" header="0.3" footer="0.3"/>
  <pageSetup paperSize="9" orientation="portrait" horizontalDpi="0" verticalDpi="0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4"/>
  <sheetViews>
    <sheetView zoomScaleNormal="100" workbookViewId="0">
      <selection activeCell="K15" sqref="K15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3320312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22" t="e">
        <v>#VALUE!</v>
      </c>
      <c r="B1" s="117"/>
      <c r="C1" s="118"/>
      <c r="D1" s="118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8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8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8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8"/>
      <c r="E5" s="119"/>
      <c r="F5" s="119"/>
      <c r="G5" s="119"/>
      <c r="H5" s="120"/>
      <c r="I5" s="117"/>
      <c r="J5" s="117"/>
      <c r="K5" s="117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1" t="s">
        <v>375</v>
      </c>
      <c r="B7" s="117"/>
      <c r="C7" s="118"/>
      <c r="D7" s="118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82</v>
      </c>
      <c r="B9" s="18" t="s">
        <v>81</v>
      </c>
      <c r="C9" s="41">
        <v>1583.12</v>
      </c>
      <c r="D9" s="42">
        <v>505055.04</v>
      </c>
      <c r="E9" s="43">
        <v>42087.92</v>
      </c>
      <c r="F9" s="44">
        <v>324</v>
      </c>
      <c r="G9" s="44">
        <v>27</v>
      </c>
      <c r="H9" s="44">
        <v>19</v>
      </c>
      <c r="I9" s="45">
        <v>3.9</v>
      </c>
      <c r="J9" s="45" t="s">
        <v>83</v>
      </c>
      <c r="K9" s="56" t="str">
        <f t="shared" ref="K9:K15" si="0">HYPERLINK(J9)</f>
        <v>https://amazon.com/dp/B0CP8N943X</v>
      </c>
    </row>
    <row r="10" spans="1:11" ht="45" customHeight="1" x14ac:dyDescent="0.2">
      <c r="A10" s="18" t="s">
        <v>88</v>
      </c>
      <c r="B10" s="18" t="s">
        <v>87</v>
      </c>
      <c r="C10" s="41">
        <v>2723</v>
      </c>
      <c r="D10" s="42">
        <v>456937.2</v>
      </c>
      <c r="E10" s="43">
        <v>38078.1</v>
      </c>
      <c r="F10" s="44">
        <v>168</v>
      </c>
      <c r="G10" s="44">
        <v>14</v>
      </c>
      <c r="H10" s="44">
        <v>18</v>
      </c>
      <c r="I10" s="45">
        <v>4</v>
      </c>
      <c r="J10" s="45" t="s">
        <v>89</v>
      </c>
      <c r="K10" s="56" t="str">
        <f t="shared" si="0"/>
        <v>https://amazon.com/dp/B0CPN38V6B</v>
      </c>
    </row>
    <row r="11" spans="1:11" ht="45" customHeight="1" x14ac:dyDescent="0.2">
      <c r="A11" s="18" t="s">
        <v>376</v>
      </c>
      <c r="B11" s="18" t="s">
        <v>377</v>
      </c>
      <c r="C11" s="41">
        <v>5445.16</v>
      </c>
      <c r="D11" s="42">
        <v>69609.959999999992</v>
      </c>
      <c r="E11" s="43">
        <v>5800.83</v>
      </c>
      <c r="F11" s="44">
        <v>12</v>
      </c>
      <c r="G11" s="44">
        <v>1</v>
      </c>
      <c r="H11" s="44">
        <v>2</v>
      </c>
      <c r="I11" s="45">
        <v>1</v>
      </c>
      <c r="J11" s="45" t="s">
        <v>378</v>
      </c>
      <c r="K11" s="56" t="str">
        <f t="shared" si="0"/>
        <v>https://amazon.com/dp/B0BH1MNCBF</v>
      </c>
    </row>
    <row r="12" spans="1:11" ht="45" customHeight="1" x14ac:dyDescent="0.2">
      <c r="A12" s="18" t="s">
        <v>379</v>
      </c>
      <c r="B12" s="18" t="s">
        <v>380</v>
      </c>
      <c r="C12" s="41">
        <v>3999</v>
      </c>
      <c r="D12" s="42">
        <v>45260.160000000003</v>
      </c>
      <c r="E12" s="43">
        <v>3771.68</v>
      </c>
      <c r="F12" s="44">
        <v>12</v>
      </c>
      <c r="G12" s="44">
        <v>1</v>
      </c>
      <c r="H12" s="44">
        <v>1</v>
      </c>
      <c r="I12" s="45">
        <v>1</v>
      </c>
      <c r="J12" s="45" t="s">
        <v>381</v>
      </c>
      <c r="K12" s="56" t="str">
        <f t="shared" si="0"/>
        <v>https://amazon.com/dp/B0D9STMY3B</v>
      </c>
    </row>
    <row r="13" spans="1:11" ht="45" customHeight="1" x14ac:dyDescent="0.2">
      <c r="A13" s="18" t="s">
        <v>382</v>
      </c>
      <c r="B13" s="18" t="s">
        <v>383</v>
      </c>
      <c r="C13" s="41">
        <v>230.48</v>
      </c>
      <c r="D13" s="42">
        <v>7293.12</v>
      </c>
      <c r="E13" s="43">
        <v>607.76</v>
      </c>
      <c r="F13" s="44">
        <v>36</v>
      </c>
      <c r="G13" s="44">
        <v>3</v>
      </c>
      <c r="H13" s="44">
        <v>1</v>
      </c>
      <c r="I13" s="45">
        <v>5</v>
      </c>
      <c r="J13" s="45" t="s">
        <v>384</v>
      </c>
      <c r="K13" s="101" t="str">
        <f t="shared" si="0"/>
        <v>https://amazon.com/dp/B0BH1M4Y6N</v>
      </c>
    </row>
    <row r="14" spans="1:11" ht="17" customHeight="1" x14ac:dyDescent="0.2">
      <c r="A14" s="21" t="s">
        <v>385</v>
      </c>
      <c r="B14" s="21" t="s">
        <v>386</v>
      </c>
      <c r="C14" s="57">
        <v>4621.91</v>
      </c>
      <c r="D14" s="58"/>
      <c r="E14" s="58"/>
      <c r="F14" s="59">
        <v>0</v>
      </c>
      <c r="G14" s="59">
        <v>0</v>
      </c>
      <c r="H14" s="59">
        <v>1</v>
      </c>
      <c r="I14" s="60">
        <v>3</v>
      </c>
      <c r="J14" s="21" t="s">
        <v>387</v>
      </c>
      <c r="K14" s="20" t="str">
        <f t="shared" si="0"/>
        <v>https://amazon.com/dp/B0BH1J3NBV</v>
      </c>
    </row>
    <row r="15" spans="1:11" x14ac:dyDescent="0.2">
      <c r="A15" t="s">
        <v>388</v>
      </c>
      <c r="B15" t="s">
        <v>389</v>
      </c>
      <c r="C15">
        <v>249</v>
      </c>
      <c r="D15"/>
      <c r="E15"/>
      <c r="F15">
        <v>0</v>
      </c>
      <c r="G15">
        <v>0</v>
      </c>
      <c r="H15">
        <v>1</v>
      </c>
      <c r="I15">
        <v>5</v>
      </c>
      <c r="J15" t="s">
        <v>390</v>
      </c>
      <c r="K15" t="str">
        <f t="shared" si="0"/>
        <v>https://amazon.com/dp/B0BH1L3G6B</v>
      </c>
    </row>
    <row r="16" spans="1:11" x14ac:dyDescent="0.2">
      <c r="A16" t="s">
        <v>291</v>
      </c>
      <c r="D16">
        <f>SUM(armasight!D9:D15)</f>
        <v>1084155.48</v>
      </c>
      <c r="E16">
        <f>SUM(armasight!E9:E15)</f>
        <v>90346.289999999979</v>
      </c>
    </row>
    <row r="17" spans="1:11" x14ac:dyDescent="0.2">
      <c r="A17" s="121" t="s">
        <v>329</v>
      </c>
      <c r="B17" s="117"/>
      <c r="C17" s="118"/>
      <c r="D17" s="118"/>
      <c r="E17" s="119"/>
      <c r="F17" s="119"/>
      <c r="G17" s="119"/>
      <c r="H17" s="120"/>
      <c r="I17" s="117"/>
      <c r="J17" s="117"/>
      <c r="K17" s="117"/>
    </row>
    <row r="18" spans="1:11" ht="17" customHeight="1" x14ac:dyDescent="0.2">
      <c r="A18" s="24" t="s">
        <v>29</v>
      </c>
      <c r="B18" s="25" t="s">
        <v>28</v>
      </c>
      <c r="C18" s="26" t="s">
        <v>286</v>
      </c>
      <c r="D18" s="27" t="s">
        <v>4</v>
      </c>
      <c r="E18" s="25" t="s">
        <v>3</v>
      </c>
      <c r="F18" s="29" t="s">
        <v>22</v>
      </c>
      <c r="G18" s="32" t="s">
        <v>5</v>
      </c>
      <c r="H18" s="29" t="s">
        <v>39</v>
      </c>
      <c r="I18" s="30" t="s">
        <v>327</v>
      </c>
      <c r="J18" s="30" t="s">
        <v>328</v>
      </c>
      <c r="K18" s="31" t="s">
        <v>42</v>
      </c>
    </row>
    <row r="19" spans="1:11" ht="45" customHeight="1" x14ac:dyDescent="0.2">
      <c r="A19" s="18" t="s">
        <v>82</v>
      </c>
      <c r="B19" s="18" t="s">
        <v>81</v>
      </c>
      <c r="C19" s="41">
        <v>1583.12</v>
      </c>
      <c r="D19" s="42">
        <v>505055.04</v>
      </c>
      <c r="E19" s="42">
        <v>42087.92</v>
      </c>
      <c r="F19" s="44">
        <v>324</v>
      </c>
      <c r="G19" s="46">
        <v>27</v>
      </c>
      <c r="H19" s="44">
        <v>19</v>
      </c>
      <c r="I19" s="45">
        <v>3.9</v>
      </c>
      <c r="J19" s="45" t="s">
        <v>83</v>
      </c>
      <c r="K19" s="56" t="str">
        <f>HYPERLINK(J19)</f>
        <v>https://amazon.com/dp/B0CP8N943X</v>
      </c>
    </row>
    <row r="20" spans="1:11" ht="45" customHeight="1" x14ac:dyDescent="0.2">
      <c r="A20" s="18" t="s">
        <v>88</v>
      </c>
      <c r="B20" s="18" t="s">
        <v>87</v>
      </c>
      <c r="C20" s="41">
        <v>2723</v>
      </c>
      <c r="D20" s="42">
        <v>456937.2</v>
      </c>
      <c r="E20" s="42">
        <v>38078.1</v>
      </c>
      <c r="F20" s="44">
        <v>168</v>
      </c>
      <c r="G20" s="46">
        <v>14</v>
      </c>
      <c r="H20" s="44">
        <v>18</v>
      </c>
      <c r="I20" s="45">
        <v>4</v>
      </c>
      <c r="J20" s="45" t="s">
        <v>89</v>
      </c>
      <c r="K20" s="56" t="str">
        <f>HYPERLINK(J20)</f>
        <v>https://amazon.com/dp/B0CPN38V6B</v>
      </c>
    </row>
    <row r="21" spans="1:11" ht="45" customHeight="1" x14ac:dyDescent="0.2">
      <c r="A21" s="18" t="s">
        <v>382</v>
      </c>
      <c r="B21" s="18" t="s">
        <v>383</v>
      </c>
      <c r="C21" s="41">
        <v>230.48</v>
      </c>
      <c r="D21" s="42">
        <v>7293.12</v>
      </c>
      <c r="E21" s="42">
        <v>607.76</v>
      </c>
      <c r="F21" s="44">
        <v>36</v>
      </c>
      <c r="G21" s="46">
        <v>3</v>
      </c>
      <c r="H21" s="44">
        <v>1</v>
      </c>
      <c r="I21" s="45">
        <v>5</v>
      </c>
      <c r="J21" s="45" t="s">
        <v>384</v>
      </c>
      <c r="K21" s="56" t="str">
        <f>HYPERLINK(J21)</f>
        <v>https://amazon.com/dp/B0BH1M4Y6N</v>
      </c>
    </row>
    <row r="22" spans="1:11" ht="45" customHeight="1" x14ac:dyDescent="0.2">
      <c r="A22" s="18" t="s">
        <v>376</v>
      </c>
      <c r="B22" s="18" t="s">
        <v>377</v>
      </c>
      <c r="C22" s="41">
        <v>5445.16</v>
      </c>
      <c r="D22" s="42">
        <v>69609.959999999992</v>
      </c>
      <c r="E22" s="42">
        <v>5800.83</v>
      </c>
      <c r="F22" s="44">
        <v>12</v>
      </c>
      <c r="G22" s="46">
        <v>1</v>
      </c>
      <c r="H22" s="44">
        <v>2</v>
      </c>
      <c r="I22" s="45">
        <v>1</v>
      </c>
      <c r="J22" s="45" t="s">
        <v>378</v>
      </c>
      <c r="K22" s="56" t="str">
        <f>HYPERLINK(J22)</f>
        <v>https://amazon.com/dp/B0BH1MNCBF</v>
      </c>
    </row>
    <row r="23" spans="1:11" ht="45" customHeight="1" x14ac:dyDescent="0.2">
      <c r="A23" s="18" t="s">
        <v>379</v>
      </c>
      <c r="B23" s="18" t="s">
        <v>380</v>
      </c>
      <c r="C23" s="41">
        <v>3999</v>
      </c>
      <c r="D23" s="42">
        <v>45260.160000000003</v>
      </c>
      <c r="E23" s="42">
        <v>3771.68</v>
      </c>
      <c r="F23" s="44">
        <v>12</v>
      </c>
      <c r="G23" s="46">
        <v>1</v>
      </c>
      <c r="H23" s="44">
        <v>1</v>
      </c>
      <c r="I23" s="45">
        <v>1</v>
      </c>
      <c r="J23" s="45" t="s">
        <v>381</v>
      </c>
      <c r="K23" s="56" t="str">
        <f>HYPERLINK(J23)</f>
        <v>https://amazon.com/dp/B0D9STMY3B</v>
      </c>
    </row>
    <row r="24" spans="1:11" ht="17" customHeight="1" x14ac:dyDescent="0.2">
      <c r="A24" s="21" t="s">
        <v>291</v>
      </c>
      <c r="B24" s="21"/>
      <c r="C24" s="58"/>
      <c r="D24" s="58"/>
      <c r="E24" s="58"/>
      <c r="F24" s="59">
        <f>SUM(armasight!F19:F23)</f>
        <v>552</v>
      </c>
      <c r="G24" s="59">
        <f>SUM(armasight!G19:G23)</f>
        <v>46</v>
      </c>
      <c r="H24" s="59"/>
      <c r="I24" s="60"/>
      <c r="J24" s="21"/>
      <c r="K24" s="20"/>
    </row>
  </sheetData>
  <mergeCells count="3">
    <mergeCell ref="A17:K17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6"/>
  <sheetViews>
    <sheetView workbookViewId="0">
      <selection activeCell="M8" sqref="M8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7.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22" t="e">
        <v>#VALUE!</v>
      </c>
      <c r="B1" s="117"/>
      <c r="C1" s="118"/>
      <c r="D1" s="118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8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8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8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8"/>
      <c r="E5" s="119"/>
      <c r="F5" s="119"/>
      <c r="G5" s="119"/>
      <c r="H5" s="120"/>
      <c r="I5" s="117"/>
      <c r="J5" s="117"/>
      <c r="K5" s="117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1" t="s">
        <v>375</v>
      </c>
      <c r="B7" s="117"/>
      <c r="C7" s="118"/>
      <c r="D7" s="118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391</v>
      </c>
      <c r="B9" s="18" t="s">
        <v>392</v>
      </c>
      <c r="C9" s="41">
        <v>299.99</v>
      </c>
      <c r="D9" s="42">
        <v>324720.48</v>
      </c>
      <c r="E9" s="43">
        <v>27060.04</v>
      </c>
      <c r="F9" s="44">
        <v>1140</v>
      </c>
      <c r="G9" s="44">
        <v>95</v>
      </c>
      <c r="H9" s="44">
        <v>60</v>
      </c>
      <c r="I9" s="45">
        <v>4.4000000000000004</v>
      </c>
      <c r="J9" s="45" t="s">
        <v>393</v>
      </c>
      <c r="K9" s="56" t="str">
        <f t="shared" ref="K9:K29" si="0">HYPERLINK(J9)</f>
        <v>https://amazon.com/dp/B0DSW1DKTZ</v>
      </c>
    </row>
    <row r="10" spans="1:11" ht="45" customHeight="1" x14ac:dyDescent="0.2">
      <c r="A10" s="18" t="s">
        <v>394</v>
      </c>
      <c r="B10" s="18" t="s">
        <v>395</v>
      </c>
      <c r="C10" s="41">
        <v>265.98</v>
      </c>
      <c r="D10" s="42">
        <v>299489.40000000002</v>
      </c>
      <c r="E10" s="43">
        <v>24957.45</v>
      </c>
      <c r="F10" s="44">
        <v>1032</v>
      </c>
      <c r="G10" s="44">
        <v>86</v>
      </c>
      <c r="H10" s="44">
        <v>526</v>
      </c>
      <c r="I10" s="45">
        <v>4.3</v>
      </c>
      <c r="J10" s="45" t="s">
        <v>396</v>
      </c>
      <c r="K10" s="56" t="str">
        <f t="shared" si="0"/>
        <v>https://amazon.com/dp/B0C64RBKJL</v>
      </c>
    </row>
    <row r="11" spans="1:11" ht="45" customHeight="1" x14ac:dyDescent="0.2">
      <c r="A11" s="18" t="s">
        <v>397</v>
      </c>
      <c r="B11" s="18" t="s">
        <v>398</v>
      </c>
      <c r="C11" s="41">
        <v>379.99</v>
      </c>
      <c r="D11" s="42">
        <v>163491.6</v>
      </c>
      <c r="E11" s="43">
        <v>13624.3</v>
      </c>
      <c r="F11" s="44">
        <v>432</v>
      </c>
      <c r="G11" s="44">
        <v>36</v>
      </c>
      <c r="H11" s="44">
        <v>33</v>
      </c>
      <c r="I11" s="45">
        <v>4.7</v>
      </c>
      <c r="J11" s="45" t="s">
        <v>399</v>
      </c>
      <c r="K11" s="56" t="str">
        <f t="shared" si="0"/>
        <v>https://amazon.com/dp/B0F8BN91TL</v>
      </c>
    </row>
    <row r="12" spans="1:11" ht="45" customHeight="1" x14ac:dyDescent="0.2">
      <c r="A12" s="18" t="s">
        <v>400</v>
      </c>
      <c r="B12" s="18" t="s">
        <v>401</v>
      </c>
      <c r="C12" s="41">
        <v>99.99</v>
      </c>
      <c r="D12" s="42">
        <v>90868.680000000008</v>
      </c>
      <c r="E12" s="43">
        <v>7572.39</v>
      </c>
      <c r="F12" s="44">
        <v>912</v>
      </c>
      <c r="G12" s="44">
        <v>76</v>
      </c>
      <c r="H12" s="44">
        <v>190</v>
      </c>
      <c r="I12" s="45">
        <v>4.4000000000000004</v>
      </c>
      <c r="J12" s="45" t="s">
        <v>402</v>
      </c>
      <c r="K12" s="56" t="str">
        <f t="shared" si="0"/>
        <v>https://amazon.com/dp/B08Y5S32YV</v>
      </c>
    </row>
    <row r="13" spans="1:11" ht="45" customHeight="1" x14ac:dyDescent="0.2">
      <c r="A13" s="18" t="s">
        <v>403</v>
      </c>
      <c r="B13" s="18" t="s">
        <v>404</v>
      </c>
      <c r="C13" s="41">
        <v>89.99</v>
      </c>
      <c r="D13" s="42">
        <v>79711.92</v>
      </c>
      <c r="E13" s="43">
        <v>6642.66</v>
      </c>
      <c r="F13" s="44">
        <v>948</v>
      </c>
      <c r="G13" s="44">
        <v>79</v>
      </c>
      <c r="H13" s="44">
        <v>156</v>
      </c>
      <c r="I13" s="45">
        <v>4.5999999999999996</v>
      </c>
      <c r="J13" s="45" t="s">
        <v>405</v>
      </c>
      <c r="K13" s="56" t="str">
        <f t="shared" si="0"/>
        <v>https://amazon.com/dp/B0D8SDT9HT</v>
      </c>
    </row>
    <row r="14" spans="1:11" ht="45" customHeight="1" x14ac:dyDescent="0.2">
      <c r="A14" s="18" t="s">
        <v>406</v>
      </c>
      <c r="B14" s="18" t="s">
        <v>407</v>
      </c>
      <c r="C14" s="41">
        <v>299.99</v>
      </c>
      <c r="D14" s="42">
        <v>78428.759999999995</v>
      </c>
      <c r="E14" s="43">
        <v>6535.73</v>
      </c>
      <c r="F14" s="44">
        <v>264</v>
      </c>
      <c r="G14" s="44">
        <v>22</v>
      </c>
      <c r="H14" s="44">
        <v>60</v>
      </c>
      <c r="I14" s="45">
        <v>4.4000000000000004</v>
      </c>
      <c r="J14" s="45" t="s">
        <v>408</v>
      </c>
      <c r="K14" s="56" t="str">
        <f t="shared" si="0"/>
        <v>https://amazon.com/dp/B0FJLPG74M</v>
      </c>
    </row>
    <row r="15" spans="1:11" ht="45" customHeight="1" x14ac:dyDescent="0.2">
      <c r="A15" s="18" t="s">
        <v>409</v>
      </c>
      <c r="B15" s="18" t="s">
        <v>410</v>
      </c>
      <c r="C15" s="41">
        <v>266.73</v>
      </c>
      <c r="D15" s="42">
        <v>76965.600000000006</v>
      </c>
      <c r="E15" s="43">
        <v>6413.8</v>
      </c>
      <c r="F15" s="44">
        <v>252</v>
      </c>
      <c r="G15" s="44">
        <v>21</v>
      </c>
      <c r="H15" s="44">
        <v>526</v>
      </c>
      <c r="I15" s="45">
        <v>4.3</v>
      </c>
      <c r="J15" s="45" t="s">
        <v>411</v>
      </c>
      <c r="K15" s="56" t="str">
        <f t="shared" si="0"/>
        <v>https://amazon.com/dp/B0CZQCQFPZ</v>
      </c>
    </row>
    <row r="16" spans="1:11" ht="45" customHeight="1" x14ac:dyDescent="0.2">
      <c r="A16" s="18" t="s">
        <v>412</v>
      </c>
      <c r="B16" s="18" t="s">
        <v>413</v>
      </c>
      <c r="C16" s="41">
        <v>139.99</v>
      </c>
      <c r="D16" s="42">
        <v>71945.52</v>
      </c>
      <c r="E16" s="43">
        <v>5995.46</v>
      </c>
      <c r="F16" s="44">
        <v>492</v>
      </c>
      <c r="G16" s="44">
        <v>41</v>
      </c>
      <c r="H16" s="44">
        <v>75</v>
      </c>
      <c r="I16" s="45">
        <v>4.4000000000000004</v>
      </c>
      <c r="J16" s="45" t="s">
        <v>414</v>
      </c>
      <c r="K16" s="56" t="str">
        <f t="shared" si="0"/>
        <v>https://amazon.com/dp/B0FHGMHLJR</v>
      </c>
    </row>
    <row r="17" spans="1:11" ht="45" customHeight="1" x14ac:dyDescent="0.2">
      <c r="A17" s="18" t="s">
        <v>415</v>
      </c>
      <c r="B17" s="18" t="s">
        <v>416</v>
      </c>
      <c r="C17" s="41">
        <v>139.99</v>
      </c>
      <c r="D17" s="42">
        <v>62609.16</v>
      </c>
      <c r="E17" s="43">
        <v>5217.43</v>
      </c>
      <c r="F17" s="44">
        <v>444</v>
      </c>
      <c r="G17" s="44">
        <v>37</v>
      </c>
      <c r="H17" s="44">
        <v>91</v>
      </c>
      <c r="I17" s="45">
        <v>4.7</v>
      </c>
      <c r="J17" s="45" t="s">
        <v>417</v>
      </c>
      <c r="K17" s="56" t="str">
        <f t="shared" si="0"/>
        <v>https://amazon.com/dp/B0DSVY5LQD</v>
      </c>
    </row>
    <row r="18" spans="1:11" ht="45" customHeight="1" x14ac:dyDescent="0.2">
      <c r="A18" s="18" t="s">
        <v>418</v>
      </c>
      <c r="B18" s="18" t="s">
        <v>419</v>
      </c>
      <c r="C18" s="41">
        <v>129.99</v>
      </c>
      <c r="D18" s="42">
        <v>62571.240000000013</v>
      </c>
      <c r="E18" s="43">
        <v>5214.2700000000004</v>
      </c>
      <c r="F18" s="44">
        <v>480</v>
      </c>
      <c r="G18" s="44">
        <v>40</v>
      </c>
      <c r="H18" s="44">
        <v>189</v>
      </c>
      <c r="I18" s="45">
        <v>4.4000000000000004</v>
      </c>
      <c r="J18" s="45" t="s">
        <v>420</v>
      </c>
      <c r="K18" s="56" t="str">
        <f t="shared" si="0"/>
        <v>https://amazon.com/dp/B0DT95GVP1</v>
      </c>
    </row>
    <row r="19" spans="1:11" ht="45" customHeight="1" x14ac:dyDescent="0.2">
      <c r="A19" s="18" t="s">
        <v>421</v>
      </c>
      <c r="B19" s="18" t="s">
        <v>422</v>
      </c>
      <c r="C19" s="41">
        <v>329.99</v>
      </c>
      <c r="D19" s="42">
        <v>60835.92</v>
      </c>
      <c r="E19" s="43">
        <v>5069.66</v>
      </c>
      <c r="F19" s="44">
        <v>180</v>
      </c>
      <c r="G19" s="44">
        <v>15</v>
      </c>
      <c r="H19" s="44">
        <v>20</v>
      </c>
      <c r="I19" s="45">
        <v>4.8</v>
      </c>
      <c r="J19" s="45" t="s">
        <v>423</v>
      </c>
      <c r="K19" s="56" t="str">
        <f t="shared" si="0"/>
        <v>https://amazon.com/dp/B0FJLL4LY1</v>
      </c>
    </row>
    <row r="20" spans="1:11" ht="45" customHeight="1" x14ac:dyDescent="0.2">
      <c r="A20" s="18" t="s">
        <v>424</v>
      </c>
      <c r="B20" s="18" t="s">
        <v>425</v>
      </c>
      <c r="C20" s="41">
        <v>89.99</v>
      </c>
      <c r="D20" s="42">
        <v>55931.519999999997</v>
      </c>
      <c r="E20" s="43">
        <v>4660.96</v>
      </c>
      <c r="F20" s="44">
        <v>576</v>
      </c>
      <c r="G20" s="44">
        <v>48</v>
      </c>
      <c r="H20" s="44">
        <v>91</v>
      </c>
      <c r="I20" s="45">
        <v>4.7</v>
      </c>
      <c r="J20" s="45" t="s">
        <v>426</v>
      </c>
      <c r="K20" s="56" t="str">
        <f t="shared" si="0"/>
        <v>https://amazon.com/dp/B0FPX7QDCS</v>
      </c>
    </row>
    <row r="21" spans="1:11" ht="45" customHeight="1" x14ac:dyDescent="0.2">
      <c r="A21" s="18" t="s">
        <v>427</v>
      </c>
      <c r="B21" s="18" t="s">
        <v>428</v>
      </c>
      <c r="C21" s="41">
        <v>799.99</v>
      </c>
      <c r="D21" s="42">
        <v>53914.8</v>
      </c>
      <c r="E21" s="43">
        <v>4492.8999999999996</v>
      </c>
      <c r="F21" s="44">
        <v>72</v>
      </c>
      <c r="G21" s="44">
        <v>6</v>
      </c>
      <c r="H21" s="44">
        <v>20</v>
      </c>
      <c r="I21" s="45">
        <v>4.8</v>
      </c>
      <c r="J21" s="45" t="s">
        <v>429</v>
      </c>
      <c r="K21" s="56" t="str">
        <f t="shared" si="0"/>
        <v>https://amazon.com/dp/B0FLNJ8CNL</v>
      </c>
    </row>
    <row r="22" spans="1:11" ht="45" customHeight="1" x14ac:dyDescent="0.2">
      <c r="A22" s="18" t="s">
        <v>430</v>
      </c>
      <c r="B22" s="18" t="s">
        <v>431</v>
      </c>
      <c r="C22" s="41">
        <v>79.989999999999995</v>
      </c>
      <c r="D22" s="42">
        <v>50456.28</v>
      </c>
      <c r="E22" s="43">
        <v>4204.6899999999996</v>
      </c>
      <c r="F22" s="44">
        <v>636</v>
      </c>
      <c r="G22" s="44">
        <v>53</v>
      </c>
      <c r="H22" s="44">
        <v>41</v>
      </c>
      <c r="I22" s="45">
        <v>4.4000000000000004</v>
      </c>
      <c r="J22" s="45" t="s">
        <v>432</v>
      </c>
      <c r="K22" s="56" t="str">
        <f t="shared" si="0"/>
        <v>https://amazon.com/dp/B0FN38759M</v>
      </c>
    </row>
    <row r="23" spans="1:11" ht="45" customHeight="1" x14ac:dyDescent="0.2">
      <c r="A23" s="18" t="s">
        <v>433</v>
      </c>
      <c r="B23" s="18" t="s">
        <v>434</v>
      </c>
      <c r="C23" s="41">
        <v>109.99</v>
      </c>
      <c r="D23" s="42">
        <v>48282.239999999998</v>
      </c>
      <c r="E23" s="43">
        <v>4023.52</v>
      </c>
      <c r="F23" s="44">
        <v>444</v>
      </c>
      <c r="G23" s="44">
        <v>37</v>
      </c>
      <c r="H23" s="44">
        <v>189</v>
      </c>
      <c r="I23" s="45">
        <v>4.4000000000000004</v>
      </c>
      <c r="J23" s="45" t="s">
        <v>435</v>
      </c>
      <c r="K23" s="56" t="str">
        <f t="shared" si="0"/>
        <v>https://amazon.com/dp/B0F5W6HJF8</v>
      </c>
    </row>
    <row r="24" spans="1:11" ht="45" customHeight="1" x14ac:dyDescent="0.2">
      <c r="A24" s="18" t="s">
        <v>436</v>
      </c>
      <c r="B24" s="18" t="s">
        <v>437</v>
      </c>
      <c r="C24" s="41">
        <v>599.99</v>
      </c>
      <c r="D24" s="42">
        <v>48270.48</v>
      </c>
      <c r="E24" s="43">
        <v>4022.54</v>
      </c>
      <c r="F24" s="44">
        <v>84</v>
      </c>
      <c r="G24" s="44">
        <v>7</v>
      </c>
      <c r="H24" s="44">
        <v>1</v>
      </c>
      <c r="I24" s="45">
        <v>5</v>
      </c>
      <c r="J24" s="45" t="s">
        <v>438</v>
      </c>
      <c r="K24" s="56" t="str">
        <f t="shared" si="0"/>
        <v>https://amazon.com/dp/B0CP6P5C3M</v>
      </c>
    </row>
    <row r="25" spans="1:11" ht="45" customHeight="1" x14ac:dyDescent="0.2">
      <c r="A25" s="18" t="s">
        <v>439</v>
      </c>
      <c r="B25" s="18" t="s">
        <v>440</v>
      </c>
      <c r="C25" s="41">
        <v>139.99</v>
      </c>
      <c r="D25" s="42">
        <v>43716.84</v>
      </c>
      <c r="E25" s="43">
        <v>3643.07</v>
      </c>
      <c r="F25" s="44">
        <v>312</v>
      </c>
      <c r="G25" s="44">
        <v>26</v>
      </c>
      <c r="H25" s="44">
        <v>91</v>
      </c>
      <c r="I25" s="45">
        <v>4.7</v>
      </c>
      <c r="J25" s="45" t="s">
        <v>441</v>
      </c>
      <c r="K25" s="56" t="str">
        <f t="shared" si="0"/>
        <v>https://amazon.com/dp/B0FJLQJ18V</v>
      </c>
    </row>
    <row r="26" spans="1:11" ht="45" customHeight="1" x14ac:dyDescent="0.2">
      <c r="A26" s="18" t="s">
        <v>442</v>
      </c>
      <c r="B26" s="18" t="s">
        <v>443</v>
      </c>
      <c r="C26" s="41">
        <v>249.99</v>
      </c>
      <c r="D26" s="42">
        <v>25198.080000000002</v>
      </c>
      <c r="E26" s="43">
        <v>2099.84</v>
      </c>
      <c r="F26" s="44">
        <v>84</v>
      </c>
      <c r="G26" s="44">
        <v>7</v>
      </c>
      <c r="H26" s="44"/>
      <c r="I26" s="45"/>
      <c r="J26" s="45" t="s">
        <v>444</v>
      </c>
      <c r="K26" s="56" t="str">
        <f t="shared" si="0"/>
        <v>https://amazon.com/dp/B0FJFD212D</v>
      </c>
    </row>
    <row r="27" spans="1:11" ht="45" customHeight="1" x14ac:dyDescent="0.2">
      <c r="A27" s="18" t="s">
        <v>445</v>
      </c>
      <c r="B27" s="18" t="s">
        <v>446</v>
      </c>
      <c r="C27" s="41">
        <v>99.99</v>
      </c>
      <c r="D27" s="42">
        <v>22900.68</v>
      </c>
      <c r="E27" s="43">
        <v>1908.39</v>
      </c>
      <c r="F27" s="44">
        <v>240</v>
      </c>
      <c r="G27" s="44">
        <v>20</v>
      </c>
      <c r="H27" s="44">
        <v>156</v>
      </c>
      <c r="I27" s="45">
        <v>4.5999999999999996</v>
      </c>
      <c r="J27" s="45" t="s">
        <v>447</v>
      </c>
      <c r="K27" s="56" t="str">
        <f t="shared" si="0"/>
        <v>https://amazon.com/dp/B0DXFBLWLJ</v>
      </c>
    </row>
    <row r="28" spans="1:11" ht="45" customHeight="1" x14ac:dyDescent="0.2">
      <c r="A28" s="18" t="s">
        <v>448</v>
      </c>
      <c r="B28" s="18" t="s">
        <v>449</v>
      </c>
      <c r="C28" s="41">
        <v>119.99</v>
      </c>
      <c r="D28" s="42">
        <v>14951.64</v>
      </c>
      <c r="E28" s="43">
        <v>1245.97</v>
      </c>
      <c r="F28" s="44">
        <v>120</v>
      </c>
      <c r="G28" s="44">
        <v>10</v>
      </c>
      <c r="H28" s="44">
        <v>156</v>
      </c>
      <c r="I28" s="45">
        <v>4.5999999999999996</v>
      </c>
      <c r="J28" s="45" t="s">
        <v>450</v>
      </c>
      <c r="K28" s="56" t="str">
        <f t="shared" si="0"/>
        <v>https://amazon.com/dp/B0FHCQYXRP</v>
      </c>
    </row>
    <row r="29" spans="1:11" ht="45" customHeight="1" x14ac:dyDescent="0.2">
      <c r="A29" s="18" t="s">
        <v>451</v>
      </c>
      <c r="B29" s="18" t="s">
        <v>452</v>
      </c>
      <c r="C29" s="41">
        <v>98.99</v>
      </c>
      <c r="D29" s="42"/>
      <c r="E29" s="43"/>
      <c r="F29" s="44">
        <v>0</v>
      </c>
      <c r="G29" s="44">
        <v>0</v>
      </c>
      <c r="H29" s="44">
        <v>63</v>
      </c>
      <c r="I29" s="45">
        <v>4.5</v>
      </c>
      <c r="J29" s="45" t="s">
        <v>453</v>
      </c>
      <c r="K29" s="56" t="str">
        <f t="shared" si="0"/>
        <v>https://amazon.com/dp/B0FX4FQC6Y</v>
      </c>
    </row>
    <row r="30" spans="1:11" ht="17" customHeight="1" x14ac:dyDescent="0.2">
      <c r="A30" s="21" t="s">
        <v>291</v>
      </c>
      <c r="B30" s="21"/>
      <c r="C30" s="57"/>
      <c r="D30" s="58">
        <f>SUM(D9:D29)</f>
        <v>1735260.84</v>
      </c>
      <c r="E30" s="58">
        <f>SUM(E9:E29)</f>
        <v>144605.07000000004</v>
      </c>
      <c r="F30" s="59"/>
      <c r="G30" s="59"/>
      <c r="H30" s="59"/>
      <c r="I30" s="60"/>
      <c r="J30" s="21"/>
      <c r="K30" s="20"/>
    </row>
    <row r="33" spans="1:11" x14ac:dyDescent="0.2">
      <c r="A33" s="121" t="s">
        <v>329</v>
      </c>
      <c r="B33" s="117"/>
      <c r="C33" s="118"/>
      <c r="D33" s="118"/>
      <c r="E33" s="119"/>
      <c r="F33" s="119"/>
      <c r="G33" s="119"/>
      <c r="H33" s="120"/>
      <c r="I33" s="117"/>
      <c r="J33" s="117"/>
      <c r="K33" s="117"/>
    </row>
    <row r="34" spans="1:11" ht="17" customHeight="1" x14ac:dyDescent="0.2">
      <c r="A34" s="24" t="s">
        <v>29</v>
      </c>
      <c r="B34" s="25" t="s">
        <v>28</v>
      </c>
      <c r="C34" s="26" t="s">
        <v>286</v>
      </c>
      <c r="D34" s="27" t="s">
        <v>4</v>
      </c>
      <c r="E34" s="25" t="s">
        <v>3</v>
      </c>
      <c r="F34" s="29" t="s">
        <v>22</v>
      </c>
      <c r="G34" s="32" t="s">
        <v>5</v>
      </c>
      <c r="H34" s="29" t="s">
        <v>39</v>
      </c>
      <c r="I34" s="30" t="s">
        <v>327</v>
      </c>
      <c r="J34" s="30" t="s">
        <v>328</v>
      </c>
      <c r="K34" s="31" t="s">
        <v>42</v>
      </c>
    </row>
    <row r="35" spans="1:11" ht="45" customHeight="1" x14ac:dyDescent="0.2">
      <c r="A35" s="18" t="s">
        <v>391</v>
      </c>
      <c r="B35" s="18" t="s">
        <v>392</v>
      </c>
      <c r="C35" s="41">
        <v>299.99</v>
      </c>
      <c r="D35" s="42">
        <v>324720.48</v>
      </c>
      <c r="E35" s="42">
        <v>27060.04</v>
      </c>
      <c r="F35" s="44">
        <v>1140</v>
      </c>
      <c r="G35" s="46">
        <v>95</v>
      </c>
      <c r="H35" s="44">
        <v>60</v>
      </c>
      <c r="I35" s="45">
        <v>4.4000000000000004</v>
      </c>
      <c r="J35" s="45" t="s">
        <v>393</v>
      </c>
      <c r="K35" s="56" t="str">
        <f t="shared" ref="K35:K55" si="1">HYPERLINK(J35)</f>
        <v>https://amazon.com/dp/B0DSW1DKTZ</v>
      </c>
    </row>
    <row r="36" spans="1:11" ht="45" customHeight="1" x14ac:dyDescent="0.2">
      <c r="A36" s="18" t="s">
        <v>394</v>
      </c>
      <c r="B36" s="18" t="s">
        <v>395</v>
      </c>
      <c r="C36" s="41">
        <v>265.98</v>
      </c>
      <c r="D36" s="42">
        <v>299489.40000000002</v>
      </c>
      <c r="E36" s="42">
        <v>24957.45</v>
      </c>
      <c r="F36" s="44">
        <v>1032</v>
      </c>
      <c r="G36" s="46">
        <v>86</v>
      </c>
      <c r="H36" s="44">
        <v>526</v>
      </c>
      <c r="I36" s="45">
        <v>4.3</v>
      </c>
      <c r="J36" s="45" t="s">
        <v>396</v>
      </c>
      <c r="K36" s="56" t="str">
        <f t="shared" si="1"/>
        <v>https://amazon.com/dp/B0C64RBKJL</v>
      </c>
    </row>
    <row r="37" spans="1:11" ht="45" customHeight="1" x14ac:dyDescent="0.2">
      <c r="A37" s="18" t="s">
        <v>403</v>
      </c>
      <c r="B37" s="18" t="s">
        <v>404</v>
      </c>
      <c r="C37" s="41">
        <v>89.99</v>
      </c>
      <c r="D37" s="42">
        <v>79711.92</v>
      </c>
      <c r="E37" s="42">
        <v>6642.66</v>
      </c>
      <c r="F37" s="44">
        <v>948</v>
      </c>
      <c r="G37" s="46">
        <v>79</v>
      </c>
      <c r="H37" s="44">
        <v>156</v>
      </c>
      <c r="I37" s="45">
        <v>4.5999999999999996</v>
      </c>
      <c r="J37" s="45" t="s">
        <v>405</v>
      </c>
      <c r="K37" s="56" t="str">
        <f t="shared" si="1"/>
        <v>https://amazon.com/dp/B0D8SDT9HT</v>
      </c>
    </row>
    <row r="38" spans="1:11" ht="45" customHeight="1" x14ac:dyDescent="0.2">
      <c r="A38" s="18" t="s">
        <v>400</v>
      </c>
      <c r="B38" s="18" t="s">
        <v>401</v>
      </c>
      <c r="C38" s="41">
        <v>99.99</v>
      </c>
      <c r="D38" s="42">
        <v>90868.680000000008</v>
      </c>
      <c r="E38" s="42">
        <v>7572.39</v>
      </c>
      <c r="F38" s="44">
        <v>912</v>
      </c>
      <c r="G38" s="46">
        <v>76</v>
      </c>
      <c r="H38" s="44">
        <v>190</v>
      </c>
      <c r="I38" s="45">
        <v>4.4000000000000004</v>
      </c>
      <c r="J38" s="45" t="s">
        <v>402</v>
      </c>
      <c r="K38" s="56" t="str">
        <f t="shared" si="1"/>
        <v>https://amazon.com/dp/B08Y5S32YV</v>
      </c>
    </row>
    <row r="39" spans="1:11" ht="45" customHeight="1" x14ac:dyDescent="0.2">
      <c r="A39" s="18" t="s">
        <v>430</v>
      </c>
      <c r="B39" s="18" t="s">
        <v>431</v>
      </c>
      <c r="C39" s="41">
        <v>79.989999999999995</v>
      </c>
      <c r="D39" s="42">
        <v>50456.28</v>
      </c>
      <c r="E39" s="42">
        <v>4204.6899999999996</v>
      </c>
      <c r="F39" s="44">
        <v>636</v>
      </c>
      <c r="G39" s="46">
        <v>53</v>
      </c>
      <c r="H39" s="44">
        <v>41</v>
      </c>
      <c r="I39" s="45">
        <v>4.4000000000000004</v>
      </c>
      <c r="J39" s="45" t="s">
        <v>432</v>
      </c>
      <c r="K39" s="56" t="str">
        <f t="shared" si="1"/>
        <v>https://amazon.com/dp/B0FN38759M</v>
      </c>
    </row>
    <row r="40" spans="1:11" ht="45" customHeight="1" x14ac:dyDescent="0.2">
      <c r="A40" s="18" t="s">
        <v>424</v>
      </c>
      <c r="B40" s="18" t="s">
        <v>425</v>
      </c>
      <c r="C40" s="41">
        <v>89.99</v>
      </c>
      <c r="D40" s="42">
        <v>55931.519999999997</v>
      </c>
      <c r="E40" s="42">
        <v>4660.96</v>
      </c>
      <c r="F40" s="44">
        <v>576</v>
      </c>
      <c r="G40" s="46">
        <v>48</v>
      </c>
      <c r="H40" s="44">
        <v>91</v>
      </c>
      <c r="I40" s="45">
        <v>4.7</v>
      </c>
      <c r="J40" s="45" t="s">
        <v>426</v>
      </c>
      <c r="K40" s="56" t="str">
        <f t="shared" si="1"/>
        <v>https://amazon.com/dp/B0FPX7QDCS</v>
      </c>
    </row>
    <row r="41" spans="1:11" ht="45" customHeight="1" x14ac:dyDescent="0.2">
      <c r="A41" s="18" t="s">
        <v>412</v>
      </c>
      <c r="B41" s="18" t="s">
        <v>413</v>
      </c>
      <c r="C41" s="41">
        <v>139.99</v>
      </c>
      <c r="D41" s="42">
        <v>71945.52</v>
      </c>
      <c r="E41" s="42">
        <v>5995.46</v>
      </c>
      <c r="F41" s="44">
        <v>492</v>
      </c>
      <c r="G41" s="46">
        <v>41</v>
      </c>
      <c r="H41" s="44">
        <v>75</v>
      </c>
      <c r="I41" s="45">
        <v>4.4000000000000004</v>
      </c>
      <c r="J41" s="45" t="s">
        <v>414</v>
      </c>
      <c r="K41" s="56" t="str">
        <f t="shared" si="1"/>
        <v>https://amazon.com/dp/B0FHGMHLJR</v>
      </c>
    </row>
    <row r="42" spans="1:11" ht="45" customHeight="1" x14ac:dyDescent="0.2">
      <c r="A42" s="18" t="s">
        <v>418</v>
      </c>
      <c r="B42" s="18" t="s">
        <v>419</v>
      </c>
      <c r="C42" s="41">
        <v>129.99</v>
      </c>
      <c r="D42" s="42">
        <v>62571.240000000013</v>
      </c>
      <c r="E42" s="42">
        <v>5214.2700000000004</v>
      </c>
      <c r="F42" s="44">
        <v>480</v>
      </c>
      <c r="G42" s="46">
        <v>40</v>
      </c>
      <c r="H42" s="44">
        <v>189</v>
      </c>
      <c r="I42" s="45">
        <v>4.4000000000000004</v>
      </c>
      <c r="J42" s="45" t="s">
        <v>420</v>
      </c>
      <c r="K42" s="56" t="str">
        <f t="shared" si="1"/>
        <v>https://amazon.com/dp/B0DT95GVP1</v>
      </c>
    </row>
    <row r="43" spans="1:11" ht="45" customHeight="1" x14ac:dyDescent="0.2">
      <c r="A43" s="18" t="s">
        <v>433</v>
      </c>
      <c r="B43" s="18" t="s">
        <v>434</v>
      </c>
      <c r="C43" s="41">
        <v>109.99</v>
      </c>
      <c r="D43" s="42">
        <v>48282.239999999998</v>
      </c>
      <c r="E43" s="42">
        <v>4023.52</v>
      </c>
      <c r="F43" s="44">
        <v>444</v>
      </c>
      <c r="G43" s="46">
        <v>37</v>
      </c>
      <c r="H43" s="44">
        <v>189</v>
      </c>
      <c r="I43" s="45">
        <v>4.4000000000000004</v>
      </c>
      <c r="J43" s="45" t="s">
        <v>435</v>
      </c>
      <c r="K43" s="56" t="str">
        <f t="shared" si="1"/>
        <v>https://amazon.com/dp/B0F5W6HJF8</v>
      </c>
    </row>
    <row r="44" spans="1:11" ht="45" customHeight="1" x14ac:dyDescent="0.2">
      <c r="A44" s="18" t="s">
        <v>415</v>
      </c>
      <c r="B44" s="18" t="s">
        <v>416</v>
      </c>
      <c r="C44" s="41">
        <v>139.99</v>
      </c>
      <c r="D44" s="42">
        <v>62609.16</v>
      </c>
      <c r="E44" s="42">
        <v>5217.43</v>
      </c>
      <c r="F44" s="44">
        <v>444</v>
      </c>
      <c r="G44" s="46">
        <v>37</v>
      </c>
      <c r="H44" s="44">
        <v>91</v>
      </c>
      <c r="I44" s="45">
        <v>4.7</v>
      </c>
      <c r="J44" s="45" t="s">
        <v>417</v>
      </c>
      <c r="K44" s="56" t="str">
        <f t="shared" si="1"/>
        <v>https://amazon.com/dp/B0DSVY5LQD</v>
      </c>
    </row>
    <row r="45" spans="1:11" ht="45" customHeight="1" x14ac:dyDescent="0.2">
      <c r="A45" s="18" t="s">
        <v>397</v>
      </c>
      <c r="B45" s="18" t="s">
        <v>398</v>
      </c>
      <c r="C45" s="41">
        <v>379.99</v>
      </c>
      <c r="D45" s="42">
        <v>163491.6</v>
      </c>
      <c r="E45" s="42">
        <v>13624.3</v>
      </c>
      <c r="F45" s="44">
        <v>432</v>
      </c>
      <c r="G45" s="46">
        <v>36</v>
      </c>
      <c r="H45" s="44">
        <v>33</v>
      </c>
      <c r="I45" s="45">
        <v>4.7</v>
      </c>
      <c r="J45" s="45" t="s">
        <v>399</v>
      </c>
      <c r="K45" s="56" t="str">
        <f t="shared" si="1"/>
        <v>https://amazon.com/dp/B0F8BN91TL</v>
      </c>
    </row>
    <row r="46" spans="1:11" ht="45" customHeight="1" x14ac:dyDescent="0.2">
      <c r="A46" s="18" t="s">
        <v>439</v>
      </c>
      <c r="B46" s="18" t="s">
        <v>440</v>
      </c>
      <c r="C46" s="41">
        <v>139.99</v>
      </c>
      <c r="D46" s="42">
        <v>43716.84</v>
      </c>
      <c r="E46" s="42">
        <v>3643.07</v>
      </c>
      <c r="F46" s="44">
        <v>312</v>
      </c>
      <c r="G46" s="46">
        <v>26</v>
      </c>
      <c r="H46" s="44">
        <v>91</v>
      </c>
      <c r="I46" s="45">
        <v>4.7</v>
      </c>
      <c r="J46" s="45" t="s">
        <v>441</v>
      </c>
      <c r="K46" s="56" t="str">
        <f t="shared" si="1"/>
        <v>https://amazon.com/dp/B0FJLQJ18V</v>
      </c>
    </row>
    <row r="47" spans="1:11" ht="45" customHeight="1" x14ac:dyDescent="0.2">
      <c r="A47" s="18" t="s">
        <v>406</v>
      </c>
      <c r="B47" s="18" t="s">
        <v>407</v>
      </c>
      <c r="C47" s="41">
        <v>299.99</v>
      </c>
      <c r="D47" s="42">
        <v>78428.759999999995</v>
      </c>
      <c r="E47" s="42">
        <v>6535.73</v>
      </c>
      <c r="F47" s="44">
        <v>264</v>
      </c>
      <c r="G47" s="46">
        <v>22</v>
      </c>
      <c r="H47" s="44">
        <v>60</v>
      </c>
      <c r="I47" s="45">
        <v>4.4000000000000004</v>
      </c>
      <c r="J47" s="45" t="s">
        <v>408</v>
      </c>
      <c r="K47" s="56" t="str">
        <f t="shared" si="1"/>
        <v>https://amazon.com/dp/B0FJLPG74M</v>
      </c>
    </row>
    <row r="48" spans="1:11" ht="45" customHeight="1" x14ac:dyDescent="0.2">
      <c r="A48" s="18" t="s">
        <v>409</v>
      </c>
      <c r="B48" s="18" t="s">
        <v>410</v>
      </c>
      <c r="C48" s="41">
        <v>266.73</v>
      </c>
      <c r="D48" s="42">
        <v>76965.600000000006</v>
      </c>
      <c r="E48" s="42">
        <v>6413.8</v>
      </c>
      <c r="F48" s="44">
        <v>252</v>
      </c>
      <c r="G48" s="46">
        <v>21</v>
      </c>
      <c r="H48" s="44">
        <v>526</v>
      </c>
      <c r="I48" s="45">
        <v>4.3</v>
      </c>
      <c r="J48" s="45" t="s">
        <v>411</v>
      </c>
      <c r="K48" s="56" t="str">
        <f t="shared" si="1"/>
        <v>https://amazon.com/dp/B0CZQCQFPZ</v>
      </c>
    </row>
    <row r="49" spans="1:11" ht="45" customHeight="1" x14ac:dyDescent="0.2">
      <c r="A49" s="18" t="s">
        <v>445</v>
      </c>
      <c r="B49" s="18" t="s">
        <v>446</v>
      </c>
      <c r="C49" s="41">
        <v>99.99</v>
      </c>
      <c r="D49" s="42">
        <v>22900.68</v>
      </c>
      <c r="E49" s="42">
        <v>1908.39</v>
      </c>
      <c r="F49" s="44">
        <v>240</v>
      </c>
      <c r="G49" s="46">
        <v>20</v>
      </c>
      <c r="H49" s="44">
        <v>156</v>
      </c>
      <c r="I49" s="45">
        <v>4.5999999999999996</v>
      </c>
      <c r="J49" s="45" t="s">
        <v>447</v>
      </c>
      <c r="K49" s="56" t="str">
        <f t="shared" si="1"/>
        <v>https://amazon.com/dp/B0DXFBLWLJ</v>
      </c>
    </row>
    <row r="50" spans="1:11" ht="45" customHeight="1" x14ac:dyDescent="0.2">
      <c r="A50" s="18" t="s">
        <v>421</v>
      </c>
      <c r="B50" s="18" t="s">
        <v>422</v>
      </c>
      <c r="C50" s="41">
        <v>329.99</v>
      </c>
      <c r="D50" s="42">
        <v>60835.92</v>
      </c>
      <c r="E50" s="42">
        <v>5069.66</v>
      </c>
      <c r="F50" s="44">
        <v>180</v>
      </c>
      <c r="G50" s="46">
        <v>15</v>
      </c>
      <c r="H50" s="44">
        <v>20</v>
      </c>
      <c r="I50" s="45">
        <v>4.8</v>
      </c>
      <c r="J50" s="45" t="s">
        <v>423</v>
      </c>
      <c r="K50" s="56" t="str">
        <f t="shared" si="1"/>
        <v>https://amazon.com/dp/B0FJLL4LY1</v>
      </c>
    </row>
    <row r="51" spans="1:11" ht="45" customHeight="1" x14ac:dyDescent="0.2">
      <c r="A51" s="18" t="s">
        <v>448</v>
      </c>
      <c r="B51" s="18" t="s">
        <v>449</v>
      </c>
      <c r="C51" s="41">
        <v>119.99</v>
      </c>
      <c r="D51" s="42">
        <v>14951.64</v>
      </c>
      <c r="E51" s="42">
        <v>1245.97</v>
      </c>
      <c r="F51" s="44">
        <v>120</v>
      </c>
      <c r="G51" s="46">
        <v>10</v>
      </c>
      <c r="H51" s="44">
        <v>156</v>
      </c>
      <c r="I51" s="45">
        <v>4.5999999999999996</v>
      </c>
      <c r="J51" s="45" t="s">
        <v>450</v>
      </c>
      <c r="K51" s="56" t="str">
        <f t="shared" si="1"/>
        <v>https://amazon.com/dp/B0FHCQYXRP</v>
      </c>
    </row>
    <row r="52" spans="1:11" ht="45" customHeight="1" x14ac:dyDescent="0.2">
      <c r="A52" s="18" t="s">
        <v>436</v>
      </c>
      <c r="B52" s="18" t="s">
        <v>437</v>
      </c>
      <c r="C52" s="41">
        <v>599.99</v>
      </c>
      <c r="D52" s="42">
        <v>48270.48</v>
      </c>
      <c r="E52" s="42">
        <v>4022.54</v>
      </c>
      <c r="F52" s="44">
        <v>84</v>
      </c>
      <c r="G52" s="46">
        <v>7</v>
      </c>
      <c r="H52" s="44">
        <v>1</v>
      </c>
      <c r="I52" s="45">
        <v>5</v>
      </c>
      <c r="J52" s="45" t="s">
        <v>438</v>
      </c>
      <c r="K52" s="56" t="str">
        <f t="shared" si="1"/>
        <v>https://amazon.com/dp/B0CP6P5C3M</v>
      </c>
    </row>
    <row r="53" spans="1:11" ht="45" customHeight="1" x14ac:dyDescent="0.2">
      <c r="A53" s="18" t="s">
        <v>442</v>
      </c>
      <c r="B53" s="18" t="s">
        <v>443</v>
      </c>
      <c r="C53" s="41">
        <v>249.99</v>
      </c>
      <c r="D53" s="42">
        <v>25198.080000000002</v>
      </c>
      <c r="E53" s="42">
        <v>2099.84</v>
      </c>
      <c r="F53" s="44">
        <v>84</v>
      </c>
      <c r="G53" s="46">
        <v>7</v>
      </c>
      <c r="H53" s="44"/>
      <c r="I53" s="45"/>
      <c r="J53" s="45" t="s">
        <v>444</v>
      </c>
      <c r="K53" s="56" t="str">
        <f t="shared" si="1"/>
        <v>https://amazon.com/dp/B0FJFD212D</v>
      </c>
    </row>
    <row r="54" spans="1:11" ht="45" customHeight="1" x14ac:dyDescent="0.2">
      <c r="A54" s="18" t="s">
        <v>427</v>
      </c>
      <c r="B54" s="18" t="s">
        <v>428</v>
      </c>
      <c r="C54" s="41">
        <v>799.99</v>
      </c>
      <c r="D54" s="42">
        <v>53914.8</v>
      </c>
      <c r="E54" s="42">
        <v>4492.8999999999996</v>
      </c>
      <c r="F54" s="44">
        <v>72</v>
      </c>
      <c r="G54" s="46">
        <v>6</v>
      </c>
      <c r="H54" s="44">
        <v>20</v>
      </c>
      <c r="I54" s="45">
        <v>4.8</v>
      </c>
      <c r="J54" s="45" t="s">
        <v>429</v>
      </c>
      <c r="K54" s="56" t="str">
        <f t="shared" si="1"/>
        <v>https://amazon.com/dp/B0FLNJ8CNL</v>
      </c>
    </row>
    <row r="55" spans="1:11" ht="45" customHeight="1" x14ac:dyDescent="0.2">
      <c r="A55" s="18" t="s">
        <v>451</v>
      </c>
      <c r="B55" s="18" t="s">
        <v>452</v>
      </c>
      <c r="C55" s="41">
        <v>98.99</v>
      </c>
      <c r="D55" s="42"/>
      <c r="E55" s="42"/>
      <c r="F55" s="44">
        <v>0</v>
      </c>
      <c r="G55" s="46">
        <v>0</v>
      </c>
      <c r="H55" s="44">
        <v>63</v>
      </c>
      <c r="I55" s="45">
        <v>4.5</v>
      </c>
      <c r="J55" s="45" t="s">
        <v>453</v>
      </c>
      <c r="K55" s="56" t="str">
        <f t="shared" si="1"/>
        <v>https://amazon.com/dp/B0FX4FQC6Y</v>
      </c>
    </row>
    <row r="56" spans="1:11" ht="17" customHeight="1" x14ac:dyDescent="0.2">
      <c r="A56" s="21" t="s">
        <v>291</v>
      </c>
      <c r="B56" s="21"/>
      <c r="C56" s="58"/>
      <c r="D56" s="58"/>
      <c r="E56" s="58"/>
      <c r="F56" s="103">
        <f>SUM(RALCAM!F35:F55)</f>
        <v>9144</v>
      </c>
      <c r="G56" s="103">
        <f>SUM(RALCAM!G35:G55)</f>
        <v>762</v>
      </c>
      <c r="H56" s="59"/>
      <c r="I56" s="60"/>
      <c r="J56" s="21"/>
      <c r="K56" s="20"/>
    </row>
  </sheetData>
  <mergeCells count="3">
    <mergeCell ref="A33:K33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8"/>
  <sheetViews>
    <sheetView workbookViewId="0">
      <selection activeCell="L14" sqref="L14"/>
    </sheetView>
  </sheetViews>
  <sheetFormatPr baseColWidth="10" defaultColWidth="12.6640625" defaultRowHeight="16" x14ac:dyDescent="0.2"/>
  <cols>
    <col min="1" max="1" width="50.6640625" style="19" customWidth="1"/>
    <col min="2" max="2" width="12.6640625" style="19" customWidth="1"/>
    <col min="3" max="3" width="10.83203125" style="40" bestFit="1" customWidth="1"/>
    <col min="4" max="4" width="24.83203125" style="40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28.1640625" style="19" hidden="1" customWidth="1"/>
    <col min="11" max="11" width="35.6640625" style="19" customWidth="1"/>
    <col min="12" max="12" width="12.6640625" style="19" customWidth="1"/>
    <col min="13" max="16384" width="12.6640625" style="19"/>
  </cols>
  <sheetData>
    <row r="1" spans="1:11" x14ac:dyDescent="0.2">
      <c r="A1" s="122" t="e">
        <v>#VALUE!</v>
      </c>
      <c r="B1" s="117"/>
      <c r="C1" s="118"/>
      <c r="D1" s="118"/>
      <c r="E1" s="119"/>
      <c r="F1" s="119"/>
      <c r="G1" s="119"/>
      <c r="H1" s="120"/>
      <c r="I1" s="117"/>
      <c r="J1" s="117"/>
      <c r="K1" s="117"/>
    </row>
    <row r="2" spans="1:11" x14ac:dyDescent="0.2">
      <c r="A2" s="117"/>
      <c r="B2" s="117"/>
      <c r="C2" s="118"/>
      <c r="D2" s="118"/>
      <c r="E2" s="119"/>
      <c r="F2" s="119"/>
      <c r="G2" s="119"/>
      <c r="H2" s="120"/>
      <c r="I2" s="117"/>
      <c r="J2" s="117"/>
      <c r="K2" s="117"/>
    </row>
    <row r="3" spans="1:11" x14ac:dyDescent="0.2">
      <c r="A3" s="117"/>
      <c r="B3" s="117"/>
      <c r="C3" s="118"/>
      <c r="D3" s="118"/>
      <c r="E3" s="119"/>
      <c r="F3" s="119"/>
      <c r="G3" s="119"/>
      <c r="H3" s="120"/>
      <c r="I3" s="117"/>
      <c r="J3" s="117"/>
      <c r="K3" s="117"/>
    </row>
    <row r="4" spans="1:11" x14ac:dyDescent="0.2">
      <c r="A4" s="117"/>
      <c r="B4" s="117"/>
      <c r="C4" s="118"/>
      <c r="D4" s="118"/>
      <c r="E4" s="119"/>
      <c r="F4" s="119"/>
      <c r="G4" s="119"/>
      <c r="H4" s="120"/>
      <c r="I4" s="117"/>
      <c r="J4" s="117"/>
      <c r="K4" s="117"/>
    </row>
    <row r="5" spans="1:11" x14ac:dyDescent="0.2">
      <c r="A5" s="117"/>
      <c r="B5" s="117"/>
      <c r="C5" s="118"/>
      <c r="D5" s="118"/>
      <c r="E5" s="119"/>
      <c r="F5" s="119"/>
      <c r="G5" s="119"/>
      <c r="H5" s="120"/>
      <c r="I5" s="117"/>
      <c r="J5" s="117"/>
      <c r="K5" s="117"/>
    </row>
    <row r="6" spans="1:11" x14ac:dyDescent="0.2">
      <c r="B6" s="37"/>
      <c r="D6" s="37"/>
      <c r="E6" s="38"/>
      <c r="F6" s="38"/>
      <c r="G6" s="38"/>
      <c r="H6" s="39"/>
      <c r="I6" s="37"/>
    </row>
    <row r="7" spans="1:11" x14ac:dyDescent="0.2">
      <c r="A7" s="121" t="s">
        <v>375</v>
      </c>
      <c r="B7" s="117"/>
      <c r="C7" s="118"/>
      <c r="D7" s="118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5" t="s">
        <v>3</v>
      </c>
      <c r="F8" s="29" t="s">
        <v>22</v>
      </c>
      <c r="G8" s="32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44</v>
      </c>
      <c r="B9" s="18" t="s">
        <v>43</v>
      </c>
      <c r="C9" s="41">
        <v>406.6</v>
      </c>
      <c r="D9" s="42">
        <v>4685681.88</v>
      </c>
      <c r="E9" s="43">
        <v>390473.49</v>
      </c>
      <c r="F9" s="44">
        <v>10980</v>
      </c>
      <c r="G9" s="44">
        <v>915</v>
      </c>
      <c r="H9" s="44">
        <v>172</v>
      </c>
      <c r="I9" s="45">
        <v>4.4000000000000004</v>
      </c>
      <c r="J9" s="45" t="s">
        <v>46</v>
      </c>
      <c r="K9" s="56" t="str">
        <f>HYPERLINK(J9)</f>
        <v>https://amazon.com/dp/B0D56CNCW1</v>
      </c>
    </row>
    <row r="10" spans="1:11" ht="45" customHeight="1" x14ac:dyDescent="0.2">
      <c r="A10" s="18" t="s">
        <v>57</v>
      </c>
      <c r="B10" s="18" t="s">
        <v>56</v>
      </c>
      <c r="C10" s="41">
        <v>899</v>
      </c>
      <c r="D10" s="42">
        <v>1322618.04</v>
      </c>
      <c r="E10" s="43">
        <v>110218.17</v>
      </c>
      <c r="F10" s="44">
        <v>1476</v>
      </c>
      <c r="G10" s="44">
        <v>123</v>
      </c>
      <c r="H10" s="44">
        <v>176</v>
      </c>
      <c r="I10" s="45">
        <v>4.4000000000000004</v>
      </c>
      <c r="J10" s="45" t="s">
        <v>58</v>
      </c>
      <c r="K10" s="56" t="str">
        <f>HYPERLINK(J10)</f>
        <v>https://amazon.com/dp/B0FW4H9MXB</v>
      </c>
    </row>
    <row r="11" spans="1:11" ht="45" customHeight="1" x14ac:dyDescent="0.2">
      <c r="A11" s="18"/>
      <c r="B11" s="18"/>
      <c r="C11" s="41"/>
      <c r="D11" s="42"/>
      <c r="E11" s="43"/>
      <c r="F11" s="44"/>
      <c r="G11" s="44"/>
      <c r="H11" s="44"/>
      <c r="I11" s="45"/>
      <c r="J11" s="45"/>
      <c r="K11" s="56"/>
    </row>
    <row r="12" spans="1:11" ht="45" customHeight="1" x14ac:dyDescent="0.2">
      <c r="A12" s="18"/>
      <c r="B12" s="18"/>
      <c r="C12" s="41"/>
      <c r="D12" s="42"/>
      <c r="E12" s="43"/>
      <c r="F12" s="44"/>
      <c r="G12" s="44"/>
      <c r="H12" s="44"/>
      <c r="I12" s="45"/>
      <c r="J12" s="45"/>
      <c r="K12" s="56"/>
    </row>
    <row r="13" spans="1:11" ht="45" customHeight="1" x14ac:dyDescent="0.2">
      <c r="A13" s="18"/>
      <c r="B13" s="18"/>
      <c r="C13" s="41"/>
      <c r="D13" s="42"/>
      <c r="E13" s="43"/>
      <c r="F13" s="44"/>
      <c r="G13" s="44"/>
      <c r="H13" s="44"/>
      <c r="I13" s="45"/>
      <c r="J13" s="45"/>
      <c r="K13" s="56"/>
    </row>
    <row r="14" spans="1:11" ht="45" customHeight="1" x14ac:dyDescent="0.2">
      <c r="A14" s="18"/>
      <c r="B14" s="18"/>
      <c r="C14" s="41"/>
      <c r="D14" s="42"/>
      <c r="E14" s="43"/>
      <c r="F14" s="44"/>
      <c r="G14" s="44"/>
      <c r="H14" s="44"/>
      <c r="I14" s="45"/>
      <c r="J14" s="45"/>
      <c r="K14" s="56"/>
    </row>
    <row r="15" spans="1:11" ht="45" customHeight="1" x14ac:dyDescent="0.2">
      <c r="A15" s="18"/>
      <c r="B15" s="18"/>
      <c r="C15" s="41"/>
      <c r="D15" s="42"/>
      <c r="E15" s="43"/>
      <c r="F15" s="44"/>
      <c r="G15" s="44"/>
      <c r="H15" s="44"/>
      <c r="I15" s="45"/>
      <c r="J15" s="45"/>
      <c r="K15" s="56"/>
    </row>
    <row r="16" spans="1:11" ht="45" customHeight="1" x14ac:dyDescent="0.2">
      <c r="A16" s="18"/>
      <c r="B16" s="18"/>
      <c r="C16" s="41"/>
      <c r="D16" s="42"/>
      <c r="E16" s="43"/>
      <c r="F16" s="44"/>
      <c r="G16" s="44"/>
      <c r="H16" s="44"/>
      <c r="I16" s="45"/>
      <c r="J16" s="45"/>
      <c r="K16" s="56"/>
    </row>
    <row r="17" spans="1:11" ht="60" customHeight="1" x14ac:dyDescent="0.2">
      <c r="A17" s="18"/>
      <c r="B17" s="18"/>
      <c r="C17" s="41"/>
      <c r="D17" s="42"/>
      <c r="E17" s="43"/>
      <c r="F17" s="44"/>
      <c r="G17" s="44"/>
      <c r="H17" s="44"/>
      <c r="I17" s="45"/>
      <c r="J17" s="45"/>
      <c r="K17" s="56"/>
    </row>
    <row r="18" spans="1:11" ht="45" customHeight="1" x14ac:dyDescent="0.2">
      <c r="A18" s="18"/>
      <c r="B18" s="18"/>
      <c r="C18" s="41"/>
      <c r="D18" s="42"/>
      <c r="E18" s="43"/>
      <c r="F18" s="44"/>
      <c r="G18" s="44"/>
      <c r="H18" s="44"/>
      <c r="I18" s="45"/>
      <c r="J18" s="45"/>
      <c r="K18" s="56"/>
    </row>
    <row r="19" spans="1:11" ht="45" customHeight="1" x14ac:dyDescent="0.2">
      <c r="A19" s="18"/>
      <c r="B19" s="18"/>
      <c r="C19" s="41"/>
      <c r="D19" s="42"/>
      <c r="E19" s="43"/>
      <c r="F19" s="44"/>
      <c r="G19" s="44"/>
      <c r="H19" s="44"/>
      <c r="I19" s="45"/>
      <c r="J19" s="45"/>
      <c r="K19" s="56"/>
    </row>
    <row r="20" spans="1:11" ht="30" customHeight="1" x14ac:dyDescent="0.2">
      <c r="A20" s="18"/>
      <c r="B20" s="18"/>
      <c r="C20" s="41"/>
      <c r="D20" s="42"/>
      <c r="E20" s="43"/>
      <c r="F20" s="44"/>
      <c r="G20" s="44"/>
      <c r="H20" s="44"/>
      <c r="I20" s="45"/>
      <c r="J20" s="45"/>
      <c r="K20" s="56"/>
    </row>
    <row r="21" spans="1:11" ht="45" customHeight="1" x14ac:dyDescent="0.2">
      <c r="A21" s="18"/>
      <c r="B21" s="18"/>
      <c r="C21" s="41"/>
      <c r="D21" s="42"/>
      <c r="E21" s="43"/>
      <c r="F21" s="44"/>
      <c r="G21" s="44"/>
      <c r="H21" s="44"/>
      <c r="I21" s="45"/>
      <c r="J21" s="45"/>
      <c r="K21" s="56"/>
    </row>
    <row r="22" spans="1:11" ht="45" customHeight="1" x14ac:dyDescent="0.2">
      <c r="A22" s="18"/>
      <c r="B22" s="18"/>
      <c r="C22" s="41"/>
      <c r="D22" s="42"/>
      <c r="E22" s="43"/>
      <c r="F22" s="44"/>
      <c r="G22" s="44"/>
      <c r="H22" s="44"/>
      <c r="I22" s="45"/>
      <c r="J22" s="45"/>
      <c r="K22" s="56"/>
    </row>
    <row r="23" spans="1:11" ht="45" customHeight="1" x14ac:dyDescent="0.2">
      <c r="A23" s="18"/>
      <c r="B23" s="18"/>
      <c r="C23" s="41"/>
      <c r="D23" s="42"/>
      <c r="E23" s="43"/>
      <c r="F23" s="44"/>
      <c r="G23" s="44"/>
      <c r="H23" s="44"/>
      <c r="I23" s="45"/>
      <c r="J23" s="45"/>
      <c r="K23" s="56"/>
    </row>
    <row r="24" spans="1:11" ht="45" customHeight="1" x14ac:dyDescent="0.2">
      <c r="A24" s="18"/>
      <c r="B24" s="18"/>
      <c r="C24" s="41"/>
      <c r="D24" s="42"/>
      <c r="E24" s="43"/>
      <c r="F24" s="44"/>
      <c r="G24" s="44"/>
      <c r="H24" s="44"/>
      <c r="I24" s="45"/>
      <c r="J24" s="45"/>
      <c r="K24" s="56"/>
    </row>
    <row r="25" spans="1:11" ht="45" customHeight="1" x14ac:dyDescent="0.2">
      <c r="A25" s="18"/>
      <c r="B25" s="18"/>
      <c r="C25" s="41"/>
      <c r="D25" s="42"/>
      <c r="E25" s="43"/>
      <c r="F25" s="44"/>
      <c r="G25" s="44"/>
      <c r="H25" s="44"/>
      <c r="I25" s="45"/>
      <c r="J25" s="45"/>
      <c r="K25" s="56"/>
    </row>
    <row r="26" spans="1:11" ht="45" customHeight="1" x14ac:dyDescent="0.2">
      <c r="A26" s="18"/>
      <c r="B26" s="18"/>
      <c r="C26" s="41"/>
      <c r="D26" s="42"/>
      <c r="E26" s="43"/>
      <c r="F26" s="44"/>
      <c r="G26" s="44"/>
      <c r="H26" s="44"/>
      <c r="I26" s="45"/>
      <c r="J26" s="45"/>
      <c r="K26" s="56"/>
    </row>
    <row r="27" spans="1:11" ht="45" customHeight="1" x14ac:dyDescent="0.2">
      <c r="A27" s="18"/>
      <c r="B27" s="18"/>
      <c r="C27" s="41"/>
      <c r="D27" s="42"/>
      <c r="E27" s="43"/>
      <c r="F27" s="44"/>
      <c r="G27" s="44"/>
      <c r="H27" s="44"/>
      <c r="I27" s="45"/>
      <c r="J27" s="45"/>
      <c r="K27" s="56"/>
    </row>
    <row r="28" spans="1:11" ht="17" customHeight="1" x14ac:dyDescent="0.2">
      <c r="A28" s="18"/>
      <c r="B28" s="18"/>
      <c r="C28" s="41"/>
      <c r="D28" s="42"/>
      <c r="E28" s="43"/>
      <c r="F28" s="44"/>
      <c r="G28" s="44"/>
      <c r="H28" s="44"/>
      <c r="I28" s="45"/>
      <c r="J28" s="45"/>
      <c r="K28" s="56"/>
    </row>
    <row r="29" spans="1:11" ht="45" customHeight="1" x14ac:dyDescent="0.2">
      <c r="A29" s="18"/>
      <c r="B29" s="18"/>
      <c r="C29" s="41"/>
      <c r="D29" s="42"/>
      <c r="E29" s="43"/>
      <c r="F29" s="44"/>
      <c r="G29" s="44"/>
      <c r="H29" s="44"/>
      <c r="I29" s="45"/>
      <c r="J29" s="45"/>
      <c r="K29" s="56"/>
    </row>
    <row r="30" spans="1:11" ht="45" customHeight="1" x14ac:dyDescent="0.2">
      <c r="A30" s="18"/>
      <c r="B30" s="18"/>
      <c r="C30" s="41"/>
      <c r="D30" s="42"/>
      <c r="E30" s="43"/>
      <c r="F30" s="44"/>
      <c r="G30" s="44"/>
      <c r="H30" s="44"/>
      <c r="I30" s="45"/>
      <c r="J30" s="45"/>
      <c r="K30" s="56"/>
    </row>
    <row r="31" spans="1:11" ht="45" customHeight="1" x14ac:dyDescent="0.2">
      <c r="A31" s="18"/>
      <c r="B31" s="18"/>
      <c r="C31" s="41"/>
      <c r="D31" s="42"/>
      <c r="E31" s="43"/>
      <c r="F31" s="44"/>
      <c r="G31" s="44"/>
      <c r="H31" s="44"/>
      <c r="I31" s="45"/>
      <c r="J31" s="45"/>
      <c r="K31" s="56"/>
    </row>
    <row r="32" spans="1:11" ht="45" customHeight="1" x14ac:dyDescent="0.2">
      <c r="A32" s="18"/>
      <c r="B32" s="18"/>
      <c r="C32" s="41"/>
      <c r="D32" s="42"/>
      <c r="E32" s="43"/>
      <c r="F32" s="44"/>
      <c r="G32" s="44"/>
      <c r="H32" s="44"/>
      <c r="I32" s="45"/>
      <c r="J32" s="45"/>
      <c r="K32" s="56"/>
    </row>
    <row r="33" spans="1:11" ht="45" customHeight="1" x14ac:dyDescent="0.2">
      <c r="A33" s="18"/>
      <c r="B33" s="18"/>
      <c r="C33" s="41"/>
      <c r="D33" s="42"/>
      <c r="E33" s="43"/>
      <c r="F33" s="44"/>
      <c r="G33" s="44"/>
      <c r="H33" s="44"/>
      <c r="I33" s="45"/>
      <c r="J33" s="45"/>
      <c r="K33" s="56"/>
    </row>
    <row r="34" spans="1:11" ht="45" customHeight="1" x14ac:dyDescent="0.2">
      <c r="A34" s="18"/>
      <c r="B34" s="18"/>
      <c r="C34" s="41"/>
      <c r="D34" s="42"/>
      <c r="E34" s="43"/>
      <c r="F34" s="44"/>
      <c r="G34" s="44"/>
      <c r="H34" s="44"/>
      <c r="I34" s="45"/>
      <c r="J34" s="45"/>
      <c r="K34" s="56"/>
    </row>
    <row r="35" spans="1:11" ht="30" customHeight="1" x14ac:dyDescent="0.2">
      <c r="A35" s="18"/>
      <c r="B35" s="18"/>
      <c r="C35" s="41"/>
      <c r="D35" s="42"/>
      <c r="E35" s="43"/>
      <c r="F35" s="44"/>
      <c r="G35" s="44"/>
      <c r="H35" s="44"/>
      <c r="I35" s="45"/>
      <c r="J35" s="45"/>
      <c r="K35" s="56"/>
    </row>
    <row r="36" spans="1:11" ht="45" customHeight="1" x14ac:dyDescent="0.2">
      <c r="A36" s="18"/>
      <c r="B36" s="18"/>
      <c r="C36" s="41"/>
      <c r="D36" s="42"/>
      <c r="E36" s="43"/>
      <c r="F36" s="44"/>
      <c r="G36" s="44"/>
      <c r="H36" s="44"/>
      <c r="I36" s="45"/>
      <c r="J36" s="45"/>
      <c r="K36" s="56"/>
    </row>
    <row r="37" spans="1:11" ht="45" customHeight="1" x14ac:dyDescent="0.2">
      <c r="A37" s="18"/>
      <c r="B37" s="18"/>
      <c r="C37" s="41"/>
      <c r="D37" s="42"/>
      <c r="E37" s="43"/>
      <c r="F37" s="44"/>
      <c r="G37" s="44"/>
      <c r="H37" s="44"/>
      <c r="I37" s="45"/>
      <c r="J37" s="45"/>
      <c r="K37" s="56"/>
    </row>
    <row r="38" spans="1:11" ht="45" customHeight="1" x14ac:dyDescent="0.2">
      <c r="A38" s="18"/>
      <c r="B38" s="18"/>
      <c r="C38" s="41"/>
      <c r="D38" s="42"/>
      <c r="E38" s="43"/>
      <c r="F38" s="44"/>
      <c r="G38" s="44"/>
      <c r="H38" s="44"/>
      <c r="I38" s="45"/>
      <c r="J38" s="45"/>
      <c r="K38" s="56"/>
    </row>
    <row r="39" spans="1:11" ht="45" customHeight="1" x14ac:dyDescent="0.2">
      <c r="A39" s="18"/>
      <c r="B39" s="18"/>
      <c r="C39" s="41"/>
      <c r="D39" s="42"/>
      <c r="E39" s="43"/>
      <c r="F39" s="44"/>
      <c r="G39" s="44"/>
      <c r="H39" s="44"/>
      <c r="I39" s="45"/>
      <c r="J39" s="45"/>
      <c r="K39" s="56"/>
    </row>
    <row r="40" spans="1:11" ht="45" customHeight="1" x14ac:dyDescent="0.2">
      <c r="A40" s="18"/>
      <c r="B40" s="18"/>
      <c r="C40" s="41"/>
      <c r="D40" s="42"/>
      <c r="E40" s="43"/>
      <c r="F40" s="44"/>
      <c r="G40" s="44"/>
      <c r="H40" s="44"/>
      <c r="I40" s="45"/>
      <c r="J40" s="45"/>
      <c r="K40" s="56"/>
    </row>
    <row r="41" spans="1:11" ht="45" customHeight="1" x14ac:dyDescent="0.2">
      <c r="A41" s="18"/>
      <c r="B41" s="18"/>
      <c r="C41" s="41"/>
      <c r="D41" s="42"/>
      <c r="E41" s="43"/>
      <c r="F41" s="44"/>
      <c r="G41" s="44"/>
      <c r="H41" s="44"/>
      <c r="I41" s="45"/>
      <c r="J41" s="45"/>
      <c r="K41" s="56"/>
    </row>
    <row r="42" spans="1:11" ht="45" customHeight="1" x14ac:dyDescent="0.2">
      <c r="A42" s="18"/>
      <c r="B42" s="18"/>
      <c r="C42" s="41"/>
      <c r="D42" s="42"/>
      <c r="E42" s="43"/>
      <c r="F42" s="44"/>
      <c r="G42" s="44"/>
      <c r="H42" s="44"/>
      <c r="I42" s="45"/>
      <c r="J42" s="45"/>
      <c r="K42" s="56"/>
    </row>
    <row r="43" spans="1:11" ht="45" customHeight="1" x14ac:dyDescent="0.2">
      <c r="A43" s="18"/>
      <c r="B43" s="18"/>
      <c r="C43" s="41"/>
      <c r="D43" s="42"/>
      <c r="E43" s="43"/>
      <c r="F43" s="44"/>
      <c r="G43" s="44"/>
      <c r="H43" s="44"/>
      <c r="I43" s="45"/>
      <c r="J43" s="45"/>
      <c r="K43" s="56"/>
    </row>
    <row r="44" spans="1:11" ht="45" customHeight="1" x14ac:dyDescent="0.2">
      <c r="A44" s="18"/>
      <c r="B44" s="18"/>
      <c r="C44" s="41"/>
      <c r="D44" s="42"/>
      <c r="E44" s="43"/>
      <c r="F44" s="44"/>
      <c r="G44" s="44"/>
      <c r="H44" s="44"/>
      <c r="I44" s="45"/>
      <c r="J44" s="45"/>
      <c r="K44" s="56"/>
    </row>
    <row r="45" spans="1:11" ht="45" customHeight="1" x14ac:dyDescent="0.2">
      <c r="A45" s="18"/>
      <c r="B45" s="18"/>
      <c r="C45" s="41"/>
      <c r="D45" s="42"/>
      <c r="E45" s="43"/>
      <c r="F45" s="44"/>
      <c r="G45" s="44"/>
      <c r="H45" s="44"/>
      <c r="I45" s="45"/>
      <c r="J45" s="45"/>
      <c r="K45" s="56"/>
    </row>
    <row r="46" spans="1:11" ht="45" customHeight="1" x14ac:dyDescent="0.2">
      <c r="A46" s="18"/>
      <c r="B46" s="18"/>
      <c r="C46" s="41"/>
      <c r="D46" s="42"/>
      <c r="E46" s="43"/>
      <c r="F46" s="44"/>
      <c r="G46" s="44"/>
      <c r="H46" s="44"/>
      <c r="I46" s="45"/>
      <c r="J46" s="45"/>
      <c r="K46" s="56"/>
    </row>
    <row r="47" spans="1:11" ht="45" customHeight="1" x14ac:dyDescent="0.2">
      <c r="A47" s="18"/>
      <c r="B47" s="18"/>
      <c r="C47" s="41"/>
      <c r="D47" s="42"/>
      <c r="E47" s="43"/>
      <c r="F47" s="44"/>
      <c r="G47" s="44"/>
      <c r="H47" s="44"/>
      <c r="I47" s="45"/>
      <c r="J47" s="45"/>
      <c r="K47" s="56"/>
    </row>
    <row r="48" spans="1:11" ht="45" customHeight="1" x14ac:dyDescent="0.2">
      <c r="A48" s="18"/>
      <c r="B48" s="18"/>
      <c r="C48" s="41"/>
      <c r="D48" s="42"/>
      <c r="E48" s="43"/>
      <c r="F48" s="44"/>
      <c r="G48" s="44"/>
      <c r="H48" s="44"/>
      <c r="I48" s="45"/>
      <c r="J48" s="45"/>
      <c r="K48" s="56"/>
    </row>
    <row r="49" spans="1:11" ht="45" customHeight="1" x14ac:dyDescent="0.2">
      <c r="A49" s="18"/>
      <c r="B49" s="18"/>
      <c r="C49" s="41"/>
      <c r="D49" s="42"/>
      <c r="E49" s="43"/>
      <c r="F49" s="44"/>
      <c r="G49" s="44"/>
      <c r="H49" s="44"/>
      <c r="I49" s="45"/>
      <c r="J49" s="45"/>
      <c r="K49" s="56"/>
    </row>
    <row r="50" spans="1:11" ht="45" customHeight="1" x14ac:dyDescent="0.2">
      <c r="A50" s="18"/>
      <c r="B50" s="18"/>
      <c r="C50" s="41"/>
      <c r="D50" s="42"/>
      <c r="E50" s="43"/>
      <c r="F50" s="44"/>
      <c r="G50" s="44"/>
      <c r="H50" s="44"/>
      <c r="I50" s="45"/>
      <c r="J50" s="45"/>
      <c r="K50" s="56"/>
    </row>
    <row r="51" spans="1:11" ht="45" customHeight="1" x14ac:dyDescent="0.2">
      <c r="A51" s="18"/>
      <c r="B51" s="18"/>
      <c r="C51" s="41"/>
      <c r="D51" s="42"/>
      <c r="E51" s="43"/>
      <c r="F51" s="44"/>
      <c r="G51" s="44"/>
      <c r="H51" s="44"/>
      <c r="I51" s="45"/>
      <c r="J51" s="45"/>
      <c r="K51" s="56"/>
    </row>
    <row r="52" spans="1:11" ht="45" customHeight="1" x14ac:dyDescent="0.2">
      <c r="A52" s="18"/>
      <c r="B52" s="18"/>
      <c r="C52" s="41"/>
      <c r="D52" s="42"/>
      <c r="E52" s="43"/>
      <c r="F52" s="44"/>
      <c r="G52" s="44"/>
      <c r="H52" s="44"/>
      <c r="I52" s="45"/>
      <c r="J52" s="45"/>
      <c r="K52" s="56"/>
    </row>
    <row r="53" spans="1:11" ht="45" customHeight="1" x14ac:dyDescent="0.2">
      <c r="A53" s="18"/>
      <c r="B53" s="18"/>
      <c r="C53" s="41"/>
      <c r="D53" s="42"/>
      <c r="E53" s="43"/>
      <c r="F53" s="44"/>
      <c r="G53" s="44"/>
      <c r="H53" s="44"/>
      <c r="I53" s="45"/>
      <c r="J53" s="45"/>
      <c r="K53" s="56"/>
    </row>
    <row r="54" spans="1:11" ht="45" customHeight="1" x14ac:dyDescent="0.2">
      <c r="A54" s="18"/>
      <c r="B54" s="18"/>
      <c r="C54" s="41"/>
      <c r="D54" s="42"/>
      <c r="E54" s="43"/>
      <c r="F54" s="44"/>
      <c r="G54" s="44"/>
      <c r="H54" s="44"/>
      <c r="I54" s="45"/>
      <c r="J54" s="45"/>
      <c r="K54" s="56"/>
    </row>
    <row r="55" spans="1:11" ht="45" customHeight="1" x14ac:dyDescent="0.2">
      <c r="A55" s="18"/>
      <c r="B55" s="18"/>
      <c r="C55" s="41"/>
      <c r="D55" s="42"/>
      <c r="E55" s="43"/>
      <c r="F55" s="44"/>
      <c r="G55" s="44"/>
      <c r="H55" s="44"/>
      <c r="I55" s="45"/>
      <c r="J55" s="45"/>
      <c r="K55" s="56"/>
    </row>
    <row r="56" spans="1:11" ht="45" customHeight="1" x14ac:dyDescent="0.2">
      <c r="A56" s="18"/>
      <c r="B56" s="18"/>
      <c r="C56" s="41"/>
      <c r="D56" s="42"/>
      <c r="E56" s="43"/>
      <c r="F56" s="44"/>
      <c r="G56" s="44"/>
      <c r="H56" s="44"/>
      <c r="I56" s="45"/>
      <c r="J56" s="45"/>
      <c r="K56" s="56"/>
    </row>
    <row r="57" spans="1:11" ht="30" customHeight="1" x14ac:dyDescent="0.2">
      <c r="A57" s="18"/>
      <c r="B57" s="18"/>
      <c r="C57" s="41"/>
      <c r="D57" s="42"/>
      <c r="E57" s="43"/>
      <c r="F57" s="44"/>
      <c r="G57" s="44"/>
      <c r="H57" s="44"/>
      <c r="I57" s="45"/>
      <c r="J57" s="45"/>
      <c r="K57" s="56"/>
    </row>
    <row r="58" spans="1:11" ht="45" customHeight="1" x14ac:dyDescent="0.2">
      <c r="A58" s="18"/>
      <c r="B58" s="18"/>
      <c r="C58" s="41"/>
      <c r="D58" s="42"/>
      <c r="E58" s="43"/>
      <c r="F58" s="44"/>
      <c r="G58" s="44"/>
      <c r="H58" s="44"/>
      <c r="I58" s="45"/>
      <c r="J58" s="45"/>
      <c r="K58" s="56"/>
    </row>
    <row r="59" spans="1:11" ht="45" customHeight="1" x14ac:dyDescent="0.2">
      <c r="A59" s="18"/>
      <c r="B59" s="18"/>
      <c r="C59" s="41"/>
      <c r="D59" s="42"/>
      <c r="E59" s="43"/>
      <c r="F59" s="44"/>
      <c r="G59" s="44"/>
      <c r="H59" s="44"/>
      <c r="I59" s="45"/>
      <c r="J59" s="45"/>
      <c r="K59" s="56"/>
    </row>
    <row r="60" spans="1:11" ht="45" customHeight="1" x14ac:dyDescent="0.2">
      <c r="A60" s="18"/>
      <c r="B60" s="18"/>
      <c r="C60" s="41"/>
      <c r="D60" s="42"/>
      <c r="E60" s="43"/>
      <c r="F60" s="44"/>
      <c r="G60" s="44"/>
      <c r="H60" s="44"/>
      <c r="I60" s="45"/>
      <c r="J60" s="45"/>
      <c r="K60" s="56"/>
    </row>
    <row r="61" spans="1:11" ht="45" customHeight="1" x14ac:dyDescent="0.2">
      <c r="A61" s="18"/>
      <c r="B61" s="18"/>
      <c r="C61" s="41"/>
      <c r="D61" s="42"/>
      <c r="E61" s="43"/>
      <c r="F61" s="44"/>
      <c r="G61" s="44"/>
      <c r="H61" s="44"/>
      <c r="I61" s="45"/>
      <c r="J61" s="45"/>
      <c r="K61" s="56"/>
    </row>
    <row r="62" spans="1:11" ht="45" customHeight="1" x14ac:dyDescent="0.2">
      <c r="A62" s="18"/>
      <c r="B62" s="18"/>
      <c r="C62" s="41"/>
      <c r="D62" s="42"/>
      <c r="E62" s="43"/>
      <c r="F62" s="44"/>
      <c r="G62" s="44"/>
      <c r="H62" s="44"/>
      <c r="I62" s="45"/>
      <c r="J62" s="45"/>
      <c r="K62" s="56"/>
    </row>
    <row r="63" spans="1:11" ht="45" customHeight="1" x14ac:dyDescent="0.2">
      <c r="A63" s="18"/>
      <c r="B63" s="18"/>
      <c r="C63" s="41"/>
      <c r="D63" s="42"/>
      <c r="E63" s="43"/>
      <c r="F63" s="44"/>
      <c r="G63" s="44"/>
      <c r="H63" s="44"/>
      <c r="I63" s="45"/>
      <c r="J63" s="45"/>
      <c r="K63" s="56"/>
    </row>
    <row r="64" spans="1:11" ht="45" customHeight="1" x14ac:dyDescent="0.2">
      <c r="A64" s="18"/>
      <c r="B64" s="18"/>
      <c r="C64" s="41"/>
      <c r="D64" s="42"/>
      <c r="E64" s="43"/>
      <c r="F64" s="44"/>
      <c r="G64" s="44"/>
      <c r="H64" s="44"/>
      <c r="I64" s="45"/>
      <c r="J64" s="45"/>
      <c r="K64" s="56"/>
    </row>
    <row r="65" spans="1:11" ht="45" customHeight="1" x14ac:dyDescent="0.2">
      <c r="A65" s="18"/>
      <c r="B65" s="18"/>
      <c r="C65" s="41"/>
      <c r="D65" s="42"/>
      <c r="E65" s="43"/>
      <c r="F65" s="44"/>
      <c r="G65" s="44"/>
      <c r="H65" s="44"/>
      <c r="I65" s="45"/>
      <c r="J65" s="45"/>
      <c r="K65" s="56"/>
    </row>
    <row r="66" spans="1:11" ht="45" customHeight="1" x14ac:dyDescent="0.2">
      <c r="A66" s="18"/>
      <c r="B66" s="18"/>
      <c r="C66" s="41"/>
      <c r="D66" s="42"/>
      <c r="E66" s="43"/>
      <c r="F66" s="44"/>
      <c r="G66" s="44"/>
      <c r="H66" s="44"/>
      <c r="I66" s="45"/>
      <c r="J66" s="45"/>
      <c r="K66" s="56"/>
    </row>
    <row r="67" spans="1:11" ht="45" customHeight="1" x14ac:dyDescent="0.2">
      <c r="A67" s="18"/>
      <c r="B67" s="18"/>
      <c r="C67" s="41"/>
      <c r="D67" s="42"/>
      <c r="E67" s="43"/>
      <c r="F67" s="44"/>
      <c r="G67" s="44"/>
      <c r="H67" s="44"/>
      <c r="I67" s="45"/>
      <c r="J67" s="45"/>
      <c r="K67" s="56"/>
    </row>
    <row r="68" spans="1:11" ht="45" customHeight="1" x14ac:dyDescent="0.2">
      <c r="A68" s="18"/>
      <c r="B68" s="18"/>
      <c r="C68" s="41"/>
      <c r="D68" s="42"/>
      <c r="E68" s="43"/>
      <c r="F68" s="44"/>
      <c r="G68" s="44"/>
      <c r="H68" s="44"/>
      <c r="I68" s="45"/>
      <c r="J68" s="45"/>
      <c r="K68" s="56"/>
    </row>
    <row r="69" spans="1:11" ht="45" customHeight="1" x14ac:dyDescent="0.2">
      <c r="A69" s="18"/>
      <c r="B69" s="18"/>
      <c r="C69" s="41"/>
      <c r="D69" s="42"/>
      <c r="E69" s="43"/>
      <c r="F69" s="44"/>
      <c r="G69" s="44"/>
      <c r="H69" s="44"/>
      <c r="I69" s="45"/>
      <c r="J69" s="45"/>
      <c r="K69" s="56"/>
    </row>
    <row r="70" spans="1:11" ht="45" customHeight="1" x14ac:dyDescent="0.2">
      <c r="A70" s="18"/>
      <c r="B70" s="18"/>
      <c r="C70" s="41"/>
      <c r="D70" s="42"/>
      <c r="E70" s="43"/>
      <c r="F70" s="44"/>
      <c r="G70" s="44"/>
      <c r="H70" s="44"/>
      <c r="I70" s="45"/>
      <c r="J70" s="45"/>
      <c r="K70" s="56"/>
    </row>
    <row r="71" spans="1:11" ht="45" customHeight="1" x14ac:dyDescent="0.2">
      <c r="A71" s="18"/>
      <c r="B71" s="18"/>
      <c r="C71" s="41"/>
      <c r="D71" s="42"/>
      <c r="E71" s="43"/>
      <c r="F71" s="44"/>
      <c r="G71" s="44"/>
      <c r="H71" s="44"/>
      <c r="I71" s="45"/>
      <c r="J71" s="45"/>
      <c r="K71" s="56"/>
    </row>
    <row r="72" spans="1:11" ht="30" customHeight="1" x14ac:dyDescent="0.2">
      <c r="A72" s="18"/>
      <c r="B72" s="18"/>
      <c r="C72" s="41"/>
      <c r="D72" s="42"/>
      <c r="E72" s="43"/>
      <c r="F72" s="44"/>
      <c r="G72" s="44"/>
      <c r="H72" s="44"/>
      <c r="I72" s="45"/>
      <c r="J72" s="45"/>
      <c r="K72" s="56"/>
    </row>
    <row r="73" spans="1:11" ht="45" customHeight="1" x14ac:dyDescent="0.2">
      <c r="A73" s="18"/>
      <c r="B73" s="18"/>
      <c r="C73" s="41"/>
      <c r="D73" s="42"/>
      <c r="E73" s="43"/>
      <c r="F73" s="44"/>
      <c r="G73" s="44"/>
      <c r="H73" s="44"/>
      <c r="I73" s="45"/>
      <c r="J73" s="45"/>
      <c r="K73" s="56"/>
    </row>
    <row r="74" spans="1:11" ht="30" customHeight="1" x14ac:dyDescent="0.2">
      <c r="A74" s="18"/>
      <c r="B74" s="18"/>
      <c r="C74" s="41"/>
      <c r="D74" s="42"/>
      <c r="E74" s="43"/>
      <c r="F74" s="44"/>
      <c r="G74" s="44"/>
      <c r="H74" s="44"/>
      <c r="I74" s="45"/>
      <c r="J74" s="45"/>
      <c r="K74" s="56"/>
    </row>
    <row r="75" spans="1:11" ht="17" customHeight="1" x14ac:dyDescent="0.2">
      <c r="A75" s="18"/>
      <c r="B75" s="18"/>
      <c r="C75" s="41"/>
      <c r="D75" s="42"/>
      <c r="E75" s="43"/>
      <c r="F75" s="44"/>
      <c r="G75" s="44"/>
      <c r="H75" s="44"/>
      <c r="I75" s="45"/>
      <c r="J75" s="45"/>
      <c r="K75" s="56"/>
    </row>
    <row r="76" spans="1:11" ht="45" customHeight="1" x14ac:dyDescent="0.2">
      <c r="A76" s="18"/>
      <c r="B76" s="18"/>
      <c r="C76" s="41"/>
      <c r="D76" s="42"/>
      <c r="E76" s="43"/>
      <c r="F76" s="44"/>
      <c r="G76" s="44"/>
      <c r="H76" s="44"/>
      <c r="I76" s="45"/>
      <c r="J76" s="45"/>
      <c r="K76" s="56"/>
    </row>
    <row r="77" spans="1:11" ht="45" customHeight="1" x14ac:dyDescent="0.2">
      <c r="A77" s="18"/>
      <c r="B77" s="18"/>
      <c r="C77" s="41"/>
      <c r="D77" s="42"/>
      <c r="E77" s="43"/>
      <c r="F77" s="44"/>
      <c r="G77" s="44"/>
      <c r="H77" s="44"/>
      <c r="I77" s="45"/>
      <c r="J77" s="45"/>
      <c r="K77" s="56"/>
    </row>
    <row r="78" spans="1:11" ht="30" customHeight="1" x14ac:dyDescent="0.2">
      <c r="A78" s="18"/>
      <c r="B78" s="18"/>
      <c r="C78" s="41"/>
      <c r="D78" s="42"/>
      <c r="E78" s="43"/>
      <c r="F78" s="44"/>
      <c r="G78" s="44"/>
      <c r="H78" s="44"/>
      <c r="I78" s="45"/>
      <c r="J78" s="45"/>
      <c r="K78" s="56"/>
    </row>
    <row r="79" spans="1:11" ht="45" customHeight="1" x14ac:dyDescent="0.2">
      <c r="A79" s="18"/>
      <c r="B79" s="18"/>
      <c r="C79" s="41"/>
      <c r="D79" s="42"/>
      <c r="E79" s="43"/>
      <c r="F79" s="44"/>
      <c r="G79" s="44"/>
      <c r="H79" s="44"/>
      <c r="I79" s="45"/>
      <c r="J79" s="45"/>
      <c r="K79" s="56"/>
    </row>
    <row r="80" spans="1:11" ht="30" customHeight="1" x14ac:dyDescent="0.2">
      <c r="A80" s="18"/>
      <c r="B80" s="18"/>
      <c r="C80" s="41"/>
      <c r="D80" s="42"/>
      <c r="E80" s="43"/>
      <c r="F80" s="44"/>
      <c r="G80" s="44"/>
      <c r="H80" s="44"/>
      <c r="I80" s="45"/>
      <c r="J80" s="45"/>
      <c r="K80" s="56"/>
    </row>
    <row r="81" spans="1:11" ht="45" customHeight="1" x14ac:dyDescent="0.2">
      <c r="A81" s="18"/>
      <c r="B81" s="18"/>
      <c r="C81" s="41"/>
      <c r="D81" s="42"/>
      <c r="E81" s="43"/>
      <c r="F81" s="44"/>
      <c r="G81" s="44"/>
      <c r="H81" s="44"/>
      <c r="I81" s="45"/>
      <c r="J81" s="45"/>
      <c r="K81" s="56"/>
    </row>
    <row r="82" spans="1:11" ht="17" customHeight="1" x14ac:dyDescent="0.2">
      <c r="A82" s="18"/>
      <c r="B82" s="18"/>
      <c r="C82" s="41"/>
      <c r="D82" s="42"/>
      <c r="E82" s="43"/>
      <c r="F82" s="44"/>
      <c r="G82" s="44"/>
      <c r="H82" s="44"/>
      <c r="I82" s="45"/>
      <c r="J82" s="45"/>
      <c r="K82" s="56"/>
    </row>
    <row r="83" spans="1:11" ht="45" customHeight="1" x14ac:dyDescent="0.2">
      <c r="A83" s="18"/>
      <c r="B83" s="18"/>
      <c r="C83" s="41"/>
      <c r="D83" s="42"/>
      <c r="E83" s="43"/>
      <c r="F83" s="44"/>
      <c r="G83" s="44"/>
      <c r="H83" s="44"/>
      <c r="I83" s="45"/>
      <c r="J83" s="45"/>
      <c r="K83" s="56"/>
    </row>
    <row r="84" spans="1:11" ht="45" customHeight="1" x14ac:dyDescent="0.2">
      <c r="A84" s="18"/>
      <c r="B84" s="18"/>
      <c r="C84" s="41"/>
      <c r="D84" s="42"/>
      <c r="E84" s="43"/>
      <c r="F84" s="44"/>
      <c r="G84" s="44"/>
      <c r="H84" s="44"/>
      <c r="I84" s="45"/>
      <c r="J84" s="45"/>
      <c r="K84" s="56"/>
    </row>
    <row r="85" spans="1:11" ht="17" customHeight="1" x14ac:dyDescent="0.2">
      <c r="A85" s="18"/>
      <c r="B85" s="18"/>
      <c r="C85" s="41"/>
      <c r="D85" s="42"/>
      <c r="E85" s="43"/>
      <c r="F85" s="44"/>
      <c r="G85" s="44"/>
      <c r="H85" s="44"/>
      <c r="I85" s="45"/>
      <c r="J85" s="45"/>
      <c r="K85" s="56"/>
    </row>
    <row r="86" spans="1:11" ht="45" customHeight="1" x14ac:dyDescent="0.2">
      <c r="A86" s="18"/>
      <c r="B86" s="18"/>
      <c r="C86" s="41"/>
      <c r="D86" s="42"/>
      <c r="E86" s="43"/>
      <c r="F86" s="44"/>
      <c r="G86" s="44"/>
      <c r="H86" s="44"/>
      <c r="I86" s="45"/>
      <c r="J86" s="45"/>
      <c r="K86" s="56"/>
    </row>
    <row r="87" spans="1:11" ht="45" customHeight="1" x14ac:dyDescent="0.2">
      <c r="A87" s="18"/>
      <c r="B87" s="18"/>
      <c r="C87" s="41"/>
      <c r="D87" s="42"/>
      <c r="E87" s="43"/>
      <c r="F87" s="44"/>
      <c r="G87" s="44"/>
      <c r="H87" s="44"/>
      <c r="I87" s="45"/>
      <c r="J87" s="45"/>
      <c r="K87" s="56"/>
    </row>
    <row r="88" spans="1:11" ht="30" customHeight="1" x14ac:dyDescent="0.2">
      <c r="A88" s="18"/>
      <c r="B88" s="18"/>
      <c r="C88" s="41"/>
      <c r="D88" s="42"/>
      <c r="E88" s="43"/>
      <c r="F88" s="44"/>
      <c r="G88" s="44"/>
      <c r="H88" s="44"/>
      <c r="I88" s="45"/>
      <c r="J88" s="45"/>
      <c r="K88" s="56"/>
    </row>
    <row r="89" spans="1:11" ht="45" customHeight="1" x14ac:dyDescent="0.2">
      <c r="A89" s="18"/>
      <c r="B89" s="18"/>
      <c r="C89" s="41"/>
      <c r="D89" s="42"/>
      <c r="E89" s="43"/>
      <c r="F89" s="44"/>
      <c r="G89" s="44"/>
      <c r="H89" s="44"/>
      <c r="I89" s="45"/>
      <c r="J89" s="45"/>
      <c r="K89" s="56"/>
    </row>
    <row r="90" spans="1:11" ht="45" customHeight="1" x14ac:dyDescent="0.2">
      <c r="A90" s="18"/>
      <c r="B90" s="18"/>
      <c r="C90" s="41"/>
      <c r="D90" s="42"/>
      <c r="E90" s="43"/>
      <c r="F90" s="44"/>
      <c r="G90" s="44"/>
      <c r="H90" s="44"/>
      <c r="I90" s="45"/>
      <c r="J90" s="45"/>
      <c r="K90" s="56"/>
    </row>
    <row r="91" spans="1:11" ht="45" customHeight="1" x14ac:dyDescent="0.2">
      <c r="A91" s="18"/>
      <c r="B91" s="18"/>
      <c r="C91" s="41"/>
      <c r="D91" s="42"/>
      <c r="E91" s="43"/>
      <c r="F91" s="44"/>
      <c r="G91" s="44"/>
      <c r="H91" s="44"/>
      <c r="I91" s="45"/>
      <c r="J91" s="45"/>
      <c r="K91" s="56"/>
    </row>
    <row r="92" spans="1:11" ht="45" customHeight="1" x14ac:dyDescent="0.2">
      <c r="A92" s="18"/>
      <c r="B92" s="18"/>
      <c r="C92" s="41"/>
      <c r="D92" s="42"/>
      <c r="E92" s="43"/>
      <c r="F92" s="44"/>
      <c r="G92" s="44"/>
      <c r="H92" s="44"/>
      <c r="I92" s="45"/>
      <c r="J92" s="45"/>
      <c r="K92" s="56"/>
    </row>
    <row r="93" spans="1:11" ht="30" customHeight="1" x14ac:dyDescent="0.2">
      <c r="A93" s="18"/>
      <c r="B93" s="18"/>
      <c r="C93" s="41"/>
      <c r="D93" s="42"/>
      <c r="E93" s="43"/>
      <c r="F93" s="44"/>
      <c r="G93" s="44"/>
      <c r="H93" s="44"/>
      <c r="I93" s="45"/>
      <c r="J93" s="45"/>
      <c r="K93" s="56"/>
    </row>
    <row r="94" spans="1:11" ht="45" customHeight="1" x14ac:dyDescent="0.2">
      <c r="A94" s="18"/>
      <c r="B94" s="18"/>
      <c r="C94" s="41"/>
      <c r="D94" s="42"/>
      <c r="E94" s="43"/>
      <c r="F94" s="44"/>
      <c r="G94" s="44"/>
      <c r="H94" s="44"/>
      <c r="I94" s="45"/>
      <c r="J94" s="45"/>
      <c r="K94" s="56"/>
    </row>
    <row r="95" spans="1:11" ht="45" customHeight="1" x14ac:dyDescent="0.2">
      <c r="A95" s="18"/>
      <c r="B95" s="18"/>
      <c r="C95" s="41"/>
      <c r="D95" s="42"/>
      <c r="E95" s="43"/>
      <c r="F95" s="44"/>
      <c r="G95" s="44"/>
      <c r="H95" s="44"/>
      <c r="I95" s="45"/>
      <c r="J95" s="45"/>
      <c r="K95" s="56"/>
    </row>
    <row r="96" spans="1:11" ht="17" customHeight="1" x14ac:dyDescent="0.2">
      <c r="A96" s="18"/>
      <c r="B96" s="18"/>
      <c r="C96" s="41"/>
      <c r="D96" s="42"/>
      <c r="E96" s="43"/>
      <c r="F96" s="44"/>
      <c r="G96" s="44"/>
      <c r="H96" s="44"/>
      <c r="I96" s="45"/>
      <c r="J96" s="45"/>
      <c r="K96" s="56"/>
    </row>
    <row r="97" spans="1:11" ht="30" customHeight="1" x14ac:dyDescent="0.2">
      <c r="A97" s="18"/>
      <c r="B97" s="18"/>
      <c r="C97" s="41"/>
      <c r="D97" s="42"/>
      <c r="E97" s="43"/>
      <c r="F97" s="44"/>
      <c r="G97" s="44"/>
      <c r="H97" s="44"/>
      <c r="I97" s="45"/>
      <c r="J97" s="45"/>
      <c r="K97" s="56"/>
    </row>
    <row r="98" spans="1:11" ht="45" customHeight="1" x14ac:dyDescent="0.2">
      <c r="A98" s="18"/>
      <c r="B98" s="18"/>
      <c r="C98" s="41"/>
      <c r="D98" s="42"/>
      <c r="E98" s="43"/>
      <c r="F98" s="44"/>
      <c r="G98" s="44"/>
      <c r="H98" s="44"/>
      <c r="I98" s="45"/>
      <c r="J98" s="45"/>
      <c r="K98" s="56"/>
    </row>
    <row r="99" spans="1:11" ht="17" customHeight="1" x14ac:dyDescent="0.2">
      <c r="A99" s="18"/>
      <c r="B99" s="18"/>
      <c r="C99" s="41"/>
      <c r="D99" s="42"/>
      <c r="E99" s="43"/>
      <c r="F99" s="44"/>
      <c r="G99" s="44"/>
      <c r="H99" s="44"/>
      <c r="I99" s="45"/>
      <c r="J99" s="45"/>
      <c r="K99" s="56"/>
    </row>
    <row r="100" spans="1:11" ht="30" customHeight="1" x14ac:dyDescent="0.2">
      <c r="A100" s="18"/>
      <c r="B100" s="18"/>
      <c r="C100" s="41"/>
      <c r="D100" s="42"/>
      <c r="E100" s="43"/>
      <c r="F100" s="44"/>
      <c r="G100" s="44"/>
      <c r="H100" s="44"/>
      <c r="I100" s="45"/>
      <c r="J100" s="45"/>
      <c r="K100" s="56"/>
    </row>
    <row r="101" spans="1:11" ht="30" customHeight="1" x14ac:dyDescent="0.2">
      <c r="A101" s="18"/>
      <c r="B101" s="18"/>
      <c r="C101" s="41"/>
      <c r="D101" s="42"/>
      <c r="E101" s="43"/>
      <c r="F101" s="44"/>
      <c r="G101" s="44"/>
      <c r="H101" s="44"/>
      <c r="I101" s="45"/>
      <c r="J101" s="45"/>
      <c r="K101" s="56"/>
    </row>
    <row r="102" spans="1:11" ht="30" customHeight="1" x14ac:dyDescent="0.2">
      <c r="A102" s="18"/>
      <c r="B102" s="18"/>
      <c r="C102" s="41"/>
      <c r="D102" s="42"/>
      <c r="E102" s="43"/>
      <c r="F102" s="44"/>
      <c r="G102" s="44"/>
      <c r="H102" s="44"/>
      <c r="I102" s="45"/>
      <c r="J102" s="45"/>
      <c r="K102" s="56"/>
    </row>
    <row r="103" spans="1:11" ht="45" customHeight="1" x14ac:dyDescent="0.2">
      <c r="A103" s="18"/>
      <c r="B103" s="18"/>
      <c r="C103" s="41"/>
      <c r="D103" s="42"/>
      <c r="E103" s="43"/>
      <c r="F103" s="44"/>
      <c r="G103" s="44"/>
      <c r="H103" s="44"/>
      <c r="I103" s="45"/>
      <c r="J103" s="45"/>
      <c r="K103" s="56"/>
    </row>
    <row r="104" spans="1:11" ht="45" customHeight="1" x14ac:dyDescent="0.2">
      <c r="A104" s="18"/>
      <c r="B104" s="18"/>
      <c r="C104" s="41"/>
      <c r="D104" s="42"/>
      <c r="E104" s="43"/>
      <c r="F104" s="44"/>
      <c r="G104" s="44"/>
      <c r="H104" s="44"/>
      <c r="I104" s="45"/>
      <c r="J104" s="45"/>
      <c r="K104" s="56"/>
    </row>
    <row r="105" spans="1:11" ht="45" customHeight="1" x14ac:dyDescent="0.2">
      <c r="A105" s="18"/>
      <c r="B105" s="18"/>
      <c r="C105" s="41"/>
      <c r="D105" s="42"/>
      <c r="E105" s="43"/>
      <c r="F105" s="44"/>
      <c r="G105" s="44"/>
      <c r="H105" s="44"/>
      <c r="I105" s="45"/>
      <c r="J105" s="45"/>
      <c r="K105" s="56"/>
    </row>
    <row r="106" spans="1:11" ht="17" customHeight="1" x14ac:dyDescent="0.2">
      <c r="A106" s="21"/>
      <c r="B106" s="21"/>
      <c r="C106" s="57"/>
      <c r="D106" s="106"/>
      <c r="E106" s="106"/>
      <c r="F106" s="59"/>
      <c r="G106" s="59"/>
      <c r="H106" s="59"/>
      <c r="I106" s="60"/>
      <c r="J106" s="21"/>
      <c r="K106" s="20"/>
    </row>
    <row r="108" spans="1:11" x14ac:dyDescent="0.2">
      <c r="A108" t="s">
        <v>291</v>
      </c>
      <c r="D108">
        <f>SUM(topdon!D9:D107)</f>
        <v>6008299.9199999999</v>
      </c>
      <c r="E108">
        <f>SUM(topdon!E9:E107)</f>
        <v>500691.66</v>
      </c>
    </row>
    <row r="109" spans="1:11" x14ac:dyDescent="0.2">
      <c r="A109" s="121" t="s">
        <v>329</v>
      </c>
      <c r="B109" s="117"/>
      <c r="C109" s="118"/>
      <c r="D109" s="118"/>
      <c r="E109" s="119"/>
      <c r="F109" s="119"/>
      <c r="G109" s="119"/>
      <c r="H109" s="120"/>
      <c r="I109" s="117"/>
      <c r="J109" s="117"/>
      <c r="K109" s="117"/>
    </row>
    <row r="110" spans="1:11" ht="17" customHeight="1" x14ac:dyDescent="0.2">
      <c r="A110" s="24" t="s">
        <v>29</v>
      </c>
      <c r="B110" s="25" t="s">
        <v>28</v>
      </c>
      <c r="C110" s="26" t="s">
        <v>286</v>
      </c>
      <c r="D110" s="27" t="s">
        <v>4</v>
      </c>
      <c r="E110" s="25" t="s">
        <v>3</v>
      </c>
      <c r="F110" s="29" t="s">
        <v>22</v>
      </c>
      <c r="G110" s="32" t="s">
        <v>5</v>
      </c>
      <c r="H110" s="29" t="s">
        <v>39</v>
      </c>
      <c r="I110" s="30" t="s">
        <v>327</v>
      </c>
      <c r="J110" s="30" t="s">
        <v>328</v>
      </c>
      <c r="K110" s="31" t="s">
        <v>42</v>
      </c>
    </row>
    <row r="111" spans="1:11" ht="45" customHeight="1" x14ac:dyDescent="0.2">
      <c r="A111" s="18" t="s">
        <v>44</v>
      </c>
      <c r="B111" s="18" t="s">
        <v>43</v>
      </c>
      <c r="C111" s="41">
        <v>406.6</v>
      </c>
      <c r="D111" s="42">
        <v>4685681.88</v>
      </c>
      <c r="E111" s="42">
        <v>390473.49</v>
      </c>
      <c r="F111" s="44">
        <v>10980</v>
      </c>
      <c r="G111" s="46">
        <v>915</v>
      </c>
      <c r="H111" s="44">
        <v>172</v>
      </c>
      <c r="I111" s="45">
        <v>4.4000000000000004</v>
      </c>
      <c r="J111" s="45" t="s">
        <v>46</v>
      </c>
      <c r="K111" s="56" t="str">
        <f>HYPERLINK(J111)</f>
        <v>https://amazon.com/dp/B0D56CNCW1</v>
      </c>
    </row>
    <row r="112" spans="1:11" ht="45" customHeight="1" x14ac:dyDescent="0.2">
      <c r="A112" s="18" t="s">
        <v>57</v>
      </c>
      <c r="B112" s="18" t="s">
        <v>56</v>
      </c>
      <c r="C112" s="41">
        <v>899</v>
      </c>
      <c r="D112" s="42">
        <v>1322618.04</v>
      </c>
      <c r="E112" s="42">
        <v>110218.17</v>
      </c>
      <c r="F112" s="44">
        <v>1476</v>
      </c>
      <c r="G112" s="46">
        <v>123</v>
      </c>
      <c r="H112" s="44">
        <v>176</v>
      </c>
      <c r="I112" s="45">
        <v>4.4000000000000004</v>
      </c>
      <c r="J112" s="45" t="s">
        <v>58</v>
      </c>
      <c r="K112" s="56" t="str">
        <f>HYPERLINK(J112)</f>
        <v>https://amazon.com/dp/B0FW4H9MXB</v>
      </c>
    </row>
    <row r="113" spans="1:11" ht="17" customHeight="1" x14ac:dyDescent="0.2">
      <c r="A113" s="18"/>
      <c r="B113" s="18"/>
      <c r="C113" s="41"/>
      <c r="D113" s="42"/>
      <c r="E113" s="42"/>
      <c r="F113" s="44"/>
      <c r="G113" s="46"/>
      <c r="H113" s="44"/>
      <c r="I113" s="45"/>
      <c r="J113" s="45"/>
      <c r="K113" s="56"/>
    </row>
    <row r="114" spans="1:11" ht="45" customHeight="1" x14ac:dyDescent="0.2">
      <c r="A114" s="18"/>
      <c r="B114" s="18"/>
      <c r="C114" s="41"/>
      <c r="D114" s="42"/>
      <c r="E114" s="42"/>
      <c r="F114" s="44"/>
      <c r="G114" s="46"/>
      <c r="H114" s="44"/>
      <c r="I114" s="45"/>
      <c r="J114" s="45"/>
      <c r="K114" s="56"/>
    </row>
    <row r="115" spans="1:11" ht="30" customHeight="1" x14ac:dyDescent="0.2">
      <c r="A115" s="18"/>
      <c r="B115" s="18"/>
      <c r="C115" s="41"/>
      <c r="D115" s="42"/>
      <c r="E115" s="42"/>
      <c r="F115" s="44"/>
      <c r="G115" s="46"/>
      <c r="H115" s="44"/>
      <c r="I115" s="45"/>
      <c r="J115" s="45"/>
      <c r="K115" s="56"/>
    </row>
    <row r="116" spans="1:11" ht="45" customHeight="1" x14ac:dyDescent="0.2">
      <c r="A116" s="18"/>
      <c r="B116" s="18"/>
      <c r="C116" s="41"/>
      <c r="D116" s="42"/>
      <c r="E116" s="42"/>
      <c r="F116" s="44"/>
      <c r="G116" s="46"/>
      <c r="H116" s="44"/>
      <c r="I116" s="45"/>
      <c r="J116" s="45"/>
      <c r="K116" s="56"/>
    </row>
    <row r="117" spans="1:11" ht="45" customHeight="1" x14ac:dyDescent="0.2">
      <c r="A117" s="18"/>
      <c r="B117" s="18"/>
      <c r="C117" s="41"/>
      <c r="D117" s="42"/>
      <c r="E117" s="42"/>
      <c r="F117" s="44"/>
      <c r="G117" s="46"/>
      <c r="H117" s="44"/>
      <c r="I117" s="45"/>
      <c r="J117" s="45"/>
      <c r="K117" s="56"/>
    </row>
    <row r="118" spans="1:11" ht="45" customHeight="1" x14ac:dyDescent="0.2">
      <c r="A118" s="18"/>
      <c r="B118" s="18"/>
      <c r="C118" s="41"/>
      <c r="D118" s="42"/>
      <c r="E118" s="42"/>
      <c r="F118" s="44"/>
      <c r="G118" s="46"/>
      <c r="H118" s="44"/>
      <c r="I118" s="45"/>
      <c r="J118" s="45"/>
      <c r="K118" s="56"/>
    </row>
    <row r="119" spans="1:11" ht="45" customHeight="1" x14ac:dyDescent="0.2">
      <c r="A119" s="18"/>
      <c r="B119" s="18"/>
      <c r="C119" s="41"/>
      <c r="D119" s="42"/>
      <c r="E119" s="42"/>
      <c r="F119" s="44"/>
      <c r="G119" s="46"/>
      <c r="H119" s="44"/>
      <c r="I119" s="45"/>
      <c r="J119" s="45"/>
      <c r="K119" s="56"/>
    </row>
    <row r="120" spans="1:11" ht="45" customHeight="1" x14ac:dyDescent="0.2">
      <c r="A120" s="18"/>
      <c r="B120" s="18"/>
      <c r="C120" s="41"/>
      <c r="D120" s="42"/>
      <c r="E120" s="42"/>
      <c r="F120" s="44"/>
      <c r="G120" s="46"/>
      <c r="H120" s="44"/>
      <c r="I120" s="45"/>
      <c r="J120" s="45"/>
      <c r="K120" s="56"/>
    </row>
    <row r="121" spans="1:11" ht="45" customHeight="1" x14ac:dyDescent="0.2">
      <c r="A121" s="18"/>
      <c r="B121" s="18"/>
      <c r="C121" s="41"/>
      <c r="D121" s="42"/>
      <c r="E121" s="42"/>
      <c r="F121" s="44"/>
      <c r="G121" s="46"/>
      <c r="H121" s="44"/>
      <c r="I121" s="45"/>
      <c r="J121" s="45"/>
      <c r="K121" s="56"/>
    </row>
    <row r="122" spans="1:11" ht="45" customHeight="1" x14ac:dyDescent="0.2">
      <c r="A122" s="18"/>
      <c r="B122" s="18"/>
      <c r="C122" s="41"/>
      <c r="D122" s="42"/>
      <c r="E122" s="42"/>
      <c r="F122" s="44"/>
      <c r="G122" s="46"/>
      <c r="H122" s="44"/>
      <c r="I122" s="45"/>
      <c r="J122" s="45"/>
      <c r="K122" s="56"/>
    </row>
    <row r="123" spans="1:11" ht="45" customHeight="1" x14ac:dyDescent="0.2">
      <c r="A123" s="18"/>
      <c r="B123" s="18"/>
      <c r="C123" s="41"/>
      <c r="D123" s="42"/>
      <c r="E123" s="42"/>
      <c r="F123" s="44"/>
      <c r="G123" s="46"/>
      <c r="H123" s="44"/>
      <c r="I123" s="45"/>
      <c r="J123" s="45"/>
      <c r="K123" s="56"/>
    </row>
    <row r="124" spans="1:11" ht="45" customHeight="1" x14ac:dyDescent="0.2">
      <c r="A124" s="18"/>
      <c r="B124" s="18"/>
      <c r="C124" s="41"/>
      <c r="D124" s="42"/>
      <c r="E124" s="42"/>
      <c r="F124" s="44"/>
      <c r="G124" s="46"/>
      <c r="H124" s="44"/>
      <c r="I124" s="45"/>
      <c r="J124" s="45"/>
      <c r="K124" s="56"/>
    </row>
    <row r="125" spans="1:11" ht="45" customHeight="1" x14ac:dyDescent="0.2">
      <c r="A125" s="18"/>
      <c r="B125" s="18"/>
      <c r="C125" s="41"/>
      <c r="D125" s="42"/>
      <c r="E125" s="42"/>
      <c r="F125" s="44"/>
      <c r="G125" s="46"/>
      <c r="H125" s="44"/>
      <c r="I125" s="45"/>
      <c r="J125" s="45"/>
      <c r="K125" s="56"/>
    </row>
    <row r="126" spans="1:11" ht="45" customHeight="1" x14ac:dyDescent="0.2">
      <c r="A126" s="18"/>
      <c r="B126" s="18"/>
      <c r="C126" s="41"/>
      <c r="D126" s="42"/>
      <c r="E126" s="42"/>
      <c r="F126" s="44"/>
      <c r="G126" s="46"/>
      <c r="H126" s="44"/>
      <c r="I126" s="45"/>
      <c r="J126" s="45"/>
      <c r="K126" s="56"/>
    </row>
    <row r="127" spans="1:11" ht="45" customHeight="1" x14ac:dyDescent="0.2">
      <c r="A127" s="18"/>
      <c r="B127" s="18"/>
      <c r="C127" s="41"/>
      <c r="D127" s="42"/>
      <c r="E127" s="42"/>
      <c r="F127" s="44"/>
      <c r="G127" s="46"/>
      <c r="H127" s="44"/>
      <c r="I127" s="45"/>
      <c r="J127" s="45"/>
      <c r="K127" s="56"/>
    </row>
    <row r="128" spans="1:11" ht="60" customHeight="1" x14ac:dyDescent="0.2">
      <c r="A128" s="18"/>
      <c r="B128" s="18"/>
      <c r="C128" s="41"/>
      <c r="D128" s="42"/>
      <c r="E128" s="42"/>
      <c r="F128" s="44"/>
      <c r="G128" s="46"/>
      <c r="H128" s="44"/>
      <c r="I128" s="45"/>
      <c r="J128" s="45"/>
      <c r="K128" s="56"/>
    </row>
    <row r="129" spans="1:11" ht="45" customHeight="1" x14ac:dyDescent="0.2">
      <c r="A129" s="18"/>
      <c r="B129" s="18"/>
      <c r="C129" s="41"/>
      <c r="D129" s="42"/>
      <c r="E129" s="42"/>
      <c r="F129" s="44"/>
      <c r="G129" s="46"/>
      <c r="H129" s="44"/>
      <c r="I129" s="45"/>
      <c r="J129" s="45"/>
      <c r="K129" s="56"/>
    </row>
    <row r="130" spans="1:11" ht="45" customHeight="1" x14ac:dyDescent="0.2">
      <c r="A130" s="18"/>
      <c r="B130" s="18"/>
      <c r="C130" s="41"/>
      <c r="D130" s="42"/>
      <c r="E130" s="42"/>
      <c r="F130" s="44"/>
      <c r="G130" s="46"/>
      <c r="H130" s="44"/>
      <c r="I130" s="45"/>
      <c r="J130" s="45"/>
      <c r="K130" s="56"/>
    </row>
    <row r="131" spans="1:11" ht="45" customHeight="1" x14ac:dyDescent="0.2">
      <c r="A131" s="18"/>
      <c r="B131" s="18"/>
      <c r="C131" s="41"/>
      <c r="D131" s="42"/>
      <c r="E131" s="42"/>
      <c r="F131" s="44"/>
      <c r="G131" s="46"/>
      <c r="H131" s="44"/>
      <c r="I131" s="45"/>
      <c r="J131" s="45"/>
      <c r="K131" s="56"/>
    </row>
    <row r="132" spans="1:11" ht="45" customHeight="1" x14ac:dyDescent="0.2">
      <c r="A132" s="18"/>
      <c r="B132" s="18"/>
      <c r="C132" s="41"/>
      <c r="D132" s="42"/>
      <c r="E132" s="42"/>
      <c r="F132" s="44"/>
      <c r="G132" s="46"/>
      <c r="H132" s="44"/>
      <c r="I132" s="45"/>
      <c r="J132" s="45"/>
      <c r="K132" s="56"/>
    </row>
    <row r="133" spans="1:11" ht="45" customHeight="1" x14ac:dyDescent="0.2">
      <c r="A133" s="18"/>
      <c r="B133" s="18"/>
      <c r="C133" s="41"/>
      <c r="D133" s="42"/>
      <c r="E133" s="42"/>
      <c r="F133" s="44"/>
      <c r="G133" s="46"/>
      <c r="H133" s="44"/>
      <c r="I133" s="45"/>
      <c r="J133" s="45"/>
      <c r="K133" s="56"/>
    </row>
    <row r="134" spans="1:11" ht="45" customHeight="1" x14ac:dyDescent="0.2">
      <c r="A134" s="18"/>
      <c r="B134" s="18"/>
      <c r="C134" s="41"/>
      <c r="D134" s="42"/>
      <c r="E134" s="42"/>
      <c r="F134" s="44"/>
      <c r="G134" s="46"/>
      <c r="H134" s="44"/>
      <c r="I134" s="45"/>
      <c r="J134" s="45"/>
      <c r="K134" s="56"/>
    </row>
    <row r="135" spans="1:11" ht="45" customHeight="1" x14ac:dyDescent="0.2">
      <c r="A135" s="18"/>
      <c r="B135" s="18"/>
      <c r="C135" s="41"/>
      <c r="D135" s="42"/>
      <c r="E135" s="42"/>
      <c r="F135" s="44"/>
      <c r="G135" s="46"/>
      <c r="H135" s="44"/>
      <c r="I135" s="45"/>
      <c r="J135" s="45"/>
      <c r="K135" s="56"/>
    </row>
    <row r="136" spans="1:11" ht="45" customHeight="1" x14ac:dyDescent="0.2">
      <c r="A136" s="18"/>
      <c r="B136" s="18"/>
      <c r="C136" s="41"/>
      <c r="D136" s="42"/>
      <c r="E136" s="42"/>
      <c r="F136" s="44"/>
      <c r="G136" s="46"/>
      <c r="H136" s="44"/>
      <c r="I136" s="45"/>
      <c r="J136" s="45"/>
      <c r="K136" s="56"/>
    </row>
    <row r="137" spans="1:11" ht="45" customHeight="1" x14ac:dyDescent="0.2">
      <c r="A137" s="18"/>
      <c r="B137" s="18"/>
      <c r="C137" s="41"/>
      <c r="D137" s="42"/>
      <c r="E137" s="42"/>
      <c r="F137" s="44"/>
      <c r="G137" s="46"/>
      <c r="H137" s="44"/>
      <c r="I137" s="45"/>
      <c r="J137" s="45"/>
      <c r="K137" s="56"/>
    </row>
    <row r="138" spans="1:11" ht="45" customHeight="1" x14ac:dyDescent="0.2">
      <c r="A138" s="18"/>
      <c r="B138" s="18"/>
      <c r="C138" s="41"/>
      <c r="D138" s="42"/>
      <c r="E138" s="42"/>
      <c r="F138" s="44"/>
      <c r="G138" s="46"/>
      <c r="H138" s="44"/>
      <c r="I138" s="45"/>
      <c r="J138" s="45"/>
      <c r="K138" s="56"/>
    </row>
    <row r="139" spans="1:11" ht="45" customHeight="1" x14ac:dyDescent="0.2">
      <c r="A139" s="18"/>
      <c r="B139" s="18"/>
      <c r="C139" s="41"/>
      <c r="D139" s="42"/>
      <c r="E139" s="42"/>
      <c r="F139" s="44"/>
      <c r="G139" s="46"/>
      <c r="H139" s="44"/>
      <c r="I139" s="45"/>
      <c r="J139" s="45"/>
      <c r="K139" s="56"/>
    </row>
    <row r="140" spans="1:11" ht="30" customHeight="1" x14ac:dyDescent="0.2">
      <c r="A140" s="18"/>
      <c r="B140" s="18"/>
      <c r="C140" s="41"/>
      <c r="D140" s="42"/>
      <c r="E140" s="42"/>
      <c r="F140" s="44"/>
      <c r="G140" s="46"/>
      <c r="H140" s="44"/>
      <c r="I140" s="45"/>
      <c r="J140" s="45"/>
      <c r="K140" s="56"/>
    </row>
    <row r="141" spans="1:11" ht="45" customHeight="1" x14ac:dyDescent="0.2">
      <c r="A141" s="18"/>
      <c r="B141" s="18"/>
      <c r="C141" s="41"/>
      <c r="D141" s="42"/>
      <c r="E141" s="42"/>
      <c r="F141" s="44"/>
      <c r="G141" s="46"/>
      <c r="H141" s="44"/>
      <c r="I141" s="45"/>
      <c r="J141" s="45"/>
      <c r="K141" s="56"/>
    </row>
    <row r="142" spans="1:11" ht="17" customHeight="1" x14ac:dyDescent="0.2">
      <c r="A142" s="18"/>
      <c r="B142" s="18"/>
      <c r="C142" s="41"/>
      <c r="D142" s="42"/>
      <c r="E142" s="42"/>
      <c r="F142" s="44"/>
      <c r="G142" s="46"/>
      <c r="H142" s="44"/>
      <c r="I142" s="45"/>
      <c r="J142" s="45"/>
      <c r="K142" s="56"/>
    </row>
    <row r="143" spans="1:11" ht="45" customHeight="1" x14ac:dyDescent="0.2">
      <c r="A143" s="18"/>
      <c r="B143" s="18"/>
      <c r="C143" s="41"/>
      <c r="D143" s="42"/>
      <c r="E143" s="42"/>
      <c r="F143" s="44"/>
      <c r="G143" s="46"/>
      <c r="H143" s="44"/>
      <c r="I143" s="45"/>
      <c r="J143" s="45"/>
      <c r="K143" s="56"/>
    </row>
    <row r="144" spans="1:11" ht="45" customHeight="1" x14ac:dyDescent="0.2">
      <c r="A144" s="18"/>
      <c r="B144" s="18"/>
      <c r="C144" s="41"/>
      <c r="D144" s="42"/>
      <c r="E144" s="42"/>
      <c r="F144" s="44"/>
      <c r="G144" s="46"/>
      <c r="H144" s="44"/>
      <c r="I144" s="45"/>
      <c r="J144" s="45"/>
      <c r="K144" s="56"/>
    </row>
    <row r="145" spans="1:11" ht="45" customHeight="1" x14ac:dyDescent="0.2">
      <c r="A145" s="18"/>
      <c r="B145" s="18"/>
      <c r="C145" s="41"/>
      <c r="D145" s="42"/>
      <c r="E145" s="42"/>
      <c r="F145" s="44"/>
      <c r="G145" s="46"/>
      <c r="H145" s="44"/>
      <c r="I145" s="45"/>
      <c r="J145" s="45"/>
      <c r="K145" s="56"/>
    </row>
    <row r="146" spans="1:11" ht="45" customHeight="1" x14ac:dyDescent="0.2">
      <c r="A146" s="18"/>
      <c r="B146" s="18"/>
      <c r="C146" s="41"/>
      <c r="D146" s="42"/>
      <c r="E146" s="42"/>
      <c r="F146" s="44"/>
      <c r="G146" s="46"/>
      <c r="H146" s="44"/>
      <c r="I146" s="45"/>
      <c r="J146" s="45"/>
      <c r="K146" s="56"/>
    </row>
    <row r="147" spans="1:11" ht="30" customHeight="1" x14ac:dyDescent="0.2">
      <c r="A147" s="18"/>
      <c r="B147" s="18"/>
      <c r="C147" s="41"/>
      <c r="D147" s="42"/>
      <c r="E147" s="42"/>
      <c r="F147" s="44"/>
      <c r="G147" s="46"/>
      <c r="H147" s="44"/>
      <c r="I147" s="45"/>
      <c r="J147" s="45"/>
      <c r="K147" s="56"/>
    </row>
    <row r="148" spans="1:11" ht="45" customHeight="1" x14ac:dyDescent="0.2">
      <c r="A148" s="18"/>
      <c r="B148" s="18"/>
      <c r="C148" s="41"/>
      <c r="D148" s="42"/>
      <c r="E148" s="42"/>
      <c r="F148" s="44"/>
      <c r="G148" s="46"/>
      <c r="H148" s="44"/>
      <c r="I148" s="45"/>
      <c r="J148" s="45"/>
      <c r="K148" s="56"/>
    </row>
    <row r="149" spans="1:11" ht="45" customHeight="1" x14ac:dyDescent="0.2">
      <c r="A149" s="18"/>
      <c r="B149" s="18"/>
      <c r="C149" s="41"/>
      <c r="D149" s="42"/>
      <c r="E149" s="42"/>
      <c r="F149" s="44"/>
      <c r="G149" s="46"/>
      <c r="H149" s="44"/>
      <c r="I149" s="45"/>
      <c r="J149" s="45"/>
      <c r="K149" s="56"/>
    </row>
    <row r="150" spans="1:11" ht="45" customHeight="1" x14ac:dyDescent="0.2">
      <c r="A150" s="18"/>
      <c r="B150" s="18"/>
      <c r="C150" s="41"/>
      <c r="D150" s="42"/>
      <c r="E150" s="42"/>
      <c r="F150" s="44"/>
      <c r="G150" s="46"/>
      <c r="H150" s="44"/>
      <c r="I150" s="45"/>
      <c r="J150" s="45"/>
      <c r="K150" s="56"/>
    </row>
    <row r="151" spans="1:11" ht="45" customHeight="1" x14ac:dyDescent="0.2">
      <c r="A151" s="18"/>
      <c r="B151" s="18"/>
      <c r="C151" s="41"/>
      <c r="D151" s="42"/>
      <c r="E151" s="42"/>
      <c r="F151" s="44"/>
      <c r="G151" s="46"/>
      <c r="H151" s="44"/>
      <c r="I151" s="45"/>
      <c r="J151" s="45"/>
      <c r="K151" s="56"/>
    </row>
    <row r="152" spans="1:11" ht="30" customHeight="1" x14ac:dyDescent="0.2">
      <c r="A152" s="18"/>
      <c r="B152" s="18"/>
      <c r="C152" s="41"/>
      <c r="D152" s="42"/>
      <c r="E152" s="42"/>
      <c r="F152" s="44"/>
      <c r="G152" s="46"/>
      <c r="H152" s="44"/>
      <c r="I152" s="45"/>
      <c r="J152" s="45"/>
      <c r="K152" s="56"/>
    </row>
    <row r="153" spans="1:11" ht="45" customHeight="1" x14ac:dyDescent="0.2">
      <c r="A153" s="18"/>
      <c r="B153" s="18"/>
      <c r="C153" s="41"/>
      <c r="D153" s="42"/>
      <c r="E153" s="42"/>
      <c r="F153" s="44"/>
      <c r="G153" s="46"/>
      <c r="H153" s="44"/>
      <c r="I153" s="45"/>
      <c r="J153" s="45"/>
      <c r="K153" s="56"/>
    </row>
    <row r="154" spans="1:11" ht="45" customHeight="1" x14ac:dyDescent="0.2">
      <c r="A154" s="18"/>
      <c r="B154" s="18"/>
      <c r="C154" s="41"/>
      <c r="D154" s="42"/>
      <c r="E154" s="42"/>
      <c r="F154" s="44"/>
      <c r="G154" s="46"/>
      <c r="H154" s="44"/>
      <c r="I154" s="45"/>
      <c r="J154" s="45"/>
      <c r="K154" s="56"/>
    </row>
    <row r="155" spans="1:11" ht="45" customHeight="1" x14ac:dyDescent="0.2">
      <c r="A155" s="18"/>
      <c r="B155" s="18"/>
      <c r="C155" s="41"/>
      <c r="D155" s="42"/>
      <c r="E155" s="42"/>
      <c r="F155" s="44"/>
      <c r="G155" s="46"/>
      <c r="H155" s="44"/>
      <c r="I155" s="45"/>
      <c r="J155" s="45"/>
      <c r="K155" s="56"/>
    </row>
    <row r="156" spans="1:11" ht="45" customHeight="1" x14ac:dyDescent="0.2">
      <c r="A156" s="18"/>
      <c r="B156" s="18"/>
      <c r="C156" s="41"/>
      <c r="D156" s="42"/>
      <c r="E156" s="42"/>
      <c r="F156" s="44"/>
      <c r="G156" s="46"/>
      <c r="H156" s="44"/>
      <c r="I156" s="45"/>
      <c r="J156" s="45"/>
      <c r="K156" s="56"/>
    </row>
    <row r="157" spans="1:11" ht="45" customHeight="1" x14ac:dyDescent="0.2">
      <c r="A157" s="18"/>
      <c r="B157" s="18"/>
      <c r="C157" s="41"/>
      <c r="D157" s="42"/>
      <c r="E157" s="42"/>
      <c r="F157" s="44"/>
      <c r="G157" s="46"/>
      <c r="H157" s="44"/>
      <c r="I157" s="45"/>
      <c r="J157" s="45"/>
      <c r="K157" s="56"/>
    </row>
    <row r="158" spans="1:11" ht="45" customHeight="1" x14ac:dyDescent="0.2">
      <c r="A158" s="18"/>
      <c r="B158" s="18"/>
      <c r="C158" s="41"/>
      <c r="D158" s="42"/>
      <c r="E158" s="42"/>
      <c r="F158" s="44"/>
      <c r="G158" s="46"/>
      <c r="H158" s="44"/>
      <c r="I158" s="45"/>
      <c r="J158" s="45"/>
      <c r="K158" s="56"/>
    </row>
    <row r="159" spans="1:11" ht="45" customHeight="1" x14ac:dyDescent="0.2">
      <c r="A159" s="18"/>
      <c r="B159" s="18"/>
      <c r="C159" s="41"/>
      <c r="D159" s="42"/>
      <c r="E159" s="42"/>
      <c r="F159" s="44"/>
      <c r="G159" s="46"/>
      <c r="H159" s="44"/>
      <c r="I159" s="45"/>
      <c r="J159" s="45"/>
      <c r="K159" s="56"/>
    </row>
    <row r="160" spans="1:11" ht="45" customHeight="1" x14ac:dyDescent="0.2">
      <c r="A160" s="18"/>
      <c r="B160" s="18"/>
      <c r="C160" s="41"/>
      <c r="D160" s="42"/>
      <c r="E160" s="42"/>
      <c r="F160" s="44"/>
      <c r="G160" s="46"/>
      <c r="H160" s="44"/>
      <c r="I160" s="45"/>
      <c r="J160" s="45"/>
      <c r="K160" s="56"/>
    </row>
    <row r="161" spans="1:11" ht="45" customHeight="1" x14ac:dyDescent="0.2">
      <c r="A161" s="18"/>
      <c r="B161" s="18"/>
      <c r="C161" s="41"/>
      <c r="D161" s="42"/>
      <c r="E161" s="42"/>
      <c r="F161" s="44"/>
      <c r="G161" s="46"/>
      <c r="H161" s="44"/>
      <c r="I161" s="45"/>
      <c r="J161" s="45"/>
      <c r="K161" s="56"/>
    </row>
    <row r="162" spans="1:11" ht="45" customHeight="1" x14ac:dyDescent="0.2">
      <c r="A162" s="18"/>
      <c r="B162" s="18"/>
      <c r="C162" s="41"/>
      <c r="D162" s="42"/>
      <c r="E162" s="42"/>
      <c r="F162" s="44"/>
      <c r="G162" s="46"/>
      <c r="H162" s="44"/>
      <c r="I162" s="45"/>
      <c r="J162" s="45"/>
      <c r="K162" s="56"/>
    </row>
    <row r="163" spans="1:11" ht="45" customHeight="1" x14ac:dyDescent="0.2">
      <c r="A163" s="18"/>
      <c r="B163" s="18"/>
      <c r="C163" s="41"/>
      <c r="D163" s="42"/>
      <c r="E163" s="42"/>
      <c r="F163" s="44"/>
      <c r="G163" s="46"/>
      <c r="H163" s="44"/>
      <c r="I163" s="45"/>
      <c r="J163" s="45"/>
      <c r="K163" s="56"/>
    </row>
    <row r="164" spans="1:11" ht="45" customHeight="1" x14ac:dyDescent="0.2">
      <c r="A164" s="18"/>
      <c r="B164" s="18"/>
      <c r="C164" s="41"/>
      <c r="D164" s="42"/>
      <c r="E164" s="42"/>
      <c r="F164" s="44"/>
      <c r="G164" s="46"/>
      <c r="H164" s="44"/>
      <c r="I164" s="45"/>
      <c r="J164" s="45"/>
      <c r="K164" s="56"/>
    </row>
    <row r="165" spans="1:11" ht="45" customHeight="1" x14ac:dyDescent="0.2">
      <c r="A165" s="18"/>
      <c r="B165" s="18"/>
      <c r="C165" s="41"/>
      <c r="D165" s="42"/>
      <c r="E165" s="42"/>
      <c r="F165" s="44"/>
      <c r="G165" s="46"/>
      <c r="H165" s="44"/>
      <c r="I165" s="45"/>
      <c r="J165" s="45"/>
      <c r="K165" s="56"/>
    </row>
    <row r="166" spans="1:11" ht="30" customHeight="1" x14ac:dyDescent="0.2">
      <c r="A166" s="18"/>
      <c r="B166" s="18"/>
      <c r="C166" s="41"/>
      <c r="D166" s="42"/>
      <c r="E166" s="42"/>
      <c r="F166" s="44"/>
      <c r="G166" s="46"/>
      <c r="H166" s="44"/>
      <c r="I166" s="45"/>
      <c r="J166" s="45"/>
      <c r="K166" s="56"/>
    </row>
    <row r="167" spans="1:11" ht="45" customHeight="1" x14ac:dyDescent="0.2">
      <c r="A167" s="18"/>
      <c r="B167" s="18"/>
      <c r="C167" s="41"/>
      <c r="D167" s="42"/>
      <c r="E167" s="42"/>
      <c r="F167" s="44"/>
      <c r="G167" s="46"/>
      <c r="H167" s="44"/>
      <c r="I167" s="45"/>
      <c r="J167" s="45"/>
      <c r="K167" s="56"/>
    </row>
    <row r="168" spans="1:11" ht="45" customHeight="1" x14ac:dyDescent="0.2">
      <c r="A168" s="18"/>
      <c r="B168" s="18"/>
      <c r="C168" s="41"/>
      <c r="D168" s="42"/>
      <c r="E168" s="42"/>
      <c r="F168" s="44"/>
      <c r="G168" s="46"/>
      <c r="H168" s="44"/>
      <c r="I168" s="45"/>
      <c r="J168" s="45"/>
      <c r="K168" s="56"/>
    </row>
    <row r="169" spans="1:11" ht="45" customHeight="1" x14ac:dyDescent="0.2">
      <c r="A169" s="18"/>
      <c r="B169" s="18"/>
      <c r="C169" s="41"/>
      <c r="D169" s="42"/>
      <c r="E169" s="42"/>
      <c r="F169" s="44"/>
      <c r="G169" s="46"/>
      <c r="H169" s="44"/>
      <c r="I169" s="45"/>
      <c r="J169" s="45"/>
      <c r="K169" s="56"/>
    </row>
    <row r="170" spans="1:11" ht="45" customHeight="1" x14ac:dyDescent="0.2">
      <c r="A170" s="18"/>
      <c r="B170" s="18"/>
      <c r="C170" s="41"/>
      <c r="D170" s="42"/>
      <c r="E170" s="42"/>
      <c r="F170" s="44"/>
      <c r="G170" s="46"/>
      <c r="H170" s="44"/>
      <c r="I170" s="45"/>
      <c r="J170" s="45"/>
      <c r="K170" s="56"/>
    </row>
    <row r="171" spans="1:11" ht="17" customHeight="1" x14ac:dyDescent="0.2">
      <c r="A171" s="18"/>
      <c r="B171" s="18"/>
      <c r="C171" s="41"/>
      <c r="D171" s="42"/>
      <c r="E171" s="42"/>
      <c r="F171" s="44"/>
      <c r="G171" s="46"/>
      <c r="H171" s="44"/>
      <c r="I171" s="45"/>
      <c r="J171" s="45"/>
      <c r="K171" s="56"/>
    </row>
    <row r="172" spans="1:11" ht="30" customHeight="1" x14ac:dyDescent="0.2">
      <c r="A172" s="18"/>
      <c r="B172" s="18"/>
      <c r="C172" s="41"/>
      <c r="D172" s="42"/>
      <c r="E172" s="42"/>
      <c r="F172" s="44"/>
      <c r="G172" s="46"/>
      <c r="H172" s="44"/>
      <c r="I172" s="45"/>
      <c r="J172" s="45"/>
      <c r="K172" s="56"/>
    </row>
    <row r="173" spans="1:11" ht="45" customHeight="1" x14ac:dyDescent="0.2">
      <c r="A173" s="18"/>
      <c r="B173" s="18"/>
      <c r="C173" s="41"/>
      <c r="D173" s="42"/>
      <c r="E173" s="42"/>
      <c r="F173" s="44"/>
      <c r="G173" s="46"/>
      <c r="H173" s="44"/>
      <c r="I173" s="45"/>
      <c r="J173" s="45"/>
      <c r="K173" s="56"/>
    </row>
    <row r="174" spans="1:11" ht="17" customHeight="1" x14ac:dyDescent="0.2">
      <c r="A174" s="18"/>
      <c r="B174" s="18"/>
      <c r="C174" s="41"/>
      <c r="D174" s="42"/>
      <c r="E174" s="42"/>
      <c r="F174" s="44"/>
      <c r="G174" s="46"/>
      <c r="H174" s="44"/>
      <c r="I174" s="45"/>
      <c r="J174" s="45"/>
      <c r="K174" s="56"/>
    </row>
    <row r="175" spans="1:11" ht="45" customHeight="1" x14ac:dyDescent="0.2">
      <c r="A175" s="18"/>
      <c r="B175" s="18"/>
      <c r="C175" s="41"/>
      <c r="D175" s="42"/>
      <c r="E175" s="42"/>
      <c r="F175" s="44"/>
      <c r="G175" s="46"/>
      <c r="H175" s="44"/>
      <c r="I175" s="45"/>
      <c r="J175" s="45"/>
      <c r="K175" s="56"/>
    </row>
    <row r="176" spans="1:11" ht="45" customHeight="1" x14ac:dyDescent="0.2">
      <c r="A176" s="18"/>
      <c r="B176" s="18"/>
      <c r="C176" s="41"/>
      <c r="D176" s="42"/>
      <c r="E176" s="42"/>
      <c r="F176" s="44"/>
      <c r="G176" s="46"/>
      <c r="H176" s="44"/>
      <c r="I176" s="45"/>
      <c r="J176" s="45"/>
      <c r="K176" s="56"/>
    </row>
    <row r="177" spans="1:11" ht="30" customHeight="1" x14ac:dyDescent="0.2">
      <c r="A177" s="18"/>
      <c r="B177" s="18"/>
      <c r="C177" s="41"/>
      <c r="D177" s="42"/>
      <c r="E177" s="42"/>
      <c r="F177" s="44"/>
      <c r="G177" s="46"/>
      <c r="H177" s="44"/>
      <c r="I177" s="45"/>
      <c r="J177" s="45"/>
      <c r="K177" s="56"/>
    </row>
    <row r="178" spans="1:11" ht="45" customHeight="1" x14ac:dyDescent="0.2">
      <c r="A178" s="18"/>
      <c r="B178" s="18"/>
      <c r="C178" s="41"/>
      <c r="D178" s="42"/>
      <c r="E178" s="42"/>
      <c r="F178" s="44"/>
      <c r="G178" s="46"/>
      <c r="H178" s="44"/>
      <c r="I178" s="45"/>
      <c r="J178" s="45"/>
      <c r="K178" s="56"/>
    </row>
    <row r="179" spans="1:11" ht="45" customHeight="1" x14ac:dyDescent="0.2">
      <c r="A179" s="18"/>
      <c r="B179" s="18"/>
      <c r="C179" s="41"/>
      <c r="D179" s="42"/>
      <c r="E179" s="42"/>
      <c r="F179" s="44"/>
      <c r="G179" s="46"/>
      <c r="H179" s="44"/>
      <c r="I179" s="45"/>
      <c r="J179" s="45"/>
      <c r="K179" s="56"/>
    </row>
    <row r="180" spans="1:11" ht="45" customHeight="1" x14ac:dyDescent="0.2">
      <c r="A180" s="18"/>
      <c r="B180" s="18"/>
      <c r="C180" s="41"/>
      <c r="D180" s="42"/>
      <c r="E180" s="42"/>
      <c r="F180" s="44"/>
      <c r="G180" s="46"/>
      <c r="H180" s="44"/>
      <c r="I180" s="45"/>
      <c r="J180" s="45"/>
      <c r="K180" s="56"/>
    </row>
    <row r="181" spans="1:11" ht="45" customHeight="1" x14ac:dyDescent="0.2">
      <c r="A181" s="18"/>
      <c r="B181" s="18"/>
      <c r="C181" s="41"/>
      <c r="D181" s="42"/>
      <c r="E181" s="42"/>
      <c r="F181" s="44"/>
      <c r="G181" s="46"/>
      <c r="H181" s="44"/>
      <c r="I181" s="45"/>
      <c r="J181" s="45"/>
      <c r="K181" s="56"/>
    </row>
    <row r="182" spans="1:11" ht="45" customHeight="1" x14ac:dyDescent="0.2">
      <c r="A182" s="18"/>
      <c r="B182" s="18"/>
      <c r="C182" s="41"/>
      <c r="D182" s="42"/>
      <c r="E182" s="42"/>
      <c r="F182" s="44"/>
      <c r="G182" s="46"/>
      <c r="H182" s="44"/>
      <c r="I182" s="45"/>
      <c r="J182" s="45"/>
      <c r="K182" s="56"/>
    </row>
    <row r="183" spans="1:11" ht="45" customHeight="1" x14ac:dyDescent="0.2">
      <c r="A183" s="18"/>
      <c r="B183" s="18"/>
      <c r="C183" s="41"/>
      <c r="D183" s="42"/>
      <c r="E183" s="42"/>
      <c r="F183" s="44"/>
      <c r="G183" s="46"/>
      <c r="H183" s="44"/>
      <c r="I183" s="45"/>
      <c r="J183" s="45"/>
      <c r="K183" s="56"/>
    </row>
    <row r="184" spans="1:11" ht="45" customHeight="1" x14ac:dyDescent="0.2">
      <c r="A184" s="18"/>
      <c r="B184" s="18"/>
      <c r="C184" s="41"/>
      <c r="D184" s="42"/>
      <c r="E184" s="42"/>
      <c r="F184" s="44"/>
      <c r="G184" s="46"/>
      <c r="H184" s="44"/>
      <c r="I184" s="45"/>
      <c r="J184" s="45"/>
      <c r="K184" s="56"/>
    </row>
    <row r="185" spans="1:11" ht="45" customHeight="1" x14ac:dyDescent="0.2">
      <c r="A185" s="18"/>
      <c r="B185" s="18"/>
      <c r="C185" s="41"/>
      <c r="D185" s="42"/>
      <c r="E185" s="42"/>
      <c r="F185" s="44"/>
      <c r="G185" s="46"/>
      <c r="H185" s="44"/>
      <c r="I185" s="45"/>
      <c r="J185" s="45"/>
      <c r="K185" s="56"/>
    </row>
    <row r="186" spans="1:11" ht="45" customHeight="1" x14ac:dyDescent="0.2">
      <c r="A186" s="18"/>
      <c r="B186" s="18"/>
      <c r="C186" s="41"/>
      <c r="D186" s="42"/>
      <c r="E186" s="42"/>
      <c r="F186" s="44"/>
      <c r="G186" s="46"/>
      <c r="H186" s="44"/>
      <c r="I186" s="45"/>
      <c r="J186" s="45"/>
      <c r="K186" s="56"/>
    </row>
    <row r="187" spans="1:11" ht="45" customHeight="1" x14ac:dyDescent="0.2">
      <c r="A187" s="18"/>
      <c r="B187" s="18"/>
      <c r="C187" s="41"/>
      <c r="D187" s="42"/>
      <c r="E187" s="42"/>
      <c r="F187" s="44"/>
      <c r="G187" s="46"/>
      <c r="H187" s="44"/>
      <c r="I187" s="45"/>
      <c r="J187" s="45"/>
      <c r="K187" s="56"/>
    </row>
    <row r="188" spans="1:11" ht="30" customHeight="1" x14ac:dyDescent="0.2">
      <c r="A188" s="18"/>
      <c r="B188" s="18"/>
      <c r="C188" s="41"/>
      <c r="D188" s="42"/>
      <c r="E188" s="42"/>
      <c r="F188" s="44"/>
      <c r="G188" s="46"/>
      <c r="H188" s="44"/>
      <c r="I188" s="45"/>
      <c r="J188" s="45"/>
      <c r="K188" s="56"/>
    </row>
    <row r="189" spans="1:11" ht="45" customHeight="1" x14ac:dyDescent="0.2">
      <c r="A189" s="18"/>
      <c r="B189" s="18"/>
      <c r="C189" s="41"/>
      <c r="D189" s="42"/>
      <c r="E189" s="42"/>
      <c r="F189" s="44"/>
      <c r="G189" s="46"/>
      <c r="H189" s="44"/>
      <c r="I189" s="45"/>
      <c r="J189" s="45"/>
      <c r="K189" s="56"/>
    </row>
    <row r="190" spans="1:11" ht="45" customHeight="1" x14ac:dyDescent="0.2">
      <c r="A190" s="18"/>
      <c r="B190" s="18"/>
      <c r="C190" s="41"/>
      <c r="D190" s="42"/>
      <c r="E190" s="42"/>
      <c r="F190" s="44"/>
      <c r="G190" s="46"/>
      <c r="H190" s="44"/>
      <c r="I190" s="45"/>
      <c r="J190" s="45"/>
      <c r="K190" s="56"/>
    </row>
    <row r="191" spans="1:11" ht="30" customHeight="1" x14ac:dyDescent="0.2">
      <c r="A191" s="18"/>
      <c r="B191" s="18"/>
      <c r="C191" s="41"/>
      <c r="D191" s="42"/>
      <c r="E191" s="42"/>
      <c r="F191" s="44"/>
      <c r="G191" s="46"/>
      <c r="H191" s="44"/>
      <c r="I191" s="45"/>
      <c r="J191" s="45"/>
      <c r="K191" s="56"/>
    </row>
    <row r="192" spans="1:11" ht="30" customHeight="1" x14ac:dyDescent="0.2">
      <c r="A192" s="18"/>
      <c r="B192" s="18"/>
      <c r="C192" s="41"/>
      <c r="D192" s="42"/>
      <c r="E192" s="42"/>
      <c r="F192" s="44"/>
      <c r="G192" s="46"/>
      <c r="H192" s="44"/>
      <c r="I192" s="45"/>
      <c r="J192" s="45"/>
      <c r="K192" s="56"/>
    </row>
    <row r="193" spans="1:11" ht="30" customHeight="1" x14ac:dyDescent="0.2">
      <c r="A193" s="18"/>
      <c r="B193" s="18"/>
      <c r="C193" s="41"/>
      <c r="D193" s="42"/>
      <c r="E193" s="42"/>
      <c r="F193" s="44"/>
      <c r="G193" s="46"/>
      <c r="H193" s="44"/>
      <c r="I193" s="45"/>
      <c r="J193" s="45"/>
      <c r="K193" s="56"/>
    </row>
    <row r="194" spans="1:11" ht="45" customHeight="1" x14ac:dyDescent="0.2">
      <c r="A194" s="18"/>
      <c r="B194" s="18"/>
      <c r="C194" s="41"/>
      <c r="D194" s="42"/>
      <c r="E194" s="42"/>
      <c r="F194" s="44"/>
      <c r="G194" s="46"/>
      <c r="H194" s="44"/>
      <c r="I194" s="45"/>
      <c r="J194" s="45"/>
      <c r="K194" s="56"/>
    </row>
    <row r="195" spans="1:11" ht="30" customHeight="1" x14ac:dyDescent="0.2">
      <c r="A195" s="18"/>
      <c r="B195" s="18"/>
      <c r="C195" s="41"/>
      <c r="D195" s="42"/>
      <c r="E195" s="42"/>
      <c r="F195" s="44"/>
      <c r="G195" s="46"/>
      <c r="H195" s="44"/>
      <c r="I195" s="45"/>
      <c r="J195" s="45"/>
      <c r="K195" s="56"/>
    </row>
    <row r="196" spans="1:11" ht="45" customHeight="1" x14ac:dyDescent="0.2">
      <c r="A196" s="18"/>
      <c r="B196" s="18"/>
      <c r="C196" s="41"/>
      <c r="D196" s="42"/>
      <c r="E196" s="42"/>
      <c r="F196" s="44"/>
      <c r="G196" s="46"/>
      <c r="H196" s="44"/>
      <c r="I196" s="45"/>
      <c r="J196" s="45"/>
      <c r="K196" s="56"/>
    </row>
    <row r="197" spans="1:11" ht="17" customHeight="1" x14ac:dyDescent="0.2">
      <c r="A197" s="18"/>
      <c r="B197" s="18"/>
      <c r="C197" s="41"/>
      <c r="D197" s="42"/>
      <c r="E197" s="42"/>
      <c r="F197" s="44"/>
      <c r="G197" s="46"/>
      <c r="H197" s="44"/>
      <c r="I197" s="45"/>
      <c r="J197" s="45"/>
      <c r="K197" s="56"/>
    </row>
    <row r="198" spans="1:11" ht="45" customHeight="1" x14ac:dyDescent="0.2">
      <c r="A198" s="18"/>
      <c r="B198" s="18"/>
      <c r="C198" s="41"/>
      <c r="D198" s="42"/>
      <c r="E198" s="42"/>
      <c r="F198" s="44"/>
      <c r="G198" s="46"/>
      <c r="H198" s="44"/>
      <c r="I198" s="45"/>
      <c r="J198" s="45"/>
      <c r="K198" s="56"/>
    </row>
    <row r="199" spans="1:11" ht="45" customHeight="1" x14ac:dyDescent="0.2">
      <c r="A199" s="18"/>
      <c r="B199" s="18"/>
      <c r="C199" s="41"/>
      <c r="D199" s="42"/>
      <c r="E199" s="42"/>
      <c r="F199" s="44"/>
      <c r="G199" s="46"/>
      <c r="H199" s="44"/>
      <c r="I199" s="45"/>
      <c r="J199" s="45"/>
      <c r="K199" s="56"/>
    </row>
    <row r="200" spans="1:11" ht="17" customHeight="1" x14ac:dyDescent="0.2">
      <c r="A200" s="18"/>
      <c r="B200" s="18"/>
      <c r="C200" s="41"/>
      <c r="D200" s="42"/>
      <c r="E200" s="42"/>
      <c r="F200" s="44"/>
      <c r="G200" s="46"/>
      <c r="H200" s="44"/>
      <c r="I200" s="45"/>
      <c r="J200" s="45"/>
      <c r="K200" s="56"/>
    </row>
    <row r="201" spans="1:11" ht="45" customHeight="1" x14ac:dyDescent="0.2">
      <c r="A201" s="18"/>
      <c r="B201" s="18"/>
      <c r="C201" s="41"/>
      <c r="D201" s="42"/>
      <c r="E201" s="42"/>
      <c r="F201" s="44"/>
      <c r="G201" s="46"/>
      <c r="H201" s="44"/>
      <c r="I201" s="45"/>
      <c r="J201" s="45"/>
      <c r="K201" s="56"/>
    </row>
    <row r="202" spans="1:11" ht="45" customHeight="1" x14ac:dyDescent="0.2">
      <c r="A202" s="18"/>
      <c r="B202" s="18"/>
      <c r="C202" s="41"/>
      <c r="D202" s="42"/>
      <c r="E202" s="42"/>
      <c r="F202" s="44"/>
      <c r="G202" s="46"/>
      <c r="H202" s="44"/>
      <c r="I202" s="45"/>
      <c r="J202" s="45"/>
      <c r="K202" s="56"/>
    </row>
    <row r="203" spans="1:11" ht="30" customHeight="1" x14ac:dyDescent="0.2">
      <c r="A203" s="18"/>
      <c r="B203" s="18"/>
      <c r="C203" s="41"/>
      <c r="D203" s="42"/>
      <c r="E203" s="42"/>
      <c r="F203" s="44"/>
      <c r="G203" s="46"/>
      <c r="H203" s="44"/>
      <c r="I203" s="45"/>
      <c r="J203" s="45"/>
      <c r="K203" s="56"/>
    </row>
    <row r="204" spans="1:11" ht="45" customHeight="1" x14ac:dyDescent="0.2">
      <c r="A204" s="18"/>
      <c r="B204" s="18"/>
      <c r="C204" s="41"/>
      <c r="D204" s="42"/>
      <c r="E204" s="42"/>
      <c r="F204" s="44"/>
      <c r="G204" s="46"/>
      <c r="H204" s="44"/>
      <c r="I204" s="45"/>
      <c r="J204" s="45"/>
      <c r="K204" s="56"/>
    </row>
    <row r="205" spans="1:11" ht="45" customHeight="1" x14ac:dyDescent="0.2">
      <c r="A205" s="18"/>
      <c r="B205" s="18"/>
      <c r="C205" s="41"/>
      <c r="D205" s="42"/>
      <c r="E205" s="42"/>
      <c r="F205" s="44"/>
      <c r="G205" s="46"/>
      <c r="H205" s="44"/>
      <c r="I205" s="45"/>
      <c r="J205" s="45"/>
      <c r="K205" s="56"/>
    </row>
    <row r="206" spans="1:11" ht="45" customHeight="1" x14ac:dyDescent="0.2">
      <c r="A206" s="18"/>
      <c r="B206" s="18"/>
      <c r="C206" s="41"/>
      <c r="D206" s="42"/>
      <c r="E206" s="42"/>
      <c r="F206" s="44"/>
      <c r="G206" s="46"/>
      <c r="H206" s="44"/>
      <c r="I206" s="45"/>
      <c r="J206" s="45"/>
      <c r="K206" s="56"/>
    </row>
    <row r="207" spans="1:11" ht="45" customHeight="1" x14ac:dyDescent="0.2">
      <c r="A207" s="18"/>
      <c r="B207" s="18"/>
      <c r="C207" s="41"/>
      <c r="D207" s="42"/>
      <c r="E207" s="42"/>
      <c r="F207" s="44"/>
      <c r="G207" s="46"/>
      <c r="H207" s="44"/>
      <c r="I207" s="45"/>
      <c r="J207" s="45"/>
      <c r="K207" s="56"/>
    </row>
    <row r="208" spans="1:11" ht="17" customHeight="1" x14ac:dyDescent="0.2">
      <c r="A208" s="21" t="s">
        <v>291</v>
      </c>
      <c r="B208" s="21"/>
      <c r="C208" s="58"/>
      <c r="D208" s="58"/>
      <c r="E208" s="58"/>
      <c r="F208" s="103">
        <f>SUM(topdon!F111:F207)</f>
        <v>12456</v>
      </c>
      <c r="G208" s="103">
        <f>SUM(topdon!G111:G207)</f>
        <v>1038</v>
      </c>
      <c r="H208" s="59"/>
      <c r="I208" s="60"/>
      <c r="J208" s="21"/>
      <c r="K208" s="20"/>
    </row>
  </sheetData>
  <mergeCells count="3">
    <mergeCell ref="A109:K109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K84"/>
  <sheetViews>
    <sheetView workbookViewId="0">
      <selection activeCell="L10" sqref="L10"/>
    </sheetView>
  </sheetViews>
  <sheetFormatPr baseColWidth="10" defaultColWidth="11.1640625" defaultRowHeight="16" x14ac:dyDescent="0.2"/>
  <cols>
    <col min="1" max="1" width="50.6640625" style="19" customWidth="1"/>
    <col min="2" max="2" width="12.6640625" style="19" customWidth="1"/>
    <col min="3" max="3" width="10.83203125" style="19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34.33203125" style="19" hidden="1" customWidth="1"/>
    <col min="11" max="11" width="35.6640625" style="19" customWidth="1"/>
    <col min="12" max="12" width="12.6640625" style="19" customWidth="1"/>
    <col min="13" max="13" width="11.1640625" style="19" customWidth="1"/>
    <col min="14" max="16384" width="11.1640625" style="19"/>
  </cols>
  <sheetData>
    <row r="1" spans="1:11" ht="15.75" customHeight="1" x14ac:dyDescent="0.2">
      <c r="A1" s="123" t="e">
        <v>#VALUE!</v>
      </c>
      <c r="B1" s="117"/>
      <c r="C1" s="117"/>
      <c r="D1" s="117"/>
      <c r="E1" s="119"/>
      <c r="F1" s="119"/>
      <c r="G1" s="119"/>
      <c r="H1" s="120"/>
      <c r="I1" s="117"/>
      <c r="J1" s="117"/>
      <c r="K1" s="117"/>
    </row>
    <row r="2" spans="1:11" ht="15.75" customHeight="1" x14ac:dyDescent="0.2">
      <c r="A2" s="117"/>
      <c r="B2" s="117"/>
      <c r="C2" s="117"/>
      <c r="D2" s="117"/>
      <c r="E2" s="119"/>
      <c r="F2" s="119"/>
      <c r="G2" s="119"/>
      <c r="H2" s="120"/>
      <c r="I2" s="117"/>
      <c r="J2" s="117"/>
      <c r="K2" s="117"/>
    </row>
    <row r="3" spans="1:11" ht="15.75" customHeight="1" x14ac:dyDescent="0.2">
      <c r="A3" s="117"/>
      <c r="B3" s="117"/>
      <c r="C3" s="117"/>
      <c r="D3" s="117"/>
      <c r="E3" s="119"/>
      <c r="F3" s="119"/>
      <c r="G3" s="119"/>
      <c r="H3" s="120"/>
      <c r="I3" s="117"/>
      <c r="J3" s="117"/>
      <c r="K3" s="117"/>
    </row>
    <row r="4" spans="1:11" ht="15.75" customHeight="1" x14ac:dyDescent="0.2">
      <c r="A4" s="117"/>
      <c r="B4" s="117"/>
      <c r="C4" s="117"/>
      <c r="D4" s="117"/>
      <c r="E4" s="119"/>
      <c r="F4" s="119"/>
      <c r="G4" s="119"/>
      <c r="H4" s="120"/>
      <c r="I4" s="117"/>
      <c r="J4" s="117"/>
      <c r="K4" s="117"/>
    </row>
    <row r="5" spans="1:11" ht="15.75" customHeight="1" x14ac:dyDescent="0.2">
      <c r="A5" s="117"/>
      <c r="B5" s="117"/>
      <c r="C5" s="117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7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8" t="s">
        <v>3</v>
      </c>
      <c r="F8" s="29" t="s">
        <v>22</v>
      </c>
      <c r="G8" s="29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48</v>
      </c>
      <c r="B9" s="18" t="s">
        <v>47</v>
      </c>
      <c r="C9" s="41">
        <v>99.98</v>
      </c>
      <c r="D9" s="42">
        <v>3852251.28</v>
      </c>
      <c r="E9" s="43">
        <v>321020.94</v>
      </c>
      <c r="F9" s="44">
        <v>38532</v>
      </c>
      <c r="G9" s="44">
        <v>3211</v>
      </c>
      <c r="H9" s="44">
        <v>238</v>
      </c>
      <c r="I9" s="45">
        <v>4.5999999999999996</v>
      </c>
      <c r="J9" s="81" t="s">
        <v>49</v>
      </c>
      <c r="K9" s="22" t="str">
        <f>HYPERLINK(J9)</f>
        <v>https://amazon.com/dp/B0FMDQK4S8</v>
      </c>
    </row>
    <row r="10" spans="1:11" ht="45" customHeight="1" x14ac:dyDescent="0.2">
      <c r="A10" s="18" t="s">
        <v>69</v>
      </c>
      <c r="B10" s="18" t="s">
        <v>68</v>
      </c>
      <c r="C10" s="41">
        <v>99.98</v>
      </c>
      <c r="D10" s="42">
        <v>718920.12</v>
      </c>
      <c r="E10" s="43">
        <v>59910.01</v>
      </c>
      <c r="F10" s="44">
        <v>5988</v>
      </c>
      <c r="G10" s="44">
        <v>499</v>
      </c>
      <c r="H10" s="44">
        <v>238</v>
      </c>
      <c r="I10" s="45">
        <v>4.5999999999999996</v>
      </c>
      <c r="J10" s="107" t="s">
        <v>70</v>
      </c>
      <c r="K10" s="22" t="str">
        <f>HYPERLINK(J10)</f>
        <v>https://amazon.com/dp/B0FMDJC7VB</v>
      </c>
    </row>
    <row r="11" spans="1:11" ht="45" customHeight="1" x14ac:dyDescent="0.2">
      <c r="A11" s="18"/>
      <c r="B11" s="18"/>
      <c r="C11" s="41"/>
      <c r="D11" s="42"/>
      <c r="E11" s="43"/>
      <c r="F11" s="44"/>
      <c r="G11" s="44"/>
      <c r="H11" s="44"/>
      <c r="I11" s="45"/>
      <c r="J11" s="107"/>
      <c r="K11" s="22"/>
    </row>
    <row r="12" spans="1:11" ht="45" customHeight="1" x14ac:dyDescent="0.2">
      <c r="A12" s="18"/>
      <c r="B12" s="18"/>
      <c r="C12" s="41"/>
      <c r="D12" s="42"/>
      <c r="E12" s="43"/>
      <c r="F12" s="44"/>
      <c r="G12" s="44"/>
      <c r="H12" s="44"/>
      <c r="I12" s="45"/>
      <c r="J12" s="107"/>
      <c r="K12" s="22"/>
    </row>
    <row r="13" spans="1:11" ht="45" customHeight="1" x14ac:dyDescent="0.2">
      <c r="A13" s="18"/>
      <c r="B13" s="18"/>
      <c r="C13" s="41"/>
      <c r="D13" s="42"/>
      <c r="E13" s="43"/>
      <c r="F13" s="44"/>
      <c r="G13" s="44"/>
      <c r="H13" s="44"/>
      <c r="I13" s="45"/>
      <c r="J13" s="107"/>
      <c r="K13" s="22"/>
    </row>
    <row r="14" spans="1:11" ht="45" customHeight="1" x14ac:dyDescent="0.2">
      <c r="A14" s="18"/>
      <c r="B14" s="18"/>
      <c r="C14" s="41"/>
      <c r="D14" s="42"/>
      <c r="E14" s="43"/>
      <c r="F14" s="44"/>
      <c r="G14" s="44"/>
      <c r="H14" s="44"/>
      <c r="I14" s="45"/>
      <c r="J14" s="107"/>
      <c r="K14" s="22"/>
    </row>
    <row r="15" spans="1:11" ht="45" customHeight="1" x14ac:dyDescent="0.2">
      <c r="A15" s="18"/>
      <c r="B15" s="18"/>
      <c r="C15" s="41"/>
      <c r="D15" s="42"/>
      <c r="E15" s="43"/>
      <c r="F15" s="44"/>
      <c r="G15" s="44"/>
      <c r="H15" s="44"/>
      <c r="I15" s="45"/>
      <c r="J15" s="107"/>
      <c r="K15" s="22"/>
    </row>
    <row r="16" spans="1:11" ht="30" customHeight="1" x14ac:dyDescent="0.2">
      <c r="A16" s="18"/>
      <c r="B16" s="18"/>
      <c r="C16" s="41"/>
      <c r="D16" s="42"/>
      <c r="E16" s="43"/>
      <c r="F16" s="44"/>
      <c r="G16" s="44"/>
      <c r="H16" s="44"/>
      <c r="I16" s="45"/>
      <c r="J16" s="107"/>
      <c r="K16" s="22"/>
    </row>
    <row r="17" spans="1:11" ht="45" customHeight="1" x14ac:dyDescent="0.2">
      <c r="A17" s="18"/>
      <c r="B17" s="18"/>
      <c r="C17" s="41"/>
      <c r="D17" s="42"/>
      <c r="E17" s="43"/>
      <c r="F17" s="44"/>
      <c r="G17" s="44"/>
      <c r="H17" s="44"/>
      <c r="I17" s="45"/>
      <c r="J17" s="107"/>
      <c r="K17" s="22"/>
    </row>
    <row r="18" spans="1:11" ht="45" customHeight="1" x14ac:dyDescent="0.2">
      <c r="A18" s="18"/>
      <c r="B18" s="18"/>
      <c r="C18" s="41"/>
      <c r="D18" s="42"/>
      <c r="E18" s="43"/>
      <c r="F18" s="44"/>
      <c r="G18" s="44"/>
      <c r="H18" s="44"/>
      <c r="I18" s="45"/>
      <c r="J18" s="107"/>
      <c r="K18" s="22"/>
    </row>
    <row r="19" spans="1:11" ht="45" customHeight="1" x14ac:dyDescent="0.2">
      <c r="A19" s="18"/>
      <c r="B19" s="18"/>
      <c r="C19" s="41"/>
      <c r="D19" s="42"/>
      <c r="E19" s="43"/>
      <c r="F19" s="44"/>
      <c r="G19" s="44"/>
      <c r="H19" s="44"/>
      <c r="I19" s="45"/>
      <c r="J19" s="107"/>
      <c r="K19" s="22"/>
    </row>
    <row r="20" spans="1:11" ht="45" customHeight="1" x14ac:dyDescent="0.2">
      <c r="A20" s="18"/>
      <c r="B20" s="18"/>
      <c r="C20" s="41"/>
      <c r="D20" s="42"/>
      <c r="E20" s="43"/>
      <c r="F20" s="44"/>
      <c r="G20" s="44"/>
      <c r="H20" s="44"/>
      <c r="I20" s="45"/>
      <c r="J20" s="107"/>
      <c r="K20" s="22"/>
    </row>
    <row r="21" spans="1:11" ht="45" customHeight="1" x14ac:dyDescent="0.2">
      <c r="A21" s="18"/>
      <c r="B21" s="18"/>
      <c r="C21" s="41"/>
      <c r="D21" s="42"/>
      <c r="E21" s="43"/>
      <c r="F21" s="44"/>
      <c r="G21" s="44"/>
      <c r="H21" s="44"/>
      <c r="I21" s="45"/>
      <c r="J21" s="107"/>
      <c r="K21" s="22"/>
    </row>
    <row r="22" spans="1:11" ht="45" customHeight="1" x14ac:dyDescent="0.2">
      <c r="A22" s="18"/>
      <c r="B22" s="18"/>
      <c r="C22" s="41"/>
      <c r="D22" s="42"/>
      <c r="E22" s="43"/>
      <c r="F22" s="44"/>
      <c r="G22" s="44"/>
      <c r="H22" s="44"/>
      <c r="I22" s="45"/>
      <c r="J22" s="107"/>
      <c r="K22" s="22"/>
    </row>
    <row r="23" spans="1:11" ht="45" customHeight="1" x14ac:dyDescent="0.2">
      <c r="A23" s="18"/>
      <c r="B23" s="18"/>
      <c r="C23" s="41"/>
      <c r="D23" s="42"/>
      <c r="E23" s="43"/>
      <c r="F23" s="44"/>
      <c r="G23" s="44"/>
      <c r="H23" s="44"/>
      <c r="I23" s="45"/>
      <c r="J23" s="107"/>
      <c r="K23" s="22"/>
    </row>
    <row r="24" spans="1:11" ht="45" customHeight="1" x14ac:dyDescent="0.2">
      <c r="A24" s="18"/>
      <c r="B24" s="18"/>
      <c r="C24" s="41"/>
      <c r="D24" s="42"/>
      <c r="E24" s="43"/>
      <c r="F24" s="44"/>
      <c r="G24" s="44"/>
      <c r="H24" s="44"/>
      <c r="I24" s="45"/>
      <c r="J24" s="107"/>
      <c r="K24" s="22"/>
    </row>
    <row r="25" spans="1:11" ht="45" customHeight="1" x14ac:dyDescent="0.2">
      <c r="A25" s="18"/>
      <c r="B25" s="18"/>
      <c r="C25" s="41"/>
      <c r="D25" s="42"/>
      <c r="E25" s="43"/>
      <c r="F25" s="44"/>
      <c r="G25" s="44"/>
      <c r="H25" s="44"/>
      <c r="I25" s="45"/>
      <c r="J25" s="107"/>
      <c r="K25" s="22"/>
    </row>
    <row r="26" spans="1:11" ht="45" customHeight="1" x14ac:dyDescent="0.2">
      <c r="A26" s="18"/>
      <c r="B26" s="18"/>
      <c r="C26" s="41"/>
      <c r="D26" s="42"/>
      <c r="E26" s="43"/>
      <c r="F26" s="44"/>
      <c r="G26" s="44"/>
      <c r="H26" s="44"/>
      <c r="I26" s="45"/>
      <c r="J26" s="107"/>
      <c r="K26" s="22"/>
    </row>
    <row r="27" spans="1:11" ht="45" customHeight="1" x14ac:dyDescent="0.2">
      <c r="A27" s="18"/>
      <c r="B27" s="18"/>
      <c r="C27" s="41"/>
      <c r="D27" s="42"/>
      <c r="E27" s="43"/>
      <c r="F27" s="44"/>
      <c r="G27" s="44"/>
      <c r="H27" s="44"/>
      <c r="I27" s="45"/>
      <c r="J27" s="107"/>
      <c r="K27" s="22"/>
    </row>
    <row r="28" spans="1:11" ht="45" customHeight="1" x14ac:dyDescent="0.2">
      <c r="A28" s="18"/>
      <c r="B28" s="18"/>
      <c r="C28" s="41"/>
      <c r="D28" s="42"/>
      <c r="E28" s="43"/>
      <c r="F28" s="44"/>
      <c r="G28" s="44"/>
      <c r="H28" s="44"/>
      <c r="I28" s="45"/>
      <c r="J28" s="107"/>
      <c r="K28" s="22"/>
    </row>
    <row r="29" spans="1:11" ht="16" customHeight="1" x14ac:dyDescent="0.2">
      <c r="A29" s="18"/>
      <c r="B29" s="18"/>
      <c r="C29" s="41"/>
      <c r="D29" s="42"/>
      <c r="E29" s="43"/>
      <c r="F29" s="44"/>
      <c r="G29" s="44"/>
      <c r="H29" s="44"/>
      <c r="I29" s="45"/>
      <c r="J29" s="107"/>
      <c r="K29" s="22"/>
    </row>
    <row r="30" spans="1:11" ht="45" customHeight="1" x14ac:dyDescent="0.2">
      <c r="A30" s="18"/>
      <c r="B30" s="18"/>
      <c r="C30" s="41"/>
      <c r="D30" s="42"/>
      <c r="E30" s="43"/>
      <c r="F30" s="44"/>
      <c r="G30" s="44"/>
      <c r="H30" s="44"/>
      <c r="I30" s="45"/>
      <c r="J30" s="107"/>
      <c r="K30" s="22"/>
    </row>
    <row r="31" spans="1:11" ht="45" customHeight="1" x14ac:dyDescent="0.2">
      <c r="A31" s="18"/>
      <c r="B31" s="18"/>
      <c r="C31" s="41"/>
      <c r="D31" s="42"/>
      <c r="E31" s="43"/>
      <c r="F31" s="44"/>
      <c r="G31" s="44"/>
      <c r="H31" s="44"/>
      <c r="I31" s="45"/>
      <c r="J31" s="107"/>
      <c r="K31" s="22"/>
    </row>
    <row r="32" spans="1:11" ht="45" customHeight="1" x14ac:dyDescent="0.2">
      <c r="A32" s="18"/>
      <c r="B32" s="18"/>
      <c r="C32" s="41"/>
      <c r="D32" s="42"/>
      <c r="E32" s="43"/>
      <c r="F32" s="44"/>
      <c r="G32" s="44"/>
      <c r="H32" s="44"/>
      <c r="I32" s="45"/>
      <c r="J32" s="107"/>
      <c r="K32" s="22"/>
    </row>
    <row r="33" spans="1:11" ht="45" customHeight="1" x14ac:dyDescent="0.2">
      <c r="A33" s="18"/>
      <c r="B33" s="18"/>
      <c r="C33" s="41"/>
      <c r="D33" s="42"/>
      <c r="E33" s="43"/>
      <c r="F33" s="44"/>
      <c r="G33" s="44"/>
      <c r="H33" s="44"/>
      <c r="I33" s="45"/>
      <c r="J33" s="107"/>
      <c r="K33" s="22"/>
    </row>
    <row r="34" spans="1:11" ht="45" customHeight="1" x14ac:dyDescent="0.2">
      <c r="A34" s="18"/>
      <c r="B34" s="18"/>
      <c r="C34" s="41"/>
      <c r="D34" s="42"/>
      <c r="E34" s="43"/>
      <c r="F34" s="44"/>
      <c r="G34" s="44"/>
      <c r="H34" s="44"/>
      <c r="I34" s="45"/>
      <c r="J34" s="107"/>
      <c r="K34" s="22"/>
    </row>
    <row r="35" spans="1:11" ht="45" customHeight="1" x14ac:dyDescent="0.2">
      <c r="A35" s="18"/>
      <c r="B35" s="18"/>
      <c r="C35" s="41"/>
      <c r="D35" s="42"/>
      <c r="E35" s="43"/>
      <c r="F35" s="44"/>
      <c r="G35" s="44"/>
      <c r="H35" s="44"/>
      <c r="I35" s="45"/>
      <c r="J35" s="107"/>
      <c r="K35" s="22"/>
    </row>
    <row r="36" spans="1:11" ht="45" customHeight="1" x14ac:dyDescent="0.2">
      <c r="A36" s="18"/>
      <c r="B36" s="18"/>
      <c r="C36" s="41"/>
      <c r="D36" s="42"/>
      <c r="E36" s="43"/>
      <c r="F36" s="44"/>
      <c r="G36" s="44"/>
      <c r="H36" s="44"/>
      <c r="I36" s="45"/>
      <c r="J36" s="107"/>
      <c r="K36" s="22"/>
    </row>
    <row r="37" spans="1:11" ht="45" customHeight="1" x14ac:dyDescent="0.2">
      <c r="A37" s="18"/>
      <c r="B37" s="18"/>
      <c r="C37" s="41"/>
      <c r="D37" s="42"/>
      <c r="E37" s="43"/>
      <c r="F37" s="44"/>
      <c r="G37" s="44"/>
      <c r="H37" s="44"/>
      <c r="I37" s="45"/>
      <c r="J37" s="107"/>
      <c r="K37" s="22"/>
    </row>
    <row r="38" spans="1:11" ht="45" customHeight="1" x14ac:dyDescent="0.2">
      <c r="A38" s="18"/>
      <c r="B38" s="18"/>
      <c r="C38" s="41"/>
      <c r="D38" s="42"/>
      <c r="E38" s="43"/>
      <c r="F38" s="44"/>
      <c r="G38" s="44"/>
      <c r="H38" s="44"/>
      <c r="I38" s="45"/>
      <c r="J38" s="81"/>
      <c r="K38" s="22"/>
    </row>
    <row r="39" spans="1:11" ht="45" customHeight="1" x14ac:dyDescent="0.2">
      <c r="A39" s="18"/>
      <c r="B39" s="18"/>
      <c r="C39" s="41"/>
      <c r="D39" s="42"/>
      <c r="E39" s="43"/>
      <c r="F39" s="44"/>
      <c r="G39" s="44"/>
      <c r="H39" s="44"/>
      <c r="I39" s="45"/>
      <c r="J39" s="81"/>
      <c r="K39" s="22"/>
    </row>
    <row r="40" spans="1:11" ht="45" customHeight="1" x14ac:dyDescent="0.2">
      <c r="A40" s="18"/>
      <c r="B40" s="18"/>
      <c r="C40" s="41"/>
      <c r="D40" s="42"/>
      <c r="E40" s="43"/>
      <c r="F40" s="44"/>
      <c r="G40" s="44"/>
      <c r="H40" s="44"/>
      <c r="I40" s="45"/>
      <c r="J40" s="81"/>
      <c r="K40" s="22"/>
    </row>
    <row r="41" spans="1:11" ht="45" customHeight="1" x14ac:dyDescent="0.2">
      <c r="A41" s="18"/>
      <c r="B41" s="18"/>
      <c r="C41" s="41"/>
      <c r="D41" s="42"/>
      <c r="E41" s="43"/>
      <c r="F41" s="44"/>
      <c r="G41" s="44"/>
      <c r="H41" s="44"/>
      <c r="I41" s="45"/>
      <c r="J41" s="107"/>
      <c r="K41" s="22"/>
    </row>
    <row r="42" spans="1:11" ht="45" customHeight="1" x14ac:dyDescent="0.2">
      <c r="A42" s="18"/>
      <c r="B42" s="18"/>
      <c r="C42" s="41"/>
      <c r="D42" s="42"/>
      <c r="E42" s="43"/>
      <c r="F42" s="44"/>
      <c r="G42" s="44"/>
      <c r="H42" s="44"/>
      <c r="I42" s="45"/>
      <c r="J42" s="107"/>
      <c r="K42" s="22"/>
    </row>
    <row r="43" spans="1:11" ht="45" customHeight="1" x14ac:dyDescent="0.2">
      <c r="A43" s="18"/>
      <c r="B43" s="18"/>
      <c r="C43" s="41"/>
      <c r="D43" s="42"/>
      <c r="E43" s="43"/>
      <c r="F43" s="44"/>
      <c r="G43" s="44"/>
      <c r="H43" s="44"/>
      <c r="I43" s="45"/>
      <c r="J43" s="107"/>
      <c r="K43" s="22"/>
    </row>
    <row r="44" spans="1:11" ht="17" customHeight="1" x14ac:dyDescent="0.2">
      <c r="A44" s="21"/>
      <c r="B44" s="20"/>
      <c r="C44" s="20"/>
      <c r="D44" s="40"/>
      <c r="E44" s="40"/>
      <c r="H44" s="48"/>
      <c r="I44" s="23"/>
    </row>
    <row r="46" spans="1:11" x14ac:dyDescent="0.2">
      <c r="A46" t="s">
        <v>291</v>
      </c>
      <c r="D46">
        <f>SUM(terunsoul!D9:D45)</f>
        <v>4571171.3999999994</v>
      </c>
      <c r="E46">
        <f>SUM(terunsoul!E9:E45)</f>
        <v>380930.95</v>
      </c>
    </row>
    <row r="47" spans="1:11" x14ac:dyDescent="0.2">
      <c r="A47" s="121" t="s">
        <v>329</v>
      </c>
      <c r="B47" s="117"/>
      <c r="C47" s="117"/>
      <c r="D47" s="117"/>
      <c r="E47" s="119"/>
      <c r="F47" s="119"/>
      <c r="G47" s="119"/>
      <c r="H47" s="120"/>
      <c r="I47" s="117"/>
      <c r="J47" s="117"/>
      <c r="K47" s="117"/>
    </row>
    <row r="48" spans="1:11" ht="17" customHeight="1" x14ac:dyDescent="0.2">
      <c r="A48" s="24" t="s">
        <v>29</v>
      </c>
      <c r="B48" s="25" t="s">
        <v>28</v>
      </c>
      <c r="C48" s="26" t="s">
        <v>286</v>
      </c>
      <c r="D48" s="27" t="s">
        <v>4</v>
      </c>
      <c r="E48" s="25" t="s">
        <v>3</v>
      </c>
      <c r="F48" s="29" t="s">
        <v>22</v>
      </c>
      <c r="G48" s="32" t="s">
        <v>5</v>
      </c>
      <c r="H48" s="29" t="s">
        <v>39</v>
      </c>
      <c r="I48" s="30" t="s">
        <v>327</v>
      </c>
      <c r="J48" s="30" t="s">
        <v>328</v>
      </c>
      <c r="K48" s="31" t="s">
        <v>42</v>
      </c>
    </row>
    <row r="49" spans="1:11" ht="45" customHeight="1" x14ac:dyDescent="0.2">
      <c r="A49" s="18" t="s">
        <v>48</v>
      </c>
      <c r="B49" s="18" t="s">
        <v>47</v>
      </c>
      <c r="C49" s="41">
        <v>99.98</v>
      </c>
      <c r="D49" s="42">
        <v>3852251.28</v>
      </c>
      <c r="E49" s="42">
        <v>321020.94</v>
      </c>
      <c r="F49" s="44">
        <v>38532</v>
      </c>
      <c r="G49" s="46">
        <v>3211</v>
      </c>
      <c r="H49" s="44">
        <v>238</v>
      </c>
      <c r="I49" s="45">
        <v>4.5999999999999996</v>
      </c>
      <c r="J49" s="45" t="s">
        <v>49</v>
      </c>
      <c r="K49" s="22" t="str">
        <f>HYPERLINK(J49)</f>
        <v>https://amazon.com/dp/B0FMDQK4S8</v>
      </c>
    </row>
    <row r="50" spans="1:11" ht="45" customHeight="1" x14ac:dyDescent="0.2">
      <c r="A50" s="18" t="s">
        <v>69</v>
      </c>
      <c r="B50" s="18" t="s">
        <v>68</v>
      </c>
      <c r="C50" s="41">
        <v>99.98</v>
      </c>
      <c r="D50" s="42">
        <v>718920.12</v>
      </c>
      <c r="E50" s="42">
        <v>59910.01</v>
      </c>
      <c r="F50" s="44">
        <v>5988</v>
      </c>
      <c r="G50" s="46">
        <v>499</v>
      </c>
      <c r="H50" s="44">
        <v>238</v>
      </c>
      <c r="I50" s="45">
        <v>4.5999999999999996</v>
      </c>
      <c r="J50" s="45" t="s">
        <v>70</v>
      </c>
      <c r="K50" s="22" t="str">
        <f>HYPERLINK(J50)</f>
        <v>https://amazon.com/dp/B0FMDJC7VB</v>
      </c>
    </row>
    <row r="51" spans="1:11" ht="45" customHeight="1" x14ac:dyDescent="0.2">
      <c r="A51" s="18"/>
      <c r="B51" s="18"/>
      <c r="C51" s="41"/>
      <c r="D51" s="42"/>
      <c r="E51" s="42"/>
      <c r="F51" s="44"/>
      <c r="G51" s="46"/>
      <c r="H51" s="44"/>
      <c r="I51" s="45"/>
      <c r="J51" s="45"/>
      <c r="K51" s="22"/>
    </row>
    <row r="52" spans="1:11" ht="45" customHeight="1" x14ac:dyDescent="0.2">
      <c r="A52" s="18"/>
      <c r="B52" s="18"/>
      <c r="C52" s="41"/>
      <c r="D52" s="42"/>
      <c r="E52" s="42"/>
      <c r="F52" s="44"/>
      <c r="G52" s="46"/>
      <c r="H52" s="44"/>
      <c r="I52" s="45"/>
      <c r="J52" s="45"/>
      <c r="K52" s="22"/>
    </row>
    <row r="53" spans="1:11" ht="45" customHeight="1" x14ac:dyDescent="0.2">
      <c r="A53" s="18"/>
      <c r="B53" s="18"/>
      <c r="C53" s="41"/>
      <c r="D53" s="42"/>
      <c r="E53" s="42"/>
      <c r="F53" s="44"/>
      <c r="G53" s="46"/>
      <c r="H53" s="44"/>
      <c r="I53" s="45"/>
      <c r="J53" s="45"/>
      <c r="K53" s="22"/>
    </row>
    <row r="54" spans="1:11" ht="45" customHeight="1" x14ac:dyDescent="0.2">
      <c r="A54" s="18"/>
      <c r="B54" s="18"/>
      <c r="C54" s="41"/>
      <c r="D54" s="42"/>
      <c r="E54" s="42"/>
      <c r="F54" s="44"/>
      <c r="G54" s="46"/>
      <c r="H54" s="44"/>
      <c r="I54" s="45"/>
      <c r="J54" s="45"/>
      <c r="K54" s="22"/>
    </row>
    <row r="55" spans="1:11" ht="45" customHeight="1" x14ac:dyDescent="0.2">
      <c r="A55" s="18"/>
      <c r="B55" s="18"/>
      <c r="C55" s="41"/>
      <c r="D55" s="42"/>
      <c r="E55" s="42"/>
      <c r="F55" s="44"/>
      <c r="G55" s="46"/>
      <c r="H55" s="44"/>
      <c r="I55" s="45"/>
      <c r="J55" s="45"/>
      <c r="K55" s="22"/>
    </row>
    <row r="56" spans="1:11" ht="45" customHeight="1" x14ac:dyDescent="0.2">
      <c r="A56" s="18"/>
      <c r="B56" s="18"/>
      <c r="C56" s="41"/>
      <c r="D56" s="42"/>
      <c r="E56" s="42"/>
      <c r="F56" s="44"/>
      <c r="G56" s="46"/>
      <c r="H56" s="44"/>
      <c r="I56" s="45"/>
      <c r="J56" s="45"/>
      <c r="K56" s="22"/>
    </row>
    <row r="57" spans="1:11" ht="45" customHeight="1" x14ac:dyDescent="0.2">
      <c r="A57" s="18"/>
      <c r="B57" s="18"/>
      <c r="C57" s="41"/>
      <c r="D57" s="42"/>
      <c r="E57" s="42"/>
      <c r="F57" s="44"/>
      <c r="G57" s="46"/>
      <c r="H57" s="44"/>
      <c r="I57" s="45"/>
      <c r="J57" s="45"/>
      <c r="K57" s="22"/>
    </row>
    <row r="58" spans="1:11" ht="45" customHeight="1" x14ac:dyDescent="0.2">
      <c r="A58" s="18"/>
      <c r="B58" s="18"/>
      <c r="C58" s="41"/>
      <c r="D58" s="42"/>
      <c r="E58" s="42"/>
      <c r="F58" s="44"/>
      <c r="G58" s="46"/>
      <c r="H58" s="44"/>
      <c r="I58" s="45"/>
      <c r="J58" s="45"/>
      <c r="K58" s="22"/>
    </row>
    <row r="59" spans="1:11" ht="45" customHeight="1" x14ac:dyDescent="0.2">
      <c r="A59" s="18"/>
      <c r="B59" s="18"/>
      <c r="C59" s="41"/>
      <c r="D59" s="42"/>
      <c r="E59" s="42"/>
      <c r="F59" s="44"/>
      <c r="G59" s="46"/>
      <c r="H59" s="44"/>
      <c r="I59" s="45"/>
      <c r="J59" s="45"/>
      <c r="K59" s="22"/>
    </row>
    <row r="60" spans="1:11" ht="45" customHeight="1" x14ac:dyDescent="0.2">
      <c r="A60" s="18"/>
      <c r="B60" s="18"/>
      <c r="C60" s="41"/>
      <c r="D60" s="42"/>
      <c r="E60" s="42"/>
      <c r="F60" s="44"/>
      <c r="G60" s="46"/>
      <c r="H60" s="44"/>
      <c r="I60" s="45"/>
      <c r="J60" s="45"/>
      <c r="K60" s="22"/>
    </row>
    <row r="61" spans="1:11" ht="45" customHeight="1" x14ac:dyDescent="0.2">
      <c r="A61" s="18"/>
      <c r="B61" s="18"/>
      <c r="C61" s="41"/>
      <c r="D61" s="42"/>
      <c r="E61" s="42"/>
      <c r="F61" s="44"/>
      <c r="G61" s="46"/>
      <c r="H61" s="44"/>
      <c r="I61" s="45"/>
      <c r="J61" s="45"/>
      <c r="K61" s="22"/>
    </row>
    <row r="62" spans="1:11" ht="45" customHeight="1" x14ac:dyDescent="0.2">
      <c r="A62" s="18"/>
      <c r="B62" s="18"/>
      <c r="C62" s="41"/>
      <c r="D62" s="42"/>
      <c r="E62" s="42"/>
      <c r="F62" s="44"/>
      <c r="G62" s="46"/>
      <c r="H62" s="44"/>
      <c r="I62" s="45"/>
      <c r="J62" s="45"/>
      <c r="K62" s="22"/>
    </row>
    <row r="63" spans="1:11" ht="45" customHeight="1" x14ac:dyDescent="0.2">
      <c r="A63" s="18"/>
      <c r="B63" s="18"/>
      <c r="C63" s="41"/>
      <c r="D63" s="42"/>
      <c r="E63" s="42"/>
      <c r="F63" s="44"/>
      <c r="G63" s="46"/>
      <c r="H63" s="44"/>
      <c r="I63" s="45"/>
      <c r="J63" s="45"/>
      <c r="K63" s="22"/>
    </row>
    <row r="64" spans="1:11" ht="45" customHeight="1" x14ac:dyDescent="0.2">
      <c r="A64" s="18"/>
      <c r="B64" s="18"/>
      <c r="C64" s="41"/>
      <c r="D64" s="42"/>
      <c r="E64" s="42"/>
      <c r="F64" s="44"/>
      <c r="G64" s="46"/>
      <c r="H64" s="44"/>
      <c r="I64" s="45"/>
      <c r="J64" s="45"/>
      <c r="K64" s="22"/>
    </row>
    <row r="65" spans="1:11" ht="45" customHeight="1" x14ac:dyDescent="0.2">
      <c r="A65" s="18"/>
      <c r="B65" s="18"/>
      <c r="C65" s="41"/>
      <c r="D65" s="42"/>
      <c r="E65" s="42"/>
      <c r="F65" s="44"/>
      <c r="G65" s="46"/>
      <c r="H65" s="44"/>
      <c r="I65" s="45"/>
      <c r="J65" s="45"/>
      <c r="K65" s="22"/>
    </row>
    <row r="66" spans="1:11" ht="30" customHeight="1" x14ac:dyDescent="0.2">
      <c r="A66" s="18"/>
      <c r="B66" s="18"/>
      <c r="C66" s="41"/>
      <c r="D66" s="42"/>
      <c r="E66" s="42"/>
      <c r="F66" s="44"/>
      <c r="G66" s="46"/>
      <c r="H66" s="44"/>
      <c r="I66" s="45"/>
      <c r="J66" s="45"/>
      <c r="K66" s="22"/>
    </row>
    <row r="67" spans="1:11" ht="45" customHeight="1" x14ac:dyDescent="0.2">
      <c r="A67" s="18"/>
      <c r="B67" s="18"/>
      <c r="C67" s="41"/>
      <c r="D67" s="42"/>
      <c r="E67" s="42"/>
      <c r="F67" s="44"/>
      <c r="G67" s="46"/>
      <c r="H67" s="44"/>
      <c r="I67" s="45"/>
      <c r="J67" s="45"/>
      <c r="K67" s="22"/>
    </row>
    <row r="68" spans="1:11" ht="45" customHeight="1" x14ac:dyDescent="0.2">
      <c r="A68" s="18"/>
      <c r="B68" s="18"/>
      <c r="C68" s="41"/>
      <c r="D68" s="42"/>
      <c r="E68" s="42"/>
      <c r="F68" s="44"/>
      <c r="G68" s="46"/>
      <c r="H68" s="44"/>
      <c r="I68" s="45"/>
      <c r="J68" s="45"/>
      <c r="K68" s="22"/>
    </row>
    <row r="69" spans="1:11" ht="45" customHeight="1" x14ac:dyDescent="0.2">
      <c r="A69" s="18"/>
      <c r="B69" s="18"/>
      <c r="C69" s="41"/>
      <c r="D69" s="42"/>
      <c r="E69" s="42"/>
      <c r="F69" s="44"/>
      <c r="G69" s="46"/>
      <c r="H69" s="44"/>
      <c r="I69" s="45"/>
      <c r="J69" s="45"/>
      <c r="K69" s="22"/>
    </row>
    <row r="70" spans="1:11" ht="45" customHeight="1" x14ac:dyDescent="0.2">
      <c r="A70" s="18"/>
      <c r="B70" s="18"/>
      <c r="C70" s="41"/>
      <c r="D70" s="42"/>
      <c r="E70" s="42"/>
      <c r="F70" s="44"/>
      <c r="G70" s="46"/>
      <c r="H70" s="44"/>
      <c r="I70" s="45"/>
      <c r="J70" s="45"/>
      <c r="K70" s="22"/>
    </row>
    <row r="71" spans="1:11" ht="45" customHeight="1" x14ac:dyDescent="0.2">
      <c r="A71" s="18"/>
      <c r="B71" s="18"/>
      <c r="C71" s="41"/>
      <c r="D71" s="42"/>
      <c r="E71" s="42"/>
      <c r="F71" s="44"/>
      <c r="G71" s="46"/>
      <c r="H71" s="44"/>
      <c r="I71" s="45"/>
      <c r="J71" s="45"/>
      <c r="K71" s="22"/>
    </row>
    <row r="72" spans="1:11" ht="45" customHeight="1" x14ac:dyDescent="0.2">
      <c r="A72" s="18"/>
      <c r="B72" s="18"/>
      <c r="C72" s="41"/>
      <c r="D72" s="42"/>
      <c r="E72" s="42"/>
      <c r="F72" s="44"/>
      <c r="G72" s="46"/>
      <c r="H72" s="44"/>
      <c r="I72" s="45"/>
      <c r="J72" s="45"/>
      <c r="K72" s="22"/>
    </row>
    <row r="73" spans="1:11" ht="45" customHeight="1" x14ac:dyDescent="0.2">
      <c r="A73" s="18"/>
      <c r="B73" s="18"/>
      <c r="C73" s="41"/>
      <c r="D73" s="42"/>
      <c r="E73" s="42"/>
      <c r="F73" s="44"/>
      <c r="G73" s="46"/>
      <c r="H73" s="44"/>
      <c r="I73" s="45"/>
      <c r="J73" s="45"/>
      <c r="K73" s="22"/>
    </row>
    <row r="74" spans="1:11" ht="45" customHeight="1" x14ac:dyDescent="0.2">
      <c r="A74" s="18"/>
      <c r="B74" s="18"/>
      <c r="C74" s="41"/>
      <c r="D74" s="42"/>
      <c r="E74" s="42"/>
      <c r="F74" s="44"/>
      <c r="G74" s="46"/>
      <c r="H74" s="44"/>
      <c r="I74" s="45"/>
      <c r="J74" s="45"/>
      <c r="K74" s="22"/>
    </row>
    <row r="75" spans="1:11" ht="45" customHeight="1" x14ac:dyDescent="0.2">
      <c r="A75" s="18"/>
      <c r="B75" s="18"/>
      <c r="C75" s="41"/>
      <c r="D75" s="42"/>
      <c r="E75" s="42"/>
      <c r="F75" s="44"/>
      <c r="G75" s="46"/>
      <c r="H75" s="44"/>
      <c r="I75" s="45"/>
      <c r="J75" s="45"/>
      <c r="K75" s="22"/>
    </row>
    <row r="76" spans="1:11" ht="45" customHeight="1" x14ac:dyDescent="0.2">
      <c r="A76" s="18"/>
      <c r="B76" s="18"/>
      <c r="C76" s="41"/>
      <c r="D76" s="42"/>
      <c r="E76" s="42"/>
      <c r="F76" s="44"/>
      <c r="G76" s="46"/>
      <c r="H76" s="44"/>
      <c r="I76" s="45"/>
      <c r="J76" s="45"/>
      <c r="K76" s="22"/>
    </row>
    <row r="77" spans="1:11" ht="45" customHeight="1" x14ac:dyDescent="0.2">
      <c r="A77" s="18"/>
      <c r="B77" s="18"/>
      <c r="C77" s="41"/>
      <c r="D77" s="42"/>
      <c r="E77" s="42"/>
      <c r="F77" s="44"/>
      <c r="G77" s="46"/>
      <c r="H77" s="44"/>
      <c r="I77" s="45"/>
      <c r="J77" s="45"/>
      <c r="K77" s="22"/>
    </row>
    <row r="78" spans="1:11" ht="45" customHeight="1" x14ac:dyDescent="0.2">
      <c r="A78" s="18"/>
      <c r="B78" s="18"/>
      <c r="C78" s="41"/>
      <c r="D78" s="42"/>
      <c r="E78" s="42"/>
      <c r="F78" s="44"/>
      <c r="G78" s="46"/>
      <c r="H78" s="44"/>
      <c r="I78" s="45"/>
      <c r="J78" s="45"/>
      <c r="K78" s="22"/>
    </row>
    <row r="79" spans="1:11" ht="45" customHeight="1" x14ac:dyDescent="0.2">
      <c r="A79" s="18"/>
      <c r="B79" s="18"/>
      <c r="C79" s="41"/>
      <c r="D79" s="42"/>
      <c r="E79" s="42"/>
      <c r="F79" s="44"/>
      <c r="G79" s="46"/>
      <c r="H79" s="44"/>
      <c r="I79" s="45"/>
      <c r="J79" s="45"/>
      <c r="K79" s="22"/>
    </row>
    <row r="80" spans="1:11" ht="45" customHeight="1" x14ac:dyDescent="0.2">
      <c r="A80" s="18"/>
      <c r="B80" s="18"/>
      <c r="C80" s="41"/>
      <c r="D80" s="42"/>
      <c r="E80" s="42"/>
      <c r="F80" s="44"/>
      <c r="G80" s="46"/>
      <c r="H80" s="44"/>
      <c r="I80" s="45"/>
      <c r="J80" s="45"/>
      <c r="K80" s="22"/>
    </row>
    <row r="81" spans="1:11" ht="45" customHeight="1" x14ac:dyDescent="0.2">
      <c r="A81" s="18"/>
      <c r="B81" s="18"/>
      <c r="C81" s="41"/>
      <c r="D81" s="42"/>
      <c r="E81" s="42"/>
      <c r="F81" s="44"/>
      <c r="G81" s="46"/>
      <c r="H81" s="44"/>
      <c r="I81" s="45"/>
      <c r="J81" s="45"/>
      <c r="K81" s="22"/>
    </row>
    <row r="82" spans="1:11" ht="45" customHeight="1" x14ac:dyDescent="0.2">
      <c r="A82" s="18"/>
      <c r="B82" s="18"/>
      <c r="C82" s="41"/>
      <c r="D82" s="42"/>
      <c r="E82" s="42"/>
      <c r="F82" s="44"/>
      <c r="G82" s="46"/>
      <c r="H82" s="44"/>
      <c r="I82" s="45"/>
      <c r="J82" s="45"/>
      <c r="K82" s="22"/>
    </row>
    <row r="83" spans="1:11" ht="45" customHeight="1" x14ac:dyDescent="0.2">
      <c r="A83" s="18"/>
      <c r="B83" s="18"/>
      <c r="C83" s="41"/>
      <c r="D83" s="42"/>
      <c r="E83" s="42"/>
      <c r="F83" s="44"/>
      <c r="G83" s="46"/>
      <c r="H83" s="44"/>
      <c r="I83" s="45"/>
      <c r="J83" s="45"/>
      <c r="K83" s="22"/>
    </row>
    <row r="84" spans="1:11" ht="17" customHeight="1" x14ac:dyDescent="0.2">
      <c r="A84" s="21" t="s">
        <v>291</v>
      </c>
      <c r="B84" s="20"/>
      <c r="C84" s="20"/>
      <c r="D84" s="20"/>
      <c r="E84" s="20"/>
      <c r="F84" s="48">
        <f>SUM(terunsoul!F49:F83)</f>
        <v>44520</v>
      </c>
      <c r="G84" s="48">
        <f>SUM(terunsoul!G49:G83)</f>
        <v>3710</v>
      </c>
      <c r="H84" s="48"/>
      <c r="I84" s="23"/>
    </row>
  </sheetData>
  <mergeCells count="3">
    <mergeCell ref="A47:K47"/>
    <mergeCell ref="A7:K7"/>
    <mergeCell ref="A1:K5"/>
  </mergeCells>
  <hyperlinks>
    <hyperlink ref="J9" r:id="rId1" xr:uid="{00000000-0004-0000-1000-000000000000}"/>
    <hyperlink ref="K9" r:id="rId2" display="https://amazon.com/dp/B07S7H86Z1" xr:uid="{00000000-0004-0000-1000-000001000000}"/>
    <hyperlink ref="K38" r:id="rId3" display="https://amazon.com/dp/B07S7H86Z1" xr:uid="{00000000-0004-0000-1000-000002000000}"/>
    <hyperlink ref="K39" r:id="rId4" display="https://amazon.com/dp/B07S7H86Z1" xr:uid="{00000000-0004-0000-1000-000003000000}"/>
    <hyperlink ref="K40" r:id="rId5" display="https://amazon.com/dp/B07S7H86Z1" xr:uid="{00000000-0004-0000-1000-000004000000}"/>
    <hyperlink ref="K49" r:id="rId6" display="https://amazon.com/dp/B07S7H86Z1" xr:uid="{00000000-0004-0000-1000-000005000000}"/>
  </hyperlinks>
  <pageMargins left="0.7" right="0.7" top="0.75" bottom="0.75" header="0.3" footer="0.3"/>
  <tableParts count="2">
    <tablePart r:id="rId7"/>
    <tablePart r:id="rId8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6"/>
  <sheetViews>
    <sheetView zoomScale="75" workbookViewId="0">
      <selection activeCell="K15" sqref="K15"/>
    </sheetView>
  </sheetViews>
  <sheetFormatPr baseColWidth="10" defaultColWidth="11.1640625" defaultRowHeight="16" x14ac:dyDescent="0.2"/>
  <cols>
    <col min="1" max="1" width="50.6640625" style="19" customWidth="1"/>
    <col min="2" max="2" width="12.6640625" style="19" customWidth="1"/>
    <col min="3" max="3" width="10.83203125" style="19" bestFit="1" customWidth="1"/>
    <col min="4" max="4" width="24.83203125" style="19" bestFit="1" customWidth="1"/>
    <col min="5" max="5" width="17.6640625" style="48" bestFit="1" customWidth="1"/>
    <col min="6" max="6" width="21.6640625" style="48" bestFit="1" customWidth="1"/>
    <col min="7" max="7" width="19.1640625" style="48" bestFit="1" customWidth="1"/>
    <col min="8" max="8" width="13.5" style="23" bestFit="1" customWidth="1"/>
    <col min="9" max="9" width="12.6640625" style="19" bestFit="1" customWidth="1"/>
    <col min="10" max="10" width="33" style="19" hidden="1" customWidth="1"/>
    <col min="11" max="11" width="35.6640625" style="19" customWidth="1"/>
    <col min="12" max="12" width="12.6640625" style="19" customWidth="1"/>
    <col min="13" max="13" width="11.1640625" style="19" customWidth="1"/>
    <col min="14" max="16384" width="11.1640625" style="19"/>
  </cols>
  <sheetData>
    <row r="1" spans="1:11" ht="15.75" customHeight="1" x14ac:dyDescent="0.2">
      <c r="A1" s="123" t="e">
        <v>#VALUE!</v>
      </c>
      <c r="B1" s="117"/>
      <c r="C1" s="117"/>
      <c r="D1" s="117"/>
      <c r="E1" s="119"/>
      <c r="F1" s="119"/>
      <c r="G1" s="119"/>
      <c r="H1" s="120"/>
      <c r="I1" s="117"/>
      <c r="J1" s="117"/>
      <c r="K1" s="117"/>
    </row>
    <row r="2" spans="1:11" ht="15.75" customHeight="1" x14ac:dyDescent="0.2">
      <c r="A2" s="117"/>
      <c r="B2" s="117"/>
      <c r="C2" s="117"/>
      <c r="D2" s="117"/>
      <c r="E2" s="119"/>
      <c r="F2" s="119"/>
      <c r="G2" s="119"/>
      <c r="H2" s="120"/>
      <c r="I2" s="117"/>
      <c r="J2" s="117"/>
      <c r="K2" s="117"/>
    </row>
    <row r="3" spans="1:11" ht="15.75" customHeight="1" x14ac:dyDescent="0.2">
      <c r="A3" s="117"/>
      <c r="B3" s="117"/>
      <c r="C3" s="117"/>
      <c r="D3" s="117"/>
      <c r="E3" s="119"/>
      <c r="F3" s="119"/>
      <c r="G3" s="119"/>
      <c r="H3" s="120"/>
      <c r="I3" s="117"/>
      <c r="J3" s="117"/>
      <c r="K3" s="117"/>
    </row>
    <row r="4" spans="1:11" ht="15.75" customHeight="1" x14ac:dyDescent="0.2">
      <c r="A4" s="117"/>
      <c r="B4" s="117"/>
      <c r="C4" s="117"/>
      <c r="D4" s="117"/>
      <c r="E4" s="119"/>
      <c r="F4" s="119"/>
      <c r="G4" s="119"/>
      <c r="H4" s="120"/>
      <c r="I4" s="117"/>
      <c r="J4" s="117"/>
      <c r="K4" s="117"/>
    </row>
    <row r="5" spans="1:11" ht="15.75" customHeight="1" x14ac:dyDescent="0.2">
      <c r="A5" s="117"/>
      <c r="B5" s="117"/>
      <c r="C5" s="117"/>
      <c r="D5" s="117"/>
      <c r="E5" s="119"/>
      <c r="F5" s="119"/>
      <c r="G5" s="119"/>
      <c r="H5" s="120"/>
      <c r="I5" s="117"/>
      <c r="J5" s="117"/>
      <c r="K5" s="117"/>
    </row>
    <row r="6" spans="1:11" x14ac:dyDescent="0.2">
      <c r="A6" s="17"/>
      <c r="B6" s="17"/>
      <c r="C6" s="33"/>
      <c r="D6" s="34"/>
      <c r="E6" s="34"/>
      <c r="F6" s="34"/>
      <c r="G6" s="34"/>
      <c r="H6" s="35"/>
      <c r="I6" s="36"/>
    </row>
    <row r="7" spans="1:11" x14ac:dyDescent="0.2">
      <c r="A7" s="121" t="s">
        <v>326</v>
      </c>
      <c r="B7" s="117"/>
      <c r="C7" s="117"/>
      <c r="D7" s="117"/>
      <c r="E7" s="119"/>
      <c r="F7" s="119"/>
      <c r="G7" s="119"/>
      <c r="H7" s="120"/>
      <c r="I7" s="117"/>
      <c r="J7" s="117"/>
      <c r="K7" s="117"/>
    </row>
    <row r="8" spans="1:11" ht="17" customHeight="1" x14ac:dyDescent="0.2">
      <c r="A8" s="24" t="s">
        <v>29</v>
      </c>
      <c r="B8" s="25" t="s">
        <v>28</v>
      </c>
      <c r="C8" s="26" t="s">
        <v>286</v>
      </c>
      <c r="D8" s="27" t="s">
        <v>4</v>
      </c>
      <c r="E8" s="28" t="s">
        <v>3</v>
      </c>
      <c r="F8" s="29" t="s">
        <v>22</v>
      </c>
      <c r="G8" s="29" t="s">
        <v>5</v>
      </c>
      <c r="H8" s="29" t="s">
        <v>39</v>
      </c>
      <c r="I8" s="30" t="s">
        <v>327</v>
      </c>
      <c r="J8" s="30" t="s">
        <v>328</v>
      </c>
      <c r="K8" s="31" t="s">
        <v>42</v>
      </c>
    </row>
    <row r="9" spans="1:11" ht="45" customHeight="1" x14ac:dyDescent="0.2">
      <c r="A9" s="18" t="s">
        <v>454</v>
      </c>
      <c r="B9" s="18" t="s">
        <v>455</v>
      </c>
      <c r="C9" s="41">
        <v>659.88</v>
      </c>
      <c r="D9" s="42">
        <v>228870.72</v>
      </c>
      <c r="E9" s="43">
        <v>19072.560000000001</v>
      </c>
      <c r="F9" s="44">
        <v>348</v>
      </c>
      <c r="G9" s="44">
        <v>29</v>
      </c>
      <c r="H9" s="44">
        <v>6</v>
      </c>
      <c r="I9" s="45">
        <v>4.8</v>
      </c>
      <c r="J9" s="81" t="s">
        <v>456</v>
      </c>
      <c r="K9" s="22" t="str">
        <f t="shared" ref="K9:K54" si="0">HYPERLINK(J9)</f>
        <v>https://amazon.com/dp/B0DYDGXG2N</v>
      </c>
    </row>
    <row r="10" spans="1:11" ht="60" customHeight="1" x14ac:dyDescent="0.2">
      <c r="A10" s="18" t="s">
        <v>457</v>
      </c>
      <c r="B10" s="18" t="s">
        <v>458</v>
      </c>
      <c r="C10" s="41">
        <v>759.88</v>
      </c>
      <c r="D10" s="42">
        <v>183450.72</v>
      </c>
      <c r="E10" s="43">
        <v>15287.56</v>
      </c>
      <c r="F10" s="44">
        <v>240</v>
      </c>
      <c r="G10" s="44">
        <v>20</v>
      </c>
      <c r="H10" s="44">
        <v>6</v>
      </c>
      <c r="I10" s="45">
        <v>4.8</v>
      </c>
      <c r="J10" s="107" t="s">
        <v>459</v>
      </c>
      <c r="K10" s="22" t="str">
        <f t="shared" si="0"/>
        <v>https://amazon.com/dp/B0DY1KCDWW</v>
      </c>
    </row>
    <row r="11" spans="1:11" ht="45" customHeight="1" x14ac:dyDescent="0.2">
      <c r="A11" s="18" t="s">
        <v>460</v>
      </c>
      <c r="B11" s="18" t="s">
        <v>461</v>
      </c>
      <c r="C11" s="41">
        <v>899.99</v>
      </c>
      <c r="D11" s="42">
        <v>151612.68</v>
      </c>
      <c r="E11" s="43">
        <v>12634.39</v>
      </c>
      <c r="F11" s="44">
        <v>168</v>
      </c>
      <c r="G11" s="44">
        <v>14</v>
      </c>
      <c r="H11" s="44">
        <v>120</v>
      </c>
      <c r="I11" s="45">
        <v>4.0999999999999996</v>
      </c>
      <c r="J11" s="107" t="s">
        <v>462</v>
      </c>
      <c r="K11" s="22" t="str">
        <f t="shared" si="0"/>
        <v>https://amazon.com/dp/B0DSJGPDB6</v>
      </c>
    </row>
    <row r="12" spans="1:11" ht="45" customHeight="1" x14ac:dyDescent="0.2">
      <c r="A12" s="18" t="s">
        <v>463</v>
      </c>
      <c r="B12" s="18" t="s">
        <v>464</v>
      </c>
      <c r="C12" s="41">
        <v>859.88</v>
      </c>
      <c r="D12" s="42">
        <v>146140.32</v>
      </c>
      <c r="E12" s="43">
        <v>12178.36</v>
      </c>
      <c r="F12" s="44">
        <v>168</v>
      </c>
      <c r="G12" s="44">
        <v>14</v>
      </c>
      <c r="H12" s="44">
        <v>6</v>
      </c>
      <c r="I12" s="45">
        <v>4.8</v>
      </c>
      <c r="J12" s="107" t="s">
        <v>465</v>
      </c>
      <c r="K12" s="22" t="str">
        <f t="shared" si="0"/>
        <v>https://amazon.com/dp/B0DYJGWGHB</v>
      </c>
    </row>
    <row r="13" spans="1:11" ht="45" customHeight="1" x14ac:dyDescent="0.2">
      <c r="A13" s="18" t="s">
        <v>466</v>
      </c>
      <c r="B13" s="18" t="s">
        <v>467</v>
      </c>
      <c r="C13" s="41">
        <v>399.99</v>
      </c>
      <c r="D13" s="42">
        <v>117906.96</v>
      </c>
      <c r="E13" s="43">
        <v>9825.58</v>
      </c>
      <c r="F13" s="44">
        <v>300</v>
      </c>
      <c r="G13" s="44">
        <v>25</v>
      </c>
      <c r="H13" s="44">
        <v>4</v>
      </c>
      <c r="I13" s="45">
        <v>4.2</v>
      </c>
      <c r="J13" s="107" t="s">
        <v>468</v>
      </c>
      <c r="K13" s="22" t="str">
        <f t="shared" si="0"/>
        <v>https://amazon.com/dp/B0DP8WKC2J</v>
      </c>
    </row>
    <row r="14" spans="1:11" ht="45" customHeight="1" x14ac:dyDescent="0.2">
      <c r="A14" s="18" t="s">
        <v>469</v>
      </c>
      <c r="B14" s="18" t="s">
        <v>470</v>
      </c>
      <c r="C14" s="41">
        <v>659.88</v>
      </c>
      <c r="D14" s="42">
        <v>113137.56</v>
      </c>
      <c r="E14" s="43">
        <v>9428.1299999999992</v>
      </c>
      <c r="F14" s="44">
        <v>108</v>
      </c>
      <c r="G14" s="44">
        <v>9</v>
      </c>
      <c r="H14" s="44">
        <v>6</v>
      </c>
      <c r="I14" s="45">
        <v>4.8</v>
      </c>
      <c r="J14" s="107" t="s">
        <v>471</v>
      </c>
      <c r="K14" s="22" t="str">
        <f t="shared" si="0"/>
        <v>https://amazon.com/dp/B0DRP5QBNB</v>
      </c>
    </row>
    <row r="15" spans="1:11" ht="60" customHeight="1" x14ac:dyDescent="0.2">
      <c r="A15" s="18" t="s">
        <v>472</v>
      </c>
      <c r="B15" s="18" t="s">
        <v>473</v>
      </c>
      <c r="C15" s="41">
        <v>479.63</v>
      </c>
      <c r="D15" s="42">
        <v>110067.72</v>
      </c>
      <c r="E15" s="43">
        <v>9172.31</v>
      </c>
      <c r="F15" s="44">
        <v>168</v>
      </c>
      <c r="G15" s="44">
        <v>14</v>
      </c>
      <c r="H15" s="44">
        <v>43</v>
      </c>
      <c r="I15" s="45">
        <v>4.4000000000000004</v>
      </c>
      <c r="J15" s="107" t="s">
        <v>474</v>
      </c>
      <c r="K15" s="22" t="str">
        <f t="shared" si="0"/>
        <v>https://amazon.com/dp/B0DPFBKHT4</v>
      </c>
    </row>
    <row r="16" spans="1:11" ht="60" customHeight="1" x14ac:dyDescent="0.2">
      <c r="A16" s="18" t="s">
        <v>475</v>
      </c>
      <c r="B16" s="18" t="s">
        <v>476</v>
      </c>
      <c r="C16" s="41">
        <v>949.99</v>
      </c>
      <c r="D16" s="42">
        <v>100595.88</v>
      </c>
      <c r="E16" s="43">
        <v>8382.99</v>
      </c>
      <c r="F16" s="44">
        <v>108</v>
      </c>
      <c r="G16" s="44">
        <v>9</v>
      </c>
      <c r="H16" s="44">
        <v>120</v>
      </c>
      <c r="I16" s="45">
        <v>4.0999999999999996</v>
      </c>
      <c r="J16" s="107" t="s">
        <v>477</v>
      </c>
      <c r="K16" s="22" t="str">
        <f t="shared" si="0"/>
        <v>https://amazon.com/dp/B0FLVB6GYH</v>
      </c>
    </row>
    <row r="17" spans="1:11" ht="60" customHeight="1" x14ac:dyDescent="0.2">
      <c r="A17" s="18" t="s">
        <v>478</v>
      </c>
      <c r="B17" s="18" t="s">
        <v>479</v>
      </c>
      <c r="C17" s="41">
        <v>659.88</v>
      </c>
      <c r="D17" s="42">
        <v>94431.959999999992</v>
      </c>
      <c r="E17" s="43">
        <v>7869.33</v>
      </c>
      <c r="F17" s="44">
        <v>144</v>
      </c>
      <c r="G17" s="44">
        <v>12</v>
      </c>
      <c r="H17" s="44">
        <v>43</v>
      </c>
      <c r="I17" s="45">
        <v>4.4000000000000004</v>
      </c>
      <c r="J17" s="107" t="s">
        <v>480</v>
      </c>
      <c r="K17" s="22" t="str">
        <f t="shared" si="0"/>
        <v>https://amazon.com/dp/B0C9TP4FVP</v>
      </c>
    </row>
    <row r="18" spans="1:11" ht="60" customHeight="1" x14ac:dyDescent="0.2">
      <c r="A18" s="18" t="s">
        <v>481</v>
      </c>
      <c r="B18" s="18" t="s">
        <v>482</v>
      </c>
      <c r="C18" s="41">
        <v>199.99</v>
      </c>
      <c r="D18" s="42">
        <v>90112.56</v>
      </c>
      <c r="E18" s="43">
        <v>7509.38</v>
      </c>
      <c r="F18" s="44">
        <v>456</v>
      </c>
      <c r="G18" s="44">
        <v>38</v>
      </c>
      <c r="H18" s="44">
        <v>4</v>
      </c>
      <c r="I18" s="45">
        <v>4</v>
      </c>
      <c r="J18" s="107" t="s">
        <v>483</v>
      </c>
      <c r="K18" s="22" t="str">
        <f t="shared" si="0"/>
        <v>https://amazon.com/dp/B0FHVPYYQ7</v>
      </c>
    </row>
    <row r="19" spans="1:11" ht="45" customHeight="1" x14ac:dyDescent="0.2">
      <c r="A19" s="18" t="s">
        <v>484</v>
      </c>
      <c r="B19" s="18" t="s">
        <v>485</v>
      </c>
      <c r="C19" s="41">
        <v>299.98</v>
      </c>
      <c r="D19" s="42">
        <v>88927.799999999988</v>
      </c>
      <c r="E19" s="43">
        <v>7410.65</v>
      </c>
      <c r="F19" s="44">
        <v>300</v>
      </c>
      <c r="G19" s="44">
        <v>25</v>
      </c>
      <c r="H19" s="44">
        <v>126</v>
      </c>
      <c r="I19" s="45">
        <v>4.4000000000000004</v>
      </c>
      <c r="J19" s="107" t="s">
        <v>486</v>
      </c>
      <c r="K19" s="22" t="str">
        <f t="shared" si="0"/>
        <v>https://amazon.com/dp/B0DJLM28ZL</v>
      </c>
    </row>
    <row r="20" spans="1:11" ht="45" customHeight="1" x14ac:dyDescent="0.2">
      <c r="A20" s="18" t="s">
        <v>487</v>
      </c>
      <c r="B20" s="18" t="s">
        <v>488</v>
      </c>
      <c r="C20" s="41">
        <v>759.88</v>
      </c>
      <c r="D20" s="42">
        <v>74096.160000000003</v>
      </c>
      <c r="E20" s="43">
        <v>6174.68</v>
      </c>
      <c r="F20" s="44">
        <v>96</v>
      </c>
      <c r="G20" s="44">
        <v>8</v>
      </c>
      <c r="H20" s="44">
        <v>43</v>
      </c>
      <c r="I20" s="45">
        <v>4.4000000000000004</v>
      </c>
      <c r="J20" s="107" t="s">
        <v>489</v>
      </c>
      <c r="K20" s="22" t="str">
        <f t="shared" si="0"/>
        <v>https://amazon.com/dp/B0DPFBK493</v>
      </c>
    </row>
    <row r="21" spans="1:11" ht="45" customHeight="1" x14ac:dyDescent="0.2">
      <c r="A21" s="18" t="s">
        <v>490</v>
      </c>
      <c r="B21" s="18" t="s">
        <v>491</v>
      </c>
      <c r="C21" s="41">
        <v>359.99</v>
      </c>
      <c r="D21" s="42">
        <v>63321.240000000013</v>
      </c>
      <c r="E21" s="43">
        <v>5276.77</v>
      </c>
      <c r="F21" s="44">
        <v>180</v>
      </c>
      <c r="G21" s="44">
        <v>15</v>
      </c>
      <c r="H21" s="44">
        <v>126</v>
      </c>
      <c r="I21" s="45">
        <v>4.4000000000000004</v>
      </c>
      <c r="J21" s="107" t="s">
        <v>492</v>
      </c>
      <c r="K21" s="22" t="str">
        <f t="shared" si="0"/>
        <v>https://amazon.com/dp/B0DP9QQZC1</v>
      </c>
    </row>
    <row r="22" spans="1:11" ht="45" customHeight="1" x14ac:dyDescent="0.2">
      <c r="A22" s="18" t="s">
        <v>493</v>
      </c>
      <c r="B22" s="18" t="s">
        <v>494</v>
      </c>
      <c r="C22" s="41">
        <v>799.88</v>
      </c>
      <c r="D22" s="42">
        <v>58265.279999999999</v>
      </c>
      <c r="E22" s="43">
        <v>4855.4399999999996</v>
      </c>
      <c r="F22" s="44">
        <v>72</v>
      </c>
      <c r="G22" s="44">
        <v>6</v>
      </c>
      <c r="H22" s="44">
        <v>43</v>
      </c>
      <c r="I22" s="45">
        <v>4.4000000000000004</v>
      </c>
      <c r="J22" s="107" t="s">
        <v>495</v>
      </c>
      <c r="K22" s="22" t="str">
        <f t="shared" si="0"/>
        <v>https://amazon.com/dp/B0CN38GJNQ</v>
      </c>
    </row>
    <row r="23" spans="1:11" ht="45" customHeight="1" x14ac:dyDescent="0.2">
      <c r="A23" s="18" t="s">
        <v>496</v>
      </c>
      <c r="B23" s="18" t="s">
        <v>497</v>
      </c>
      <c r="C23" s="41">
        <v>549.99</v>
      </c>
      <c r="D23" s="42">
        <v>53906.879999999997</v>
      </c>
      <c r="E23" s="43">
        <v>4492.24</v>
      </c>
      <c r="F23" s="44">
        <v>108</v>
      </c>
      <c r="G23" s="44">
        <v>9</v>
      </c>
      <c r="H23" s="44">
        <v>50</v>
      </c>
      <c r="I23" s="45">
        <v>4.2</v>
      </c>
      <c r="J23" s="107" t="s">
        <v>498</v>
      </c>
      <c r="K23" s="22" t="str">
        <f t="shared" si="0"/>
        <v>https://amazon.com/dp/B0CCDK5GHP</v>
      </c>
    </row>
    <row r="24" spans="1:11" ht="45" customHeight="1" x14ac:dyDescent="0.2">
      <c r="A24" s="18" t="s">
        <v>499</v>
      </c>
      <c r="B24" s="18" t="s">
        <v>500</v>
      </c>
      <c r="C24" s="41">
        <v>199.88</v>
      </c>
      <c r="D24" s="42">
        <v>44572.800000000003</v>
      </c>
      <c r="E24" s="43">
        <v>3714.4</v>
      </c>
      <c r="F24" s="44">
        <v>228</v>
      </c>
      <c r="G24" s="44">
        <v>19</v>
      </c>
      <c r="H24" s="44">
        <v>126</v>
      </c>
      <c r="I24" s="45">
        <v>4.4000000000000004</v>
      </c>
      <c r="J24" s="107" t="s">
        <v>501</v>
      </c>
      <c r="K24" s="22" t="str">
        <f t="shared" si="0"/>
        <v>https://amazon.com/dp/B0FHK3NQ4R</v>
      </c>
    </row>
    <row r="25" spans="1:11" ht="45" customHeight="1" x14ac:dyDescent="0.2">
      <c r="A25" s="18" t="s">
        <v>502</v>
      </c>
      <c r="B25" s="18" t="s">
        <v>503</v>
      </c>
      <c r="C25" s="41">
        <v>899.88</v>
      </c>
      <c r="D25" s="42">
        <v>44111.76</v>
      </c>
      <c r="E25" s="43">
        <v>3675.98</v>
      </c>
      <c r="F25" s="44">
        <v>48</v>
      </c>
      <c r="G25" s="44">
        <v>4</v>
      </c>
      <c r="H25" s="44">
        <v>43</v>
      </c>
      <c r="I25" s="45">
        <v>4.4000000000000004</v>
      </c>
      <c r="J25" s="107" t="s">
        <v>504</v>
      </c>
      <c r="K25" s="22" t="str">
        <f t="shared" si="0"/>
        <v>https://amazon.com/dp/B0DPFC825X</v>
      </c>
    </row>
    <row r="26" spans="1:11" ht="30" customHeight="1" x14ac:dyDescent="0.2">
      <c r="A26" s="18" t="s">
        <v>505</v>
      </c>
      <c r="B26" s="18" t="s">
        <v>506</v>
      </c>
      <c r="C26" s="41">
        <v>259.99</v>
      </c>
      <c r="D26" s="42">
        <v>31848.12</v>
      </c>
      <c r="E26" s="43">
        <v>2654.01</v>
      </c>
      <c r="F26" s="44">
        <v>120</v>
      </c>
      <c r="G26" s="44">
        <v>10</v>
      </c>
      <c r="H26" s="44">
        <v>1</v>
      </c>
      <c r="I26" s="45">
        <v>5</v>
      </c>
      <c r="J26" s="107" t="s">
        <v>507</v>
      </c>
      <c r="K26" s="22" t="str">
        <f t="shared" si="0"/>
        <v>https://amazon.com/dp/B0FQTHB551</v>
      </c>
    </row>
    <row r="27" spans="1:11" ht="45" customHeight="1" x14ac:dyDescent="0.2">
      <c r="A27" s="18" t="s">
        <v>508</v>
      </c>
      <c r="B27" s="18" t="s">
        <v>509</v>
      </c>
      <c r="C27" s="41">
        <v>269.99</v>
      </c>
      <c r="D27" s="42">
        <v>22025.64</v>
      </c>
      <c r="E27" s="43">
        <v>1835.47</v>
      </c>
      <c r="F27" s="44">
        <v>84</v>
      </c>
      <c r="G27" s="44">
        <v>7</v>
      </c>
      <c r="H27" s="44">
        <v>4</v>
      </c>
      <c r="I27" s="45">
        <v>4</v>
      </c>
      <c r="J27" s="107" t="s">
        <v>510</v>
      </c>
      <c r="K27" s="22" t="str">
        <f t="shared" si="0"/>
        <v>https://amazon.com/dp/B0FJFX23ZH</v>
      </c>
    </row>
    <row r="28" spans="1:11" ht="45" customHeight="1" x14ac:dyDescent="0.2">
      <c r="A28" s="18" t="s">
        <v>511</v>
      </c>
      <c r="B28" s="18" t="s">
        <v>512</v>
      </c>
      <c r="C28" s="41">
        <v>269.88</v>
      </c>
      <c r="D28" s="42">
        <v>19829.28</v>
      </c>
      <c r="E28" s="43">
        <v>1652.44</v>
      </c>
      <c r="F28" s="44">
        <v>72</v>
      </c>
      <c r="G28" s="44">
        <v>6</v>
      </c>
      <c r="H28" s="44">
        <v>126</v>
      </c>
      <c r="I28" s="45">
        <v>4.4000000000000004</v>
      </c>
      <c r="J28" s="107" t="s">
        <v>513</v>
      </c>
      <c r="K28" s="22" t="str">
        <f t="shared" si="0"/>
        <v>https://amazon.com/dp/B0FHK5GK5M</v>
      </c>
    </row>
    <row r="29" spans="1:11" ht="45" customHeight="1" x14ac:dyDescent="0.2">
      <c r="A29" s="18" t="s">
        <v>514</v>
      </c>
      <c r="B29" s="18" t="s">
        <v>515</v>
      </c>
      <c r="C29" s="41">
        <v>259.99</v>
      </c>
      <c r="D29" s="42">
        <v>16836.240000000002</v>
      </c>
      <c r="E29" s="43">
        <v>1403.02</v>
      </c>
      <c r="F29" s="44">
        <v>60</v>
      </c>
      <c r="G29" s="44">
        <v>5</v>
      </c>
      <c r="H29" s="44">
        <v>103</v>
      </c>
      <c r="I29" s="45">
        <v>4</v>
      </c>
      <c r="J29" s="107" t="s">
        <v>516</v>
      </c>
      <c r="K29" s="22" t="str">
        <f t="shared" si="0"/>
        <v>https://amazon.com/dp/B0BR7NB31V</v>
      </c>
    </row>
    <row r="30" spans="1:11" ht="45" customHeight="1" x14ac:dyDescent="0.2">
      <c r="A30" s="18" t="s">
        <v>517</v>
      </c>
      <c r="B30" s="18" t="s">
        <v>518</v>
      </c>
      <c r="C30" s="41">
        <v>299.99</v>
      </c>
      <c r="D30" s="42">
        <v>16780.919999999998</v>
      </c>
      <c r="E30" s="43">
        <v>1398.41</v>
      </c>
      <c r="F30" s="44">
        <v>60</v>
      </c>
      <c r="G30" s="44">
        <v>5</v>
      </c>
      <c r="H30" s="44">
        <v>103</v>
      </c>
      <c r="I30" s="45">
        <v>4</v>
      </c>
      <c r="J30" s="107" t="s">
        <v>519</v>
      </c>
      <c r="K30" s="22" t="str">
        <f t="shared" si="0"/>
        <v>https://amazon.com/dp/B0BKSRTCRL</v>
      </c>
    </row>
    <row r="31" spans="1:11" ht="45" customHeight="1" x14ac:dyDescent="0.2">
      <c r="A31" s="18" t="s">
        <v>520</v>
      </c>
      <c r="B31" s="18" t="s">
        <v>521</v>
      </c>
      <c r="C31" s="41">
        <v>429.99</v>
      </c>
      <c r="D31" s="42">
        <v>15352.32</v>
      </c>
      <c r="E31" s="43">
        <v>1279.3599999999999</v>
      </c>
      <c r="F31" s="44">
        <v>36</v>
      </c>
      <c r="G31" s="44">
        <v>3</v>
      </c>
      <c r="H31" s="44">
        <v>103</v>
      </c>
      <c r="I31" s="45">
        <v>4</v>
      </c>
      <c r="J31" s="107" t="s">
        <v>522</v>
      </c>
      <c r="K31" s="22" t="str">
        <f t="shared" si="0"/>
        <v>https://amazon.com/dp/B09L5ND94Q</v>
      </c>
    </row>
    <row r="32" spans="1:11" ht="45" customHeight="1" x14ac:dyDescent="0.2">
      <c r="A32" s="18" t="s">
        <v>523</v>
      </c>
      <c r="B32" s="18" t="s">
        <v>524</v>
      </c>
      <c r="C32" s="41">
        <v>469.99</v>
      </c>
      <c r="D32" s="42">
        <v>14713.44</v>
      </c>
      <c r="E32" s="43">
        <v>1226.1199999999999</v>
      </c>
      <c r="F32" s="44">
        <v>36</v>
      </c>
      <c r="G32" s="44">
        <v>3</v>
      </c>
      <c r="H32" s="44">
        <v>103</v>
      </c>
      <c r="I32" s="45">
        <v>4</v>
      </c>
      <c r="J32" s="107" t="s">
        <v>525</v>
      </c>
      <c r="K32" s="22" t="str">
        <f t="shared" si="0"/>
        <v>https://amazon.com/dp/B0DP9S17QP</v>
      </c>
    </row>
    <row r="33" spans="1:11" ht="45" customHeight="1" x14ac:dyDescent="0.2">
      <c r="A33" s="18" t="s">
        <v>526</v>
      </c>
      <c r="B33" s="18" t="s">
        <v>527</v>
      </c>
      <c r="C33" s="41">
        <v>329.99</v>
      </c>
      <c r="D33" s="42">
        <v>14085.24</v>
      </c>
      <c r="E33" s="43">
        <v>1173.77</v>
      </c>
      <c r="F33" s="44">
        <v>48</v>
      </c>
      <c r="G33" s="44">
        <v>4</v>
      </c>
      <c r="H33" s="44">
        <v>103</v>
      </c>
      <c r="I33" s="45">
        <v>4</v>
      </c>
      <c r="J33" s="107" t="s">
        <v>528</v>
      </c>
      <c r="K33" s="22" t="str">
        <f t="shared" si="0"/>
        <v>https://amazon.com/dp/B0BWXV4PS6</v>
      </c>
    </row>
    <row r="34" spans="1:11" ht="45" customHeight="1" x14ac:dyDescent="0.2">
      <c r="A34" s="18" t="s">
        <v>529</v>
      </c>
      <c r="B34" s="18" t="s">
        <v>530</v>
      </c>
      <c r="C34" s="41">
        <v>499.99</v>
      </c>
      <c r="D34" s="42">
        <v>13136.16</v>
      </c>
      <c r="E34" s="43">
        <v>1094.68</v>
      </c>
      <c r="F34" s="44">
        <v>24</v>
      </c>
      <c r="G34" s="44">
        <v>2</v>
      </c>
      <c r="H34" s="44">
        <v>103</v>
      </c>
      <c r="I34" s="45">
        <v>4</v>
      </c>
      <c r="J34" s="107" t="s">
        <v>531</v>
      </c>
      <c r="K34" s="22" t="str">
        <f t="shared" si="0"/>
        <v>https://amazon.com/dp/B0DP9TKWT4</v>
      </c>
    </row>
    <row r="35" spans="1:11" ht="45" customHeight="1" x14ac:dyDescent="0.2">
      <c r="A35" s="18" t="s">
        <v>532</v>
      </c>
      <c r="B35" s="18" t="s">
        <v>533</v>
      </c>
      <c r="C35" s="41">
        <v>359.99</v>
      </c>
      <c r="D35" s="42">
        <v>13064.4</v>
      </c>
      <c r="E35" s="43">
        <v>1088.7</v>
      </c>
      <c r="F35" s="44">
        <v>36</v>
      </c>
      <c r="G35" s="44">
        <v>3</v>
      </c>
      <c r="H35" s="44">
        <v>103</v>
      </c>
      <c r="I35" s="45">
        <v>4</v>
      </c>
      <c r="J35" s="107" t="s">
        <v>534</v>
      </c>
      <c r="K35" s="22" t="str">
        <f t="shared" si="0"/>
        <v>https://amazon.com/dp/B09L4Z7T89</v>
      </c>
    </row>
    <row r="36" spans="1:11" ht="45" customHeight="1" x14ac:dyDescent="0.2">
      <c r="A36" s="18" t="s">
        <v>535</v>
      </c>
      <c r="B36" s="18" t="s">
        <v>536</v>
      </c>
      <c r="C36" s="41">
        <v>569.99</v>
      </c>
      <c r="D36" s="42">
        <v>12879.96</v>
      </c>
      <c r="E36" s="43">
        <v>1073.33</v>
      </c>
      <c r="F36" s="44">
        <v>24</v>
      </c>
      <c r="G36" s="44">
        <v>2</v>
      </c>
      <c r="H36" s="44">
        <v>103</v>
      </c>
      <c r="I36" s="45">
        <v>4</v>
      </c>
      <c r="J36" s="107" t="s">
        <v>537</v>
      </c>
      <c r="K36" s="22" t="str">
        <f t="shared" si="0"/>
        <v>https://amazon.com/dp/B0DP9TL922</v>
      </c>
    </row>
    <row r="37" spans="1:11" ht="45" customHeight="1" x14ac:dyDescent="0.2">
      <c r="A37" s="18" t="s">
        <v>538</v>
      </c>
      <c r="B37" s="18" t="s">
        <v>539</v>
      </c>
      <c r="C37" s="41">
        <v>659.99</v>
      </c>
      <c r="D37" s="42">
        <v>12656.04</v>
      </c>
      <c r="E37" s="43">
        <v>1054.67</v>
      </c>
      <c r="F37" s="44">
        <v>24</v>
      </c>
      <c r="G37" s="44">
        <v>2</v>
      </c>
      <c r="H37" s="44">
        <v>103</v>
      </c>
      <c r="I37" s="45">
        <v>4</v>
      </c>
      <c r="J37" s="107" t="s">
        <v>540</v>
      </c>
      <c r="K37" s="22" t="str">
        <f t="shared" si="0"/>
        <v>https://amazon.com/dp/B09MTFFT74</v>
      </c>
    </row>
    <row r="38" spans="1:11" ht="45" customHeight="1" x14ac:dyDescent="0.2">
      <c r="A38" s="18" t="s">
        <v>541</v>
      </c>
      <c r="B38" s="18" t="s">
        <v>542</v>
      </c>
      <c r="C38" s="41">
        <v>709.99</v>
      </c>
      <c r="D38" s="42">
        <v>12080.16</v>
      </c>
      <c r="E38" s="43">
        <v>1006.68</v>
      </c>
      <c r="F38" s="44">
        <v>12</v>
      </c>
      <c r="G38" s="44">
        <v>1</v>
      </c>
      <c r="H38" s="44">
        <v>103</v>
      </c>
      <c r="I38" s="45">
        <v>4</v>
      </c>
      <c r="J38" s="107" t="s">
        <v>543</v>
      </c>
      <c r="K38" s="22" t="str">
        <f t="shared" si="0"/>
        <v>https://amazon.com/dp/B09MHR62G4</v>
      </c>
    </row>
    <row r="39" spans="1:11" ht="45" customHeight="1" x14ac:dyDescent="0.2">
      <c r="A39" s="18" t="s">
        <v>544</v>
      </c>
      <c r="B39" s="18" t="s">
        <v>545</v>
      </c>
      <c r="C39" s="41">
        <v>169.99</v>
      </c>
      <c r="D39" s="42">
        <v>10994.04</v>
      </c>
      <c r="E39" s="43">
        <v>916.17</v>
      </c>
      <c r="F39" s="44">
        <v>60</v>
      </c>
      <c r="G39" s="44">
        <v>5</v>
      </c>
      <c r="H39" s="44">
        <v>3</v>
      </c>
      <c r="I39" s="45">
        <v>4.7</v>
      </c>
      <c r="J39" s="107" t="s">
        <v>546</v>
      </c>
      <c r="K39" s="22" t="str">
        <f t="shared" si="0"/>
        <v>https://amazon.com/dp/B09XDVLN1X</v>
      </c>
    </row>
    <row r="40" spans="1:11" ht="45" customHeight="1" x14ac:dyDescent="0.2">
      <c r="A40" s="18" t="s">
        <v>547</v>
      </c>
      <c r="B40" s="18" t="s">
        <v>548</v>
      </c>
      <c r="C40" s="41">
        <v>169.99</v>
      </c>
      <c r="D40" s="42">
        <v>10952.76</v>
      </c>
      <c r="E40" s="43">
        <v>912.73</v>
      </c>
      <c r="F40" s="44">
        <v>60</v>
      </c>
      <c r="G40" s="44">
        <v>5</v>
      </c>
      <c r="H40" s="44">
        <v>3</v>
      </c>
      <c r="I40" s="45">
        <v>4.7</v>
      </c>
      <c r="J40" s="107" t="s">
        <v>549</v>
      </c>
      <c r="K40" s="22" t="str">
        <f t="shared" si="0"/>
        <v>https://amazon.com/dp/B0BVZD1XBM</v>
      </c>
    </row>
    <row r="41" spans="1:11" ht="45" customHeight="1" x14ac:dyDescent="0.2">
      <c r="A41" s="18" t="s">
        <v>550</v>
      </c>
      <c r="B41" s="18" t="s">
        <v>551</v>
      </c>
      <c r="C41" s="41">
        <v>759.99</v>
      </c>
      <c r="D41" s="42">
        <v>10807.68</v>
      </c>
      <c r="E41" s="43">
        <v>900.64</v>
      </c>
      <c r="F41" s="44">
        <v>12</v>
      </c>
      <c r="G41" s="44">
        <v>1</v>
      </c>
      <c r="H41" s="44">
        <v>104</v>
      </c>
      <c r="I41" s="45">
        <v>4</v>
      </c>
      <c r="J41" s="107" t="s">
        <v>552</v>
      </c>
      <c r="K41" s="22" t="str">
        <f t="shared" si="0"/>
        <v>https://amazon.com/dp/B09MTF7YZQ</v>
      </c>
    </row>
    <row r="42" spans="1:11" ht="45" customHeight="1" x14ac:dyDescent="0.2">
      <c r="A42" s="18" t="s">
        <v>553</v>
      </c>
      <c r="B42" s="18" t="s">
        <v>554</v>
      </c>
      <c r="C42" s="41">
        <v>799.99</v>
      </c>
      <c r="D42" s="42">
        <v>9779.2800000000007</v>
      </c>
      <c r="E42" s="43">
        <v>814.94</v>
      </c>
      <c r="F42" s="44">
        <v>12</v>
      </c>
      <c r="G42" s="44">
        <v>1</v>
      </c>
      <c r="H42" s="44">
        <v>103</v>
      </c>
      <c r="I42" s="45">
        <v>4</v>
      </c>
      <c r="J42" s="107" t="s">
        <v>555</v>
      </c>
      <c r="K42" s="22" t="str">
        <f t="shared" si="0"/>
        <v>https://amazon.com/dp/B0DP9NH88V</v>
      </c>
    </row>
    <row r="43" spans="1:11" ht="45" customHeight="1" x14ac:dyDescent="0.2">
      <c r="A43" s="18" t="s">
        <v>556</v>
      </c>
      <c r="B43" s="18" t="s">
        <v>557</v>
      </c>
      <c r="C43" s="41">
        <v>899.99</v>
      </c>
      <c r="D43" s="42">
        <v>9455.52</v>
      </c>
      <c r="E43" s="43">
        <v>787.96</v>
      </c>
      <c r="F43" s="44">
        <v>12</v>
      </c>
      <c r="G43" s="44">
        <v>1</v>
      </c>
      <c r="H43" s="44">
        <v>103</v>
      </c>
      <c r="I43" s="45">
        <v>4</v>
      </c>
      <c r="J43" s="107" t="s">
        <v>558</v>
      </c>
      <c r="K43" s="22" t="str">
        <f t="shared" si="0"/>
        <v>https://amazon.com/dp/B0DP9TH46X</v>
      </c>
    </row>
    <row r="44" spans="1:11" ht="45" customHeight="1" x14ac:dyDescent="0.2">
      <c r="A44" s="18" t="s">
        <v>559</v>
      </c>
      <c r="B44" s="18" t="s">
        <v>560</v>
      </c>
      <c r="C44" s="41">
        <v>299.99</v>
      </c>
      <c r="D44" s="42">
        <v>8124.12</v>
      </c>
      <c r="E44" s="43">
        <v>677.01</v>
      </c>
      <c r="F44" s="44">
        <v>24</v>
      </c>
      <c r="G44" s="44">
        <v>2</v>
      </c>
      <c r="H44" s="44">
        <v>3</v>
      </c>
      <c r="I44" s="45">
        <v>4.7</v>
      </c>
      <c r="J44" s="107" t="s">
        <v>561</v>
      </c>
      <c r="K44" s="22" t="str">
        <f t="shared" si="0"/>
        <v>https://amazon.com/dp/B0BCK4ZV3G</v>
      </c>
    </row>
    <row r="45" spans="1:11" ht="45" customHeight="1" x14ac:dyDescent="0.2">
      <c r="A45" s="18" t="s">
        <v>562</v>
      </c>
      <c r="B45" s="18" t="s">
        <v>563</v>
      </c>
      <c r="C45" s="41">
        <v>139.99</v>
      </c>
      <c r="D45" s="42">
        <v>8088.7199999999993</v>
      </c>
      <c r="E45" s="43">
        <v>674.06</v>
      </c>
      <c r="F45" s="44">
        <v>60</v>
      </c>
      <c r="G45" s="44">
        <v>5</v>
      </c>
      <c r="H45" s="44"/>
      <c r="I45" s="45"/>
      <c r="J45" s="107" t="s">
        <v>564</v>
      </c>
      <c r="K45" s="22" t="str">
        <f t="shared" si="0"/>
        <v>https://amazon.com/dp/B0CST61RTM</v>
      </c>
    </row>
    <row r="46" spans="1:11" ht="45" customHeight="1" x14ac:dyDescent="0.2">
      <c r="A46" s="18" t="s">
        <v>565</v>
      </c>
      <c r="B46" s="18" t="s">
        <v>566</v>
      </c>
      <c r="C46" s="41">
        <v>289.99</v>
      </c>
      <c r="D46" s="42">
        <v>6118.08</v>
      </c>
      <c r="E46" s="43">
        <v>509.84</v>
      </c>
      <c r="F46" s="44">
        <v>24</v>
      </c>
      <c r="G46" s="44">
        <v>2</v>
      </c>
      <c r="H46" s="44"/>
      <c r="I46" s="45"/>
      <c r="J46" s="107" t="s">
        <v>567</v>
      </c>
      <c r="K46" s="22" t="str">
        <f t="shared" si="0"/>
        <v>https://amazon.com/dp/B0CZDGRGNZ</v>
      </c>
    </row>
    <row r="47" spans="1:11" ht="45" customHeight="1" x14ac:dyDescent="0.2">
      <c r="A47" s="18" t="s">
        <v>568</v>
      </c>
      <c r="B47" s="18" t="s">
        <v>569</v>
      </c>
      <c r="C47" s="41">
        <v>24.99</v>
      </c>
      <c r="D47" s="42">
        <v>3002.76</v>
      </c>
      <c r="E47" s="43">
        <v>250.23</v>
      </c>
      <c r="F47" s="44">
        <v>96</v>
      </c>
      <c r="G47" s="44">
        <v>8</v>
      </c>
      <c r="H47" s="44">
        <v>42</v>
      </c>
      <c r="I47" s="45">
        <v>4.4000000000000004</v>
      </c>
      <c r="J47" s="107" t="s">
        <v>570</v>
      </c>
      <c r="K47" s="22" t="str">
        <f t="shared" si="0"/>
        <v>https://amazon.com/dp/B0BCW5XW19</v>
      </c>
    </row>
    <row r="48" spans="1:11" ht="45" customHeight="1" x14ac:dyDescent="0.2">
      <c r="A48" s="18" t="s">
        <v>571</v>
      </c>
      <c r="B48" s="18" t="s">
        <v>572</v>
      </c>
      <c r="C48" s="41">
        <v>25.99</v>
      </c>
      <c r="D48" s="42">
        <v>2546.16</v>
      </c>
      <c r="E48" s="43">
        <v>212.18</v>
      </c>
      <c r="F48" s="44">
        <v>96</v>
      </c>
      <c r="G48" s="44">
        <v>8</v>
      </c>
      <c r="H48" s="44">
        <v>1</v>
      </c>
      <c r="I48" s="45">
        <v>5</v>
      </c>
      <c r="J48" s="107" t="s">
        <v>573</v>
      </c>
      <c r="K48" s="22" t="str">
        <f t="shared" si="0"/>
        <v>https://amazon.com/dp/B0CP3YBTT4</v>
      </c>
    </row>
    <row r="49" spans="1:11" ht="45" customHeight="1" x14ac:dyDescent="0.2">
      <c r="A49" s="18" t="s">
        <v>574</v>
      </c>
      <c r="B49" s="18" t="s">
        <v>575</v>
      </c>
      <c r="C49" s="41">
        <v>25.99</v>
      </c>
      <c r="D49" s="42">
        <v>2370.84</v>
      </c>
      <c r="E49" s="43">
        <v>197.57</v>
      </c>
      <c r="F49" s="44">
        <v>96</v>
      </c>
      <c r="G49" s="44">
        <v>8</v>
      </c>
      <c r="H49" s="44">
        <v>3</v>
      </c>
      <c r="I49" s="45">
        <v>5</v>
      </c>
      <c r="J49" s="107" t="s">
        <v>576</v>
      </c>
      <c r="K49" s="22" t="str">
        <f t="shared" si="0"/>
        <v>https://amazon.com/dp/B0B3DBLPF2</v>
      </c>
    </row>
    <row r="50" spans="1:11" ht="30" customHeight="1" x14ac:dyDescent="0.2">
      <c r="A50" s="18" t="s">
        <v>577</v>
      </c>
      <c r="B50" s="18" t="s">
        <v>578</v>
      </c>
      <c r="C50" s="41">
        <v>39.99</v>
      </c>
      <c r="D50" s="42">
        <v>2042.04</v>
      </c>
      <c r="E50" s="43">
        <v>170.17</v>
      </c>
      <c r="F50" s="44">
        <v>48</v>
      </c>
      <c r="G50" s="44">
        <v>4</v>
      </c>
      <c r="H50" s="44"/>
      <c r="I50" s="45"/>
      <c r="J50" s="107" t="s">
        <v>579</v>
      </c>
      <c r="K50" s="22" t="str">
        <f t="shared" si="0"/>
        <v>https://amazon.com/dp/B0DWMQTVC2</v>
      </c>
    </row>
    <row r="51" spans="1:11" ht="30" customHeight="1" x14ac:dyDescent="0.2">
      <c r="A51" s="18" t="s">
        <v>580</v>
      </c>
      <c r="B51" s="18" t="s">
        <v>581</v>
      </c>
      <c r="C51" s="41">
        <v>59.99</v>
      </c>
      <c r="D51" s="42">
        <v>1092.1199999999999</v>
      </c>
      <c r="E51" s="43">
        <v>91.01</v>
      </c>
      <c r="F51" s="44">
        <v>24</v>
      </c>
      <c r="G51" s="44">
        <v>2</v>
      </c>
      <c r="H51" s="44"/>
      <c r="I51" s="45"/>
      <c r="J51" s="107" t="s">
        <v>582</v>
      </c>
      <c r="K51" s="22" t="str">
        <f t="shared" si="0"/>
        <v>https://amazon.com/dp/B0DWMLN6VW</v>
      </c>
    </row>
    <row r="52" spans="1:11" ht="60" customHeight="1" x14ac:dyDescent="0.2">
      <c r="A52" s="18" t="s">
        <v>583</v>
      </c>
      <c r="B52" s="18" t="s">
        <v>584</v>
      </c>
      <c r="C52" s="41">
        <v>999.99</v>
      </c>
      <c r="D52" s="42"/>
      <c r="E52" s="43"/>
      <c r="F52" s="44">
        <v>0</v>
      </c>
      <c r="G52" s="44">
        <v>0</v>
      </c>
      <c r="H52" s="44">
        <v>120</v>
      </c>
      <c r="I52" s="45">
        <v>4.0999999999999996</v>
      </c>
      <c r="J52" s="107" t="s">
        <v>585</v>
      </c>
      <c r="K52" s="22" t="str">
        <f t="shared" si="0"/>
        <v>https://amazon.com/dp/B0BTM3S231</v>
      </c>
    </row>
    <row r="53" spans="1:11" ht="45" customHeight="1" x14ac:dyDescent="0.2">
      <c r="A53" s="18" t="s">
        <v>586</v>
      </c>
      <c r="B53" s="18" t="s">
        <v>587</v>
      </c>
      <c r="C53" s="41">
        <v>209.99</v>
      </c>
      <c r="D53" s="42"/>
      <c r="E53" s="43"/>
      <c r="F53" s="44">
        <v>0</v>
      </c>
      <c r="G53" s="44">
        <v>0</v>
      </c>
      <c r="H53" s="44">
        <v>3</v>
      </c>
      <c r="I53" s="45">
        <v>4.7</v>
      </c>
      <c r="J53" s="107" t="s">
        <v>588</v>
      </c>
      <c r="K53" s="22" t="str">
        <f t="shared" si="0"/>
        <v>https://amazon.com/dp/B0B3DH6L6Q</v>
      </c>
    </row>
    <row r="54" spans="1:11" ht="30" customHeight="1" x14ac:dyDescent="0.2">
      <c r="A54" s="18" t="s">
        <v>589</v>
      </c>
      <c r="B54" s="18" t="s">
        <v>590</v>
      </c>
      <c r="C54" s="41">
        <v>259.99</v>
      </c>
      <c r="D54" s="42"/>
      <c r="E54" s="43"/>
      <c r="F54" s="44">
        <v>0</v>
      </c>
      <c r="G54" s="44">
        <v>0</v>
      </c>
      <c r="H54" s="44">
        <v>1</v>
      </c>
      <c r="I54" s="45">
        <v>5</v>
      </c>
      <c r="J54" s="107" t="s">
        <v>591</v>
      </c>
      <c r="K54" s="22" t="str">
        <f t="shared" si="0"/>
        <v>https://amazon.com/dp/B0DWMNLK1B</v>
      </c>
    </row>
    <row r="55" spans="1:11" ht="17" customHeight="1" x14ac:dyDescent="0.2">
      <c r="A55" s="21" t="s">
        <v>291</v>
      </c>
      <c r="B55" s="20"/>
      <c r="C55" s="20"/>
      <c r="D55" s="47">
        <f>SUM(D9:D54)</f>
        <v>2064191.04</v>
      </c>
      <c r="E55" s="47">
        <f>SUM(E9:E54)</f>
        <v>172015.92000000004</v>
      </c>
      <c r="H55" s="48"/>
      <c r="I55" s="23"/>
    </row>
    <row r="58" spans="1:11" x14ac:dyDescent="0.2">
      <c r="A58" s="121" t="s">
        <v>329</v>
      </c>
      <c r="B58" s="117"/>
      <c r="C58" s="117"/>
      <c r="D58" s="117"/>
      <c r="E58" s="119"/>
      <c r="F58" s="119"/>
      <c r="G58" s="119"/>
      <c r="H58" s="120"/>
      <c r="I58" s="117"/>
      <c r="J58" s="117"/>
      <c r="K58" s="117"/>
    </row>
    <row r="59" spans="1:11" ht="17" customHeight="1" x14ac:dyDescent="0.2">
      <c r="A59" s="24" t="s">
        <v>29</v>
      </c>
      <c r="B59" s="25" t="s">
        <v>28</v>
      </c>
      <c r="C59" s="26" t="s">
        <v>286</v>
      </c>
      <c r="D59" s="27" t="s">
        <v>4</v>
      </c>
      <c r="E59" s="25" t="s">
        <v>3</v>
      </c>
      <c r="F59" s="29" t="s">
        <v>22</v>
      </c>
      <c r="G59" s="32" t="s">
        <v>5</v>
      </c>
      <c r="H59" s="29" t="s">
        <v>39</v>
      </c>
      <c r="I59" s="30" t="s">
        <v>327</v>
      </c>
      <c r="J59" s="30" t="s">
        <v>328</v>
      </c>
      <c r="K59" s="31" t="s">
        <v>42</v>
      </c>
    </row>
    <row r="60" spans="1:11" ht="60" customHeight="1" x14ac:dyDescent="0.2">
      <c r="A60" s="18" t="s">
        <v>481</v>
      </c>
      <c r="B60" s="18" t="s">
        <v>482</v>
      </c>
      <c r="C60" s="41">
        <v>199.99</v>
      </c>
      <c r="D60" s="42">
        <v>90112.56</v>
      </c>
      <c r="E60" s="42">
        <v>7509.38</v>
      </c>
      <c r="F60" s="44">
        <v>456</v>
      </c>
      <c r="G60" s="46">
        <v>38</v>
      </c>
      <c r="H60" s="44">
        <v>4</v>
      </c>
      <c r="I60" s="45">
        <v>4</v>
      </c>
      <c r="J60" s="45" t="s">
        <v>483</v>
      </c>
      <c r="K60" s="22" t="str">
        <f t="shared" ref="K60:K105" si="1">HYPERLINK(J60)</f>
        <v>https://amazon.com/dp/B0FHVPYYQ7</v>
      </c>
    </row>
    <row r="61" spans="1:11" ht="45" customHeight="1" x14ac:dyDescent="0.2">
      <c r="A61" s="18" t="s">
        <v>454</v>
      </c>
      <c r="B61" s="18" t="s">
        <v>455</v>
      </c>
      <c r="C61" s="41">
        <v>659.88</v>
      </c>
      <c r="D61" s="42">
        <v>228870.72</v>
      </c>
      <c r="E61" s="42">
        <v>19072.560000000001</v>
      </c>
      <c r="F61" s="44">
        <v>348</v>
      </c>
      <c r="G61" s="46">
        <v>29</v>
      </c>
      <c r="H61" s="44">
        <v>6</v>
      </c>
      <c r="I61" s="45">
        <v>4.8</v>
      </c>
      <c r="J61" s="45" t="s">
        <v>456</v>
      </c>
      <c r="K61" s="22" t="str">
        <f t="shared" si="1"/>
        <v>https://amazon.com/dp/B0DYDGXG2N</v>
      </c>
    </row>
    <row r="62" spans="1:11" ht="45" customHeight="1" x14ac:dyDescent="0.2">
      <c r="A62" s="18" t="s">
        <v>484</v>
      </c>
      <c r="B62" s="18" t="s">
        <v>485</v>
      </c>
      <c r="C62" s="41">
        <v>299.98</v>
      </c>
      <c r="D62" s="42">
        <v>88927.799999999988</v>
      </c>
      <c r="E62" s="42">
        <v>7410.65</v>
      </c>
      <c r="F62" s="44">
        <v>300</v>
      </c>
      <c r="G62" s="46">
        <v>25</v>
      </c>
      <c r="H62" s="44">
        <v>126</v>
      </c>
      <c r="I62" s="45">
        <v>4.4000000000000004</v>
      </c>
      <c r="J62" s="45" t="s">
        <v>486</v>
      </c>
      <c r="K62" s="22" t="str">
        <f t="shared" si="1"/>
        <v>https://amazon.com/dp/B0DJLM28ZL</v>
      </c>
    </row>
    <row r="63" spans="1:11" ht="45" customHeight="1" x14ac:dyDescent="0.2">
      <c r="A63" s="18" t="s">
        <v>466</v>
      </c>
      <c r="B63" s="18" t="s">
        <v>467</v>
      </c>
      <c r="C63" s="41">
        <v>399.99</v>
      </c>
      <c r="D63" s="42">
        <v>117906.96</v>
      </c>
      <c r="E63" s="42">
        <v>9825.58</v>
      </c>
      <c r="F63" s="44">
        <v>300</v>
      </c>
      <c r="G63" s="46">
        <v>25</v>
      </c>
      <c r="H63" s="44">
        <v>4</v>
      </c>
      <c r="I63" s="45">
        <v>4.2</v>
      </c>
      <c r="J63" s="45" t="s">
        <v>468</v>
      </c>
      <c r="K63" s="22" t="str">
        <f t="shared" si="1"/>
        <v>https://amazon.com/dp/B0DP8WKC2J</v>
      </c>
    </row>
    <row r="64" spans="1:11" ht="60" customHeight="1" x14ac:dyDescent="0.2">
      <c r="A64" s="18" t="s">
        <v>457</v>
      </c>
      <c r="B64" s="18" t="s">
        <v>458</v>
      </c>
      <c r="C64" s="41">
        <v>759.88</v>
      </c>
      <c r="D64" s="42">
        <v>183450.72</v>
      </c>
      <c r="E64" s="42">
        <v>15287.56</v>
      </c>
      <c r="F64" s="44">
        <v>240</v>
      </c>
      <c r="G64" s="46">
        <v>20</v>
      </c>
      <c r="H64" s="44">
        <v>6</v>
      </c>
      <c r="I64" s="45">
        <v>4.8</v>
      </c>
      <c r="J64" s="45" t="s">
        <v>459</v>
      </c>
      <c r="K64" s="22" t="str">
        <f t="shared" si="1"/>
        <v>https://amazon.com/dp/B0DY1KCDWW</v>
      </c>
    </row>
    <row r="65" spans="1:11" ht="45" customHeight="1" x14ac:dyDescent="0.2">
      <c r="A65" s="18" t="s">
        <v>499</v>
      </c>
      <c r="B65" s="18" t="s">
        <v>500</v>
      </c>
      <c r="C65" s="41">
        <v>199.88</v>
      </c>
      <c r="D65" s="42">
        <v>44572.800000000003</v>
      </c>
      <c r="E65" s="42">
        <v>3714.4</v>
      </c>
      <c r="F65" s="44">
        <v>228</v>
      </c>
      <c r="G65" s="46">
        <v>19</v>
      </c>
      <c r="H65" s="44">
        <v>126</v>
      </c>
      <c r="I65" s="45">
        <v>4.4000000000000004</v>
      </c>
      <c r="J65" s="45" t="s">
        <v>501</v>
      </c>
      <c r="K65" s="22" t="str">
        <f t="shared" si="1"/>
        <v>https://amazon.com/dp/B0FHK3NQ4R</v>
      </c>
    </row>
    <row r="66" spans="1:11" ht="45" customHeight="1" x14ac:dyDescent="0.2">
      <c r="A66" s="18" t="s">
        <v>490</v>
      </c>
      <c r="B66" s="18" t="s">
        <v>491</v>
      </c>
      <c r="C66" s="41">
        <v>359.99</v>
      </c>
      <c r="D66" s="42">
        <v>63321.240000000013</v>
      </c>
      <c r="E66" s="42">
        <v>5276.77</v>
      </c>
      <c r="F66" s="44">
        <v>180</v>
      </c>
      <c r="G66" s="46">
        <v>15</v>
      </c>
      <c r="H66" s="44">
        <v>126</v>
      </c>
      <c r="I66" s="45">
        <v>4.4000000000000004</v>
      </c>
      <c r="J66" s="45" t="s">
        <v>492</v>
      </c>
      <c r="K66" s="22" t="str">
        <f t="shared" si="1"/>
        <v>https://amazon.com/dp/B0DP9QQZC1</v>
      </c>
    </row>
    <row r="67" spans="1:11" ht="45" customHeight="1" x14ac:dyDescent="0.2">
      <c r="A67" s="18" t="s">
        <v>463</v>
      </c>
      <c r="B67" s="18" t="s">
        <v>464</v>
      </c>
      <c r="C67" s="41">
        <v>859.88</v>
      </c>
      <c r="D67" s="42">
        <v>146140.32</v>
      </c>
      <c r="E67" s="42">
        <v>12178.36</v>
      </c>
      <c r="F67" s="44">
        <v>168</v>
      </c>
      <c r="G67" s="46">
        <v>14</v>
      </c>
      <c r="H67" s="44">
        <v>6</v>
      </c>
      <c r="I67" s="45">
        <v>4.8</v>
      </c>
      <c r="J67" s="45" t="s">
        <v>465</v>
      </c>
      <c r="K67" s="22" t="str">
        <f t="shared" si="1"/>
        <v>https://amazon.com/dp/B0DYJGWGHB</v>
      </c>
    </row>
    <row r="68" spans="1:11" ht="45" customHeight="1" x14ac:dyDescent="0.2">
      <c r="A68" s="18" t="s">
        <v>460</v>
      </c>
      <c r="B68" s="18" t="s">
        <v>461</v>
      </c>
      <c r="C68" s="41">
        <v>899.99</v>
      </c>
      <c r="D68" s="42">
        <v>151612.68</v>
      </c>
      <c r="E68" s="42">
        <v>12634.39</v>
      </c>
      <c r="F68" s="44">
        <v>168</v>
      </c>
      <c r="G68" s="46">
        <v>14</v>
      </c>
      <c r="H68" s="44">
        <v>120</v>
      </c>
      <c r="I68" s="45">
        <v>4.0999999999999996</v>
      </c>
      <c r="J68" s="45" t="s">
        <v>462</v>
      </c>
      <c r="K68" s="22" t="str">
        <f t="shared" si="1"/>
        <v>https://amazon.com/dp/B0DSJGPDB6</v>
      </c>
    </row>
    <row r="69" spans="1:11" ht="60" customHeight="1" x14ac:dyDescent="0.2">
      <c r="A69" s="18" t="s">
        <v>472</v>
      </c>
      <c r="B69" s="18" t="s">
        <v>473</v>
      </c>
      <c r="C69" s="41">
        <v>479.63</v>
      </c>
      <c r="D69" s="42">
        <v>110067.72</v>
      </c>
      <c r="E69" s="42">
        <v>9172.31</v>
      </c>
      <c r="F69" s="44">
        <v>168</v>
      </c>
      <c r="G69" s="46">
        <v>14</v>
      </c>
      <c r="H69" s="44">
        <v>43</v>
      </c>
      <c r="I69" s="45">
        <v>4.4000000000000004</v>
      </c>
      <c r="J69" s="45" t="s">
        <v>474</v>
      </c>
      <c r="K69" s="22" t="str">
        <f t="shared" si="1"/>
        <v>https://amazon.com/dp/B0DPFBKHT4</v>
      </c>
    </row>
    <row r="70" spans="1:11" ht="60" customHeight="1" x14ac:dyDescent="0.2">
      <c r="A70" s="18" t="s">
        <v>478</v>
      </c>
      <c r="B70" s="18" t="s">
        <v>479</v>
      </c>
      <c r="C70" s="41">
        <v>659.88</v>
      </c>
      <c r="D70" s="42">
        <v>94431.959999999992</v>
      </c>
      <c r="E70" s="42">
        <v>7869.33</v>
      </c>
      <c r="F70" s="44">
        <v>144</v>
      </c>
      <c r="G70" s="46">
        <v>12</v>
      </c>
      <c r="H70" s="44">
        <v>43</v>
      </c>
      <c r="I70" s="45">
        <v>4.4000000000000004</v>
      </c>
      <c r="J70" s="45" t="s">
        <v>480</v>
      </c>
      <c r="K70" s="22" t="str">
        <f t="shared" si="1"/>
        <v>https://amazon.com/dp/B0C9TP4FVP</v>
      </c>
    </row>
    <row r="71" spans="1:11" ht="30" customHeight="1" x14ac:dyDescent="0.2">
      <c r="A71" s="18" t="s">
        <v>505</v>
      </c>
      <c r="B71" s="18" t="s">
        <v>506</v>
      </c>
      <c r="C71" s="41">
        <v>259.99</v>
      </c>
      <c r="D71" s="42">
        <v>31848.12</v>
      </c>
      <c r="E71" s="42">
        <v>2654.01</v>
      </c>
      <c r="F71" s="44">
        <v>120</v>
      </c>
      <c r="G71" s="46">
        <v>10</v>
      </c>
      <c r="H71" s="44">
        <v>1</v>
      </c>
      <c r="I71" s="45">
        <v>5</v>
      </c>
      <c r="J71" s="45" t="s">
        <v>507</v>
      </c>
      <c r="K71" s="22" t="str">
        <f t="shared" si="1"/>
        <v>https://amazon.com/dp/B0FQTHB551</v>
      </c>
    </row>
    <row r="72" spans="1:11" ht="45" customHeight="1" x14ac:dyDescent="0.2">
      <c r="A72" s="18" t="s">
        <v>469</v>
      </c>
      <c r="B72" s="18" t="s">
        <v>470</v>
      </c>
      <c r="C72" s="41">
        <v>659.88</v>
      </c>
      <c r="D72" s="42">
        <v>113137.56</v>
      </c>
      <c r="E72" s="42">
        <v>9428.1299999999992</v>
      </c>
      <c r="F72" s="44">
        <v>108</v>
      </c>
      <c r="G72" s="46">
        <v>9</v>
      </c>
      <c r="H72" s="44">
        <v>6</v>
      </c>
      <c r="I72" s="45">
        <v>4.8</v>
      </c>
      <c r="J72" s="45" t="s">
        <v>471</v>
      </c>
      <c r="K72" s="22" t="str">
        <f t="shared" si="1"/>
        <v>https://amazon.com/dp/B0DRP5QBNB</v>
      </c>
    </row>
    <row r="73" spans="1:11" ht="45" customHeight="1" x14ac:dyDescent="0.2">
      <c r="A73" s="18" t="s">
        <v>496</v>
      </c>
      <c r="B73" s="18" t="s">
        <v>497</v>
      </c>
      <c r="C73" s="41">
        <v>549.99</v>
      </c>
      <c r="D73" s="42">
        <v>53906.879999999997</v>
      </c>
      <c r="E73" s="42">
        <v>4492.24</v>
      </c>
      <c r="F73" s="44">
        <v>108</v>
      </c>
      <c r="G73" s="46">
        <v>9</v>
      </c>
      <c r="H73" s="44">
        <v>50</v>
      </c>
      <c r="I73" s="45">
        <v>4.2</v>
      </c>
      <c r="J73" s="45" t="s">
        <v>498</v>
      </c>
      <c r="K73" s="22" t="str">
        <f t="shared" si="1"/>
        <v>https://amazon.com/dp/B0CCDK5GHP</v>
      </c>
    </row>
    <row r="74" spans="1:11" ht="60" customHeight="1" x14ac:dyDescent="0.2">
      <c r="A74" s="18" t="s">
        <v>475</v>
      </c>
      <c r="B74" s="18" t="s">
        <v>476</v>
      </c>
      <c r="C74" s="41">
        <v>949.99</v>
      </c>
      <c r="D74" s="42">
        <v>100595.88</v>
      </c>
      <c r="E74" s="42">
        <v>8382.99</v>
      </c>
      <c r="F74" s="44">
        <v>108</v>
      </c>
      <c r="G74" s="46">
        <v>9</v>
      </c>
      <c r="H74" s="44">
        <v>120</v>
      </c>
      <c r="I74" s="45">
        <v>4.0999999999999996</v>
      </c>
      <c r="J74" s="45" t="s">
        <v>477</v>
      </c>
      <c r="K74" s="22" t="str">
        <f t="shared" si="1"/>
        <v>https://amazon.com/dp/B0FLVB6GYH</v>
      </c>
    </row>
    <row r="75" spans="1:11" ht="45" customHeight="1" x14ac:dyDescent="0.2">
      <c r="A75" s="18" t="s">
        <v>568</v>
      </c>
      <c r="B75" s="18" t="s">
        <v>569</v>
      </c>
      <c r="C75" s="41">
        <v>24.99</v>
      </c>
      <c r="D75" s="42">
        <v>3002.76</v>
      </c>
      <c r="E75" s="42">
        <v>250.23</v>
      </c>
      <c r="F75" s="44">
        <v>96</v>
      </c>
      <c r="G75" s="46">
        <v>8</v>
      </c>
      <c r="H75" s="44">
        <v>42</v>
      </c>
      <c r="I75" s="45">
        <v>4.4000000000000004</v>
      </c>
      <c r="J75" s="45" t="s">
        <v>570</v>
      </c>
      <c r="K75" s="22" t="str">
        <f t="shared" si="1"/>
        <v>https://amazon.com/dp/B0BCW5XW19</v>
      </c>
    </row>
    <row r="76" spans="1:11" ht="45" customHeight="1" x14ac:dyDescent="0.2">
      <c r="A76" s="18" t="s">
        <v>571</v>
      </c>
      <c r="B76" s="18" t="s">
        <v>572</v>
      </c>
      <c r="C76" s="41">
        <v>25.99</v>
      </c>
      <c r="D76" s="42">
        <v>2546.16</v>
      </c>
      <c r="E76" s="42">
        <v>212.18</v>
      </c>
      <c r="F76" s="44">
        <v>96</v>
      </c>
      <c r="G76" s="46">
        <v>8</v>
      </c>
      <c r="H76" s="44">
        <v>1</v>
      </c>
      <c r="I76" s="45">
        <v>5</v>
      </c>
      <c r="J76" s="45" t="s">
        <v>573</v>
      </c>
      <c r="K76" s="22" t="str">
        <f t="shared" si="1"/>
        <v>https://amazon.com/dp/B0CP3YBTT4</v>
      </c>
    </row>
    <row r="77" spans="1:11" ht="45" customHeight="1" x14ac:dyDescent="0.2">
      <c r="A77" s="18" t="s">
        <v>574</v>
      </c>
      <c r="B77" s="18" t="s">
        <v>575</v>
      </c>
      <c r="C77" s="41">
        <v>25.99</v>
      </c>
      <c r="D77" s="42">
        <v>2370.84</v>
      </c>
      <c r="E77" s="42">
        <v>197.57</v>
      </c>
      <c r="F77" s="44">
        <v>96</v>
      </c>
      <c r="G77" s="46">
        <v>8</v>
      </c>
      <c r="H77" s="44">
        <v>3</v>
      </c>
      <c r="I77" s="45">
        <v>5</v>
      </c>
      <c r="J77" s="45" t="s">
        <v>576</v>
      </c>
      <c r="K77" s="22" t="str">
        <f t="shared" si="1"/>
        <v>https://amazon.com/dp/B0B3DBLPF2</v>
      </c>
    </row>
    <row r="78" spans="1:11" ht="45" customHeight="1" x14ac:dyDescent="0.2">
      <c r="A78" s="18" t="s">
        <v>487</v>
      </c>
      <c r="B78" s="18" t="s">
        <v>488</v>
      </c>
      <c r="C78" s="41">
        <v>759.88</v>
      </c>
      <c r="D78" s="42">
        <v>74096.160000000003</v>
      </c>
      <c r="E78" s="42">
        <v>6174.68</v>
      </c>
      <c r="F78" s="44">
        <v>96</v>
      </c>
      <c r="G78" s="46">
        <v>8</v>
      </c>
      <c r="H78" s="44">
        <v>43</v>
      </c>
      <c r="I78" s="45">
        <v>4.4000000000000004</v>
      </c>
      <c r="J78" s="45" t="s">
        <v>489</v>
      </c>
      <c r="K78" s="22" t="str">
        <f t="shared" si="1"/>
        <v>https://amazon.com/dp/B0DPFBK493</v>
      </c>
    </row>
    <row r="79" spans="1:11" ht="45" customHeight="1" x14ac:dyDescent="0.2">
      <c r="A79" s="18" t="s">
        <v>508</v>
      </c>
      <c r="B79" s="18" t="s">
        <v>509</v>
      </c>
      <c r="C79" s="41">
        <v>269.99</v>
      </c>
      <c r="D79" s="42">
        <v>22025.64</v>
      </c>
      <c r="E79" s="42">
        <v>1835.47</v>
      </c>
      <c r="F79" s="44">
        <v>84</v>
      </c>
      <c r="G79" s="46">
        <v>7</v>
      </c>
      <c r="H79" s="44">
        <v>4</v>
      </c>
      <c r="I79" s="45">
        <v>4</v>
      </c>
      <c r="J79" s="45" t="s">
        <v>510</v>
      </c>
      <c r="K79" s="22" t="str">
        <f t="shared" si="1"/>
        <v>https://amazon.com/dp/B0FJFX23ZH</v>
      </c>
    </row>
    <row r="80" spans="1:11" ht="45" customHeight="1" x14ac:dyDescent="0.2">
      <c r="A80" s="18" t="s">
        <v>511</v>
      </c>
      <c r="B80" s="18" t="s">
        <v>512</v>
      </c>
      <c r="C80" s="41">
        <v>269.88</v>
      </c>
      <c r="D80" s="42">
        <v>19829.28</v>
      </c>
      <c r="E80" s="42">
        <v>1652.44</v>
      </c>
      <c r="F80" s="44">
        <v>72</v>
      </c>
      <c r="G80" s="46">
        <v>6</v>
      </c>
      <c r="H80" s="44">
        <v>126</v>
      </c>
      <c r="I80" s="45">
        <v>4.4000000000000004</v>
      </c>
      <c r="J80" s="45" t="s">
        <v>513</v>
      </c>
      <c r="K80" s="22" t="str">
        <f t="shared" si="1"/>
        <v>https://amazon.com/dp/B0FHK5GK5M</v>
      </c>
    </row>
    <row r="81" spans="1:11" ht="45" customHeight="1" x14ac:dyDescent="0.2">
      <c r="A81" s="18" t="s">
        <v>493</v>
      </c>
      <c r="B81" s="18" t="s">
        <v>494</v>
      </c>
      <c r="C81" s="41">
        <v>799.88</v>
      </c>
      <c r="D81" s="42">
        <v>58265.279999999999</v>
      </c>
      <c r="E81" s="42">
        <v>4855.4399999999996</v>
      </c>
      <c r="F81" s="44">
        <v>72</v>
      </c>
      <c r="G81" s="46">
        <v>6</v>
      </c>
      <c r="H81" s="44">
        <v>43</v>
      </c>
      <c r="I81" s="45">
        <v>4.4000000000000004</v>
      </c>
      <c r="J81" s="45" t="s">
        <v>495</v>
      </c>
      <c r="K81" s="22" t="str">
        <f t="shared" si="1"/>
        <v>https://amazon.com/dp/B0CN38GJNQ</v>
      </c>
    </row>
    <row r="82" spans="1:11" ht="45" customHeight="1" x14ac:dyDescent="0.2">
      <c r="A82" s="18" t="s">
        <v>562</v>
      </c>
      <c r="B82" s="18" t="s">
        <v>563</v>
      </c>
      <c r="C82" s="41">
        <v>139.99</v>
      </c>
      <c r="D82" s="42">
        <v>8088.7199999999993</v>
      </c>
      <c r="E82" s="42">
        <v>674.06</v>
      </c>
      <c r="F82" s="44">
        <v>60</v>
      </c>
      <c r="G82" s="46">
        <v>5</v>
      </c>
      <c r="H82" s="44"/>
      <c r="I82" s="45"/>
      <c r="J82" s="45" t="s">
        <v>564</v>
      </c>
      <c r="K82" s="22" t="str">
        <f t="shared" si="1"/>
        <v>https://amazon.com/dp/B0CST61RTM</v>
      </c>
    </row>
    <row r="83" spans="1:11" ht="45" customHeight="1" x14ac:dyDescent="0.2">
      <c r="A83" s="18" t="s">
        <v>544</v>
      </c>
      <c r="B83" s="18" t="s">
        <v>545</v>
      </c>
      <c r="C83" s="41">
        <v>169.99</v>
      </c>
      <c r="D83" s="42">
        <v>10994.04</v>
      </c>
      <c r="E83" s="42">
        <v>916.17</v>
      </c>
      <c r="F83" s="44">
        <v>60</v>
      </c>
      <c r="G83" s="46">
        <v>5</v>
      </c>
      <c r="H83" s="44">
        <v>3</v>
      </c>
      <c r="I83" s="45">
        <v>4.7</v>
      </c>
      <c r="J83" s="45" t="s">
        <v>546</v>
      </c>
      <c r="K83" s="22" t="str">
        <f t="shared" si="1"/>
        <v>https://amazon.com/dp/B09XDVLN1X</v>
      </c>
    </row>
    <row r="84" spans="1:11" ht="45" customHeight="1" x14ac:dyDescent="0.2">
      <c r="A84" s="18" t="s">
        <v>547</v>
      </c>
      <c r="B84" s="18" t="s">
        <v>548</v>
      </c>
      <c r="C84" s="41">
        <v>169.99</v>
      </c>
      <c r="D84" s="42">
        <v>10952.76</v>
      </c>
      <c r="E84" s="42">
        <v>912.73</v>
      </c>
      <c r="F84" s="44">
        <v>60</v>
      </c>
      <c r="G84" s="46">
        <v>5</v>
      </c>
      <c r="H84" s="44">
        <v>3</v>
      </c>
      <c r="I84" s="45">
        <v>4.7</v>
      </c>
      <c r="J84" s="45" t="s">
        <v>549</v>
      </c>
      <c r="K84" s="22" t="str">
        <f t="shared" si="1"/>
        <v>https://amazon.com/dp/B0BVZD1XBM</v>
      </c>
    </row>
    <row r="85" spans="1:11" ht="45" customHeight="1" x14ac:dyDescent="0.2">
      <c r="A85" s="18" t="s">
        <v>514</v>
      </c>
      <c r="B85" s="18" t="s">
        <v>515</v>
      </c>
      <c r="C85" s="41">
        <v>259.99</v>
      </c>
      <c r="D85" s="42">
        <v>16836.240000000002</v>
      </c>
      <c r="E85" s="42">
        <v>1403.02</v>
      </c>
      <c r="F85" s="44">
        <v>60</v>
      </c>
      <c r="G85" s="46">
        <v>5</v>
      </c>
      <c r="H85" s="44">
        <v>103</v>
      </c>
      <c r="I85" s="45">
        <v>4</v>
      </c>
      <c r="J85" s="45" t="s">
        <v>516</v>
      </c>
      <c r="K85" s="22" t="str">
        <f t="shared" si="1"/>
        <v>https://amazon.com/dp/B0BR7NB31V</v>
      </c>
    </row>
    <row r="86" spans="1:11" ht="45" customHeight="1" x14ac:dyDescent="0.2">
      <c r="A86" s="18" t="s">
        <v>517</v>
      </c>
      <c r="B86" s="18" t="s">
        <v>518</v>
      </c>
      <c r="C86" s="41">
        <v>299.99</v>
      </c>
      <c r="D86" s="42">
        <v>16780.919999999998</v>
      </c>
      <c r="E86" s="42">
        <v>1398.41</v>
      </c>
      <c r="F86" s="44">
        <v>60</v>
      </c>
      <c r="G86" s="46">
        <v>5</v>
      </c>
      <c r="H86" s="44">
        <v>103</v>
      </c>
      <c r="I86" s="45">
        <v>4</v>
      </c>
      <c r="J86" s="45" t="s">
        <v>519</v>
      </c>
      <c r="K86" s="22" t="str">
        <f t="shared" si="1"/>
        <v>https://amazon.com/dp/B0BKSRTCRL</v>
      </c>
    </row>
    <row r="87" spans="1:11" ht="45" customHeight="1" x14ac:dyDescent="0.2">
      <c r="A87" s="18" t="s">
        <v>526</v>
      </c>
      <c r="B87" s="18" t="s">
        <v>527</v>
      </c>
      <c r="C87" s="41">
        <v>329.99</v>
      </c>
      <c r="D87" s="42">
        <v>14085.24</v>
      </c>
      <c r="E87" s="42">
        <v>1173.77</v>
      </c>
      <c r="F87" s="44">
        <v>48</v>
      </c>
      <c r="G87" s="46">
        <v>4</v>
      </c>
      <c r="H87" s="44">
        <v>103</v>
      </c>
      <c r="I87" s="45">
        <v>4</v>
      </c>
      <c r="J87" s="45" t="s">
        <v>528</v>
      </c>
      <c r="K87" s="22" t="str">
        <f t="shared" si="1"/>
        <v>https://amazon.com/dp/B0BWXV4PS6</v>
      </c>
    </row>
    <row r="88" spans="1:11" ht="30" customHeight="1" x14ac:dyDescent="0.2">
      <c r="A88" s="18" t="s">
        <v>577</v>
      </c>
      <c r="B88" s="18" t="s">
        <v>578</v>
      </c>
      <c r="C88" s="41">
        <v>39.99</v>
      </c>
      <c r="D88" s="42">
        <v>2042.04</v>
      </c>
      <c r="E88" s="42">
        <v>170.17</v>
      </c>
      <c r="F88" s="44">
        <v>48</v>
      </c>
      <c r="G88" s="46">
        <v>4</v>
      </c>
      <c r="H88" s="44"/>
      <c r="I88" s="45"/>
      <c r="J88" s="45" t="s">
        <v>579</v>
      </c>
      <c r="K88" s="22" t="str">
        <f t="shared" si="1"/>
        <v>https://amazon.com/dp/B0DWMQTVC2</v>
      </c>
    </row>
    <row r="89" spans="1:11" ht="45" customHeight="1" x14ac:dyDescent="0.2">
      <c r="A89" s="18" t="s">
        <v>502</v>
      </c>
      <c r="B89" s="18" t="s">
        <v>503</v>
      </c>
      <c r="C89" s="41">
        <v>899.88</v>
      </c>
      <c r="D89" s="42">
        <v>44111.76</v>
      </c>
      <c r="E89" s="42">
        <v>3675.98</v>
      </c>
      <c r="F89" s="44">
        <v>48</v>
      </c>
      <c r="G89" s="46">
        <v>4</v>
      </c>
      <c r="H89" s="44">
        <v>43</v>
      </c>
      <c r="I89" s="45">
        <v>4.4000000000000004</v>
      </c>
      <c r="J89" s="45" t="s">
        <v>504</v>
      </c>
      <c r="K89" s="22" t="str">
        <f t="shared" si="1"/>
        <v>https://amazon.com/dp/B0DPFC825X</v>
      </c>
    </row>
    <row r="90" spans="1:11" ht="45" customHeight="1" x14ac:dyDescent="0.2">
      <c r="A90" s="18" t="s">
        <v>532</v>
      </c>
      <c r="B90" s="18" t="s">
        <v>533</v>
      </c>
      <c r="C90" s="41">
        <v>359.99</v>
      </c>
      <c r="D90" s="42">
        <v>13064.4</v>
      </c>
      <c r="E90" s="42">
        <v>1088.7</v>
      </c>
      <c r="F90" s="44">
        <v>36</v>
      </c>
      <c r="G90" s="46">
        <v>3</v>
      </c>
      <c r="H90" s="44">
        <v>103</v>
      </c>
      <c r="I90" s="45">
        <v>4</v>
      </c>
      <c r="J90" s="45" t="s">
        <v>534</v>
      </c>
      <c r="K90" s="22" t="str">
        <f t="shared" si="1"/>
        <v>https://amazon.com/dp/B09L4Z7T89</v>
      </c>
    </row>
    <row r="91" spans="1:11" ht="45" customHeight="1" x14ac:dyDescent="0.2">
      <c r="A91" s="18" t="s">
        <v>520</v>
      </c>
      <c r="B91" s="18" t="s">
        <v>521</v>
      </c>
      <c r="C91" s="41">
        <v>429.99</v>
      </c>
      <c r="D91" s="42">
        <v>15352.32</v>
      </c>
      <c r="E91" s="42">
        <v>1279.3599999999999</v>
      </c>
      <c r="F91" s="44">
        <v>36</v>
      </c>
      <c r="G91" s="46">
        <v>3</v>
      </c>
      <c r="H91" s="44">
        <v>103</v>
      </c>
      <c r="I91" s="45">
        <v>4</v>
      </c>
      <c r="J91" s="45" t="s">
        <v>522</v>
      </c>
      <c r="K91" s="22" t="str">
        <f t="shared" si="1"/>
        <v>https://amazon.com/dp/B09L5ND94Q</v>
      </c>
    </row>
    <row r="92" spans="1:11" ht="45" customHeight="1" x14ac:dyDescent="0.2">
      <c r="A92" s="18" t="s">
        <v>523</v>
      </c>
      <c r="B92" s="18" t="s">
        <v>524</v>
      </c>
      <c r="C92" s="41">
        <v>469.99</v>
      </c>
      <c r="D92" s="42">
        <v>14713.44</v>
      </c>
      <c r="E92" s="42">
        <v>1226.1199999999999</v>
      </c>
      <c r="F92" s="44">
        <v>36</v>
      </c>
      <c r="G92" s="46">
        <v>3</v>
      </c>
      <c r="H92" s="44">
        <v>103</v>
      </c>
      <c r="I92" s="45">
        <v>4</v>
      </c>
      <c r="J92" s="45" t="s">
        <v>525</v>
      </c>
      <c r="K92" s="22" t="str">
        <f t="shared" si="1"/>
        <v>https://amazon.com/dp/B0DP9S17QP</v>
      </c>
    </row>
    <row r="93" spans="1:11" ht="45" customHeight="1" x14ac:dyDescent="0.2">
      <c r="A93" s="18" t="s">
        <v>538</v>
      </c>
      <c r="B93" s="18" t="s">
        <v>539</v>
      </c>
      <c r="C93" s="41">
        <v>659.99</v>
      </c>
      <c r="D93" s="42">
        <v>12656.04</v>
      </c>
      <c r="E93" s="42">
        <v>1054.67</v>
      </c>
      <c r="F93" s="44">
        <v>24</v>
      </c>
      <c r="G93" s="46">
        <v>2</v>
      </c>
      <c r="H93" s="44">
        <v>103</v>
      </c>
      <c r="I93" s="45">
        <v>4</v>
      </c>
      <c r="J93" s="45" t="s">
        <v>540</v>
      </c>
      <c r="K93" s="22" t="str">
        <f t="shared" si="1"/>
        <v>https://amazon.com/dp/B09MTFFT74</v>
      </c>
    </row>
    <row r="94" spans="1:11" ht="45" customHeight="1" x14ac:dyDescent="0.2">
      <c r="A94" s="18" t="s">
        <v>559</v>
      </c>
      <c r="B94" s="18" t="s">
        <v>560</v>
      </c>
      <c r="C94" s="41">
        <v>299.99</v>
      </c>
      <c r="D94" s="42">
        <v>8124.12</v>
      </c>
      <c r="E94" s="42">
        <v>677.01</v>
      </c>
      <c r="F94" s="44">
        <v>24</v>
      </c>
      <c r="G94" s="46">
        <v>2</v>
      </c>
      <c r="H94" s="44">
        <v>3</v>
      </c>
      <c r="I94" s="45">
        <v>4.7</v>
      </c>
      <c r="J94" s="45" t="s">
        <v>561</v>
      </c>
      <c r="K94" s="22" t="str">
        <f t="shared" si="1"/>
        <v>https://amazon.com/dp/B0BCK4ZV3G</v>
      </c>
    </row>
    <row r="95" spans="1:11" ht="45" customHeight="1" x14ac:dyDescent="0.2">
      <c r="A95" s="18" t="s">
        <v>529</v>
      </c>
      <c r="B95" s="18" t="s">
        <v>530</v>
      </c>
      <c r="C95" s="41">
        <v>499.99</v>
      </c>
      <c r="D95" s="42">
        <v>13136.16</v>
      </c>
      <c r="E95" s="42">
        <v>1094.68</v>
      </c>
      <c r="F95" s="44">
        <v>24</v>
      </c>
      <c r="G95" s="46">
        <v>2</v>
      </c>
      <c r="H95" s="44">
        <v>103</v>
      </c>
      <c r="I95" s="45">
        <v>4</v>
      </c>
      <c r="J95" s="45" t="s">
        <v>531</v>
      </c>
      <c r="K95" s="22" t="str">
        <f t="shared" si="1"/>
        <v>https://amazon.com/dp/B0DP9TKWT4</v>
      </c>
    </row>
    <row r="96" spans="1:11" ht="45" customHeight="1" x14ac:dyDescent="0.2">
      <c r="A96" s="18" t="s">
        <v>565</v>
      </c>
      <c r="B96" s="18" t="s">
        <v>566</v>
      </c>
      <c r="C96" s="41">
        <v>289.99</v>
      </c>
      <c r="D96" s="42">
        <v>6118.08</v>
      </c>
      <c r="E96" s="42">
        <v>509.84</v>
      </c>
      <c r="F96" s="44">
        <v>24</v>
      </c>
      <c r="G96" s="46">
        <v>2</v>
      </c>
      <c r="H96" s="44"/>
      <c r="I96" s="45"/>
      <c r="J96" s="45" t="s">
        <v>567</v>
      </c>
      <c r="K96" s="22" t="str">
        <f t="shared" si="1"/>
        <v>https://amazon.com/dp/B0CZDGRGNZ</v>
      </c>
    </row>
    <row r="97" spans="1:11" ht="30" customHeight="1" x14ac:dyDescent="0.2">
      <c r="A97" s="18" t="s">
        <v>580</v>
      </c>
      <c r="B97" s="18" t="s">
        <v>581</v>
      </c>
      <c r="C97" s="41">
        <v>59.99</v>
      </c>
      <c r="D97" s="42">
        <v>1092.1199999999999</v>
      </c>
      <c r="E97" s="42">
        <v>91.01</v>
      </c>
      <c r="F97" s="44">
        <v>24</v>
      </c>
      <c r="G97" s="46">
        <v>2</v>
      </c>
      <c r="H97" s="44"/>
      <c r="I97" s="45"/>
      <c r="J97" s="45" t="s">
        <v>582</v>
      </c>
      <c r="K97" s="22" t="str">
        <f t="shared" si="1"/>
        <v>https://amazon.com/dp/B0DWMLN6VW</v>
      </c>
    </row>
    <row r="98" spans="1:11" ht="45" customHeight="1" x14ac:dyDescent="0.2">
      <c r="A98" s="18" t="s">
        <v>535</v>
      </c>
      <c r="B98" s="18" t="s">
        <v>536</v>
      </c>
      <c r="C98" s="41">
        <v>569.99</v>
      </c>
      <c r="D98" s="42">
        <v>12879.96</v>
      </c>
      <c r="E98" s="42">
        <v>1073.33</v>
      </c>
      <c r="F98" s="44">
        <v>24</v>
      </c>
      <c r="G98" s="46">
        <v>2</v>
      </c>
      <c r="H98" s="44">
        <v>103</v>
      </c>
      <c r="I98" s="45">
        <v>4</v>
      </c>
      <c r="J98" s="45" t="s">
        <v>537</v>
      </c>
      <c r="K98" s="22" t="str">
        <f t="shared" si="1"/>
        <v>https://amazon.com/dp/B0DP9TL922</v>
      </c>
    </row>
    <row r="99" spans="1:11" ht="45" customHeight="1" x14ac:dyDescent="0.2">
      <c r="A99" s="18" t="s">
        <v>556</v>
      </c>
      <c r="B99" s="18" t="s">
        <v>557</v>
      </c>
      <c r="C99" s="41">
        <v>899.99</v>
      </c>
      <c r="D99" s="42">
        <v>9455.52</v>
      </c>
      <c r="E99" s="42">
        <v>787.96</v>
      </c>
      <c r="F99" s="44">
        <v>12</v>
      </c>
      <c r="G99" s="46">
        <v>1</v>
      </c>
      <c r="H99" s="44">
        <v>103</v>
      </c>
      <c r="I99" s="45">
        <v>4</v>
      </c>
      <c r="J99" s="45" t="s">
        <v>558</v>
      </c>
      <c r="K99" s="22" t="str">
        <f t="shared" si="1"/>
        <v>https://amazon.com/dp/B0DP9TH46X</v>
      </c>
    </row>
    <row r="100" spans="1:11" ht="45" customHeight="1" x14ac:dyDescent="0.2">
      <c r="A100" s="18" t="s">
        <v>550</v>
      </c>
      <c r="B100" s="18" t="s">
        <v>551</v>
      </c>
      <c r="C100" s="41">
        <v>759.99</v>
      </c>
      <c r="D100" s="42">
        <v>10807.68</v>
      </c>
      <c r="E100" s="42">
        <v>900.64</v>
      </c>
      <c r="F100" s="44">
        <v>12</v>
      </c>
      <c r="G100" s="46">
        <v>1</v>
      </c>
      <c r="H100" s="44">
        <v>104</v>
      </c>
      <c r="I100" s="45">
        <v>4</v>
      </c>
      <c r="J100" s="45" t="s">
        <v>552</v>
      </c>
      <c r="K100" s="22" t="str">
        <f t="shared" si="1"/>
        <v>https://amazon.com/dp/B09MTF7YZQ</v>
      </c>
    </row>
    <row r="101" spans="1:11" ht="45" customHeight="1" x14ac:dyDescent="0.2">
      <c r="A101" s="18" t="s">
        <v>553</v>
      </c>
      <c r="B101" s="18" t="s">
        <v>554</v>
      </c>
      <c r="C101" s="41">
        <v>799.99</v>
      </c>
      <c r="D101" s="42">
        <v>9779.2800000000007</v>
      </c>
      <c r="E101" s="42">
        <v>814.94</v>
      </c>
      <c r="F101" s="44">
        <v>12</v>
      </c>
      <c r="G101" s="46">
        <v>1</v>
      </c>
      <c r="H101" s="44">
        <v>103</v>
      </c>
      <c r="I101" s="45">
        <v>4</v>
      </c>
      <c r="J101" s="45" t="s">
        <v>555</v>
      </c>
      <c r="K101" s="22" t="str">
        <f t="shared" si="1"/>
        <v>https://amazon.com/dp/B0DP9NH88V</v>
      </c>
    </row>
    <row r="102" spans="1:11" ht="45" customHeight="1" x14ac:dyDescent="0.2">
      <c r="A102" s="18" t="s">
        <v>541</v>
      </c>
      <c r="B102" s="18" t="s">
        <v>542</v>
      </c>
      <c r="C102" s="41">
        <v>709.99</v>
      </c>
      <c r="D102" s="42">
        <v>12080.16</v>
      </c>
      <c r="E102" s="42">
        <v>1006.68</v>
      </c>
      <c r="F102" s="44">
        <v>12</v>
      </c>
      <c r="G102" s="46">
        <v>1</v>
      </c>
      <c r="H102" s="44">
        <v>103</v>
      </c>
      <c r="I102" s="45">
        <v>4</v>
      </c>
      <c r="J102" s="45" t="s">
        <v>543</v>
      </c>
      <c r="K102" s="22" t="str">
        <f t="shared" si="1"/>
        <v>https://amazon.com/dp/B09MHR62G4</v>
      </c>
    </row>
    <row r="103" spans="1:11" ht="45" customHeight="1" x14ac:dyDescent="0.2">
      <c r="A103" s="18" t="s">
        <v>586</v>
      </c>
      <c r="B103" s="18" t="s">
        <v>587</v>
      </c>
      <c r="C103" s="41">
        <v>209.99</v>
      </c>
      <c r="D103" s="42"/>
      <c r="E103" s="42"/>
      <c r="F103" s="44">
        <v>0</v>
      </c>
      <c r="G103" s="46">
        <v>0</v>
      </c>
      <c r="H103" s="44">
        <v>3</v>
      </c>
      <c r="I103" s="45">
        <v>4.7</v>
      </c>
      <c r="J103" s="45" t="s">
        <v>588</v>
      </c>
      <c r="K103" s="22" t="str">
        <f t="shared" si="1"/>
        <v>https://amazon.com/dp/B0B3DH6L6Q</v>
      </c>
    </row>
    <row r="104" spans="1:11" ht="30" customHeight="1" x14ac:dyDescent="0.2">
      <c r="A104" s="18" t="s">
        <v>589</v>
      </c>
      <c r="B104" s="18" t="s">
        <v>590</v>
      </c>
      <c r="C104" s="41">
        <v>259.99</v>
      </c>
      <c r="D104" s="42"/>
      <c r="E104" s="42"/>
      <c r="F104" s="44">
        <v>0</v>
      </c>
      <c r="G104" s="46">
        <v>0</v>
      </c>
      <c r="H104" s="44">
        <v>1</v>
      </c>
      <c r="I104" s="45">
        <v>5</v>
      </c>
      <c r="J104" s="45" t="s">
        <v>591</v>
      </c>
      <c r="K104" s="22" t="str">
        <f t="shared" si="1"/>
        <v>https://amazon.com/dp/B0DWMNLK1B</v>
      </c>
    </row>
    <row r="105" spans="1:11" ht="60" customHeight="1" x14ac:dyDescent="0.2">
      <c r="A105" s="18" t="s">
        <v>583</v>
      </c>
      <c r="B105" s="18" t="s">
        <v>584</v>
      </c>
      <c r="C105" s="41">
        <v>999.99</v>
      </c>
      <c r="D105" s="42"/>
      <c r="E105" s="42"/>
      <c r="F105" s="44">
        <v>0</v>
      </c>
      <c r="G105" s="46">
        <v>0</v>
      </c>
      <c r="H105" s="44">
        <v>120</v>
      </c>
      <c r="I105" s="45">
        <v>4.0999999999999996</v>
      </c>
      <c r="J105" s="45" t="s">
        <v>585</v>
      </c>
      <c r="K105" s="22" t="str">
        <f t="shared" si="1"/>
        <v>https://amazon.com/dp/B0BTM3S231</v>
      </c>
    </row>
    <row r="106" spans="1:11" ht="17" customHeight="1" x14ac:dyDescent="0.2">
      <c r="A106" s="21" t="s">
        <v>291</v>
      </c>
      <c r="B106" s="20"/>
      <c r="C106" s="20"/>
      <c r="D106" s="20"/>
      <c r="E106" s="20"/>
      <c r="F106" s="48">
        <f>SUM(SANYIPACE!F60:F105)</f>
        <v>4500</v>
      </c>
      <c r="G106" s="48">
        <f>SUM(SANYIPACE!G60:G105)</f>
        <v>375</v>
      </c>
      <c r="H106" s="48"/>
      <c r="I106" s="23"/>
    </row>
  </sheetData>
  <mergeCells count="3">
    <mergeCell ref="A58:K58"/>
    <mergeCell ref="A7:K7"/>
    <mergeCell ref="A1:K5"/>
  </mergeCells>
  <hyperlinks>
    <hyperlink ref="J9" r:id="rId1" display="https://amazon.com/dp/B0CFF8Z1NF" xr:uid="{00000000-0004-0000-1100-000000000000}"/>
    <hyperlink ref="K9" r:id="rId2" display="https://amazon.com/dp/B07S7H86Z1" xr:uid="{00000000-0004-0000-1100-000001000000}"/>
    <hyperlink ref="K60" r:id="rId3" display="https://amazon.com/dp/B07S7H86Z1" xr:uid="{00000000-0004-0000-1100-000002000000}"/>
    <hyperlink ref="K103" r:id="rId4" display="https://amazon.com/dp/B07S7H86Z1" xr:uid="{00000000-0004-0000-1100-000003000000}"/>
  </hyperlinks>
  <pageMargins left="0.7" right="0.7" top="0.75" bottom="0.75" header="0.3" footer="0.3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Top 50</vt:lpstr>
      <vt:lpstr>Top 50 Type Summary</vt:lpstr>
      <vt:lpstr>rix</vt:lpstr>
      <vt:lpstr>goyojo</vt:lpstr>
      <vt:lpstr>agm global vision</vt:lpstr>
      <vt:lpstr>hotpeak</vt:lpstr>
      <vt:lpstr>pulsar</vt:lpstr>
      <vt:lpstr>armasight</vt:lpstr>
      <vt:lpstr>RALCAM</vt:lpstr>
      <vt:lpstr>topdon</vt:lpstr>
      <vt:lpstr>terunsoul</vt:lpstr>
      <vt:lpstr>SANYIPACE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Bruce</dc:creator>
  <cp:lastModifiedBy>Ginny Chen</cp:lastModifiedBy>
  <dcterms:created xsi:type="dcterms:W3CDTF">2023-02-23T16:09:11Z</dcterms:created>
  <dcterms:modified xsi:type="dcterms:W3CDTF">2026-01-15T19:59:04Z</dcterms:modified>
</cp:coreProperties>
</file>