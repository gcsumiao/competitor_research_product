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8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umiaoc/Desktop/DMM_h10/Thermal Imager/"/>
    </mc:Choice>
  </mc:AlternateContent>
  <xr:revisionPtr revIDLastSave="0" documentId="13_ncr:1_{65DAD162-91C4-E94B-BDD1-AF0030C21FF6}" xr6:coauthVersionLast="47" xr6:coauthVersionMax="47" xr10:uidLastSave="{00000000-0000-0000-0000-000000000000}"/>
  <bookViews>
    <workbookView xWindow="11880" yWindow="1220" windowWidth="22360" windowHeight="20160" tabRatio="854" firstSheet="7" activeTab="11" xr2:uid="{88780F21-2775-2C46-B27D-FDE06F102A9A}"/>
  </bookViews>
  <sheets>
    <sheet name="Summary" sheetId="1" r:id="rId1"/>
    <sheet name="Top 50" sheetId="3" r:id="rId2"/>
    <sheet name="Top 50 Type Summary" sheetId="48" r:id="rId3"/>
    <sheet name="Top50 Basic Resolution Summary " sheetId="51" r:id="rId4"/>
    <sheet name="Top 50 Super Resolutio Summary " sheetId="52" r:id="rId5"/>
    <sheet name="Top50 Laser Summary  " sheetId="53" r:id="rId6"/>
    <sheet name="Top50 Wi-Fi Summary " sheetId="54" r:id="rId7"/>
    <sheet name="Top50 Visual Camera Summary  " sheetId="55" r:id="rId8"/>
    <sheet name="Top50 Display Summary " sheetId="56" r:id="rId9"/>
    <sheet name="Flir" sheetId="41" r:id="rId10"/>
    <sheet name="Topdon" sheetId="49" r:id="rId11"/>
    <sheet name="HSFTools" sheetId="25" r:id="rId12"/>
    <sheet name="Thermal Master" sheetId="43" r:id="rId13"/>
    <sheet name="AMPBANK" sheetId="42" r:id="rId14"/>
    <sheet name="Fluke" sheetId="5" r:id="rId15"/>
    <sheet name="Mileseey" sheetId="44" r:id="rId16"/>
    <sheet name="FlagFront" sheetId="45" r:id="rId17"/>
    <sheet name="HIKMICRO" sheetId="40" r:id="rId18"/>
    <sheet name="GOYOJO" sheetId="57" r:id="rId19"/>
  </sheets>
  <definedNames>
    <definedName name="_xlnm._FilterDatabase" localSheetId="0" hidden="1">Summary!$A$3:$I$12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25" l="1"/>
  <c r="K29" i="57"/>
  <c r="K30" i="57"/>
  <c r="K31" i="57"/>
  <c r="G32" i="57"/>
  <c r="F32" i="57"/>
  <c r="K15" i="57"/>
  <c r="K16" i="57"/>
  <c r="K17" i="57"/>
  <c r="E18" i="57"/>
  <c r="D18" i="57"/>
  <c r="K28" i="57"/>
  <c r="K27" i="57"/>
  <c r="K26" i="57"/>
  <c r="K25" i="57"/>
  <c r="K24" i="57"/>
  <c r="K23" i="57"/>
  <c r="K14" i="57"/>
  <c r="K13" i="57"/>
  <c r="K12" i="57"/>
  <c r="K11" i="57"/>
  <c r="K10" i="57"/>
  <c r="K9" i="57"/>
  <c r="K33" i="44"/>
  <c r="K18" i="44"/>
  <c r="E19" i="44"/>
  <c r="D19" i="44"/>
  <c r="K21" i="5"/>
  <c r="K22" i="5"/>
  <c r="K23" i="5"/>
  <c r="K24" i="5"/>
  <c r="K25" i="5"/>
  <c r="K10" i="5"/>
  <c r="K11" i="5"/>
  <c r="K12" i="5"/>
  <c r="K13" i="5"/>
  <c r="K14" i="5"/>
  <c r="K26" i="25"/>
  <c r="K27" i="25"/>
  <c r="K28" i="25"/>
  <c r="K29" i="25"/>
  <c r="K30" i="25"/>
  <c r="K10" i="25"/>
  <c r="K11" i="25"/>
  <c r="K12" i="25"/>
  <c r="K13" i="25"/>
  <c r="K14" i="25"/>
  <c r="K15" i="25"/>
  <c r="K16" i="25"/>
  <c r="K34" i="49"/>
  <c r="K35" i="49"/>
  <c r="K36" i="49"/>
  <c r="K37" i="49"/>
  <c r="K38" i="49"/>
  <c r="K39" i="49"/>
  <c r="K40" i="49"/>
  <c r="K41" i="49"/>
  <c r="K42" i="49"/>
  <c r="K43" i="49"/>
  <c r="K44" i="49"/>
  <c r="K45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F64" i="41"/>
  <c r="G64" i="41"/>
  <c r="K40" i="41"/>
  <c r="K41" i="41"/>
  <c r="K42" i="41"/>
  <c r="K43" i="41"/>
  <c r="K44" i="41"/>
  <c r="K45" i="41"/>
  <c r="K46" i="41"/>
  <c r="K47" i="41"/>
  <c r="K48" i="41"/>
  <c r="K49" i="41"/>
  <c r="K50" i="41"/>
  <c r="K51" i="41"/>
  <c r="K52" i="41"/>
  <c r="K53" i="41"/>
  <c r="K54" i="41"/>
  <c r="K55" i="41"/>
  <c r="K56" i="41"/>
  <c r="K57" i="41"/>
  <c r="K58" i="41"/>
  <c r="K59" i="41"/>
  <c r="K60" i="41"/>
  <c r="K61" i="41"/>
  <c r="K62" i="41"/>
  <c r="K63" i="41"/>
  <c r="K14" i="41"/>
  <c r="K15" i="41"/>
  <c r="K16" i="41"/>
  <c r="K17" i="41"/>
  <c r="K18" i="41"/>
  <c r="K19" i="41"/>
  <c r="K20" i="41"/>
  <c r="K21" i="41"/>
  <c r="K22" i="41"/>
  <c r="K23" i="41"/>
  <c r="K24" i="41"/>
  <c r="K25" i="41"/>
  <c r="K26" i="41"/>
  <c r="K27" i="41"/>
  <c r="K28" i="41"/>
  <c r="K29" i="41"/>
  <c r="K30" i="41"/>
  <c r="K31" i="41"/>
  <c r="K32" i="41"/>
  <c r="K33" i="41"/>
  <c r="K10" i="41"/>
  <c r="K11" i="41"/>
  <c r="K12" i="41"/>
  <c r="K13" i="41"/>
  <c r="K25" i="40"/>
  <c r="G26" i="40"/>
  <c r="F26" i="40"/>
  <c r="K11" i="40"/>
  <c r="K12" i="40"/>
  <c r="K13" i="40"/>
  <c r="F26" i="5"/>
  <c r="G26" i="5"/>
  <c r="D15" i="5"/>
  <c r="E15" i="5"/>
  <c r="E34" i="41"/>
  <c r="D34" i="41"/>
  <c r="K46" i="49"/>
  <c r="K47" i="49"/>
  <c r="K48" i="49"/>
  <c r="K49" i="49"/>
  <c r="K50" i="49"/>
  <c r="K18" i="42"/>
  <c r="K19" i="42"/>
  <c r="K10" i="42"/>
  <c r="K11" i="42"/>
  <c r="K32" i="25"/>
  <c r="K33" i="25"/>
  <c r="K34" i="25"/>
  <c r="K35" i="25"/>
  <c r="K18" i="25"/>
  <c r="K19" i="25"/>
  <c r="K34" i="43"/>
  <c r="K35" i="43"/>
  <c r="K36" i="43"/>
  <c r="K37" i="43"/>
  <c r="K38" i="43"/>
  <c r="K39" i="43"/>
  <c r="K11" i="43"/>
  <c r="K12" i="43"/>
  <c r="K13" i="43"/>
  <c r="K14" i="43"/>
  <c r="K15" i="43"/>
  <c r="K16" i="43"/>
  <c r="K17" i="43"/>
  <c r="K30" i="44"/>
  <c r="K31" i="44"/>
  <c r="K32" i="44"/>
  <c r="K10" i="44"/>
  <c r="K11" i="44"/>
  <c r="K12" i="44"/>
  <c r="K13" i="44"/>
  <c r="K14" i="44"/>
  <c r="K15" i="44"/>
  <c r="K16" i="44"/>
  <c r="K17" i="44"/>
  <c r="F52" i="49"/>
  <c r="G52" i="49"/>
  <c r="K51" i="49"/>
  <c r="K33" i="49"/>
  <c r="E28" i="49"/>
  <c r="D28" i="49"/>
  <c r="K9" i="49"/>
  <c r="K24" i="40"/>
  <c r="K21" i="40"/>
  <c r="K22" i="40"/>
  <c r="K10" i="40"/>
  <c r="K14" i="40"/>
  <c r="E10" i="45"/>
  <c r="D10" i="45"/>
  <c r="K25" i="44"/>
  <c r="K26" i="44"/>
  <c r="K27" i="44"/>
  <c r="K33" i="43"/>
  <c r="K40" i="43"/>
  <c r="K41" i="43"/>
  <c r="K42" i="43"/>
  <c r="K43" i="43"/>
  <c r="K44" i="43"/>
  <c r="K45" i="43"/>
  <c r="K46" i="43"/>
  <c r="K47" i="43"/>
  <c r="K18" i="43"/>
  <c r="K19" i="43"/>
  <c r="K20" i="43"/>
  <c r="K21" i="43"/>
  <c r="K22" i="43"/>
  <c r="K23" i="43"/>
  <c r="K24" i="43"/>
  <c r="K25" i="43"/>
  <c r="K31" i="25"/>
  <c r="E26" i="43" l="1"/>
  <c r="D26" i="43"/>
  <c r="K10" i="43"/>
  <c r="D20" i="25"/>
  <c r="E20" i="25"/>
  <c r="K17" i="25"/>
  <c r="G20" i="42"/>
  <c r="F20" i="42"/>
  <c r="E12" i="42"/>
  <c r="D12" i="42"/>
  <c r="G16" i="45"/>
  <c r="F16" i="45"/>
  <c r="K15" i="45"/>
  <c r="K9" i="45"/>
  <c r="G34" i="44"/>
  <c r="F34" i="44"/>
  <c r="K29" i="44"/>
  <c r="K28" i="44"/>
  <c r="K24" i="44"/>
  <c r="K9" i="44"/>
  <c r="G48" i="43"/>
  <c r="F48" i="43"/>
  <c r="K32" i="43"/>
  <c r="K31" i="43"/>
  <c r="K9" i="43"/>
  <c r="K17" i="42"/>
  <c r="K9" i="42"/>
  <c r="E15" i="40"/>
  <c r="D15" i="40"/>
  <c r="K39" i="41" l="1"/>
  <c r="K9" i="41"/>
  <c r="K23" i="40"/>
  <c r="K20" i="40"/>
  <c r="K20" i="5"/>
  <c r="G36" i="25"/>
  <c r="F36" i="25"/>
  <c r="K25" i="25"/>
  <c r="K9" i="40" l="1"/>
  <c r="K9" i="5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valueMetadata count="1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</valueMetadata>
</metadata>
</file>

<file path=xl/sharedStrings.xml><?xml version="1.0" encoding="utf-8"?>
<sst xmlns="http://schemas.openxmlformats.org/spreadsheetml/2006/main" count="2385" uniqueCount="450">
  <si>
    <t>Brand</t>
  </si>
  <si>
    <t># of Listings</t>
  </si>
  <si>
    <t>Estimated 12mo Revenue</t>
  </si>
  <si>
    <t>Total Reviews</t>
  </si>
  <si>
    <t>Avg Rating</t>
  </si>
  <si>
    <t>Total</t>
  </si>
  <si>
    <t>ASIN</t>
  </si>
  <si>
    <t>Product Name</t>
  </si>
  <si>
    <t>Price</t>
  </si>
  <si>
    <t># of Reviews</t>
  </si>
  <si>
    <t>Avg. Rating</t>
  </si>
  <si>
    <t>Link</t>
  </si>
  <si>
    <t>Avg Price</t>
  </si>
  <si>
    <t xml:space="preserve">Tool Rating </t>
  </si>
  <si>
    <t>Estimated 12mo Units</t>
  </si>
  <si>
    <t>Rank by Revenue</t>
  </si>
  <si>
    <t>Est. Monthly Units Sold</t>
  </si>
  <si>
    <t>Est. Monthly Retail Rev</t>
  </si>
  <si>
    <t>Rank by Units</t>
  </si>
  <si>
    <t xml:space="preserve">Rank by Revenue </t>
  </si>
  <si>
    <t>Reviews</t>
  </si>
  <si>
    <t>Monthly Summary - Units</t>
  </si>
  <si>
    <t>Price Per Unit</t>
  </si>
  <si>
    <t>Column1</t>
  </si>
  <si>
    <t>Column2</t>
  </si>
  <si>
    <t>Ranking</t>
  </si>
  <si>
    <t>Monthly Rev Market Share %</t>
  </si>
  <si>
    <t>Monthly Unit Market Share %</t>
  </si>
  <si>
    <t>Monthly Rev</t>
  </si>
  <si>
    <t>Monthly Units</t>
  </si>
  <si>
    <t xml:space="preserve">Monthly Summaries- Revenue </t>
  </si>
  <si>
    <t>Rank By Monthly Revenue - ONLY</t>
  </si>
  <si>
    <t>Rank By Monthly Units - ONLY</t>
  </si>
  <si>
    <t>Market Total</t>
  </si>
  <si>
    <t>teslong</t>
  </si>
  <si>
    <t>Type</t>
  </si>
  <si>
    <t>Handheld</t>
  </si>
  <si>
    <t>Landscape</t>
  </si>
  <si>
    <t>Wireless</t>
  </si>
  <si>
    <t>Quantity/Mo</t>
  </si>
  <si>
    <t>Qty by %</t>
  </si>
  <si>
    <t>Revenue/Mo</t>
  </si>
  <si>
    <t>Revenue by %</t>
  </si>
  <si>
    <t>Top 50 By Revenue Summary</t>
  </si>
  <si>
    <t>Top 50 By Unit Summary</t>
  </si>
  <si>
    <t>Display</t>
  </si>
  <si>
    <t>App</t>
  </si>
  <si>
    <t>B0F29969G1</t>
  </si>
  <si>
    <t>TOPDON TC004 Mini Handheld Thermal Imaging Camera, 240 x 240 TISR Resolution, -4°F to 842°F, 15-Hour Battery Life, 128 x 128 IR Resolution, 25Hz Infrared Camera, High/Low Temp Alerts, Auto Shutdown</t>
  </si>
  <si>
    <t>topdon</t>
  </si>
  <si>
    <t>128x128</t>
  </si>
  <si>
    <t>240x240</t>
  </si>
  <si>
    <t>No</t>
  </si>
  <si>
    <t>2.4"</t>
  </si>
  <si>
    <t>https://amazon.com/dp/B0F29969G1</t>
  </si>
  <si>
    <t>B0F8MZVFBJ</t>
  </si>
  <si>
    <t>TOPDON TC002C Duo Thermal Camera, Compatible with Any USB-C iPhone, iPad &amp; Android Device, 512 x 384 Super Resolution, 256 x 192 IR Resolution Thermal Imager, -4°F~1022°F Temp Range</t>
  </si>
  <si>
    <t>Dongle (USB-C/both)</t>
  </si>
  <si>
    <t>256x192</t>
  </si>
  <si>
    <t>512x384</t>
  </si>
  <si>
    <t>https://amazon.com/dp/B0F8MZVFBJ</t>
  </si>
  <si>
    <t>B0892MZZT1</t>
  </si>
  <si>
    <t>FLIR C5 Compact Thermal Imaging Camera with Wifi: High Resolution Infrared Imager for Inspection, Electrical/Mechanical, Building, and HVAC Applications</t>
  </si>
  <si>
    <t>flir</t>
  </si>
  <si>
    <t>160x120</t>
  </si>
  <si>
    <t>-</t>
  </si>
  <si>
    <t>Yes</t>
  </si>
  <si>
    <t>5MP</t>
  </si>
  <si>
    <t>3.5" Touchscreen</t>
  </si>
  <si>
    <t>https://amazon.com/dp/B0892MZZT1</t>
  </si>
  <si>
    <t>B0F5461RX3</t>
  </si>
  <si>
    <t>Thermal Master Handheld Thermal Camera, 512×384 X³IR Resolution, Thermal Imaging Camera with 2MP Visual Camera, 640×480 3.5" IPS Screen Thermal Imager with Laser, -4℉to 1022℉, 60Hz, 40mK(Thor 002)</t>
  </si>
  <si>
    <t>thermal master</t>
  </si>
  <si>
    <t>2MP</t>
  </si>
  <si>
    <t>3.5"</t>
  </si>
  <si>
    <t>https://amazon.com/dp/B0F5461RX3</t>
  </si>
  <si>
    <t>B0CXNYMG1M</t>
  </si>
  <si>
    <t>HP96 Thermal Imaging Camera,3.5" Touch Screen Thermal Camera with Visual Camera, 240 x 240 Super Resolution, Intelligent Scene Detection, 96 x 96 IR Resolution, 25 Hz Video Recording, -4°F to 662°F</t>
  </si>
  <si>
    <t>hsftools</t>
  </si>
  <si>
    <t>96x96</t>
  </si>
  <si>
    <t>0.3MP</t>
  </si>
  <si>
    <t>https://amazon.com/dp/B0CXNYMG1M</t>
  </si>
  <si>
    <t>B0D8WC31Y9</t>
  </si>
  <si>
    <t>F2W Thermal Camera 256x192 IR Resolution,640x480 Super Resolution Thermal Imaging Camera, IntellFault Intelligent Scene,3.2" Screen,25Hz,-4°F to 1022°F,App Image Transfer &amp; PC Analysis,Case</t>
  </si>
  <si>
    <t>640x480</t>
  </si>
  <si>
    <t>3.2"</t>
  </si>
  <si>
    <t>https://amazon.com/dp/B0D8WC31Y9</t>
  </si>
  <si>
    <t>B0DTJW83YG</t>
  </si>
  <si>
    <t>H128 Handheld Thermal Camera, 240 x 240 TISR Resolution, 24h Battery Life Thermal Imaging Camera, 25 Hz Infrared Camera with Temperature Alarm, -4℉~ 842℉ Temp Range, IP65 Protection Level</t>
  </si>
  <si>
    <t>ampbank</t>
  </si>
  <si>
    <t>https://amazon.com/dp/B0DTJW83YG</t>
  </si>
  <si>
    <t>B0CWS4BVCX</t>
  </si>
  <si>
    <t>HF96 Thermal Camera with Laser Pointer, Intelligent Scene Detection, Super Resolution 240 x 240, Thermal Imaging Camera96 x 96 IR Resolution, 25 HZ Infrared Camera, -4°F~1022°F,11h Runtime</t>
  </si>
  <si>
    <t>https://amazon.com/dp/B0CWS4BVCX</t>
  </si>
  <si>
    <t>B08D3YC5CW</t>
  </si>
  <si>
    <t>FLIR TG165-X Thermal Imaging Camera with Bullseye Laser: Commercial Grade Infrared Camera for Building Inspection, HVAC and Electrical</t>
  </si>
  <si>
    <t>80x60</t>
  </si>
  <si>
    <t>BT</t>
  </si>
  <si>
    <t>https://amazon.com/dp/B08D3YC5CW</t>
  </si>
  <si>
    <t>B0CYCKHTVW</t>
  </si>
  <si>
    <t>HF96V Thermal Camera with Visual Camera &amp; Laser Pointer, Intelligent Scene Detection, 240 * 240 Super Resolution Thermal Imaging Camera,25 Hz, 50° FOV, -4°F to 1022°F, IP54 Infrared Camera</t>
  </si>
  <si>
    <t>https://amazon.com/dp/B0CYCKHTVW</t>
  </si>
  <si>
    <t>B0DPXWFD12</t>
  </si>
  <si>
    <t>Flir One Pro - Thermal Imaging Camera for iOS Smartphones (iPhone 15 and Newer w/USB-C), 480x360 Super Resolution (160x120 Native IR)</t>
  </si>
  <si>
    <t>Dongle (USB-C/iOS)</t>
  </si>
  <si>
    <t>480x360</t>
  </si>
  <si>
    <t>https://amazon.com/dp/B0DPXWFD12</t>
  </si>
  <si>
    <t>B0DPXX7P5M</t>
  </si>
  <si>
    <t>Flir One - Thermal Imaging Camera for iOS Smartphones (iPhone 15 and Newer w/USB-C), 240x180 Super Resolution (80x60 Native IR)</t>
  </si>
  <si>
    <t>240x180</t>
  </si>
  <si>
    <t>https://amazon.com/dp/B0DPXX7P5M</t>
  </si>
  <si>
    <t>B0BRK4SGD2</t>
  </si>
  <si>
    <t>TOPDON TC004 Thermal Imaging Camera, 320 x 240 TISR Resolution, 256 x 192 IR High Resolution, 12-Hour Battery Life Handheld Infrared Camera with PC Analysis and Video Recording Supported, 32GB SD Card</t>
  </si>
  <si>
    <t>320x240</t>
  </si>
  <si>
    <t>2.8"</t>
  </si>
  <si>
    <t>https://amazon.com/dp/B0BRK4SGD2</t>
  </si>
  <si>
    <t>B0F8VQ7R3R</t>
  </si>
  <si>
    <t>Flagfront Thermal Camera, 240 x 240 TISR Resolution, -4°F to 1022°F Temp Range, 25Hz Infrared Camera with Temperature Alarm, 50°FOV Handheld Thermal Imaging Camera</t>
  </si>
  <si>
    <t>flagfront</t>
  </si>
  <si>
    <t>1.8"</t>
  </si>
  <si>
    <t>https://amazon.com/dp/B0F8VQ7R3R</t>
  </si>
  <si>
    <t>B0BLJD6Q5G</t>
  </si>
  <si>
    <t>Flir Edge Pro - Wireless Bluetooth Thermal Imaging Camera for Smartphones, Compatible with All iOS and Android Devices, 480x360 Super Resolution (160x120 Native IR)</t>
  </si>
  <si>
    <t>https://amazon.com/dp/B0BLJD6Q5G</t>
  </si>
  <si>
    <t>B0B7LMB22Q</t>
  </si>
  <si>
    <t>TOPDON TC001 Thermal Camera for Android, Super IR 512x384 High Resolution, Thermal Imaging Camera, Thermal Imager - Optimized Temperature Accuracy, Works for Smartphones and Tablets &amp; PC(not for iOS)</t>
  </si>
  <si>
    <t>Dongle (USB-C/Android)</t>
  </si>
  <si>
    <t>https://amazon.com/dp/B0B7LMB22Q</t>
  </si>
  <si>
    <t>B08N6YHQWX</t>
  </si>
  <si>
    <t>FLIR C3-X Compact Thermal Imaging Camera with Wifi: High Resolution Infrared Imager for Inspection, Electrical/Mechanical, Building, and HVAC Applications</t>
  </si>
  <si>
    <t>128x96</t>
  </si>
  <si>
    <t>https://amazon.com/dp/B08N6YHQWX</t>
  </si>
  <si>
    <t>B0D3DZV19P</t>
  </si>
  <si>
    <t>TOPDON TC002C Thermal Camera, 512 x 384 Super Resolution, 256 x 192 IR Resolution, Thermal Imager for iPhone 17/16/15 Series &amp; iPads with Type-C Port, -4°F~1022°F Temp Range, Upgraded Version of TC002</t>
  </si>
  <si>
    <t>Dongel (USB-C/iOS)</t>
  </si>
  <si>
    <t>https://amazon.com/dp/B0D3DZV19P</t>
  </si>
  <si>
    <t>B0D8QC83BV</t>
  </si>
  <si>
    <t>MILESEEY TR10 Thermal Imaging Camera,Super Resolution 192 x 192 Thermal Camera,25 Hz Refresh Rate, -4°F to 1022°F Handheld Infrared Imager,8-Hour Battery Life Infrared Camera</t>
  </si>
  <si>
    <t>mileseey</t>
  </si>
  <si>
    <t>https://amazon.com/dp/B0D8QC83BV</t>
  </si>
  <si>
    <t>B0728C7KNC</t>
  </si>
  <si>
    <t>Flir One - Thermal Imaging Camera for Android Smartphones (USB-C), 240x180 Super Resolution (80x60 Native IR)</t>
  </si>
  <si>
    <t>https://amazon.com/dp/B0728C7KNC</t>
  </si>
  <si>
    <t>B0BRK5DLR3</t>
  </si>
  <si>
    <t>TOPDON TC005 256 x 192 IR High Resolution Dual-Camera Thermal Imaging Camera with 12-Hour Battery Life and 2MP Visual Light Camera, -4°F~1022°F Handheld Infrared Thermal Imager with PC 2D/3D Analysis</t>
  </si>
  <si>
    <t>https://amazon.com/dp/B0BRK5DLR3</t>
  </si>
  <si>
    <t>B0BYHP8KM9</t>
  </si>
  <si>
    <t>TOPDON TC002 Thermal Camera for iOS (iPhone &amp; iPad), 512 x 384 Super Resolution, 256 x 192 IR High Resolution, Thermal Imager, Thermal Imaging Camera, -4°F~1022°F Temp Range, Support Video Recording</t>
  </si>
  <si>
    <t>Dongle (Lightning/iOS)</t>
  </si>
  <si>
    <t>https://amazon.com/dp/B0BYHP8KM9</t>
  </si>
  <si>
    <t>B0FMH37XL7</t>
  </si>
  <si>
    <t>FLIR C8 Compact Thermal Imaging Camera: High Resolution Infrared Imager (320x240) for Inspection, Electrical/Mechanical, Building, and HVAC Applications</t>
  </si>
  <si>
    <t>https://amazon.com/dp/B0FMH37XL7</t>
  </si>
  <si>
    <t>B07XH96SK4</t>
  </si>
  <si>
    <t>FLIR TG267 Thermal Imaging Camera with Bullseye Laser: Commercial Grade Infrared Camera for Building Inspection, HVAC and Electrical</t>
  </si>
  <si>
    <t>https://amazon.com/dp/B07XH96SK4</t>
  </si>
  <si>
    <t>B0FMRX6PF9</t>
  </si>
  <si>
    <t>Thermal Master P1 - Thermal Camera for Type-C iPhone &amp; Android, 320x240 Super IR Resolution Infrared Imager w/Spot Tracker, 15x Zoom, 3.6℉ Accuracy, -4℉ to 1112℉ High Temp, Work for Home Inspection</t>
  </si>
  <si>
    <t>https://amazon.com/dp/B0FMRX6PF9</t>
  </si>
  <si>
    <t>B0FLK4V7Z6</t>
  </si>
  <si>
    <t>Thermal Master Thermal Camera for USB-C iPhone and Android, P1 Thermal Imaging Camera with 320×240 X³ IR Resolution, -4℉ to 1112℉, 160×120 Infrared Camera (iOS and Android)</t>
  </si>
  <si>
    <t>https://amazon.com/dp/B0FLK4V7Z6</t>
  </si>
  <si>
    <t>B0FF51GX97</t>
  </si>
  <si>
    <t>Thermal Camera for Android &amp; iOS, P3 Thermal Imaging Camera with 512×384 X³ IR Resolution, 256×192 IR Resolution, Manual Focus Infrared Camera, -4℉ to 1112℉ Temp Range Thermal Imager</t>
  </si>
  <si>
    <t>https://amazon.com/dp/B0FF51GX97</t>
  </si>
  <si>
    <t>B0FJ2BXRJ1</t>
  </si>
  <si>
    <t>Thermal Master Handheld Thermal Imager, 640×480 3.5" IPS Screen, 512×384 X³ IR Resolution, -4℉ to 1022℉, Infrared Imager with Fusion Imaging, Thermal Imaging Camera with 2MP Visual Camera(Thor 002)</t>
  </si>
  <si>
    <t>https://amazon.com/dp/B0FJ2BXRJ1</t>
  </si>
  <si>
    <t>B0BLJ3XJ3Z</t>
  </si>
  <si>
    <t>Flir Edge - Wireless Bluetooth Thermal Imaging Camera for Smartphones, Compatible with All iOS and Android Devices, 240x180 Super Resolution (80x60 Native IR)</t>
  </si>
  <si>
    <t>https://amazon.com/dp/B0BLJ3XJ3Z</t>
  </si>
  <si>
    <t>B0728C7KND</t>
  </si>
  <si>
    <t>Flir One - Thermal Imaging Camera for iOS Smartphones (iPhone 14 and Older w/Lightning Port), 240x180 Super Resolution (80x60 Native IR)</t>
  </si>
  <si>
    <t>https://amazon.com/dp/B0728C7KND</t>
  </si>
  <si>
    <t>B089QW8R9S</t>
  </si>
  <si>
    <t>Klein Tools TI250 Rechargeable Thermal Imaging Camera, Camera Displays Over 19,200 Pixels with 3 Color Palettes, High / Low Temperature Points</t>
  </si>
  <si>
    <t>klein tools</t>
  </si>
  <si>
    <t>https://amazon.com/dp/B089QW8R9S</t>
  </si>
  <si>
    <t>B0716ZGL7C</t>
  </si>
  <si>
    <t>Flir One Pro - Thermal Imaging Camera for Android Smartphones (USB-C), 480x360 Super Resolution (160x120 Native IR)</t>
  </si>
  <si>
    <t>https://amazon.com/dp/B0716ZGL7C</t>
  </si>
  <si>
    <t>B0C9H54GLX</t>
  </si>
  <si>
    <t>Fluke TC01A 25Hz - iSee Mobile Thermal Camera for Android Smartphones, Temperature Range up to 1022°F</t>
  </si>
  <si>
    <t>fluke</t>
  </si>
  <si>
    <t>https://amazon.com/dp/B0C9H54GLX</t>
  </si>
  <si>
    <t>B072J49BX7</t>
  </si>
  <si>
    <t>Flir One Pro - Thermal Imaging Camera for iOS Smartphones (iPhone 14 and Older w/Lightning Port), 480x360 Super Resolution (160x120 Native IR)</t>
  </si>
  <si>
    <t>https://amazon.com/dp/B072J49BX7</t>
  </si>
  <si>
    <t>B0DS5XD9WT</t>
  </si>
  <si>
    <t>TOPDON Thermal Imaging Camera TC004 SE - 256x192 IR Resolution, 21Hrs Runtime &amp; 32GB Storage with Video Recording, PC Analysis for Electrical/HVAC/Building Inspection</t>
  </si>
  <si>
    <t>https://amazon.com/dp/B0DS5XD9WT</t>
  </si>
  <si>
    <t>B0FNCDQWJR</t>
  </si>
  <si>
    <t>Thermal Master P3 - Thermal Camera for iOS &amp; Android, 8mm Macro Vision Infrared Imager w/Manual Lens, 512x384 Super Ir Resolution, 3.6℉ Accuracy, 35mk NETD, Work for Home PCB Inspection, Black</t>
  </si>
  <si>
    <t>https://amazon.com/dp/B0FNCDQWJR</t>
  </si>
  <si>
    <t>B09BNZTLQ7</t>
  </si>
  <si>
    <t>Fluke PTi120 Pocket Thermal Imager</t>
  </si>
  <si>
    <t>120x90</t>
  </si>
  <si>
    <t>https://amazon.com/dp/B09BNZTLQ7</t>
  </si>
  <si>
    <t>B0CNXP8JBV</t>
  </si>
  <si>
    <t>GOYOJO Thermal Monocular, 256x192 (25 Hz) Thermal Imaging Monoscope Camera for Adults, 10mm Focal Lens Vision Goggles Thermal Scopes for Night Hunting Camping</t>
  </si>
  <si>
    <t>goyojo</t>
  </si>
  <si>
    <t>https://amazon.com/dp/B0CNXP8JBV</t>
  </si>
  <si>
    <t>B0D46K5CMK</t>
  </si>
  <si>
    <t>TOPDON TC001 Plus Thermal Camera for Android, 512 x 384 Super Resolution with Visual Camera, 256 x 192 IR Resolution, Dual-Lens Thermal Imaging Camera for Smartphones and Tablets, PC (not for iOS)</t>
  </si>
  <si>
    <t>1MP</t>
  </si>
  <si>
    <t>https://amazon.com/dp/B0D46K5CMK</t>
  </si>
  <si>
    <t>B0DCZ8CRCS</t>
  </si>
  <si>
    <t>HSFTOOLS P2W 640x480 Super Resolution Thermal Camera with Dual-Camera, 256x192 IR Resolution Thermal Imaging Camera, 3.5" Touch Screen,Wi-Fi,8MP Visible Camera, Video and Audio Recording</t>
  </si>
  <si>
    <t>8MP</t>
  </si>
  <si>
    <t>https://amazon.com/dp/B0DCZ8CRCS</t>
  </si>
  <si>
    <t>B0F544MKM1</t>
  </si>
  <si>
    <t>Thermal Master Handheld Thermal Camera, 512×384 X³IR Resolution, Thermal Imaging Camera with 2MP Visual Camera, 640×480 3.5" IPS Screen Thermal Imager with Laser, -4℉to 1022℉, 60Hz, 35mK(Thor 001)</t>
  </si>
  <si>
    <t>https://amazon.com/dp/B0F544MKM1</t>
  </si>
  <si>
    <t>B0C23Z42KX</t>
  </si>
  <si>
    <t>TOPDON TC001 Thermal Imaging Camera Android, 512x384 Super IR Resolution Thermal Imager with Secondary Analysis, Test Report, Temp Alarm, -4°F~1022°F TEM Range for Smartphones(not for iOS)</t>
  </si>
  <si>
    <t>https://amazon.com/dp/B0C23Z42KX</t>
  </si>
  <si>
    <t>B0DX1PQCZR</t>
  </si>
  <si>
    <t>GOYOJO Thermal Imaging Camera for Android/iphone 15/16 iOS Series 192x192 IR Resolution– Water Leak Detection, HVAC, Electrical, Plumbing, Automotive Repair, Home Inspection, DIY-USB-C Infrared Imager</t>
  </si>
  <si>
    <t>192x192</t>
  </si>
  <si>
    <t>https://amazon.com/dp/B0DX1PQCZR</t>
  </si>
  <si>
    <t>B0DY7NV8SP</t>
  </si>
  <si>
    <t>BSIDE Thermal Imaging Camera 240 x 240 Resolution Handheld Infrared IR Camera, 15 Thermal Palettes with 320 x 240 Full-Viewing TFT Display for Home Inspection HVAC Heat Pump Circuit Break, -4℉~1022℉</t>
  </si>
  <si>
    <t>bside</t>
  </si>
  <si>
    <t>https://amazon.com/dp/B0DY7NV8SP</t>
  </si>
  <si>
    <t>B0DB86L949</t>
  </si>
  <si>
    <t>BSIDE Thermal Imaging Camera 240 x 240 Resolution Handheld Infrared Camera, 15 Thermal Palettes with 320 x 240 Full-Viewing TFT LCD for Home Inspection HVAC Electrical, 25Hz Refresh Rate, -4℉~1022℉</t>
  </si>
  <si>
    <t>https://amazon.com/dp/B0DB86L949</t>
  </si>
  <si>
    <t>B0DNSS376Y</t>
  </si>
  <si>
    <t>Teslong TTM120S Thermal Imaging Camera, Super Resolution 240 x 180, 3.2" LCD Screen Handheld 25 HZ Refresh Rate Infrared Imager, 120 x 90 IR Resolution</t>
  </si>
  <si>
    <t>https://amazon.com/dp/B0DNSS376Y</t>
  </si>
  <si>
    <t>B073JLG1VR</t>
  </si>
  <si>
    <t>CaseSack Case compatible with WALABOT DIY 2 - Advanced Stud Finder and Wall Scanner, Walabot PRO -Programmable 3D Imaging Sensor, DIY Plus X, Walabot DIY -In-Wall Imager</t>
  </si>
  <si>
    <t>casesack</t>
  </si>
  <si>
    <t>Accessory</t>
  </si>
  <si>
    <t>https://amazon.com/dp/B073JLG1VR</t>
  </si>
  <si>
    <t>B0CRHN7HHW</t>
  </si>
  <si>
    <t>TOPDON TC004 Lite Thermal Imaging Camera, 160 x 120 IR Resolution 15-Hour Battery Life Handheld Infrared Thermal Imager with 1x / 2X / 4X Zoom Level, -4°F~1022°F Range, High and Low-Temperature Alarm</t>
  </si>
  <si>
    <t>https://amazon.com/dp/B0CRHN7HHW</t>
  </si>
  <si>
    <t>B0FHH4ZRP7</t>
  </si>
  <si>
    <t>Thermal Master P2 Thermal Camera for Android, Thermal Imager with 512 × 384 Super IR Resolution, 1.5℃ PCB Accuracy, -4℉ to 1112℉ Thermal Imaging Camera (P2 Android)</t>
  </si>
  <si>
    <t>https://amazon.com/dp/B0FHH4ZRP7</t>
  </si>
  <si>
    <t>B0FRFM3T8D</t>
  </si>
  <si>
    <t>M256 Thermal Camera, 512x384 TISR Resolution Thermal Imager, 256x192 IR Resolution, -4°F~842°F Temp Range, Thermal Imaging Camera for Android Smartphones and PC(Green)</t>
  </si>
  <si>
    <t>https://amazon.com/dp/B0FRFM3T8D</t>
  </si>
  <si>
    <t>B0DLW8B2YY</t>
  </si>
  <si>
    <t>InfiRay Lightning to USB C Adapter for iPhone 15/15Pro/15 Pro Max/Plus, Specially Designed for iOS Version of InfiRay P2 Pro XH09 and T2 Pro Thermal Imaging Camera</t>
  </si>
  <si>
    <t>infiray</t>
  </si>
  <si>
    <t>https://amazon.com/dp/B0DLW8B2YY</t>
  </si>
  <si>
    <t>B0FH4VML7D</t>
  </si>
  <si>
    <t>Small Thermal Imaging Camera for Beginner – Mini Thermal Imager for Home Inspection, Infrared Hidden Camera Detector Gadget 80×60 IR Resolution</t>
  </si>
  <si>
    <t>anxtech</t>
  </si>
  <si>
    <t>Pocket size</t>
  </si>
  <si>
    <t>https://amazon.com/dp/B0FH4VML7D</t>
  </si>
  <si>
    <t>B0FN7JCVT3</t>
  </si>
  <si>
    <t>FOXWELL RT280 Thermal Imaging Camera, 320 X 240 2.8" LCD Screen Thermal Camera, TISR Resolution 240 x 180, 25Hz Handheld Infrared Cameras with Laser, PC Analysis, Photo &amp; Video Recording, 32GB Storage</t>
  </si>
  <si>
    <t>foxwell</t>
  </si>
  <si>
    <t>https://amazon.com/dp/B0FN7JCVT3</t>
  </si>
  <si>
    <t>hikmicro</t>
  </si>
  <si>
    <t>Basic Resolution</t>
  </si>
  <si>
    <t>Super Resolution</t>
  </si>
  <si>
    <t>Laser</t>
  </si>
  <si>
    <t>Wi-Fi</t>
  </si>
  <si>
    <t>Visual Camera</t>
  </si>
  <si>
    <t>FLIR TG275 Thermal Imaging Camera with Bullseye Laser: High Temp Infrared Camera for Automotive Diagnostics</t>
  </si>
  <si>
    <t>B07TRN55BC</t>
  </si>
  <si>
    <t>https://amazon.com/dp/B07TRN55BC</t>
  </si>
  <si>
    <t>FLIR TG297 Thermal Imaging Camera with Bullseye Laser: Industrial Infrared Camera for High-Temp Applications</t>
  </si>
  <si>
    <t>B07XDBYQG6</t>
  </si>
  <si>
    <t>https://amazon.com/dp/B07XDBYQG6</t>
  </si>
  <si>
    <t>FLIR TG298 Thermal Imaging Camera with High Temperature Spot IR Super Resolution 320x240 (160x120 Native IR) and Bullseye Laser: Industrial Infrared Spot Camera for High-Temp Applications</t>
  </si>
  <si>
    <t>B0F2N9K5VC</t>
  </si>
  <si>
    <t>https://amazon.com/dp/B0F2N9K5VC</t>
  </si>
  <si>
    <t>FLIR ONE Pro LT - High resolution Thermal Imaging Camera for iOS Smartphones (iPhone w/Lightning Port Only)</t>
  </si>
  <si>
    <t>B07DM8DG1B</t>
  </si>
  <si>
    <t>https://amazon.com/dp/B07DM8DG1B</t>
  </si>
  <si>
    <t>FLIR K1 Situational Awareness Camera, Compact Thermal Imaging Camera for First Responders, for Firefighters</t>
  </si>
  <si>
    <t>B081QNTWD6</t>
  </si>
  <si>
    <t>https://amazon.com/dp/B081QNTWD6</t>
  </si>
  <si>
    <t>FLIR TG54-2 Infrared Spot Thermometer with Digital Readout: for Non-Contact Temperature Measurements up to 1,562 Degrees F</t>
  </si>
  <si>
    <t>B0CBL4BGK8</t>
  </si>
  <si>
    <t>https://amazon.com/dp/B0CBL4BGK8</t>
  </si>
  <si>
    <t>FLIR TG56-2 Infrared Spot Thermometer with Digital Readout: for Non-Contact Temperature Measurements up to 2,372 Degrees F</t>
  </si>
  <si>
    <t>B0CBL4BBP2</t>
  </si>
  <si>
    <t>https://amazon.com/dp/B0CBL4BBP2</t>
  </si>
  <si>
    <t>FLIR GPX310 Scion Rechargeable Battery Kit, Operate FLIR Scion Thermal Imaging Monoculars For Up To 10 Hours</t>
  </si>
  <si>
    <t>B08W1MP8QX</t>
  </si>
  <si>
    <t>https://amazon.com/dp/B08W1MP8QX</t>
  </si>
  <si>
    <t>FLIR GTX100 Scion Docking Station, Charges FLIR GPX310 Rechargeable Batteries, for Scion Thermal Imaging Monoculars</t>
  </si>
  <si>
    <t>B08W2K1X74</t>
  </si>
  <si>
    <t>https://amazon.com/dp/B08W2K1X74</t>
  </si>
  <si>
    <t>FLIR Weather Cover f/Joystick Control Unit [4113315]</t>
  </si>
  <si>
    <t>B01N7S4H5H</t>
  </si>
  <si>
    <t>https://amazon.com/dp/B01N7S4H5H</t>
  </si>
  <si>
    <t>FLIR T198457ACC Tripod Mount Adapter</t>
  </si>
  <si>
    <t>B07DH6WQG3</t>
  </si>
  <si>
    <t>https://amazon.com/dp/B07DH6WQG3</t>
  </si>
  <si>
    <t>FLIR E4 - Commercial Thermal Imaging Camera with Wifi. High Resolution Infrared Camera with FLIR Ignite Cloud</t>
  </si>
  <si>
    <t>B00IZAF3CW</t>
  </si>
  <si>
    <t>https://amazon.com/dp/B00IZAF3CW</t>
  </si>
  <si>
    <t>TOPDON TC003 256X192 IR Resolution 5" Touch Screen Thermal Imaging Camera with Secondary Analysis, Dual-Light Thermal Imager with Bluetooth and 2 MP Visual Camera, -4°F~1022°F</t>
  </si>
  <si>
    <t>B0C1RD1Q15</t>
  </si>
  <si>
    <t>https://amazon.com/dp/B0C1RD1Q15</t>
  </si>
  <si>
    <t>TOPDON TS001 256x192 IR Resolution Thermal Camera for Android, Thermal Night Vision Monocular Thermal Imager with 9mm Adjustable Focus Lens, Infrared Test Report, -4°F~1022°F TEM Range</t>
  </si>
  <si>
    <t>B0CWN47K4V</t>
  </si>
  <si>
    <t>https://amazon.com/dp/B0CWN47K4V</t>
  </si>
  <si>
    <t>TOPDON TC002C Duo Thermal Camera for iOS and Android Series and iPads with Type-C Port, 512 x 384 Super Resolution, 256 x 192 IR Resolution Thermal Imager, -4°F~1022°F Temp Range - Green</t>
  </si>
  <si>
    <t>B0F9NXWHKK</t>
  </si>
  <si>
    <t>https://amazon.com/dp/B0F9NXWHKK</t>
  </si>
  <si>
    <t>TOPDON TC002 Thermal Imaging Camera for iOS, 512 x 384 Super Resolution, 256x192 IR High Resolution, Thermal Imager with Secondary Analysis, Infrared Test Report, Temp Alarm, -4°F~1022°F TEM Range</t>
  </si>
  <si>
    <t>B0BZR5KNT8</t>
  </si>
  <si>
    <t>https://amazon.com/dp/B0BZR5KNT8</t>
  </si>
  <si>
    <t>TOPDON USA - Handheld Thermal Imaging Camera Dual Camera HIGH</t>
  </si>
  <si>
    <t>B0BZBZDJV2</t>
  </si>
  <si>
    <t>https://amazon.com/dp/B0BZBZDJV2</t>
  </si>
  <si>
    <t>TOPDON USA - Thermal Imaging Camera for iOS Devices 256X192 RES</t>
  </si>
  <si>
    <t>B0CFLWQJMN</t>
  </si>
  <si>
    <t>https://amazon.com/dp/B0CFLWQJMN</t>
  </si>
  <si>
    <t>TOPDON USA - Thermal Imaging Camera for Android Devices 256X192</t>
  </si>
  <si>
    <t>B0BFCVZC6R</t>
  </si>
  <si>
    <t>https://amazon.com/dp/B0BFCVZC6R</t>
  </si>
  <si>
    <t>TOPDON USA - TS001 - Thermal Imaging Camera for Android Devices</t>
  </si>
  <si>
    <t>B0D3LHZ7JY</t>
  </si>
  <si>
    <t>https://amazon.com/dp/B0D3LHZ7JY</t>
  </si>
  <si>
    <t>F2VW Thermal Camera 256x192 IR Resolution with 2MP Visual Camera, 640x480 3.2" Screen Thermal Imaging Camera,Super Resolution Image,Dual-Camera Thermal Imager,16 GB Storage,Carrying Case</t>
  </si>
  <si>
    <t>B0D8W7MQGR</t>
  </si>
  <si>
    <t>https://amazon.com/dp/B0D8W7MQGR</t>
  </si>
  <si>
    <t>HF256 Thermal Imaging Camera, 256 x 192 IR Resolution, Super Resolution 320 x 240 Therma Camera, 3.2" LCD Screen, 25 Hz Frame Rate, High/Low-Temperature Alarm, 16 GB Storage Infrared Camera</t>
  </si>
  <si>
    <t>B0CXNVV89D</t>
  </si>
  <si>
    <t>https://amazon.com/dp/B0CXNVV89D</t>
  </si>
  <si>
    <t>Finder S2 Thermal Camera Andriod,512x384 Super Resolution,256x192 IR Resolution Thermal Imaging Camera,Thermal Imager for Andriod Phones and Tablets,Carrying Case,USB-C(not for iPhone15/16)</t>
  </si>
  <si>
    <t>B0DT759N6K</t>
  </si>
  <si>
    <t>https://amazon.com/dp/B0DT759N6K</t>
  </si>
  <si>
    <t>HSFTOOLS Finder S1 Thermal Camera for Android,192x192 Super IR Resolution Thermal Imaging Camera,96x96 IR Resolution, Thermal Imager for Android Phones and Tablets,Carrying Case,USB-C(not for iPhone)</t>
  </si>
  <si>
    <t>B0DK3D9TFL</t>
  </si>
  <si>
    <t>https://amazon.com/dp/B0DK3D9TFL</t>
  </si>
  <si>
    <t>Finder S1 Thermal Camera for Android, 192x192 Super Resolution Thermal Imaging Camera,Thermal Imager for Android Phones and Tablets, 96x96 IR Resolution, Carrying Case,USB-C(not for iPhone)</t>
  </si>
  <si>
    <t>B0DT6H42MY</t>
  </si>
  <si>
    <t>https://amazon.com/dp/B0DT6H42MY</t>
  </si>
  <si>
    <t>HSFTOOLS Finder S2 Android Thermal Imager,512x384 Super Resolution,256x192 IR Resolution,Thermal Camera for Andriod Phones and Tablets,Carrying Case,USB-C(Not Compatible with iPhone 15/16)</t>
  </si>
  <si>
    <t>B0D961JM3J</t>
  </si>
  <si>
    <t>https://amazon.com/dp/B0D961JM3J</t>
  </si>
  <si>
    <t>Thermal Camera for Android Phone, P2 Pro Thermal Imager with Macro Lens, Infrared Camera with 512 × 384 IR Resolution, 15× Zoom, -4℉ to 1112℉ Temp Range Thermal Imaging Camera for Phone (Android)</t>
  </si>
  <si>
    <t>B0DHGSH174</t>
  </si>
  <si>
    <t>https://amazon.com/dp/B0DHGSH174</t>
  </si>
  <si>
    <t>Thermal Camera for iPhone, P2 Pro Thermal Imager with Macro Lens, 512×384 IR Resolution Infrared Camera, 15X Zoom, -4℉ to 1112℉ Temp Range Thermal Imaging Camera for iOS Lightning</t>
  </si>
  <si>
    <t>B0DYDZXCMC</t>
  </si>
  <si>
    <t>https://amazon.com/dp/B0DYDZXCMC</t>
  </si>
  <si>
    <t>Thermal Master T2 Pro Android Thermal Monocular, 1579 Yards Night Infrared Camera with 13mm Lens, Tactical Handle, Scope Mount, Work for Outdoor Wildlife Observation, Light Black</t>
  </si>
  <si>
    <t>B0FKT2SS6P</t>
  </si>
  <si>
    <t>https://amazon.com/dp/B0FKT2SS6P</t>
  </si>
  <si>
    <t>Thermal Master Handheld Thermal Imager, 512×384 X³ IR Resolution, 640×480 3.5" IPS Screen, -4℉ to 1022℉, Infrared Imager with Fusion Imaging, Thermal Imaging Camera with Macro Lens (Thor 001)</t>
  </si>
  <si>
    <t>B0FM2GCHVD</t>
  </si>
  <si>
    <t>https://amazon.com/dp/B0FM2GCHVD</t>
  </si>
  <si>
    <t>Thermal Master Thermal Camera for Android, X2 Thermal Night Vision Monocular for Phone, 950-Yard Detection Range, 512×384 X³ IR Resolution, 50Hz, Thermal Scope for Wilderness Rescue</t>
  </si>
  <si>
    <t>B0FJBPK3Q7</t>
  </si>
  <si>
    <t>https://amazon.com/dp/B0FJBPK3Q7</t>
  </si>
  <si>
    <t>Thermal Monocular X3 See 1600 Yards, 60Hz Night Vision, Thermal Binoculars for Exploration, Camping, and Wildlife Observation (Android)</t>
  </si>
  <si>
    <t>B0DW8KSZ9R</t>
  </si>
  <si>
    <t>https://amazon.com/dp/B0DW8KSZ9R</t>
  </si>
  <si>
    <t>Thermal Master P2 - Thermal Camera for Android, 512×384 Super IR Resolution Infrared Imager with 1.5℃ PCB Accuracy, -4℉ to 1112℉ High Temp, Work for Home Inspection</t>
  </si>
  <si>
    <t>B0FNC6XG6X</t>
  </si>
  <si>
    <t>https://amazon.com/dp/B0FNC6XG6X</t>
  </si>
  <si>
    <t>Thermal Camera for Android, X2 Thermal Night Vision Monocular for Phone, See 950 Yards, Thermal Imager with 50Hz, 15X Zoom, Thermal Scope for Hunting and Wilderness Rescue</t>
  </si>
  <si>
    <t>B0DRNLL1XJ</t>
  </si>
  <si>
    <t>https://amazon.com/dp/B0DRNLL1XJ</t>
  </si>
  <si>
    <t>Thermal Master P3, Thermal Camera for iOS &amp; Android, Manual Focus Infrared Camera, 512×384 X³ IR Resolution, -4℉ to 1112℉ Temp Range Thermal Imager, PCB Inspection</t>
  </si>
  <si>
    <t>B0FMDY9FJG</t>
  </si>
  <si>
    <t>https://amazon.com/dp/B0FMDY9FJG</t>
  </si>
  <si>
    <t>AMPBANK H128 Handheld Thermal Camera, 240 x 240 TISR Resolution, 24h Battery Life Thermal Imaging Camera, 25 Hz Infrared Camera with Temperature Alarm, -4℉~ 842℉ Temp Range, IP65 Protection Level</t>
  </si>
  <si>
    <t>B0DKDSKNDL</t>
  </si>
  <si>
    <t>https://amazon.com/dp/B0DKDSKNDL</t>
  </si>
  <si>
    <t>Fluke TC01C 25Hz - iSee Mobile Thermal Camera for iOS Smartphones Type C, Temperature Range up to 1022°F</t>
  </si>
  <si>
    <t>B0FVDS8JX5</t>
  </si>
  <si>
    <t>https://amazon.com/dp/B0FVDS8JX5</t>
  </si>
  <si>
    <t>Fluke TC01B 25Hz - iSee Mobile Thermal Camera for iOS Smartphones, Temperature Range up to 1022°F</t>
  </si>
  <si>
    <t>B0CYT1553Q</t>
  </si>
  <si>
    <t>https://amazon.com/dp/B0CYT1553Q</t>
  </si>
  <si>
    <t>Fluke - FLUKE-CV300 FLUKE- CV300 3" Infrared Window with Hand Turn Door Latch, 5.57" x 4.39", 75 mm</t>
  </si>
  <si>
    <t>B00HFQ1YD4</t>
  </si>
  <si>
    <t>https://amazon.com/dp/B00HFQ1YD4</t>
  </si>
  <si>
    <t>Fluke BOOK-ITP Introduction to Thermography Principles Book</t>
  </si>
  <si>
    <t>B00AQKHNXQ</t>
  </si>
  <si>
    <t>https://amazon.com/dp/B00AQKHNXQ</t>
  </si>
  <si>
    <t>MiLESEEY TR20 Pro Thermal Imaging Camera, Handheld Infrared Imager with 320 x 240 Resolution, 50Hz Refresh Rate, Dual-Camera Handheld Infrared Thermal Imaging Camera Supporting PC Software Analysis</t>
  </si>
  <si>
    <t>B0FF1NPKYW</t>
  </si>
  <si>
    <t>https://amazon.com/dp/B0FF1NPKYW</t>
  </si>
  <si>
    <t>MiLESEEY TR20 Thermal Imaging Camera, 320 x 240 Resolution, 50Hz Refresh Rate, NETD ≤40mk, Portable Handheld Infrared Thermal Imaging Camera with Auto Hot/Cold Spot Tracking</t>
  </si>
  <si>
    <t>B0DP42DGX1</t>
  </si>
  <si>
    <t>https://amazon.com/dp/B0DP42DGX1</t>
  </si>
  <si>
    <t>MILESEEY TR256E Thermal Imaging Camera,Super Resolution 256 x 192 Thermal Camera,50 Hz Refresh Rate, -4°F to 662°F Handheld Infrared Imager,12-Hour Battery Life Infrared Camera</t>
  </si>
  <si>
    <t>B0D8Q9YG9F</t>
  </si>
  <si>
    <t>https://amazon.com/dp/B0D8Q9YG9F</t>
  </si>
  <si>
    <t>MiLESEEY Thermal Monocular for Android, TNV30i Night Vision Thermal Scope, 512×384 Super Resolution 50Hz Thermal Imaging Camera, 1600-Yard Range Thermal Goggles, Building Detection, 10-15mm Lens</t>
  </si>
  <si>
    <t>B0DJ6RSRQ6</t>
  </si>
  <si>
    <t>https://amazon.com/dp/B0DJ6RSRQ6</t>
  </si>
  <si>
    <t>Thermal Imaging Camera, MILESEEY Handheld 256*192 IR Resolution Thermal Imager, 3.5 Inch LCD Display IP65 Waterproof Rechargeable 6 Palettes Thermal Camera with Auto Track Cold and Hot Spots Function</t>
  </si>
  <si>
    <t>B0BJTTG7DD</t>
  </si>
  <si>
    <t>https://amazon.com/dp/B0BJTTG7DD</t>
  </si>
  <si>
    <t>Thermal Monocular for Android, MILESEEY TNV30i Night Vision Thermal Scope, 512×384 Super Resolution 50Hz Thermal Imaging Camera, 1600-Yard Thermal Goggles for Hunting, Building Detection, 10-15mm Lens</t>
  </si>
  <si>
    <t>B0DP8GS9HH</t>
  </si>
  <si>
    <t>https://amazon.com/dp/B0DP8GS9HH</t>
  </si>
  <si>
    <t>MiLESEEY TNV256i Thermal Imaging Camera for Andriod(USB-C), 256x192 Thermal Imager, Night Vision Imager for Android, Infrared Thermal Camera</t>
  </si>
  <si>
    <t>B0CC5JD3LL</t>
  </si>
  <si>
    <t>https://amazon.com/dp/B0CC5JD3LL</t>
  </si>
  <si>
    <t>MILESEEY TR256i Thermal Imaging Camera for Android, 512×384 Super Resolution (256×192 Native IR) Infrared Camera, Smartphone Thermal Imager, 5°F~1112°F for Electrical, Building, HVAC Detection</t>
  </si>
  <si>
    <t>B0DPHLYSJD</t>
  </si>
  <si>
    <t>https://amazon.com/dp/B0DPHLYSJD</t>
  </si>
  <si>
    <t>MiLESEEY TP2 Wireless Thermal Imaging Camera for iPhone &amp; Android Smartphones, 512×384 Super Resolution (256×192 Native IR), 25Hz Detachable Infrared Camera, Video Recording, 56° FOV, -4°F to 752°F</t>
  </si>
  <si>
    <t>B0FR97YXCP</t>
  </si>
  <si>
    <t>https://amazon.com/dp/B0FR97YXCP</t>
  </si>
  <si>
    <t>B09FTFHTPR</t>
  </si>
  <si>
    <t>HIKMICRO B10 Thermal Imaging Camera 320 x 240 Super IR with 2MP Visual, 3.2" LCD Screen 256 x 192 IR Resolution Thermal Camera, 25 Hz Refresh Rate, -4°F~1022°F, IP54</t>
  </si>
  <si>
    <t>https://amazon.com/dp/B09FTFHTPR</t>
  </si>
  <si>
    <t>HIKMICRO B20 Thermal Imaging Camera with 2MP Visual Camera, Thermal Camera 256 x 192 IR Resolution, 25 Hz Refresh Rate, 3.2" LCD Screen, Full Screen Measurement Thermal Scanner with WiFi, -4~1022°F</t>
  </si>
  <si>
    <t>B09FT8HJKF</t>
  </si>
  <si>
    <t>https://amazon.com/dp/B09FT8HJKF</t>
  </si>
  <si>
    <t>HIKMICRO Thermal Imaging Camera PocketC 256 x 192 IR Resolution Thermal Camera with 8MP Visual Camera, 25 Hz, 3.5" Touch Screen Thermal Scanner, IP54, -4°F~752°F, No-WiFi, FCC ID:2AXVM-TP4X-3XXX</t>
  </si>
  <si>
    <t>B0CL6JNF2X</t>
  </si>
  <si>
    <t>https://amazon.com/dp/B0CL6JNF2X</t>
  </si>
  <si>
    <t>HIKMICRO E1L Thermal Imaging Camera with Laser Pointer, 160 x 120 IR Resolution/19200 Pixels, 25Hz Refresh Rate, Portable Handheld Thermal Imager, -4°F~1022°F Temperature Range</t>
  </si>
  <si>
    <t>B08X6KHMRS</t>
  </si>
  <si>
    <t>https://amazon.com/dp/B08X6KHMRS</t>
  </si>
  <si>
    <t>HIKMICRO B01 Thermal Camera, 256 x 192 IR Resolution Thermal Imaging Camera with WiFi, 3.2" LCD Screen, Super IR, 25Hz Refresh Rate, Handheld 49,152 Pixels IR Camera,FCC ID 2AXVM-HM-TP5XXXX</t>
  </si>
  <si>
    <t>B0CCDXCMYW</t>
  </si>
  <si>
    <t>https://amazon.com/dp/B0CCDXCMYW</t>
  </si>
  <si>
    <t>HIKMICRO B1L 160 x 120 IR Resolution Thermal Imaging Camera with WiFi, 25Hz Refresh Rate, 3.2" LCD Screen, Handheld 19200 Pixels Thermal Imager with High Temperature Alarm</t>
  </si>
  <si>
    <t>B08Z7HSBZ6</t>
  </si>
  <si>
    <t>https://amazon.com/dp/B08Z7HSBZ6</t>
  </si>
  <si>
    <t>GOYOJO 256x192 Thermal Imaging Camera with Dual-Light Fusion, -4~1022°F, Handheld Infrared Thermal Imager for Home Inspection HVAC Electrical and Mechanical Maintenance</t>
  </si>
  <si>
    <t>B0C1ZTWYTR</t>
  </si>
  <si>
    <t>https://amazon.com/dp/B0C1ZTWYTR</t>
  </si>
  <si>
    <t>HT-A9 WiFi HTI 320 * 240 Infrared Thermal Imager with Thermal Inspection for Electric Camera</t>
  </si>
  <si>
    <t>B0BVHMK83G</t>
  </si>
  <si>
    <t>https://amazon.com/dp/B0BVHMK83G</t>
  </si>
  <si>
    <t>GOYOJO Mini Mobile Thermal Imager for Android Phone 256x192 IR High Resolution IP65 for Industrial, Fault, PCB Inspection Heat Loss Detection Infrared Camera 34 X 26.5 X 15mm, VC328B</t>
  </si>
  <si>
    <t>B0CPSNT331</t>
  </si>
  <si>
    <t>https://amazon.com/dp/B0CPSNT331</t>
  </si>
  <si>
    <t>Infrared thermal imaging camera 320 x 240, mini thermal imaging camera, thermometer measurement tool handheld 3.2-inch display (HT-A2)</t>
  </si>
  <si>
    <t>B0CWD3YT1R</t>
  </si>
  <si>
    <t>https://amazon.com/dp/B0CWD3YT1R</t>
  </si>
  <si>
    <t>Infrared thermal imaging camera 220 x 160, mini thermal imaging camera, thermometer measurement tool handheld 3.2-inch display (HT-A1)</t>
  </si>
  <si>
    <t>B0CWCS7WF9</t>
  </si>
  <si>
    <t>https://amazon.com/dp/B0CWCS7WF9</t>
  </si>
  <si>
    <t>HT-102 Cell Phone Thermal Camera, 32x32 IR Resolution, ±3°C Accuracy, Android Compatibility, Real-Time Monitoring Temperature Measurement Tool for Electrical, HVAC and Building Diagnostics</t>
  </si>
  <si>
    <t>B0CH4QR2JD</t>
  </si>
  <si>
    <t>https://amazon.com/dp/B0CH4QR2JD</t>
  </si>
  <si>
    <t>GW340 Thermal Camera for iPhone/Android/Tablet, Thermal Imager 256 x 192 IR Resolution iOS 17/16/15 Series &amp; iPads USB-C Port, Home Inspection, HVAC, Automotive -4°F~1022°F Range, 25Hz Video Recording</t>
  </si>
  <si>
    <t>B0FX46JB43</t>
  </si>
  <si>
    <t>https://amazon.com/dp/B0FX46JB43</t>
  </si>
  <si>
    <t>Dongle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</si>
</sst>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#,##0.0"/>
    <numFmt numFmtId="166" formatCode="0.0"/>
    <numFmt numFmtId="167" formatCode="\$#,##0.00"/>
    <numFmt numFmtId="168" formatCode="&quot;$&quot;#,##0.00"/>
    <numFmt numFmtId="169" formatCode="_(* #,##0_);_(* \(#,##0\);_(* &quot;-&quot;??_);_(@_)"/>
    <numFmt numFmtId="170" formatCode="_(&quot;$&quot;* #,##0_);_(&quot;$&quot;* \(#,##0\);_(&quot;$&quot;* &quot;-&quot;??_);_(@_)"/>
  </numFmts>
  <fonts count="2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36"/>
      <color theme="1"/>
      <name val="Calibri"/>
      <family val="2"/>
    </font>
    <font>
      <u/>
      <sz val="12"/>
      <color theme="10"/>
      <name val="Calibri"/>
      <family val="2"/>
      <scheme val="minor"/>
    </font>
    <font>
      <b/>
      <sz val="12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36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 (Body)"/>
    </font>
    <font>
      <sz val="12"/>
      <color rgb="FF000000"/>
      <name val="Calibri (Body)"/>
    </font>
    <font>
      <b/>
      <sz val="12"/>
      <color rgb="FF000000"/>
      <name val="Calibri (Body)"/>
    </font>
    <font>
      <b/>
      <sz val="12"/>
      <color theme="1"/>
      <name val="Calibri (Body)"/>
    </font>
  </fonts>
  <fills count="9">
    <fill>
      <patternFill patternType="none"/>
    </fill>
    <fill>
      <patternFill patternType="gray125"/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  <fill>
      <patternFill patternType="solid">
        <fgColor rgb="FFDAD2E9"/>
        <bgColor indexed="64"/>
      </patternFill>
    </fill>
    <fill>
      <patternFill patternType="solid">
        <fgColor rgb="FFDAD2E9"/>
        <bgColor rgb="FFD9D2E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5A7D7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249977111117893"/>
      </right>
      <top style="thin">
        <color indexed="64"/>
      </top>
      <bottom style="thin">
        <color indexed="64"/>
      </bottom>
      <diagonal/>
    </border>
    <border>
      <left style="thin">
        <color theme="2" tint="-0.249977111117893"/>
      </left>
      <right style="thin">
        <color theme="0" tint="-0.3499862666707357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2" tint="-0.249977111117893"/>
      </right>
      <top style="thin">
        <color theme="2" tint="-0.249977111117893"/>
      </top>
      <bottom style="thin">
        <color indexed="64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2" tint="-0.249977111117893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0" fillId="0" borderId="0" applyNumberForma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121">
    <xf numFmtId="0" fontId="0" fillId="0" borderId="0" xfId="0"/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5" fontId="4" fillId="3" borderId="0" xfId="0" applyNumberFormat="1" applyFont="1" applyFill="1" applyAlignment="1">
      <alignment horizontal="center"/>
    </xf>
    <xf numFmtId="0" fontId="5" fillId="0" borderId="0" xfId="0" applyFont="1"/>
    <xf numFmtId="164" fontId="5" fillId="0" borderId="0" xfId="0" applyNumberFormat="1" applyFont="1"/>
    <xf numFmtId="0" fontId="6" fillId="0" borderId="0" xfId="0" applyFont="1" applyAlignment="1">
      <alignment horizontal="right"/>
    </xf>
    <xf numFmtId="3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164" fontId="4" fillId="4" borderId="0" xfId="0" applyNumberFormat="1" applyFont="1" applyFill="1" applyAlignment="1">
      <alignment horizontal="center"/>
    </xf>
    <xf numFmtId="3" fontId="0" fillId="0" borderId="0" xfId="0" applyNumberFormat="1"/>
    <xf numFmtId="164" fontId="4" fillId="5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0" fontId="10" fillId="0" borderId="0" xfId="1"/>
    <xf numFmtId="0" fontId="8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0" fillId="0" borderId="0" xfId="1" applyAlignment="1">
      <alignment vertical="center" wrapText="1"/>
    </xf>
    <xf numFmtId="2" fontId="0" fillId="0" borderId="0" xfId="0" applyNumberFormat="1" applyAlignment="1">
      <alignment vertical="center" wrapText="1"/>
    </xf>
    <xf numFmtId="1" fontId="11" fillId="3" borderId="0" xfId="0" applyNumberFormat="1" applyFont="1" applyFill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168" fontId="11" fillId="3" borderId="0" xfId="0" applyNumberFormat="1" applyFont="1" applyFill="1" applyAlignment="1">
      <alignment horizontal="left" vertical="center" wrapText="1"/>
    </xf>
    <xf numFmtId="164" fontId="11" fillId="3" borderId="0" xfId="0" applyNumberFormat="1" applyFont="1" applyFill="1" applyAlignment="1">
      <alignment horizontal="left" vertical="center" wrapText="1"/>
    </xf>
    <xf numFmtId="0" fontId="11" fillId="5" borderId="0" xfId="0" applyFont="1" applyFill="1" applyAlignment="1">
      <alignment horizontal="left" vertical="center" wrapText="1"/>
    </xf>
    <xf numFmtId="3" fontId="11" fillId="3" borderId="0" xfId="0" applyNumberFormat="1" applyFont="1" applyFill="1" applyAlignment="1">
      <alignment horizontal="left" vertical="center" wrapText="1"/>
    </xf>
    <xf numFmtId="2" fontId="11" fillId="3" borderId="0" xfId="0" applyNumberFormat="1" applyFont="1" applyFill="1" applyAlignment="1">
      <alignment horizontal="left" vertical="center" wrapText="1"/>
    </xf>
    <xf numFmtId="166" fontId="11" fillId="3" borderId="0" xfId="0" applyNumberFormat="1" applyFont="1" applyFill="1" applyAlignment="1">
      <alignment horizontal="left" vertical="center" wrapText="1"/>
    </xf>
    <xf numFmtId="3" fontId="11" fillId="5" borderId="0" xfId="0" applyNumberFormat="1" applyFont="1" applyFill="1" applyAlignment="1">
      <alignment horizontal="left" vertical="center" wrapText="1"/>
    </xf>
    <xf numFmtId="164" fontId="8" fillId="0" borderId="0" xfId="0" applyNumberFormat="1" applyFont="1" applyAlignment="1">
      <alignment horizontal="left" vertical="center" wrapText="1"/>
    </xf>
    <xf numFmtId="3" fontId="8" fillId="0" borderId="0" xfId="0" applyNumberFormat="1" applyFont="1" applyAlignment="1">
      <alignment horizontal="left" vertical="center" wrapText="1"/>
    </xf>
    <xf numFmtId="2" fontId="8" fillId="0" borderId="0" xfId="0" applyNumberFormat="1" applyFont="1" applyAlignment="1">
      <alignment horizontal="left" vertical="center" wrapText="1"/>
    </xf>
    <xf numFmtId="9" fontId="8" fillId="0" borderId="0" xfId="0" applyNumberFormat="1" applyFont="1" applyAlignment="1">
      <alignment horizontal="left" vertical="center" wrapText="1"/>
    </xf>
    <xf numFmtId="164" fontId="7" fillId="0" borderId="0" xfId="0" applyNumberFormat="1" applyFont="1" applyAlignment="1">
      <alignment horizontal="left" vertical="center" wrapText="1"/>
    </xf>
    <xf numFmtId="3" fontId="7" fillId="0" borderId="0" xfId="0" applyNumberFormat="1" applyFont="1" applyAlignment="1">
      <alignment horizontal="left" vertical="center" wrapText="1"/>
    </xf>
    <xf numFmtId="2" fontId="7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vertical="center" wrapText="1"/>
    </xf>
    <xf numFmtId="168" fontId="5" fillId="0" borderId="0" xfId="0" applyNumberFormat="1" applyFont="1" applyAlignment="1">
      <alignment horizontal="right" vertical="center" wrapText="1"/>
    </xf>
    <xf numFmtId="164" fontId="5" fillId="0" borderId="0" xfId="0" applyNumberFormat="1" applyFont="1" applyAlignment="1">
      <alignment horizontal="right" vertical="center" wrapText="1"/>
    </xf>
    <xf numFmtId="164" fontId="5" fillId="4" borderId="0" xfId="0" applyNumberFormat="1" applyFont="1" applyFill="1" applyAlignment="1">
      <alignment horizontal="right" vertical="center" wrapText="1"/>
    </xf>
    <xf numFmtId="3" fontId="5" fillId="0" borderId="0" xfId="0" applyNumberFormat="1" applyFont="1" applyAlignment="1">
      <alignment horizontal="right" vertical="center" wrapText="1"/>
    </xf>
    <xf numFmtId="2" fontId="5" fillId="0" borderId="0" xfId="0" applyNumberFormat="1" applyFont="1" applyAlignment="1">
      <alignment horizontal="right" vertical="center" wrapText="1"/>
    </xf>
    <xf numFmtId="3" fontId="5" fillId="4" borderId="0" xfId="0" applyNumberFormat="1" applyFont="1" applyFill="1" applyAlignment="1">
      <alignment horizontal="right" vertical="center" wrapText="1"/>
    </xf>
    <xf numFmtId="3" fontId="0" fillId="0" borderId="0" xfId="0" applyNumberFormat="1" applyAlignment="1">
      <alignment vertical="center" wrapText="1"/>
    </xf>
    <xf numFmtId="0" fontId="12" fillId="3" borderId="0" xfId="0" applyFont="1" applyFill="1"/>
    <xf numFmtId="0" fontId="13" fillId="3" borderId="0" xfId="0" applyFont="1" applyFill="1" applyAlignment="1">
      <alignment horizontal="left"/>
    </xf>
    <xf numFmtId="164" fontId="13" fillId="3" borderId="0" xfId="0" applyNumberFormat="1" applyFont="1" applyFill="1" applyAlignment="1">
      <alignment horizontal="left"/>
    </xf>
    <xf numFmtId="164" fontId="13" fillId="3" borderId="0" xfId="0" applyNumberFormat="1" applyFont="1" applyFill="1" applyAlignment="1">
      <alignment horizontal="left" wrapText="1"/>
    </xf>
    <xf numFmtId="3" fontId="13" fillId="3" borderId="0" xfId="0" applyNumberFormat="1" applyFont="1" applyFill="1" applyAlignment="1">
      <alignment horizontal="left" wrapText="1"/>
    </xf>
    <xf numFmtId="3" fontId="13" fillId="3" borderId="0" xfId="0" applyNumberFormat="1" applyFont="1" applyFill="1" applyAlignment="1">
      <alignment horizontal="left"/>
    </xf>
    <xf numFmtId="166" fontId="13" fillId="3" borderId="0" xfId="0" applyNumberFormat="1" applyFont="1" applyFill="1" applyAlignment="1">
      <alignment horizontal="left"/>
    </xf>
    <xf numFmtId="0" fontId="10" fillId="0" borderId="0" xfId="1" applyAlignment="1">
      <alignment horizontal="left" vertical="center" wrapText="1"/>
    </xf>
    <xf numFmtId="168" fontId="1" fillId="0" borderId="0" xfId="0" applyNumberFormat="1" applyFont="1" applyAlignment="1">
      <alignment horizontal="right" vertical="center" wrapText="1"/>
    </xf>
    <xf numFmtId="16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right" vertical="center" wrapText="1"/>
    </xf>
    <xf numFmtId="2" fontId="1" fillId="0" borderId="0" xfId="0" applyNumberFormat="1" applyFont="1" applyAlignment="1">
      <alignment horizontal="righ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center" vertical="center" wrapText="1"/>
    </xf>
    <xf numFmtId="164" fontId="8" fillId="4" borderId="3" xfId="0" applyNumberFormat="1" applyFont="1" applyFill="1" applyBorder="1" applyAlignment="1">
      <alignment horizontal="center" vertical="center" wrapText="1"/>
    </xf>
    <xf numFmtId="168" fontId="8" fillId="4" borderId="3" xfId="0" applyNumberFormat="1" applyFont="1" applyFill="1" applyBorder="1" applyAlignment="1">
      <alignment horizontal="center" vertical="center" wrapText="1"/>
    </xf>
    <xf numFmtId="3" fontId="8" fillId="4" borderId="4" xfId="0" applyNumberFormat="1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left" vertical="center" wrapText="1"/>
    </xf>
    <xf numFmtId="168" fontId="8" fillId="6" borderId="5" xfId="0" applyNumberFormat="1" applyFont="1" applyFill="1" applyBorder="1" applyAlignment="1">
      <alignment vertical="center" wrapText="1"/>
    </xf>
    <xf numFmtId="169" fontId="8" fillId="6" borderId="8" xfId="2" applyNumberFormat="1" applyFont="1" applyFill="1" applyBorder="1" applyAlignment="1">
      <alignment vertical="center" wrapText="1"/>
    </xf>
    <xf numFmtId="9" fontId="8" fillId="6" borderId="6" xfId="3" applyFont="1" applyFill="1" applyBorder="1" applyAlignment="1">
      <alignment vertical="center" wrapText="1"/>
    </xf>
    <xf numFmtId="164" fontId="8" fillId="6" borderId="8" xfId="4" applyNumberFormat="1" applyFont="1" applyFill="1" applyBorder="1" applyAlignment="1">
      <alignment vertical="center" wrapText="1"/>
    </xf>
    <xf numFmtId="0" fontId="8" fillId="7" borderId="7" xfId="0" applyFont="1" applyFill="1" applyBorder="1" applyAlignment="1">
      <alignment horizontal="left" vertical="center" wrapText="1"/>
    </xf>
    <xf numFmtId="168" fontId="8" fillId="7" borderId="8" xfId="4" applyNumberFormat="1" applyFont="1" applyFill="1" applyBorder="1" applyAlignment="1">
      <alignment vertical="center" wrapText="1"/>
    </xf>
    <xf numFmtId="169" fontId="8" fillId="7" borderId="8" xfId="2" applyNumberFormat="1" applyFont="1" applyFill="1" applyBorder="1" applyAlignment="1">
      <alignment vertical="center" wrapText="1"/>
    </xf>
    <xf numFmtId="9" fontId="8" fillId="7" borderId="3" xfId="3" applyFont="1" applyFill="1" applyBorder="1" applyAlignment="1">
      <alignment vertical="center" wrapText="1"/>
    </xf>
    <xf numFmtId="164" fontId="8" fillId="7" borderId="8" xfId="4" applyNumberFormat="1" applyFont="1" applyFill="1" applyBorder="1" applyAlignment="1">
      <alignment vertical="center" wrapText="1"/>
    </xf>
    <xf numFmtId="0" fontId="8" fillId="8" borderId="7" xfId="0" applyFont="1" applyFill="1" applyBorder="1" applyAlignment="1">
      <alignment horizontal="left" vertical="center" wrapText="1"/>
    </xf>
    <xf numFmtId="168" fontId="8" fillId="8" borderId="5" xfId="0" applyNumberFormat="1" applyFont="1" applyFill="1" applyBorder="1" applyAlignment="1">
      <alignment vertical="center" wrapText="1"/>
    </xf>
    <xf numFmtId="169" fontId="8" fillId="8" borderId="8" xfId="2" applyNumberFormat="1" applyFont="1" applyFill="1" applyBorder="1" applyAlignment="1">
      <alignment vertical="center" wrapText="1"/>
    </xf>
    <xf numFmtId="9" fontId="8" fillId="8" borderId="6" xfId="3" applyFont="1" applyFill="1" applyBorder="1" applyAlignment="1">
      <alignment vertical="center" wrapText="1"/>
    </xf>
    <xf numFmtId="164" fontId="8" fillId="8" borderId="8" xfId="4" applyNumberFormat="1" applyFont="1" applyFill="1" applyBorder="1" applyAlignment="1">
      <alignment vertical="center" wrapText="1"/>
    </xf>
    <xf numFmtId="2" fontId="10" fillId="0" borderId="0" xfId="1" applyNumberFormat="1" applyAlignment="1">
      <alignment horizontal="right" vertical="center" wrapText="1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 vertical="center" wrapText="1"/>
    </xf>
    <xf numFmtId="164" fontId="0" fillId="0" borderId="0" xfId="0" applyNumberFormat="1"/>
    <xf numFmtId="3" fontId="0" fillId="4" borderId="0" xfId="0" applyNumberFormat="1" applyFill="1"/>
    <xf numFmtId="10" fontId="0" fillId="0" borderId="0" xfId="0" applyNumberFormat="1"/>
    <xf numFmtId="168" fontId="0" fillId="0" borderId="0" xfId="0" applyNumberFormat="1"/>
    <xf numFmtId="165" fontId="0" fillId="0" borderId="0" xfId="0" applyNumberFormat="1"/>
    <xf numFmtId="10" fontId="0" fillId="0" borderId="0" xfId="3" applyNumberFormat="1" applyFont="1" applyAlignment="1">
      <alignment vertical="center" wrapText="1"/>
    </xf>
    <xf numFmtId="168" fontId="0" fillId="0" borderId="0" xfId="0" applyNumberFormat="1" applyAlignment="1">
      <alignment vertical="center" wrapText="1"/>
    </xf>
    <xf numFmtId="165" fontId="0" fillId="0" borderId="0" xfId="0" applyNumberFormat="1" applyAlignment="1">
      <alignment vertical="center" wrapText="1"/>
    </xf>
    <xf numFmtId="0" fontId="20" fillId="0" borderId="1" xfId="0" applyFont="1" applyBorder="1" applyAlignment="1">
      <alignment horizontal="center"/>
    </xf>
    <xf numFmtId="0" fontId="21" fillId="0" borderId="1" xfId="0" applyFont="1" applyBorder="1"/>
    <xf numFmtId="164" fontId="21" fillId="0" borderId="1" xfId="0" applyNumberFormat="1" applyFont="1" applyBorder="1"/>
    <xf numFmtId="164" fontId="21" fillId="4" borderId="1" xfId="0" applyNumberFormat="1" applyFont="1" applyFill="1" applyBorder="1"/>
    <xf numFmtId="3" fontId="21" fillId="0" borderId="1" xfId="0" applyNumberFormat="1" applyFont="1" applyBorder="1"/>
    <xf numFmtId="10" fontId="21" fillId="0" borderId="1" xfId="0" applyNumberFormat="1" applyFont="1" applyBorder="1"/>
    <xf numFmtId="168" fontId="21" fillId="0" borderId="1" xfId="0" applyNumberFormat="1" applyFont="1" applyBorder="1"/>
    <xf numFmtId="165" fontId="21" fillId="0" borderId="1" xfId="0" applyNumberFormat="1" applyFont="1" applyBorder="1"/>
    <xf numFmtId="0" fontId="18" fillId="0" borderId="0" xfId="0" applyFont="1"/>
    <xf numFmtId="0" fontId="16" fillId="0" borderId="0" xfId="5" applyAlignment="1">
      <alignment horizontal="left" vertical="center" wrapText="1"/>
    </xf>
    <xf numFmtId="0" fontId="16" fillId="0" borderId="0" xfId="5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wrapText="1"/>
    </xf>
    <xf numFmtId="166" fontId="13" fillId="3" borderId="0" xfId="0" applyNumberFormat="1" applyFont="1" applyFill="1" applyAlignment="1">
      <alignment horizontal="left" wrapText="1"/>
    </xf>
    <xf numFmtId="164" fontId="0" fillId="0" borderId="0" xfId="0" applyNumberFormat="1" applyAlignment="1">
      <alignment horizontal="right" vertical="center" wrapText="1"/>
    </xf>
    <xf numFmtId="2" fontId="5" fillId="0" borderId="0" xfId="1" applyNumberFormat="1" applyFont="1" applyAlignment="1">
      <alignment horizontal="right" vertical="center" wrapText="1"/>
    </xf>
    <xf numFmtId="0" fontId="0" fillId="4" borderId="0" xfId="0" applyFill="1"/>
    <xf numFmtId="170" fontId="5" fillId="0" borderId="0" xfId="4" applyNumberFormat="1" applyFont="1"/>
    <xf numFmtId="3" fontId="4" fillId="5" borderId="0" xfId="0" applyNumberFormat="1" applyFont="1" applyFill="1" applyAlignment="1">
      <alignment horizontal="center"/>
    </xf>
    <xf numFmtId="3" fontId="0" fillId="4" borderId="0" xfId="0" applyNumberFormat="1" applyFill="1" applyAlignment="1">
      <alignment vertical="center" wrapText="1"/>
    </xf>
    <xf numFmtId="3" fontId="21" fillId="4" borderId="1" xfId="0" applyNumberFormat="1" applyFont="1" applyFill="1" applyBorder="1"/>
    <xf numFmtId="3" fontId="0" fillId="0" borderId="0" xfId="2" applyNumberFormat="1" applyFont="1" applyFill="1" applyAlignment="1">
      <alignment vertical="center" wrapText="1"/>
    </xf>
    <xf numFmtId="164" fontId="0" fillId="4" borderId="0" xfId="0" applyNumberFormat="1" applyFill="1"/>
    <xf numFmtId="164" fontId="0" fillId="4" borderId="0" xfId="0" applyNumberFormat="1" applyFill="1" applyAlignment="1">
      <alignment vertical="center" wrapText="1"/>
    </xf>
    <xf numFmtId="0" fontId="0" fillId="7" borderId="0" xfId="0" applyFill="1"/>
    <xf numFmtId="0" fontId="2" fillId="2" borderId="0" xfId="0" applyFont="1" applyFill="1" applyAlignment="1">
      <alignment horizontal="center"/>
    </xf>
    <xf numFmtId="0" fontId="0" fillId="0" borderId="0" xfId="0"/>
    <xf numFmtId="164" fontId="8" fillId="2" borderId="0" xfId="0" applyNumberFormat="1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4" fontId="14" fillId="2" borderId="0" xfId="0" applyNumberFormat="1" applyFont="1" applyFill="1" applyAlignment="1">
      <alignment horizontal="center" vertical="center" wrapText="1"/>
    </xf>
  </cellXfs>
  <cellStyles count="6">
    <cellStyle name="Comma" xfId="2" builtinId="3"/>
    <cellStyle name="Currency" xfId="4" builtinId="4"/>
    <cellStyle name="Heading 4" xfId="5" builtinId="19"/>
    <cellStyle name="Hyperlink" xfId="1" builtinId="8"/>
    <cellStyle name="Normal" xfId="0" builtinId="0"/>
    <cellStyle name="Percent" xfId="3" builtinId="5"/>
  </cellStyles>
  <dxfs count="35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1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rgb="FFDAD2E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numFmt numFmtId="3" formatCode="#,##0"/>
      <alignment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3" formatCode="#,##0"/>
      <fill>
        <patternFill patternType="solid">
          <fgColor rgb="FFD9D2E9"/>
          <bgColor rgb="FFD9D2E9"/>
        </patternFill>
      </fill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theme="6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border outline="0">
        <top style="thin">
          <color rgb="FFA5A5A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" formatCode="#,##0"/>
      <alignment horizontal="right" vertical="center" textRotation="0" wrapText="1" indent="0" justifyLastLine="0" shrinkToFit="0" readingOrder="0"/>
    </dxf>
    <dxf>
      <border outline="0">
        <bottom style="medium">
          <color rgb="FFA5A5A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sz val="10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7" formatCode="\$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0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0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  <fill>
        <patternFill>
          <bgColor rgb="FFDAD2E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D9D2E9"/>
          <bgColor rgb="FFD9D2E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"/>
      <fill>
        <patternFill patternType="solid">
          <fgColor indexed="64"/>
          <bgColor rgb="FFDAD2E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D9D2E9"/>
          <bgColor rgb="FFD9D2E9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B5A7D7"/>
      <color rgb="FFDAD2E9"/>
      <color rgb="FFA6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 50 Type Summary'!$F$2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1E-4CB0-9020-0A736FFA0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1E-4CB0-9020-0A736FFA0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1E-4CB0-9020-0A736FFA0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1E-4CB0-9020-0A736FFA0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1E-4CB0-9020-0A736FFA0F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 50 Type Summary'!$A$3:$A$7</c:f>
              <c:strCache>
                <c:ptCount val="5"/>
                <c:pt idx="0">
                  <c:v>-</c:v>
                </c:pt>
                <c:pt idx="1">
                  <c:v>Dongle</c:v>
                </c:pt>
                <c:pt idx="2">
                  <c:v>Handheld</c:v>
                </c:pt>
                <c:pt idx="3">
                  <c:v>Landscape</c:v>
                </c:pt>
                <c:pt idx="4">
                  <c:v>Wireless</c:v>
                </c:pt>
              </c:strCache>
            </c:strRef>
          </c:cat>
          <c:val>
            <c:numRef>
              <c:f>'Top 50 Type Summary'!$F$3:$F$7</c:f>
              <c:numCache>
                <c:formatCode>0%</c:formatCode>
                <c:ptCount val="5"/>
                <c:pt idx="0">
                  <c:v>2.2429396944691381E-2</c:v>
                </c:pt>
                <c:pt idx="1">
                  <c:v>0.28573635867559227</c:v>
                </c:pt>
                <c:pt idx="2">
                  <c:v>0.5185571397673765</c:v>
                </c:pt>
                <c:pt idx="3">
                  <c:v>0.140224125666428</c:v>
                </c:pt>
                <c:pt idx="4">
                  <c:v>3.3052978945911762E-2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1E-4CB0-9020-0A736FFA0FB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'Top 50 Type Summary'!$D$27</c:f>
              <c:strCache>
                <c:ptCount val="1"/>
                <c:pt idx="0">
                  <c:v>Qty by %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 50 Type Summary'!$A$28:$A$34</c:f>
              <c:strCache>
                <c:ptCount val="7"/>
                <c:pt idx="0">
                  <c:v>-</c:v>
                </c:pt>
                <c:pt idx="1">
                  <c:v>Accessory</c:v>
                </c:pt>
                <c:pt idx="2">
                  <c:v>Dongle</c:v>
                </c:pt>
                <c:pt idx="3">
                  <c:v>Handheld</c:v>
                </c:pt>
                <c:pt idx="4">
                  <c:v>Landscape</c:v>
                </c:pt>
                <c:pt idx="5">
                  <c:v>Pocket size</c:v>
                </c:pt>
                <c:pt idx="6">
                  <c:v>Wireless</c:v>
                </c:pt>
              </c:strCache>
            </c:strRef>
          </c:cat>
          <c:val>
            <c:numRef>
              <c:f>'Top 50 Type Summary'!$D$28:$D$34</c:f>
              <c:numCache>
                <c:formatCode>0%</c:formatCode>
                <c:ptCount val="7"/>
                <c:pt idx="0">
                  <c:v>4.1500075914773019E-3</c:v>
                </c:pt>
                <c:pt idx="1">
                  <c:v>1.12859962548712E-2</c:v>
                </c:pt>
                <c:pt idx="2">
                  <c:v>0.28655296320663998</c:v>
                </c:pt>
                <c:pt idx="3">
                  <c:v>0.59036388481198443</c:v>
                </c:pt>
                <c:pt idx="4">
                  <c:v>8.3759299559694314E-2</c:v>
                </c:pt>
                <c:pt idx="5">
                  <c:v>4.352446986183511E-3</c:v>
                </c:pt>
                <c:pt idx="6">
                  <c:v>1.9535401589149251E-2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A37-4539-8142-FC94F855F76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ln w="9525">
      <a:solidFill>
        <a:schemeClr val="bg2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 50 Type Summary'!$F$2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73-4A98-A992-00A9E4746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73-4A98-A992-00A9E47461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73-4A98-A992-00A9E4746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73-4A98-A992-00A9E47461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73-4A98-A992-00A9E47461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0C4-4A20-BF3F-188541D9AB0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445-664C-AAFA-E3841DA5986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 50 Type Summary'!$A$28:$A$34</c:f>
              <c:strCache>
                <c:ptCount val="7"/>
                <c:pt idx="0">
                  <c:v>-</c:v>
                </c:pt>
                <c:pt idx="1">
                  <c:v>Accessory</c:v>
                </c:pt>
                <c:pt idx="2">
                  <c:v>Dongle</c:v>
                </c:pt>
                <c:pt idx="3">
                  <c:v>Handheld</c:v>
                </c:pt>
                <c:pt idx="4">
                  <c:v>Landscape</c:v>
                </c:pt>
                <c:pt idx="5">
                  <c:v>Pocket size</c:v>
                </c:pt>
                <c:pt idx="6">
                  <c:v>Wireless</c:v>
                </c:pt>
              </c:strCache>
            </c:strRef>
          </c:cat>
          <c:val>
            <c:numRef>
              <c:f>'Top 50 Type Summary'!$F$28:$F$34</c:f>
              <c:numCache>
                <c:formatCode>0%</c:formatCode>
                <c:ptCount val="7"/>
                <c:pt idx="0">
                  <c:v>6.3089967054821899E-3</c:v>
                </c:pt>
                <c:pt idx="1">
                  <c:v>8.3676882600800396E-4</c:v>
                </c:pt>
                <c:pt idx="2">
                  <c:v>0.29575747911776967</c:v>
                </c:pt>
                <c:pt idx="3">
                  <c:v>0.5308830377107272</c:v>
                </c:pt>
                <c:pt idx="4">
                  <c:v>0.1301726390819937</c:v>
                </c:pt>
                <c:pt idx="5">
                  <c:v>2.2877002398345842E-3</c:v>
                </c:pt>
                <c:pt idx="6">
                  <c:v>3.3753378318184438E-2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773-4A98-A992-00A9E47461E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 50 Type Summary'!$D$2</c:f>
              <c:strCache>
                <c:ptCount val="1"/>
                <c:pt idx="0">
                  <c:v>Qty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6B-4FA9-BF6A-8897EDE3AC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6B-4FA9-BF6A-8897EDE3AC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6B-4FA9-BF6A-8897EDE3AC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6B-4FA9-BF6A-8897EDE3AC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6B-4FA9-BF6A-8897EDE3AC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 50 Type Summary'!$A$3:$A$7</c:f>
              <c:strCache>
                <c:ptCount val="5"/>
                <c:pt idx="0">
                  <c:v>-</c:v>
                </c:pt>
                <c:pt idx="1">
                  <c:v>Dongle</c:v>
                </c:pt>
                <c:pt idx="2">
                  <c:v>Handheld</c:v>
                </c:pt>
                <c:pt idx="3">
                  <c:v>Landscape</c:v>
                </c:pt>
                <c:pt idx="4">
                  <c:v>Wireless</c:v>
                </c:pt>
              </c:strCache>
            </c:strRef>
          </c:cat>
          <c:val>
            <c:numRef>
              <c:f>'Top 50 Type Summary'!$D$3:$D$7</c:f>
              <c:numCache>
                <c:formatCode>0%</c:formatCode>
                <c:ptCount val="5"/>
                <c:pt idx="0">
                  <c:v>1.250321584769745E-2</c:v>
                </c:pt>
                <c:pt idx="1">
                  <c:v>0.28623617185490102</c:v>
                </c:pt>
                <c:pt idx="2">
                  <c:v>0.59109853357344999</c:v>
                </c:pt>
                <c:pt idx="3">
                  <c:v>9.0301003344481601E-2</c:v>
                </c:pt>
                <c:pt idx="4">
                  <c:v>1.9861075379470031E-2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66B-4FA9-BF6A-8897EDE3AC1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Basic Resolution Summary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8C-7B44-AFF5-8F903A78F1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8C-7B44-AFF5-8F903A78F1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8C-7B44-AFF5-8F903A78F1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8C-7B44-AFF5-8F903A78F1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62-7D44-817D-7AA3B9D3E0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E62-7D44-817D-7AA3B9D3E0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AD35-B549-9724-D62EA54BC99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E62-7D44-817D-7AA3B9D3E0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E62-7D44-817D-7AA3B9D3E01C}"/>
              </c:ext>
            </c:extLst>
          </c:dPt>
          <c:dLbls>
            <c:dLbl>
              <c:idx val="6"/>
              <c:layout>
                <c:manualLayout>
                  <c:x val="-7.1017012683941366E-2"/>
                  <c:y val="-2.860148373809516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D35-B549-9724-D62EA54BC9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Basic Resolution Summary '!$A$3:$A$11</c:f>
              <c:strCache>
                <c:ptCount val="9"/>
                <c:pt idx="0">
                  <c:v>-</c:v>
                </c:pt>
                <c:pt idx="1">
                  <c:v>120x90</c:v>
                </c:pt>
                <c:pt idx="2">
                  <c:v>128x128</c:v>
                </c:pt>
                <c:pt idx="3">
                  <c:v>128x96</c:v>
                </c:pt>
                <c:pt idx="4">
                  <c:v>160x120</c:v>
                </c:pt>
                <c:pt idx="5">
                  <c:v>256x192</c:v>
                </c:pt>
                <c:pt idx="6">
                  <c:v>320x240</c:v>
                </c:pt>
                <c:pt idx="7">
                  <c:v>80x60</c:v>
                </c:pt>
                <c:pt idx="8">
                  <c:v>96x96</c:v>
                </c:pt>
              </c:strCache>
            </c:strRef>
          </c:cat>
          <c:val>
            <c:numRef>
              <c:f>'Top50 Basic Resolution Summary '!$F$3:$F$11</c:f>
              <c:numCache>
                <c:formatCode>0%</c:formatCode>
                <c:ptCount val="9"/>
                <c:pt idx="0">
                  <c:v>2.2429396944691381E-2</c:v>
                </c:pt>
                <c:pt idx="1">
                  <c:v>6.6468913743708462E-3</c:v>
                </c:pt>
                <c:pt idx="2">
                  <c:v>0.1892213196353639</c:v>
                </c:pt>
                <c:pt idx="3">
                  <c:v>1.8560542503957542E-2</c:v>
                </c:pt>
                <c:pt idx="4">
                  <c:v>0.16491234473139779</c:v>
                </c:pt>
                <c:pt idx="5">
                  <c:v>0.31025079774204672</c:v>
                </c:pt>
                <c:pt idx="6">
                  <c:v>1.475467332860819E-2</c:v>
                </c:pt>
                <c:pt idx="7">
                  <c:v>0.1032605995876144</c:v>
                </c:pt>
                <c:pt idx="8">
                  <c:v>0.16996343415194909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78C-7B44-AFF5-8F903A78F13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'Top50 Basic Resolution Summary '!$D$32</c:f>
              <c:strCache>
                <c:ptCount val="1"/>
                <c:pt idx="0">
                  <c:v>Qty by %</c:v>
                </c:pt>
              </c:strCache>
            </c:strRef>
          </c:tx>
          <c:dLbls>
            <c:dLbl>
              <c:idx val="10"/>
              <c:layout>
                <c:manualLayout>
                  <c:x val="-7.8649670534207142E-2"/>
                  <c:y val="5.998583510394524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861-804E-9A6A-51D82F72C5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Basic Resolution Summary '!$A$33:$A$43</c:f>
              <c:strCache>
                <c:ptCount val="9"/>
                <c:pt idx="0">
                  <c:v>-</c:v>
                </c:pt>
                <c:pt idx="1">
                  <c:v>120x90</c:v>
                </c:pt>
                <c:pt idx="2">
                  <c:v>128x128</c:v>
                </c:pt>
                <c:pt idx="3">
                  <c:v>128x96</c:v>
                </c:pt>
                <c:pt idx="4">
                  <c:v>160x120</c:v>
                </c:pt>
                <c:pt idx="5">
                  <c:v>256x192</c:v>
                </c:pt>
                <c:pt idx="6">
                  <c:v>320x240</c:v>
                </c:pt>
                <c:pt idx="7">
                  <c:v>80x60</c:v>
                </c:pt>
                <c:pt idx="8">
                  <c:v>96x96</c:v>
                </c:pt>
              </c:strCache>
            </c:strRef>
          </c:cat>
          <c:val>
            <c:numRef>
              <c:f>'Top50 Basic Resolution Summary '!$D$33:$D$43</c:f>
              <c:numCache>
                <c:formatCode>0%</c:formatCode>
                <c:ptCount val="11"/>
                <c:pt idx="0">
                  <c:v>1.54360038463485E-2</c:v>
                </c:pt>
                <c:pt idx="1">
                  <c:v>1.143782580090085E-2</c:v>
                </c:pt>
                <c:pt idx="2">
                  <c:v>0.25851510703982988</c:v>
                </c:pt>
                <c:pt idx="3">
                  <c:v>9.6158712485449674E-3</c:v>
                </c:pt>
                <c:pt idx="4">
                  <c:v>0.1250063262310846</c:v>
                </c:pt>
                <c:pt idx="5">
                  <c:v>0.23128700845184469</c:v>
                </c:pt>
                <c:pt idx="6">
                  <c:v>4.0993977428007491E-3</c:v>
                </c:pt>
                <c:pt idx="7">
                  <c:v>0.10607824282605401</c:v>
                </c:pt>
                <c:pt idx="8">
                  <c:v>0.2385242168125917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A7-5B43-BC86-A7D8B7C0080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ln w="9525">
      <a:solidFill>
        <a:schemeClr val="bg2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Basic Resolution Summary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782-D34E-A038-B1B19378C9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782-D34E-A038-B1B19378C9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782-D34E-A038-B1B19378C9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782-D34E-A038-B1B19378C9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782-D34E-A038-B1B19378C9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C3D-5841-923D-22AA296566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C3D-5841-923D-22AA296566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C3D-5841-923D-22AA296566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C3D-5841-923D-22AA296566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C3D-5841-923D-22AA296566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C3D-5841-923D-22AA296566A3}"/>
              </c:ext>
            </c:extLst>
          </c:dPt>
          <c:dLbls>
            <c:dLbl>
              <c:idx val="10"/>
              <c:layout>
                <c:manualLayout>
                  <c:x val="-8.7494636014031082E-2"/>
                  <c:y val="2.627571553555803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C3D-5841-923D-22AA296566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Basic Resolution Summary '!$A$33:$A$43</c:f>
              <c:strCache>
                <c:ptCount val="9"/>
                <c:pt idx="0">
                  <c:v>-</c:v>
                </c:pt>
                <c:pt idx="1">
                  <c:v>120x90</c:v>
                </c:pt>
                <c:pt idx="2">
                  <c:v>128x128</c:v>
                </c:pt>
                <c:pt idx="3">
                  <c:v>128x96</c:v>
                </c:pt>
                <c:pt idx="4">
                  <c:v>160x120</c:v>
                </c:pt>
                <c:pt idx="5">
                  <c:v>256x192</c:v>
                </c:pt>
                <c:pt idx="6">
                  <c:v>320x240</c:v>
                </c:pt>
                <c:pt idx="7">
                  <c:v>80x60</c:v>
                </c:pt>
                <c:pt idx="8">
                  <c:v>96x96</c:v>
                </c:pt>
              </c:strCache>
            </c:strRef>
          </c:cat>
          <c:val>
            <c:numRef>
              <c:f>'Top50 Basic Resolution Summary '!$F$33:$F$43</c:f>
              <c:numCache>
                <c:formatCode>0%</c:formatCode>
                <c:ptCount val="11"/>
                <c:pt idx="0">
                  <c:v>7.145765531490194E-3</c:v>
                </c:pt>
                <c:pt idx="1">
                  <c:v>7.4264598795982482E-3</c:v>
                </c:pt>
                <c:pt idx="2">
                  <c:v>0.19323095803165161</c:v>
                </c:pt>
                <c:pt idx="3">
                  <c:v>1.895384418911232E-2</c:v>
                </c:pt>
                <c:pt idx="4">
                  <c:v>0.16840687098632029</c:v>
                </c:pt>
                <c:pt idx="5">
                  <c:v>0.3084673664745895</c:v>
                </c:pt>
                <c:pt idx="6">
                  <c:v>1.506732786889506E-2</c:v>
                </c:pt>
                <c:pt idx="7">
                  <c:v>0.10773641301537119</c:v>
                </c:pt>
                <c:pt idx="8">
                  <c:v>0.17356499402297129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782-D34E-A038-B1B19378C9B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Basic Resolution Summary '!$D$2</c:f>
              <c:strCache>
                <c:ptCount val="1"/>
                <c:pt idx="0">
                  <c:v>Qty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F31-C345-80DC-02D58C30AD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F31-C345-80DC-02D58C30AD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F31-C345-80DC-02D58C30AD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F31-C345-80DC-02D58C30AD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F31-C345-80DC-02D58C30AD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F31-C345-80DC-02D58C30AD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5858-3646-9DEF-0E14E7E0862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F1D-2246-82D3-D7B2859C0F7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F1D-2246-82D3-D7B2859C0F7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F1D-2246-82D3-D7B2859C0F70}"/>
              </c:ext>
            </c:extLst>
          </c:dPt>
          <c:dLbls>
            <c:dLbl>
              <c:idx val="6"/>
              <c:layout>
                <c:manualLayout>
                  <c:x val="-9.4155438767749913E-2"/>
                  <c:y val="-5.1433429753253844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858-3646-9DEF-0E14E7E0862F}"/>
                </c:ext>
              </c:extLst>
            </c:dLbl>
            <c:dLbl>
              <c:idx val="9"/>
              <c:layout>
                <c:manualLayout>
                  <c:x val="-6.643619427065961E-2"/>
                  <c:y val="9.28450610340372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F1D-2246-82D3-D7B2859C0F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Basic Resolution Summary '!$A$3:$A$12</c:f>
              <c:strCache>
                <c:ptCount val="9"/>
                <c:pt idx="0">
                  <c:v>-</c:v>
                </c:pt>
                <c:pt idx="1">
                  <c:v>120x90</c:v>
                </c:pt>
                <c:pt idx="2">
                  <c:v>128x128</c:v>
                </c:pt>
                <c:pt idx="3">
                  <c:v>128x96</c:v>
                </c:pt>
                <c:pt idx="4">
                  <c:v>160x120</c:v>
                </c:pt>
                <c:pt idx="5">
                  <c:v>256x192</c:v>
                </c:pt>
                <c:pt idx="6">
                  <c:v>320x240</c:v>
                </c:pt>
                <c:pt idx="7">
                  <c:v>80x60</c:v>
                </c:pt>
                <c:pt idx="8">
                  <c:v>96x96</c:v>
                </c:pt>
              </c:strCache>
            </c:strRef>
          </c:cat>
          <c:val>
            <c:numRef>
              <c:f>'Top50 Basic Resolution Summary '!$D$3:$D$12</c:f>
              <c:numCache>
                <c:formatCode>0%</c:formatCode>
                <c:ptCount val="10"/>
                <c:pt idx="0">
                  <c:v>1.250321584769745E-2</c:v>
                </c:pt>
                <c:pt idx="1">
                  <c:v>1.8008747105737069E-3</c:v>
                </c:pt>
                <c:pt idx="2">
                  <c:v>0.26282480061744268</c:v>
                </c:pt>
                <c:pt idx="3">
                  <c:v>9.7761770002572686E-3</c:v>
                </c:pt>
                <c:pt idx="4">
                  <c:v>0.12709030100334451</c:v>
                </c:pt>
                <c:pt idx="5">
                  <c:v>0.23591458708515561</c:v>
                </c:pt>
                <c:pt idx="6">
                  <c:v>4.1677386158991509E-3</c:v>
                </c:pt>
                <c:pt idx="7">
                  <c:v>0.10342166195009</c:v>
                </c:pt>
                <c:pt idx="8">
                  <c:v>0.24250064316953951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F31-C345-80DC-02D58C30AD4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 50 Super Resolutio Summary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A9-2D45-852E-BB424706289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A9-2D45-852E-BB424706289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A9-2D45-852E-BB424706289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A9-2D45-852E-BB424706289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A9-2D45-852E-BB424706289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9A1-DB41-BD86-DF03223671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9DCE-5547-B94F-DB092C9BC66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9A1-DB41-BD86-DF0322367195}"/>
              </c:ext>
            </c:extLst>
          </c:dPt>
          <c:dLbls>
            <c:dLbl>
              <c:idx val="6"/>
              <c:layout>
                <c:manualLayout>
                  <c:x val="-2.9096517430746191E-2"/>
                  <c:y val="-4.815435155436949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DCE-5547-B94F-DB092C9BC66D}"/>
                </c:ext>
              </c:extLst>
            </c:dLbl>
            <c:dLbl>
              <c:idx val="7"/>
              <c:layout>
                <c:manualLayout>
                  <c:x val="1.7990652062787476E-2"/>
                  <c:y val="9.053201683122865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9A1-DB41-BD86-DF03223671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 50 Super Resolutio Summary '!$A$3:$A$10</c:f>
              <c:strCache>
                <c:ptCount val="8"/>
                <c:pt idx="0">
                  <c:v>-</c:v>
                </c:pt>
                <c:pt idx="1">
                  <c:v>160x120</c:v>
                </c:pt>
                <c:pt idx="2">
                  <c:v>192x192</c:v>
                </c:pt>
                <c:pt idx="3">
                  <c:v>240x180</c:v>
                </c:pt>
                <c:pt idx="4">
                  <c:v>240x240</c:v>
                </c:pt>
                <c:pt idx="5">
                  <c:v>320x240</c:v>
                </c:pt>
                <c:pt idx="6">
                  <c:v>480x360</c:v>
                </c:pt>
                <c:pt idx="7">
                  <c:v>512x384</c:v>
                </c:pt>
              </c:strCache>
            </c:strRef>
          </c:cat>
          <c:val>
            <c:numRef>
              <c:f>'Top 50 Super Resolutio Summary '!$F$3:$F$10</c:f>
              <c:numCache>
                <c:formatCode>0%</c:formatCode>
                <c:ptCount val="8"/>
                <c:pt idx="0">
                  <c:v>0.16679422106603981</c:v>
                </c:pt>
                <c:pt idx="1">
                  <c:v>3.4807786501271441E-2</c:v>
                </c:pt>
                <c:pt idx="2">
                  <c:v>5.4912894303919208E-3</c:v>
                </c:pt>
                <c:pt idx="3">
                  <c:v>7.367982195056548E-2</c:v>
                </c:pt>
                <c:pt idx="4">
                  <c:v>0.35369346435692112</c:v>
                </c:pt>
                <c:pt idx="5">
                  <c:v>5.4549614478910657E-2</c:v>
                </c:pt>
                <c:pt idx="6">
                  <c:v>6.4748966918986156E-2</c:v>
                </c:pt>
                <c:pt idx="7">
                  <c:v>0.20534053923455931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CA9-2D45-852E-BB42470628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'Top 50 Super Resolutio Summary '!$D$31</c:f>
              <c:strCache>
                <c:ptCount val="1"/>
                <c:pt idx="0">
                  <c:v>Qty by %</c:v>
                </c:pt>
              </c:strCache>
            </c:strRef>
          </c:tx>
          <c:dLbls>
            <c:dLbl>
              <c:idx val="6"/>
              <c:layout>
                <c:manualLayout>
                  <c:x val="2.879416630021802E-2"/>
                  <c:y val="8.726575844686041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AA3-034E-A2B0-0B0712B73C16}"/>
                </c:ext>
              </c:extLst>
            </c:dLbl>
            <c:dLbl>
              <c:idx val="8"/>
              <c:layout>
                <c:manualLayout>
                  <c:x val="-2.3388426919703633E-2"/>
                  <c:y val="-1.328567262425530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3-034E-A2B0-0B0712B73C16}"/>
                </c:ext>
              </c:extLst>
            </c:dLbl>
            <c:dLbl>
              <c:idx val="10"/>
              <c:layout>
                <c:manualLayout>
                  <c:x val="-7.8649670534207142E-2"/>
                  <c:y val="5.998583510394524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3-034E-A2B0-0B0712B73C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 50 Super Resolutio Summary '!$A$32:$A$42</c:f>
              <c:strCache>
                <c:ptCount val="9"/>
                <c:pt idx="0">
                  <c:v>-</c:v>
                </c:pt>
                <c:pt idx="1">
                  <c:v>160x120</c:v>
                </c:pt>
                <c:pt idx="2">
                  <c:v>192x192</c:v>
                </c:pt>
                <c:pt idx="3">
                  <c:v>240x180</c:v>
                </c:pt>
                <c:pt idx="4">
                  <c:v>240x240</c:v>
                </c:pt>
                <c:pt idx="5">
                  <c:v>320x240</c:v>
                </c:pt>
                <c:pt idx="6">
                  <c:v>480x360</c:v>
                </c:pt>
                <c:pt idx="7">
                  <c:v>512x384</c:v>
                </c:pt>
                <c:pt idx="8">
                  <c:v>640x480</c:v>
                </c:pt>
              </c:strCache>
            </c:strRef>
          </c:cat>
          <c:val>
            <c:numRef>
              <c:f>'Top 50 Super Resolutio Summary '!$D$32:$D$42</c:f>
              <c:numCache>
                <c:formatCode>0%</c:formatCode>
                <c:ptCount val="11"/>
                <c:pt idx="0">
                  <c:v>8.5429424566020554E-2</c:v>
                </c:pt>
                <c:pt idx="1">
                  <c:v>2.4292727364745179E-2</c:v>
                </c:pt>
                <c:pt idx="2">
                  <c:v>1.250063262310846E-2</c:v>
                </c:pt>
                <c:pt idx="3">
                  <c:v>9.5399564755301383E-2</c:v>
                </c:pt>
                <c:pt idx="4">
                  <c:v>0.4845386912293132</c:v>
                </c:pt>
                <c:pt idx="5">
                  <c:v>6.9740371476289281E-2</c:v>
                </c:pt>
                <c:pt idx="6">
                  <c:v>3.6135431955058452E-2</c:v>
                </c:pt>
                <c:pt idx="7">
                  <c:v>0.1614454172782023</c:v>
                </c:pt>
                <c:pt idx="8">
                  <c:v>3.0517738751961131E-2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71-BD4C-81D2-4F192C91864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ln w="9525">
      <a:solidFill>
        <a:schemeClr val="bg2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 50 Super Resolutio Summary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A2-A944-8BC0-DC4C6A87F77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A2-A944-8BC0-DC4C6A87F77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A2-A944-8BC0-DC4C6A87F77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A2-A944-8BC0-DC4C6A87F77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A2-A944-8BC0-DC4C6A87F77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6A2-A944-8BC0-DC4C6A87F77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F35-3E49-B0BA-5DA6E6A0AC1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F35-3E49-B0BA-5DA6E6A0AC1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F35-3E49-B0BA-5DA6E6A0AC1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F35-3E49-B0BA-5DA6E6A0AC1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F35-3E49-B0BA-5DA6E6A0AC16}"/>
              </c:ext>
            </c:extLst>
          </c:dPt>
          <c:dLbls>
            <c:dLbl>
              <c:idx val="6"/>
              <c:layout>
                <c:manualLayout>
                  <c:x val="1.2032947061983785E-2"/>
                  <c:y val="1.541440653251676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F35-3E49-B0BA-5DA6E6A0AC16}"/>
                </c:ext>
              </c:extLst>
            </c:dLbl>
            <c:dLbl>
              <c:idx val="8"/>
              <c:layout>
                <c:manualLayout>
                  <c:x val="-7.7412755884455663E-3"/>
                  <c:y val="-2.45655959671707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F35-3E49-B0BA-5DA6E6A0AC16}"/>
                </c:ext>
              </c:extLst>
            </c:dLbl>
            <c:dLbl>
              <c:idx val="10"/>
              <c:layout>
                <c:manualLayout>
                  <c:x val="-8.7494636014031082E-2"/>
                  <c:y val="2.627571553555803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35-3E49-B0BA-5DA6E6A0AC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 50 Super Resolutio Summary '!$A$32:$A$42</c:f>
              <c:strCache>
                <c:ptCount val="9"/>
                <c:pt idx="0">
                  <c:v>-</c:v>
                </c:pt>
                <c:pt idx="1">
                  <c:v>160x120</c:v>
                </c:pt>
                <c:pt idx="2">
                  <c:v>192x192</c:v>
                </c:pt>
                <c:pt idx="3">
                  <c:v>240x180</c:v>
                </c:pt>
                <c:pt idx="4">
                  <c:v>240x240</c:v>
                </c:pt>
                <c:pt idx="5">
                  <c:v>320x240</c:v>
                </c:pt>
                <c:pt idx="6">
                  <c:v>480x360</c:v>
                </c:pt>
                <c:pt idx="7">
                  <c:v>512x384</c:v>
                </c:pt>
                <c:pt idx="8">
                  <c:v>640x480</c:v>
                </c:pt>
              </c:strCache>
            </c:strRef>
          </c:cat>
          <c:val>
            <c:numRef>
              <c:f>'Top 50 Super Resolutio Summary '!$F$32:$F$42</c:f>
              <c:numCache>
                <c:formatCode>0%</c:formatCode>
                <c:ptCount val="11"/>
                <c:pt idx="0">
                  <c:v>0.14383454555390279</c:v>
                </c:pt>
                <c:pt idx="1">
                  <c:v>3.5545370603920309E-2</c:v>
                </c:pt>
                <c:pt idx="2">
                  <c:v>5.6076509745755154E-3</c:v>
                </c:pt>
                <c:pt idx="3">
                  <c:v>8.2667572300465578E-2</c:v>
                </c:pt>
                <c:pt idx="4">
                  <c:v>0.3611883010800474</c:v>
                </c:pt>
                <c:pt idx="5">
                  <c:v>5.5705531947084039E-2</c:v>
                </c:pt>
                <c:pt idx="6">
                  <c:v>6.6121010747761E-2</c:v>
                </c:pt>
                <c:pt idx="7">
                  <c:v>0.20756916224696159</c:v>
                </c:pt>
                <c:pt idx="8">
                  <c:v>4.1760854545281612E-2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A2-A944-8BC0-DC4C6A87F77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 50 Super Resolutio Summary '!$D$2</c:f>
              <c:strCache>
                <c:ptCount val="1"/>
                <c:pt idx="0">
                  <c:v>Qty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B1E-7E45-921F-D3EF86F413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B1E-7E45-921F-D3EF86F413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B1E-7E45-921F-D3EF86F413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B1E-7E45-921F-D3EF86F413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B1E-7E45-921F-D3EF86F413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B1E-7E45-921F-D3EF86F413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B1E-7E45-921F-D3EF86F413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355-664B-90BE-83D4747CED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355-664B-90BE-83D4747CED77}"/>
              </c:ext>
            </c:extLst>
          </c:dPt>
          <c:dLbls>
            <c:dLbl>
              <c:idx val="6"/>
              <c:layout>
                <c:manualLayout>
                  <c:x val="-5.6100415991012599E-2"/>
                  <c:y val="1.8924259257981298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B1E-7E45-921F-D3EF86F4130C}"/>
                </c:ext>
              </c:extLst>
            </c:dLbl>
            <c:dLbl>
              <c:idx val="7"/>
              <c:layout>
                <c:manualLayout>
                  <c:x val="6.1785395187592372E-3"/>
                  <c:y val="-3.288222305545140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355-664B-90BE-83D4747CED77}"/>
                </c:ext>
              </c:extLst>
            </c:dLbl>
            <c:dLbl>
              <c:idx val="8"/>
              <c:layout>
                <c:manualLayout>
                  <c:x val="-6.643619427065961E-2"/>
                  <c:y val="9.28450610340372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355-664B-90BE-83D4747CED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 50 Super Resolutio Summary '!$A$3:$A$11</c:f>
              <c:strCache>
                <c:ptCount val="9"/>
                <c:pt idx="0">
                  <c:v>-</c:v>
                </c:pt>
                <c:pt idx="1">
                  <c:v>160x120</c:v>
                </c:pt>
                <c:pt idx="2">
                  <c:v>192x192</c:v>
                </c:pt>
                <c:pt idx="3">
                  <c:v>240x180</c:v>
                </c:pt>
                <c:pt idx="4">
                  <c:v>240x240</c:v>
                </c:pt>
                <c:pt idx="5">
                  <c:v>320x240</c:v>
                </c:pt>
                <c:pt idx="6">
                  <c:v>480x360</c:v>
                </c:pt>
                <c:pt idx="7">
                  <c:v>512x384</c:v>
                </c:pt>
                <c:pt idx="8">
                  <c:v>640x480</c:v>
                </c:pt>
              </c:strCache>
            </c:strRef>
          </c:cat>
          <c:val>
            <c:numRef>
              <c:f>'Top 50 Super Resolutio Summary '!$D$3:$D$11</c:f>
              <c:numCache>
                <c:formatCode>0%</c:formatCode>
                <c:ptCount val="9"/>
                <c:pt idx="0">
                  <c:v>8.4383843581168003E-2</c:v>
                </c:pt>
                <c:pt idx="1">
                  <c:v>2.4697710316439411E-2</c:v>
                </c:pt>
                <c:pt idx="2">
                  <c:v>1.270903010033445E-2</c:v>
                </c:pt>
                <c:pt idx="3">
                  <c:v>8.5361461281193721E-2</c:v>
                </c:pt>
                <c:pt idx="4">
                  <c:v>0.49261641368664782</c:v>
                </c:pt>
                <c:pt idx="5">
                  <c:v>7.0903010033444819E-2</c:v>
                </c:pt>
                <c:pt idx="6">
                  <c:v>3.6737844095703617E-2</c:v>
                </c:pt>
                <c:pt idx="7">
                  <c:v>0.16156418832004121</c:v>
                </c:pt>
                <c:pt idx="8">
                  <c:v>3.1026498585027009E-2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B1E-7E45-921F-D3EF86F4130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Laser Summary 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A2-EF43-B5EC-F34B42BB22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A2-EF43-B5EC-F34B42BB22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A2-EF43-B5EC-F34B42BB2210}"/>
              </c:ext>
            </c:extLst>
          </c:dPt>
          <c:dLbls>
            <c:dLbl>
              <c:idx val="1"/>
              <c:layout>
                <c:manualLayout>
                  <c:x val="1.7990652062787476E-2"/>
                  <c:y val="9.053201683122865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A2-EF43-B5EC-F34B42BB22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Laser Summary  '!$A$3:$A$5</c:f>
              <c:strCache>
                <c:ptCount val="3"/>
                <c:pt idx="0">
                  <c:v>-</c:v>
                </c:pt>
                <c:pt idx="1">
                  <c:v>No</c:v>
                </c:pt>
                <c:pt idx="2">
                  <c:v>Yes</c:v>
                </c:pt>
              </c:strCache>
            </c:strRef>
          </c:cat>
          <c:val>
            <c:numRef>
              <c:f>'Top50 Laser Summary  '!$F$3:$F$5</c:f>
              <c:numCache>
                <c:formatCode>0%</c:formatCode>
                <c:ptCount val="3"/>
                <c:pt idx="0">
                  <c:v>2.2429396944691381E-2</c:v>
                </c:pt>
                <c:pt idx="1">
                  <c:v>0.8068261512050785</c:v>
                </c:pt>
                <c:pt idx="2">
                  <c:v>0.17074445185022999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2A2-EF43-B5EC-F34B42BB221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'Top50 Laser Summary  '!$D$27</c:f>
              <c:strCache>
                <c:ptCount val="1"/>
                <c:pt idx="0">
                  <c:v>Qty by %</c:v>
                </c:pt>
              </c:strCache>
            </c:strRef>
          </c:tx>
          <c:dLbls>
            <c:dLbl>
              <c:idx val="1"/>
              <c:layout>
                <c:manualLayout>
                  <c:x val="2.879416630021802E-2"/>
                  <c:y val="8.726575844686041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D3-A441-A298-BB0B65BE19EF}"/>
                </c:ext>
              </c:extLst>
            </c:dLbl>
            <c:dLbl>
              <c:idx val="4"/>
              <c:layout>
                <c:manualLayout>
                  <c:x val="-7.8649670534207142E-2"/>
                  <c:y val="5.998583510394524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6B0-7145-A15A-37D9398DE4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Laser Summary  '!$A$28:$A$32</c:f>
              <c:strCache>
                <c:ptCount val="3"/>
                <c:pt idx="0">
                  <c:v>-</c:v>
                </c:pt>
                <c:pt idx="1">
                  <c:v>No</c:v>
                </c:pt>
                <c:pt idx="2">
                  <c:v>Yes</c:v>
                </c:pt>
              </c:strCache>
            </c:strRef>
          </c:cat>
          <c:val>
            <c:numRef>
              <c:f>'Top50 Laser Summary  '!$D$28:$D$32</c:f>
              <c:numCache>
                <c:formatCode>0%</c:formatCode>
                <c:ptCount val="5"/>
                <c:pt idx="0">
                  <c:v>1.54360038463485E-2</c:v>
                </c:pt>
                <c:pt idx="1">
                  <c:v>0.82736980616427958</c:v>
                </c:pt>
                <c:pt idx="2">
                  <c:v>0.1571941899893719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D3-A441-A298-BB0B65BE19E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ln w="9525">
      <a:solidFill>
        <a:schemeClr val="bg2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Laser Summary 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CD-F24D-A9F2-DF3C53267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CD-F24D-A9F2-DF3C53267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CD-F24D-A9F2-DF3C53267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FCD-F24D-A9F2-DF3C53267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FCD-F24D-A9F2-DF3C53267010}"/>
              </c:ext>
            </c:extLst>
          </c:dPt>
          <c:dLbls>
            <c:dLbl>
              <c:idx val="1"/>
              <c:layout>
                <c:manualLayout>
                  <c:x val="1.2032947061983785E-2"/>
                  <c:y val="1.541440653251676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FCD-F24D-A9F2-DF3C53267010}"/>
                </c:ext>
              </c:extLst>
            </c:dLbl>
            <c:dLbl>
              <c:idx val="4"/>
              <c:layout>
                <c:manualLayout>
                  <c:x val="-8.7494636014031082E-2"/>
                  <c:y val="2.627571553555803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FCD-F24D-A9F2-DF3C532670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Laser Summary  '!$A$28:$A$32</c:f>
              <c:strCache>
                <c:ptCount val="3"/>
                <c:pt idx="0">
                  <c:v>-</c:v>
                </c:pt>
                <c:pt idx="1">
                  <c:v>No</c:v>
                </c:pt>
                <c:pt idx="2">
                  <c:v>Yes</c:v>
                </c:pt>
              </c:strCache>
            </c:strRef>
          </c:cat>
          <c:val>
            <c:numRef>
              <c:f>'Top50 Laser Summary  '!$F$28:$F$32</c:f>
              <c:numCache>
                <c:formatCode>0%</c:formatCode>
                <c:ptCount val="5"/>
                <c:pt idx="0">
                  <c:v>7.145765531490194E-3</c:v>
                </c:pt>
                <c:pt idx="1">
                  <c:v>0.81715410654462139</c:v>
                </c:pt>
                <c:pt idx="2">
                  <c:v>0.17570012792388831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FCD-F24D-A9F2-DF3C5326701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Laser Summary  '!$D$2</c:f>
              <c:strCache>
                <c:ptCount val="1"/>
                <c:pt idx="0">
                  <c:v>Qty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DC-9B43-81F7-2B3219D74F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DDC-9B43-81F7-2B3219D74F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DC-9B43-81F7-2B3219D74F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DC-9B43-81F7-2B3219D74F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DDC-9B43-81F7-2B3219D74F93}"/>
              </c:ext>
            </c:extLst>
          </c:dPt>
          <c:dLbls>
            <c:dLbl>
              <c:idx val="1"/>
              <c:layout>
                <c:manualLayout>
                  <c:x val="6.1785395187592372E-3"/>
                  <c:y val="-3.288222305545140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DDC-9B43-81F7-2B3219D74F93}"/>
                </c:ext>
              </c:extLst>
            </c:dLbl>
            <c:dLbl>
              <c:idx val="4"/>
              <c:layout>
                <c:manualLayout>
                  <c:x val="-6.643619427065961E-2"/>
                  <c:y val="9.28450610340372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DDC-9B43-81F7-2B3219D7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Laser Summary  '!$A$3:$A$7</c:f>
              <c:strCache>
                <c:ptCount val="3"/>
                <c:pt idx="0">
                  <c:v>-</c:v>
                </c:pt>
                <c:pt idx="1">
                  <c:v>No</c:v>
                </c:pt>
                <c:pt idx="2">
                  <c:v>Yes</c:v>
                </c:pt>
              </c:strCache>
            </c:strRef>
          </c:cat>
          <c:val>
            <c:numRef>
              <c:f>'Top50 Laser Summary  '!$D$3:$D$7</c:f>
              <c:numCache>
                <c:formatCode>0%</c:formatCode>
                <c:ptCount val="5"/>
                <c:pt idx="0">
                  <c:v>1.250321584769745E-2</c:v>
                </c:pt>
                <c:pt idx="1">
                  <c:v>0.8367892976588629</c:v>
                </c:pt>
                <c:pt idx="2">
                  <c:v>0.15070748649343971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DDC-9B43-81F7-2B3219D74F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Wi-Fi Summary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3F-AC48-B1A7-D4AEBAF373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3F-AC48-B1A7-D4AEBAF373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3F-AC48-B1A7-D4AEBAF373FF}"/>
              </c:ext>
            </c:extLst>
          </c:dPt>
          <c:dLbls>
            <c:dLbl>
              <c:idx val="1"/>
              <c:layout>
                <c:manualLayout>
                  <c:x val="1.7990652062787476E-2"/>
                  <c:y val="9.053201683122865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3F-AC48-B1A7-D4AEBAF373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Wi-Fi Summary '!$A$3:$A$5</c:f>
              <c:strCache>
                <c:ptCount val="3"/>
                <c:pt idx="0">
                  <c:v>-</c:v>
                </c:pt>
                <c:pt idx="1">
                  <c:v>BT</c:v>
                </c:pt>
                <c:pt idx="2">
                  <c:v>No</c:v>
                </c:pt>
              </c:strCache>
            </c:strRef>
          </c:cat>
          <c:val>
            <c:numRef>
              <c:f>'Top50 Wi-Fi Summary '!$F$3:$F$5</c:f>
              <c:numCache>
                <c:formatCode>0%</c:formatCode>
                <c:ptCount val="3"/>
                <c:pt idx="0">
                  <c:v>2.2429396944691381E-2</c:v>
                </c:pt>
                <c:pt idx="1">
                  <c:v>4.9471170723868349E-2</c:v>
                </c:pt>
                <c:pt idx="2">
                  <c:v>0.7519570360617458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3F-AC48-B1A7-D4AEBAF373F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'Top50 Wi-Fi Summary '!$D$27</c:f>
              <c:strCache>
                <c:ptCount val="1"/>
                <c:pt idx="0">
                  <c:v>Qty by %</c:v>
                </c:pt>
              </c:strCache>
            </c:strRef>
          </c:tx>
          <c:dLbls>
            <c:dLbl>
              <c:idx val="1"/>
              <c:layout>
                <c:manualLayout>
                  <c:x val="2.879416630021802E-2"/>
                  <c:y val="8.726575844686041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12F-6E42-B8F8-206C697036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Wi-Fi Summary '!$A$28:$A$32</c:f>
              <c:strCache>
                <c:ptCount val="4"/>
                <c:pt idx="0">
                  <c:v>-</c:v>
                </c:pt>
                <c:pt idx="1">
                  <c:v>BT</c:v>
                </c:pt>
                <c:pt idx="2">
                  <c:v>No</c:v>
                </c:pt>
                <c:pt idx="3">
                  <c:v>Yes</c:v>
                </c:pt>
              </c:strCache>
            </c:strRef>
          </c:cat>
          <c:val>
            <c:numRef>
              <c:f>'Top50 Wi-Fi Summary '!$D$28:$D$32</c:f>
              <c:numCache>
                <c:formatCode>0%</c:formatCode>
                <c:ptCount val="5"/>
                <c:pt idx="0">
                  <c:v>1.54360038463485E-2</c:v>
                </c:pt>
                <c:pt idx="1">
                  <c:v>3.1782984968874953E-2</c:v>
                </c:pt>
                <c:pt idx="2">
                  <c:v>0.86613695025051873</c:v>
                </c:pt>
                <c:pt idx="3" formatCode="#,##0">
                  <c:v>8.6644060934257805E-2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2F-6E42-B8F8-206C6970361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ln w="9525">
      <a:solidFill>
        <a:schemeClr val="bg2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Wi-Fi Summary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C90-654D-851F-262ADD857D4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C90-654D-851F-262ADD857D4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C90-654D-851F-262ADD857D4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C90-654D-851F-262ADD857D4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C90-654D-851F-262ADD857D45}"/>
              </c:ext>
            </c:extLst>
          </c:dPt>
          <c:dLbls>
            <c:dLbl>
              <c:idx val="1"/>
              <c:layout>
                <c:manualLayout>
                  <c:x val="1.2032947061983785E-2"/>
                  <c:y val="1.541440653251676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90-654D-851F-262ADD857D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Wi-Fi Summary '!$A$28:$A$32</c:f>
              <c:strCache>
                <c:ptCount val="4"/>
                <c:pt idx="0">
                  <c:v>-</c:v>
                </c:pt>
                <c:pt idx="1">
                  <c:v>BT</c:v>
                </c:pt>
                <c:pt idx="2">
                  <c:v>No</c:v>
                </c:pt>
                <c:pt idx="3">
                  <c:v>Yes</c:v>
                </c:pt>
              </c:strCache>
            </c:strRef>
          </c:cat>
          <c:val>
            <c:numRef>
              <c:f>'Top50 Wi-Fi Summary '!$F$28:$F$32</c:f>
              <c:numCache>
                <c:formatCode>0%</c:formatCode>
                <c:ptCount val="5"/>
                <c:pt idx="0">
                  <c:v>7.145765531490194E-3</c:v>
                </c:pt>
                <c:pt idx="1">
                  <c:v>5.0519474932009263E-2</c:v>
                </c:pt>
                <c:pt idx="2">
                  <c:v>0.77478388760550598</c:v>
                </c:pt>
                <c:pt idx="3" formatCode="General">
                  <c:v>0.16755087193099441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C90-654D-851F-262ADD857D4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Wi-Fi Summary '!$D$2</c:f>
              <c:strCache>
                <c:ptCount val="1"/>
                <c:pt idx="0">
                  <c:v>Qty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1-E749-884C-D6AAB73017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1-E749-884C-D6AAB73017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1-E749-884C-D6AAB73017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1-E749-884C-D6AAB73017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1-E749-884C-D6AAB730178B}"/>
              </c:ext>
            </c:extLst>
          </c:dPt>
          <c:dLbls>
            <c:dLbl>
              <c:idx val="1"/>
              <c:layout>
                <c:manualLayout>
                  <c:x val="6.1785395187592372E-3"/>
                  <c:y val="-3.288222305545140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91-E749-884C-D6AAB730178B}"/>
                </c:ext>
              </c:extLst>
            </c:dLbl>
            <c:dLbl>
              <c:idx val="4"/>
              <c:layout>
                <c:manualLayout>
                  <c:x val="-6.643619427065961E-2"/>
                  <c:y val="9.28450610340372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91-E749-884C-D6AAB73017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Wi-Fi Summary '!$A$3:$A$7</c:f>
              <c:strCache>
                <c:ptCount val="4"/>
                <c:pt idx="0">
                  <c:v>-</c:v>
                </c:pt>
                <c:pt idx="1">
                  <c:v>BT</c:v>
                </c:pt>
                <c:pt idx="2">
                  <c:v>No</c:v>
                </c:pt>
                <c:pt idx="3">
                  <c:v>Yes</c:v>
                </c:pt>
              </c:strCache>
            </c:strRef>
          </c:cat>
          <c:val>
            <c:numRef>
              <c:f>'Top50 Wi-Fi Summary '!$D$3:$D$7</c:f>
              <c:numCache>
                <c:formatCode>0%</c:formatCode>
                <c:ptCount val="5"/>
                <c:pt idx="0">
                  <c:v>1.250321584769745E-2</c:v>
                </c:pt>
                <c:pt idx="1">
                  <c:v>3.2312837664008227E-2</c:v>
                </c:pt>
                <c:pt idx="2">
                  <c:v>0.86122974015950604</c:v>
                </c:pt>
                <c:pt idx="3">
                  <c:v>9.3954206328788273E-2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891-E749-884C-D6AAB730178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Visual Camera Summary 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91F-E84D-A21F-52CFD11EC9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91F-E84D-A21F-52CFD11EC9C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91F-E84D-A21F-52CFD11EC9C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91F-E84D-A21F-52CFD11EC9C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91F-E84D-A21F-52CFD11EC9CD}"/>
              </c:ext>
            </c:extLst>
          </c:dPt>
          <c:dLbls>
            <c:dLbl>
              <c:idx val="1"/>
              <c:layout>
                <c:manualLayout>
                  <c:x val="1.7990652062787476E-2"/>
                  <c:y val="9.053201683122865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1F-E84D-A21F-52CFD11EC9CD}"/>
                </c:ext>
              </c:extLst>
            </c:dLbl>
            <c:dLbl>
              <c:idx val="3"/>
              <c:layout>
                <c:manualLayout>
                  <c:x val="-1.2022810395585826E-2"/>
                  <c:y val="-4.251335249760446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91F-E84D-A21F-52CFD11EC9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Visual Camera Summary  '!$A$3:$A$7</c:f>
              <c:strCache>
                <c:ptCount val="5"/>
                <c:pt idx="0">
                  <c:v>-</c:v>
                </c:pt>
                <c:pt idx="1">
                  <c:v>0.3MP</c:v>
                </c:pt>
                <c:pt idx="2">
                  <c:v>1MP</c:v>
                </c:pt>
                <c:pt idx="3">
                  <c:v>2MP</c:v>
                </c:pt>
                <c:pt idx="4">
                  <c:v>5MP</c:v>
                </c:pt>
              </c:strCache>
            </c:strRef>
          </c:cat>
          <c:val>
            <c:numRef>
              <c:f>'Top50 Visual Camera Summary  '!$F$3:$F$7</c:f>
              <c:numCache>
                <c:formatCode>0%</c:formatCode>
                <c:ptCount val="5"/>
                <c:pt idx="0">
                  <c:v>2.2429396944691381E-2</c:v>
                </c:pt>
                <c:pt idx="1">
                  <c:v>0.10853531807880951</c:v>
                </c:pt>
                <c:pt idx="2">
                  <c:v>6.1441808522136234E-3</c:v>
                </c:pt>
                <c:pt idx="3">
                  <c:v>0.2125832273710295</c:v>
                </c:pt>
                <c:pt idx="4">
                  <c:v>7.6376641470957629E-2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1F-E84D-A21F-52CFD11EC9C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'Top50 Visual Camera Summary  '!$D$29</c:f>
              <c:strCache>
                <c:ptCount val="1"/>
                <c:pt idx="0">
                  <c:v>Qty by %</c:v>
                </c:pt>
              </c:strCache>
            </c:strRef>
          </c:tx>
          <c:dLbls>
            <c:dLbl>
              <c:idx val="1"/>
              <c:layout>
                <c:manualLayout>
                  <c:x val="2.879416630021802E-2"/>
                  <c:y val="8.726575844686041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E9B-6E45-AFBB-24F80B0F00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Visual Camera Summary  '!$A$30:$A$35</c:f>
              <c:strCache>
                <c:ptCount val="6"/>
                <c:pt idx="0">
                  <c:v>-</c:v>
                </c:pt>
                <c:pt idx="1">
                  <c:v>0.3MP</c:v>
                </c:pt>
                <c:pt idx="2">
                  <c:v>1MP</c:v>
                </c:pt>
                <c:pt idx="3">
                  <c:v>2MP</c:v>
                </c:pt>
                <c:pt idx="4">
                  <c:v>5MP</c:v>
                </c:pt>
                <c:pt idx="5">
                  <c:v>No</c:v>
                </c:pt>
              </c:strCache>
            </c:strRef>
          </c:cat>
          <c:val>
            <c:numRef>
              <c:f>'Top50 Visual Camera Summary  '!$D$30:$D$35</c:f>
              <c:numCache>
                <c:formatCode>0%</c:formatCode>
                <c:ptCount val="6"/>
                <c:pt idx="0">
                  <c:v>1.54360038463485E-2</c:v>
                </c:pt>
                <c:pt idx="1">
                  <c:v>0.1026873829647249</c:v>
                </c:pt>
                <c:pt idx="2">
                  <c:v>1.2551242471785009E-2</c:v>
                </c:pt>
                <c:pt idx="3">
                  <c:v>0.16397590971202999</c:v>
                </c:pt>
                <c:pt idx="4">
                  <c:v>3.1580545574168728E-2</c:v>
                </c:pt>
                <c:pt idx="5">
                  <c:v>0.67376891543094286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B-6E45-AFBB-24F80B0F00A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ln w="9525">
      <a:solidFill>
        <a:schemeClr val="bg2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Visual Camera Summary 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E69-2249-B537-1F643B06CB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E69-2249-B537-1F643B06CB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E69-2249-B537-1F643B06CB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E69-2249-B537-1F643B06CB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E69-2249-B537-1F643B06CB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E69-2249-B537-1F643B06CB29}"/>
              </c:ext>
            </c:extLst>
          </c:dPt>
          <c:dLbls>
            <c:dLbl>
              <c:idx val="1"/>
              <c:layout>
                <c:manualLayout>
                  <c:x val="1.2032947061983785E-2"/>
                  <c:y val="1.541440653251676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69-2249-B537-1F643B06CB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Visual Camera Summary  '!$A$30:$A$35</c:f>
              <c:strCache>
                <c:ptCount val="6"/>
                <c:pt idx="0">
                  <c:v>-</c:v>
                </c:pt>
                <c:pt idx="1">
                  <c:v>0.3MP</c:v>
                </c:pt>
                <c:pt idx="2">
                  <c:v>1MP</c:v>
                </c:pt>
                <c:pt idx="3">
                  <c:v>2MP</c:v>
                </c:pt>
                <c:pt idx="4">
                  <c:v>5MP</c:v>
                </c:pt>
                <c:pt idx="5">
                  <c:v>No</c:v>
                </c:pt>
              </c:strCache>
            </c:strRef>
          </c:cat>
          <c:val>
            <c:numRef>
              <c:f>'Top50 Visual Camera Summary  '!$F$30:$F$35</c:f>
              <c:numCache>
                <c:formatCode>0%</c:formatCode>
                <c:ptCount val="6"/>
                <c:pt idx="0">
                  <c:v>7.145765531490194E-3</c:v>
                </c:pt>
                <c:pt idx="1">
                  <c:v>0.1108352036284966</c:v>
                </c:pt>
                <c:pt idx="2">
                  <c:v>1.0585850059771329E-2</c:v>
                </c:pt>
                <c:pt idx="3">
                  <c:v>0.21099901576057531</c:v>
                </c:pt>
                <c:pt idx="4">
                  <c:v>7.7995078097504764E-2</c:v>
                </c:pt>
                <c:pt idx="5">
                  <c:v>0.58243908692216162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E69-2249-B537-1F643B06CB2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Visual Camera Summary  '!$D$2</c:f>
              <c:strCache>
                <c:ptCount val="1"/>
                <c:pt idx="0">
                  <c:v>Qty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D0-6B4A-AF0F-1779526CD7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D0-6B4A-AF0F-1779526CD7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D0-6B4A-AF0F-1779526CD7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D0-6B4A-AF0F-1779526CD7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D0-6B4A-AF0F-1779526CD7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D0-6B4A-AF0F-1779526CD7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D0-6B4A-AF0F-1779526CD785}"/>
              </c:ext>
            </c:extLst>
          </c:dPt>
          <c:dLbls>
            <c:dLbl>
              <c:idx val="1"/>
              <c:layout>
                <c:manualLayout>
                  <c:x val="6.1785395187592372E-3"/>
                  <c:y val="-3.288222305545140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5D0-6B4A-AF0F-1779526CD785}"/>
                </c:ext>
              </c:extLst>
            </c:dLbl>
            <c:dLbl>
              <c:idx val="3"/>
              <c:layout>
                <c:manualLayout>
                  <c:x val="-4.0711024397025251E-2"/>
                  <c:y val="-4.641553139190934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5D0-6B4A-AF0F-1779526CD785}"/>
                </c:ext>
              </c:extLst>
            </c:dLbl>
            <c:dLbl>
              <c:idx val="6"/>
              <c:layout>
                <c:manualLayout>
                  <c:x val="-6.643619427065961E-2"/>
                  <c:y val="9.28450610340372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5D0-6B4A-AF0F-1779526CD7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Visual Camera Summary  '!$A$3:$A$9</c:f>
              <c:strCache>
                <c:ptCount val="7"/>
                <c:pt idx="0">
                  <c:v>-</c:v>
                </c:pt>
                <c:pt idx="1">
                  <c:v>0.3MP</c:v>
                </c:pt>
                <c:pt idx="2">
                  <c:v>1MP</c:v>
                </c:pt>
                <c:pt idx="3">
                  <c:v>2MP</c:v>
                </c:pt>
                <c:pt idx="4">
                  <c:v>5MP</c:v>
                </c:pt>
                <c:pt idx="5">
                  <c:v>8MP</c:v>
                </c:pt>
                <c:pt idx="6">
                  <c:v>No</c:v>
                </c:pt>
              </c:strCache>
            </c:strRef>
          </c:cat>
          <c:val>
            <c:numRef>
              <c:f>'Top50 Visual Camera Summary  '!$D$3:$D$9</c:f>
              <c:numCache>
                <c:formatCode>0%</c:formatCode>
                <c:ptCount val="7"/>
                <c:pt idx="0">
                  <c:v>1.250321584769745E-2</c:v>
                </c:pt>
                <c:pt idx="1">
                  <c:v>0.10439927965011581</c:v>
                </c:pt>
                <c:pt idx="2">
                  <c:v>5.4540776948803701E-3</c:v>
                </c:pt>
                <c:pt idx="3">
                  <c:v>0.16923076923076921</c:v>
                </c:pt>
                <c:pt idx="4">
                  <c:v>3.2107023411371227E-2</c:v>
                </c:pt>
                <c:pt idx="5">
                  <c:v>3.3444816053511709E-3</c:v>
                </c:pt>
                <c:pt idx="6">
                  <c:v>0.67296115255981481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5D0-6B4A-AF0F-1779526CD78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Display Summary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B40-634A-A921-9FF62EDF2F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B40-634A-A921-9FF62EDF2F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B40-634A-A921-9FF62EDF2F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B40-634A-A921-9FF62EDF2F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B40-634A-A921-9FF62EDF2F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DC-6343-BA97-B4925895B44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DC-6343-BA97-B4925895B44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9DC-6343-BA97-B4925895B448}"/>
              </c:ext>
            </c:extLst>
          </c:dPt>
          <c:dLbls>
            <c:dLbl>
              <c:idx val="7"/>
              <c:layout>
                <c:manualLayout>
                  <c:x val="1.7990652062787476E-2"/>
                  <c:y val="9.053201683122865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9DC-6343-BA97-B4925895B4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Display Summary '!$A$3:$A$10</c:f>
              <c:strCache>
                <c:ptCount val="8"/>
                <c:pt idx="0">
                  <c:v>-</c:v>
                </c:pt>
                <c:pt idx="1">
                  <c:v>1.8"</c:v>
                </c:pt>
                <c:pt idx="2">
                  <c:v>2.4"</c:v>
                </c:pt>
                <c:pt idx="3">
                  <c:v>2.8"</c:v>
                </c:pt>
                <c:pt idx="4">
                  <c:v>3.2"</c:v>
                </c:pt>
                <c:pt idx="5">
                  <c:v>3.5"</c:v>
                </c:pt>
                <c:pt idx="6">
                  <c:v>3.5" Touchscreen</c:v>
                </c:pt>
                <c:pt idx="7">
                  <c:v>App</c:v>
                </c:pt>
              </c:strCache>
            </c:strRef>
          </c:cat>
          <c:val>
            <c:numRef>
              <c:f>'Top50 Display Summary '!$F$3:$F$10</c:f>
              <c:numCache>
                <c:formatCode>0%</c:formatCode>
                <c:ptCount val="8"/>
                <c:pt idx="0">
                  <c:v>2.2429396944691381E-2</c:v>
                </c:pt>
                <c:pt idx="1">
                  <c:v>2.206054233687707E-2</c:v>
                </c:pt>
                <c:pt idx="2">
                  <c:v>0.33107987952242329</c:v>
                </c:pt>
                <c:pt idx="3">
                  <c:v>7.3238238432857483E-2</c:v>
                </c:pt>
                <c:pt idx="4">
                  <c:v>4.0894296062354042E-2</c:v>
                </c:pt>
                <c:pt idx="5">
                  <c:v>6.0607033698575882E-2</c:v>
                </c:pt>
                <c:pt idx="6">
                  <c:v>0.13090127538071669</c:v>
                </c:pt>
                <c:pt idx="7">
                  <c:v>0.31878933762150402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B40-634A-A921-9FF62EDF2F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'Top50 Display Summary '!$D$31</c:f>
              <c:strCache>
                <c:ptCount val="1"/>
                <c:pt idx="0">
                  <c:v>Qty by %</c:v>
                </c:pt>
              </c:strCache>
            </c:strRef>
          </c:tx>
          <c:dLbls>
            <c:dLbl>
              <c:idx val="1"/>
              <c:layout>
                <c:manualLayout>
                  <c:x val="2.879416630021802E-2"/>
                  <c:y val="8.726575844686041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6B2-0144-9A70-AB1DB40BEA5F}"/>
                </c:ext>
              </c:extLst>
            </c:dLbl>
            <c:dLbl>
              <c:idx val="6"/>
              <c:layout>
                <c:manualLayout>
                  <c:x val="-2.3388426919703633E-2"/>
                  <c:y val="-1.328567262425530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B2-0144-9A70-AB1DB40BEA5F}"/>
                </c:ext>
              </c:extLst>
            </c:dLbl>
            <c:dLbl>
              <c:idx val="8"/>
              <c:layout>
                <c:manualLayout>
                  <c:x val="-7.8649670534207142E-2"/>
                  <c:y val="5.998583510394524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6B2-0144-9A70-AB1DB40BE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Display Summary '!$A$32:$A$40</c:f>
              <c:strCache>
                <c:ptCount val="8"/>
                <c:pt idx="0">
                  <c:v>-</c:v>
                </c:pt>
                <c:pt idx="1">
                  <c:v>1.8"</c:v>
                </c:pt>
                <c:pt idx="2">
                  <c:v>2.4"</c:v>
                </c:pt>
                <c:pt idx="3">
                  <c:v>2.8"</c:v>
                </c:pt>
                <c:pt idx="4">
                  <c:v>3.2"</c:v>
                </c:pt>
                <c:pt idx="5">
                  <c:v>3.5"</c:v>
                </c:pt>
                <c:pt idx="6">
                  <c:v>3.5" Touchscreen</c:v>
                </c:pt>
                <c:pt idx="7">
                  <c:v>App</c:v>
                </c:pt>
              </c:strCache>
            </c:strRef>
          </c:cat>
          <c:val>
            <c:numRef>
              <c:f>'Top50 Display Summary '!$D$32:$D$40</c:f>
              <c:numCache>
                <c:formatCode>0%</c:formatCode>
                <c:ptCount val="9"/>
                <c:pt idx="0">
                  <c:v>4.1500075914773019E-3</c:v>
                </c:pt>
                <c:pt idx="1">
                  <c:v>4.5801913052279972E-2</c:v>
                </c:pt>
                <c:pt idx="2">
                  <c:v>0.40573915683992112</c:v>
                </c:pt>
                <c:pt idx="3">
                  <c:v>7.2827572245558983E-2</c:v>
                </c:pt>
                <c:pt idx="4">
                  <c:v>3.7704337264031579E-2</c:v>
                </c:pt>
                <c:pt idx="5">
                  <c:v>3.5528113770939833E-2</c:v>
                </c:pt>
                <c:pt idx="6">
                  <c:v>7.6522091198947317E-2</c:v>
                </c:pt>
                <c:pt idx="7">
                  <c:v>0.32172680803684389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B2-0144-9A70-AB1DB40BEA5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ln w="9525">
      <a:solidFill>
        <a:schemeClr val="bg2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Display Summary '!$F$2</c:f>
              <c:strCache>
                <c:ptCount val="1"/>
                <c:pt idx="0">
                  <c:v>Revenue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5F-B244-912D-FEB05D839A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5F-B244-912D-FEB05D839A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5F-B244-912D-FEB05D839A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5F-B244-912D-FEB05D839A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5F-B244-912D-FEB05D839A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55F-B244-912D-FEB05D839A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55F-B244-912D-FEB05D839A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55F-B244-912D-FEB05D839A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55F-B244-912D-FEB05D839A0B}"/>
              </c:ext>
            </c:extLst>
          </c:dPt>
          <c:dLbls>
            <c:dLbl>
              <c:idx val="1"/>
              <c:layout>
                <c:manualLayout>
                  <c:x val="1.2032947061983785E-2"/>
                  <c:y val="1.5414406532516769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5F-B244-912D-FEB05D839A0B}"/>
                </c:ext>
              </c:extLst>
            </c:dLbl>
            <c:dLbl>
              <c:idx val="6"/>
              <c:layout>
                <c:manualLayout>
                  <c:x val="-7.7412755884455663E-3"/>
                  <c:y val="-2.45655959671707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55F-B244-912D-FEB05D839A0B}"/>
                </c:ext>
              </c:extLst>
            </c:dLbl>
            <c:dLbl>
              <c:idx val="8"/>
              <c:layout>
                <c:manualLayout>
                  <c:x val="-8.7494636014031082E-2"/>
                  <c:y val="2.627571553555803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55F-B244-912D-FEB05D839A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Display Summary '!$A$32:$A$40</c:f>
              <c:strCache>
                <c:ptCount val="8"/>
                <c:pt idx="0">
                  <c:v>-</c:v>
                </c:pt>
                <c:pt idx="1">
                  <c:v>1.8"</c:v>
                </c:pt>
                <c:pt idx="2">
                  <c:v>2.4"</c:v>
                </c:pt>
                <c:pt idx="3">
                  <c:v>2.8"</c:v>
                </c:pt>
                <c:pt idx="4">
                  <c:v>3.2"</c:v>
                </c:pt>
                <c:pt idx="5">
                  <c:v>3.5"</c:v>
                </c:pt>
                <c:pt idx="6">
                  <c:v>3.5" Touchscreen</c:v>
                </c:pt>
                <c:pt idx="7">
                  <c:v>App</c:v>
                </c:pt>
              </c:strCache>
            </c:strRef>
          </c:cat>
          <c:val>
            <c:numRef>
              <c:f>'Top50 Display Summary '!$F$32:$F$40</c:f>
              <c:numCache>
                <c:formatCode>0%</c:formatCode>
                <c:ptCount val="9"/>
                <c:pt idx="0">
                  <c:v>6.3089967054821899E-3</c:v>
                </c:pt>
                <c:pt idx="1">
                  <c:v>2.252800973308448E-2</c:v>
                </c:pt>
                <c:pt idx="2">
                  <c:v>0.33809552976590318</c:v>
                </c:pt>
                <c:pt idx="3">
                  <c:v>7.7905158777014247E-2</c:v>
                </c:pt>
                <c:pt idx="4">
                  <c:v>4.6072327306126828E-2</c:v>
                </c:pt>
                <c:pt idx="5">
                  <c:v>5.580241551530523E-2</c:v>
                </c:pt>
                <c:pt idx="6">
                  <c:v>0.12065223569528689</c:v>
                </c:pt>
                <c:pt idx="7">
                  <c:v>0.33263532650179678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55F-B244-912D-FEB05D839A0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Qty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'Top50 Display Summary '!$D$2</c:f>
              <c:strCache>
                <c:ptCount val="1"/>
                <c:pt idx="0">
                  <c:v>Qty by 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3A-CB41-B347-04E35E69EA6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F3A-CB41-B347-04E35E69EA6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F3A-CB41-B347-04E35E69EA6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F3A-CB41-B347-04E35E69EA6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F3A-CB41-B347-04E35E69EA6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F3A-CB41-B347-04E35E69EA6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F3A-CB41-B347-04E35E69EA6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0F7-074E-809D-39506969303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0F7-074E-809D-395069693033}"/>
              </c:ext>
            </c:extLst>
          </c:dPt>
          <c:dLbls>
            <c:dLbl>
              <c:idx val="7"/>
              <c:layout>
                <c:manualLayout>
                  <c:x val="6.1785395187592372E-3"/>
                  <c:y val="-3.288222305545140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F7-074E-809D-395069693033}"/>
                </c:ext>
              </c:extLst>
            </c:dLbl>
            <c:dLbl>
              <c:idx val="8"/>
              <c:layout>
                <c:manualLayout>
                  <c:x val="-6.643619427065961E-2"/>
                  <c:y val="9.28450610340372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F7-074E-809D-395069693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'Top50 Display Summary '!$A$3:$A$11</c:f>
              <c:strCache>
                <c:ptCount val="8"/>
                <c:pt idx="0">
                  <c:v>-</c:v>
                </c:pt>
                <c:pt idx="1">
                  <c:v>1.8"</c:v>
                </c:pt>
                <c:pt idx="2">
                  <c:v>2.4"</c:v>
                </c:pt>
                <c:pt idx="3">
                  <c:v>2.8"</c:v>
                </c:pt>
                <c:pt idx="4">
                  <c:v>3.2"</c:v>
                </c:pt>
                <c:pt idx="5">
                  <c:v>3.5"</c:v>
                </c:pt>
                <c:pt idx="6">
                  <c:v>3.5" Touchscreen</c:v>
                </c:pt>
                <c:pt idx="7">
                  <c:v>App</c:v>
                </c:pt>
              </c:strCache>
            </c:strRef>
          </c:cat>
          <c:val>
            <c:numRef>
              <c:f>'Top50 Display Summary '!$D$3:$D$11</c:f>
              <c:numCache>
                <c:formatCode>0%</c:formatCode>
                <c:ptCount val="9"/>
                <c:pt idx="0">
                  <c:v>1.250321584769745E-2</c:v>
                </c:pt>
                <c:pt idx="1">
                  <c:v>4.6565474659120143E-2</c:v>
                </c:pt>
                <c:pt idx="2">
                  <c:v>0.41250321584769739</c:v>
                </c:pt>
                <c:pt idx="3">
                  <c:v>6.9719578080782094E-2</c:v>
                </c:pt>
                <c:pt idx="4">
                  <c:v>3.1026498585027009E-2</c:v>
                </c:pt>
                <c:pt idx="5">
                  <c:v>3.8641625932595833E-2</c:v>
                </c:pt>
                <c:pt idx="6">
                  <c:v>8.2943143812709036E-2</c:v>
                </c:pt>
                <c:pt idx="7">
                  <c:v>0.30609724723437098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F3A-CB41-B347-04E35E69EA6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9</xdr:row>
      <xdr:rowOff>0</xdr:rowOff>
    </xdr:from>
    <xdr:to>
      <xdr:col>5</xdr:col>
      <xdr:colOff>1171574</xdr:colOff>
      <xdr:row>24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74BC87-0929-40A7-BD4A-6993464CA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2</xdr:col>
      <xdr:colOff>1800224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CA3186-E6D4-4308-9961-DAA04537FB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133350</xdr:colOff>
      <xdr:row>36</xdr:row>
      <xdr:rowOff>0</xdr:rowOff>
    </xdr:from>
    <xdr:to>
      <xdr:col>5</xdr:col>
      <xdr:colOff>1171574</xdr:colOff>
      <xdr:row>51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DB6155-9A97-4C55-80DD-9E00B504D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</xdr:row>
      <xdr:rowOff>0</xdr:rowOff>
    </xdr:from>
    <xdr:to>
      <xdr:col>2</xdr:col>
      <xdr:colOff>1800224</xdr:colOff>
      <xdr:row>24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44D110-AF24-4CB7-BA47-18F780D8E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14</xdr:row>
      <xdr:rowOff>0</xdr:rowOff>
    </xdr:from>
    <xdr:to>
      <xdr:col>5</xdr:col>
      <xdr:colOff>1171574</xdr:colOff>
      <xdr:row>29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628A89-DCCF-494F-A1A0-84E405B6D7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45</xdr:row>
      <xdr:rowOff>0</xdr:rowOff>
    </xdr:from>
    <xdr:to>
      <xdr:col>2</xdr:col>
      <xdr:colOff>1800224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3C822E-0547-1D4F-B3FE-C8D1692AF4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133350</xdr:colOff>
      <xdr:row>45</xdr:row>
      <xdr:rowOff>0</xdr:rowOff>
    </xdr:from>
    <xdr:to>
      <xdr:col>5</xdr:col>
      <xdr:colOff>1171574</xdr:colOff>
      <xdr:row>60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5E920E-BE56-DF4E-B261-C6329F0731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14</xdr:row>
      <xdr:rowOff>0</xdr:rowOff>
    </xdr:from>
    <xdr:to>
      <xdr:col>2</xdr:col>
      <xdr:colOff>1800224</xdr:colOff>
      <xdr:row>29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F95846-9829-EF43-ACB3-C97BB5A766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13</xdr:row>
      <xdr:rowOff>0</xdr:rowOff>
    </xdr:from>
    <xdr:to>
      <xdr:col>5</xdr:col>
      <xdr:colOff>1171574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F9A8D2-F310-7040-8635-F270CAF82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2</xdr:col>
      <xdr:colOff>1800224</xdr:colOff>
      <xdr:row>59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1750FE-46B2-8F4D-BF12-CD2AA268B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133350</xdr:colOff>
      <xdr:row>44</xdr:row>
      <xdr:rowOff>0</xdr:rowOff>
    </xdr:from>
    <xdr:to>
      <xdr:col>5</xdr:col>
      <xdr:colOff>1171574</xdr:colOff>
      <xdr:row>59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600D1E-E901-EA40-B764-7BAB8DA54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13</xdr:row>
      <xdr:rowOff>0</xdr:rowOff>
    </xdr:from>
    <xdr:to>
      <xdr:col>2</xdr:col>
      <xdr:colOff>1800224</xdr:colOff>
      <xdr:row>28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77AC5C-024C-434D-80C4-F8B346E4B4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9</xdr:row>
      <xdr:rowOff>0</xdr:rowOff>
    </xdr:from>
    <xdr:to>
      <xdr:col>5</xdr:col>
      <xdr:colOff>1171574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7B5DFC-E3EC-5540-B256-479D6E605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2</xdr:col>
      <xdr:colOff>1800224</xdr:colOff>
      <xdr:row>49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725E39-9740-5F48-AA44-146BB2B02E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133350</xdr:colOff>
      <xdr:row>34</xdr:row>
      <xdr:rowOff>0</xdr:rowOff>
    </xdr:from>
    <xdr:to>
      <xdr:col>5</xdr:col>
      <xdr:colOff>1171574</xdr:colOff>
      <xdr:row>49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C35CE4-0016-2444-999E-613C3D008C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</xdr:row>
      <xdr:rowOff>0</xdr:rowOff>
    </xdr:from>
    <xdr:to>
      <xdr:col>2</xdr:col>
      <xdr:colOff>1800224</xdr:colOff>
      <xdr:row>24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74DC11-C836-9E41-91D7-F3A2D339C7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9</xdr:row>
      <xdr:rowOff>0</xdr:rowOff>
    </xdr:from>
    <xdr:to>
      <xdr:col>5</xdr:col>
      <xdr:colOff>1171574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BD33C2-6B36-E14F-A7B9-F0B7D2D825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2</xdr:col>
      <xdr:colOff>1800224</xdr:colOff>
      <xdr:row>49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A79FD0-9C88-6A4F-B35B-263932303B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133350</xdr:colOff>
      <xdr:row>34</xdr:row>
      <xdr:rowOff>0</xdr:rowOff>
    </xdr:from>
    <xdr:to>
      <xdr:col>5</xdr:col>
      <xdr:colOff>1171574</xdr:colOff>
      <xdr:row>49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562E5A-0D45-4F40-8E50-B70AADBF80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</xdr:row>
      <xdr:rowOff>0</xdr:rowOff>
    </xdr:from>
    <xdr:to>
      <xdr:col>2</xdr:col>
      <xdr:colOff>1800224</xdr:colOff>
      <xdr:row>24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E6A3C0F-4AD6-824F-ACBB-296201CF29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11</xdr:row>
      <xdr:rowOff>0</xdr:rowOff>
    </xdr:from>
    <xdr:to>
      <xdr:col>5</xdr:col>
      <xdr:colOff>1171574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DBB126-F079-A14E-8B79-5F5305FE8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2</xdr:col>
      <xdr:colOff>1800224</xdr:colOff>
      <xdr:row>52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B4A85F-6A00-FC4A-8B8C-DC6E9709C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133350</xdr:colOff>
      <xdr:row>37</xdr:row>
      <xdr:rowOff>0</xdr:rowOff>
    </xdr:from>
    <xdr:to>
      <xdr:col>5</xdr:col>
      <xdr:colOff>1171574</xdr:colOff>
      <xdr:row>52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7C8B2C-B907-6844-BB4E-E40632A44A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11</xdr:row>
      <xdr:rowOff>0</xdr:rowOff>
    </xdr:from>
    <xdr:to>
      <xdr:col>2</xdr:col>
      <xdr:colOff>1800224</xdr:colOff>
      <xdr:row>26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4948B5F-E8EE-DC46-BE6A-D849D7267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13</xdr:row>
      <xdr:rowOff>0</xdr:rowOff>
    </xdr:from>
    <xdr:to>
      <xdr:col>5</xdr:col>
      <xdr:colOff>1171574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5C8C6-EEDF-3F41-9AAC-949C28DADA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2</xdr:col>
      <xdr:colOff>1800224</xdr:colOff>
      <xdr:row>57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8F504B-3E77-6248-A7E9-9BA571517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133350</xdr:colOff>
      <xdr:row>42</xdr:row>
      <xdr:rowOff>0</xdr:rowOff>
    </xdr:from>
    <xdr:to>
      <xdr:col>5</xdr:col>
      <xdr:colOff>1171574</xdr:colOff>
      <xdr:row>57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BB7321-F53B-7641-A359-D68B31EE64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13</xdr:row>
      <xdr:rowOff>0</xdr:rowOff>
    </xdr:from>
    <xdr:to>
      <xdr:col>2</xdr:col>
      <xdr:colOff>1800224</xdr:colOff>
      <xdr:row>28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5D355A-FDC7-C542-9044-036DCED173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A4E10B-D5A6-443C-B693-D033EB4D31C1}" name="Table9" displayName="Table9" ref="A2:I13" totalsRowShown="0" headerRowDxfId="353" dataDxfId="352">
  <autoFilter ref="A2:I13" xr:uid="{4AA4E10B-D5A6-443C-B693-D033EB4D31C1}"/>
  <sortState xmlns:xlrd2="http://schemas.microsoft.com/office/spreadsheetml/2017/richdata2" ref="A3:I13">
    <sortCondition descending="1" ref="C2:C13"/>
  </sortState>
  <tableColumns count="9">
    <tableColumn id="1" xr3:uid="{59DDC482-1870-4E2E-8BF5-EB9285BAA99D}" name="Brand" dataDxfId="351"/>
    <tableColumn id="2" xr3:uid="{A8F5DD56-4D89-4316-9459-4199363C4811}" name="# of Listings" dataDxfId="350"/>
    <tableColumn id="3" xr3:uid="{91461C01-4EE9-4E2F-8CE4-B84CAE796483}" name="Monthly Rev" dataDxfId="349"/>
    <tableColumn id="4" xr3:uid="{E1C2FE0F-476F-45D7-99E4-C62B7E7617DF}" name="Estimated 12mo Revenue" dataDxfId="348"/>
    <tableColumn id="5" xr3:uid="{EEB0224F-3BAE-45B1-B08F-C44B106F5E6E}" name="Monthly Units" dataDxfId="347"/>
    <tableColumn id="6" xr3:uid="{4B65CA95-5782-4827-9724-9E485297FD7F}" name="Monthly Rev Market Share %" dataDxfId="346"/>
    <tableColumn id="7" xr3:uid="{4F4A5C13-103E-4697-B9EB-117A7FD0539D}" name="Price Per Unit" dataDxfId="345"/>
    <tableColumn id="8" xr3:uid="{E0D5D588-BDF2-4ABE-AF1F-198CEF23594F}" name="Total Reviews" dataDxfId="344"/>
    <tableColumn id="9" xr3:uid="{A50EE09D-EAE0-498F-A9AC-27B29E4D309C}" name="Avg Rating" dataDxfId="34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034B056-BB80-42A4-A9A4-072CDCA6DE03}" name="Table10" displayName="Table10" ref="A17:I28" totalsRowShown="0" headerRowDxfId="342" dataDxfId="341">
  <autoFilter ref="A17:I28" xr:uid="{2034B056-BB80-42A4-A9A4-072CDCA6DE03}"/>
  <sortState xmlns:xlrd2="http://schemas.microsoft.com/office/spreadsheetml/2017/richdata2" ref="A18:I28">
    <sortCondition descending="1" ref="E17:E28"/>
  </sortState>
  <tableColumns count="9">
    <tableColumn id="1" xr3:uid="{BE2B1C31-1506-4D6D-AFD9-223B194FC431}" name="Brand" dataDxfId="340"/>
    <tableColumn id="2" xr3:uid="{C8B6087A-05CA-4623-863E-B3ACE8B42FAA}" name="# of Listings" dataDxfId="339"/>
    <tableColumn id="3" xr3:uid="{2A144B7C-B67E-4594-81D3-4FDAD7CBC96E}" name="Monthly Rev" dataDxfId="338"/>
    <tableColumn id="4" xr3:uid="{F07E138E-DFCC-47F8-A515-7301D3BA46DC}" name="Estimated 12mo Units" dataDxfId="337"/>
    <tableColumn id="5" xr3:uid="{DBEA200E-9508-46F6-8155-110A1C053D3E}" name="Monthly Units" dataDxfId="336"/>
    <tableColumn id="6" xr3:uid="{C4E170ED-8710-4EB9-8D0F-ED468ED04C85}" name="Monthly Unit Market Share %" dataDxfId="335"/>
    <tableColumn id="7" xr3:uid="{243C70F3-D5DA-4951-B027-73543B636986}" name="Price Per Unit" dataDxfId="334"/>
    <tableColumn id="8" xr3:uid="{2E949DBF-E878-4D5A-90F1-17C24AD5A19B}" name="Reviews" dataDxfId="333"/>
    <tableColumn id="9" xr3:uid="{E2E9E495-C902-4664-94C1-A9CC959F200A}" name="Avg Rating" dataDxfId="33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ABEA72-310D-4460-97CB-49594AA366B1}" name="Table7" displayName="Table7" ref="A2:R52" totalsRowShown="0" headerRowDxfId="331" dataDxfId="330">
  <autoFilter ref="A2:R52" xr:uid="{28ABEA72-310D-4460-97CB-49594AA366B1}"/>
  <tableColumns count="18">
    <tableColumn id="1" xr3:uid="{4715B50F-060A-403A-80FE-1C375C17FE5E}" name="Ranking" dataDxfId="329"/>
    <tableColumn id="2" xr3:uid="{54574D91-311E-4D96-B218-A0A388FC0E6A}" name="ASIN" dataDxfId="328"/>
    <tableColumn id="3" xr3:uid="{15FC621E-64BB-40B8-BB93-F6A0D114904C}" name="Product Name" dataDxfId="327"/>
    <tableColumn id="4" xr3:uid="{84BAED59-00DF-4C39-B744-BA56FF1507A3}" name="Brand" dataDxfId="326"/>
    <tableColumn id="5" xr3:uid="{2AF1F347-7B13-4C9C-A1D8-EF0ED0F80533}" name="Type" dataDxfId="325"/>
    <tableColumn id="18" xr3:uid="{56CE07A3-145B-43A2-B8C8-1BDDB07924CB}" name="Basic Resolution" dataDxfId="324"/>
    <tableColumn id="12" xr3:uid="{9FDA11B5-4164-4FDF-9DE4-01B8C3995F14}" name="Super Resolution" dataDxfId="323"/>
    <tableColumn id="15" xr3:uid="{78FC27ED-B4E4-414B-9EAB-A39A6643BC19}" name="Laser" dataDxfId="322"/>
    <tableColumn id="17" xr3:uid="{3DCF1275-3B16-47B8-A0E2-011192BB9F5D}" name="Wi-Fi" dataDxfId="321"/>
    <tableColumn id="16" xr3:uid="{8A807A0C-A450-438B-AE55-C2A736A68312}" name="Visual Camera" dataDxfId="320"/>
    <tableColumn id="6" xr3:uid="{8CA4556A-ACD5-4171-9FD4-AF6BA41EDDF2}" name="Display" dataDxfId="319"/>
    <tableColumn id="7" xr3:uid="{D4CD1066-B6AD-4012-8B46-ACEE18E90D84}" name="Price" dataDxfId="318" dataCellStyle="Currency"/>
    <tableColumn id="8" xr3:uid="{0A335ED3-71B3-4B06-964A-AAD1D3715644}" name="Est. Monthly Retail Rev" dataDxfId="317" dataCellStyle="Currency"/>
    <tableColumn id="9" xr3:uid="{ABDF4E3D-75BE-4E22-9859-393763DAA114}" name="Est. Monthly Units Sold" dataDxfId="316"/>
    <tableColumn id="11" xr3:uid="{2315F7F9-087A-478B-B11C-6E75249A5DF7}" name="# of Reviews" dataDxfId="315"/>
    <tableColumn id="10" xr3:uid="{3358C17E-8F44-4475-99FC-B8B50B1E2C4D}" name="Avg. Rating" dataDxfId="314" dataCellStyle="Hyperlink"/>
    <tableColumn id="13" xr3:uid="{D1DBEE25-931F-4BE6-9737-FA50230FB88D}" name="Column2" dataDxfId="313"/>
    <tableColumn id="14" xr3:uid="{41066F60-E657-5D42-B3E7-8AB8E2E4B5F2}" name="Link" dataDxfId="312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59DCDBC-50DA-46D3-958E-407BBB6F51F5}" name="Table8" displayName="Table8" ref="A56:R106" totalsRowShown="0" headerRowDxfId="311" dataDxfId="310">
  <autoFilter ref="A56:R106" xr:uid="{A59DCDBC-50DA-46D3-958E-407BBB6F51F5}"/>
  <tableColumns count="18">
    <tableColumn id="1" xr3:uid="{0938D7FF-C44D-4D90-AE85-02C17A7E838A}" name="Ranking" dataDxfId="309"/>
    <tableColumn id="2" xr3:uid="{231AAF06-86B4-4792-8A6C-015B80B0DBEF}" name="ASIN" dataDxfId="308"/>
    <tableColumn id="3" xr3:uid="{AAC75754-6EB9-49D4-9244-C1BBE2F2DEA4}" name="Product Name" dataDxfId="307"/>
    <tableColumn id="4" xr3:uid="{F751F635-89F9-42AC-8DAD-497317024A61}" name="Brand" dataDxfId="306"/>
    <tableColumn id="5" xr3:uid="{5D1305B2-11AC-462A-A592-A88F596F78A4}" name="Type" dataDxfId="305"/>
    <tableColumn id="24" xr3:uid="{4C8BFE44-7226-417A-A08C-1DCF49D0DFDF}" name="Basic Resolution" dataDxfId="304"/>
    <tableColumn id="20" xr3:uid="{0F5FE3C6-4EF1-4C38-B604-FA84F645F4F9}" name="Super Resolution" dataDxfId="303"/>
    <tableColumn id="21" xr3:uid="{4D357285-4CDE-4CE3-9E19-E844F272C161}" name="Laser" dataDxfId="302"/>
    <tableColumn id="23" xr3:uid="{00F15DF2-3993-4323-800B-627BFFDFAFA4}" name="Wi-Fi" dataDxfId="301"/>
    <tableColumn id="22" xr3:uid="{5877C1CF-CA7C-43E7-B1D1-DD714A059C4A}" name="Visual Camera" dataDxfId="300"/>
    <tableColumn id="6" xr3:uid="{663B81CB-2F51-49C2-837D-D617D25C6466}" name="Display" dataDxfId="299"/>
    <tableColumn id="7" xr3:uid="{09EF5AAE-F480-4327-B12E-601E87113177}" name="Price" dataDxfId="298"/>
    <tableColumn id="8" xr3:uid="{A3869BD7-4065-49B6-9034-34C621B13300}" name="Est. Monthly Retail Rev" dataDxfId="297"/>
    <tableColumn id="9" xr3:uid="{472CFF8B-1E88-4F1B-B34F-30770ED3616C}" name="Est. Monthly Units Sold" dataDxfId="296"/>
    <tableColumn id="11" xr3:uid="{9B46B1E4-DAB0-44BB-8E8B-FBE9E9C9CB48}" name="# of Reviews" dataDxfId="295"/>
    <tableColumn id="10" xr3:uid="{AD6D991F-1745-4ED5-BEF7-1E88AF8322E0}" name="Avg. Rating" dataDxfId="294" dataCellStyle="Hyperlink"/>
    <tableColumn id="12" xr3:uid="{36342CC1-3217-4CA5-99AA-97EE8906A57B}" name="Column2" dataDxfId="293" dataCellStyle="Hyperlink"/>
    <tableColumn id="13" xr3:uid="{E49B1E5C-1D27-624A-8918-00422177CFD4}" name="Link" dataDxfId="292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9CE7A-1D56-4C04-9E27-8DA4B6E2B31C}" name="Table39122" displayName="Table39122" ref="A8:K33" totalsRowShown="0" dataDxfId="290" headerRowBorderDxfId="291" tableBorderDxfId="289">
  <autoFilter ref="A8:K33" xr:uid="{88364236-2597-4E54-AB10-5B55E5D86F9F}"/>
  <tableColumns count="11">
    <tableColumn id="1" xr3:uid="{D6E228DB-84AF-41C6-BB32-135A40F2D727}" name="Product Name" dataDxfId="288"/>
    <tableColumn id="2" xr3:uid="{3BB6809A-FE93-4385-84F4-101731E4C88A}" name="ASIN" dataDxfId="287"/>
    <tableColumn id="3" xr3:uid="{1CE37BC8-3AF1-4209-8123-28CCE1C8595C}" name="Avg Price" dataDxfId="286"/>
    <tableColumn id="4" xr3:uid="{068252A2-0179-4B5E-96D4-A08DDB2B12C1}" name="Estimated 12mo Revenue" dataDxfId="285"/>
    <tableColumn id="5" xr3:uid="{54634C20-D73F-4149-93B5-273B549E1725}" name="Monthly Rev" dataDxfId="284"/>
    <tableColumn id="6" xr3:uid="{3F314C1D-8435-4600-9717-923C1A4E42B9}" name="Estimated 12mo Units" dataDxfId="283"/>
    <tableColumn id="7" xr3:uid="{0F3D1942-2D87-486D-8120-636C17A58F2D}" name="Monthly Units" dataDxfId="282"/>
    <tableColumn id="8" xr3:uid="{BD7C8CA0-5FB8-48C6-A712-44CFD2B9AA72}" name="# of Reviews" dataDxfId="281"/>
    <tableColumn id="9" xr3:uid="{0E711657-726C-47C0-8104-377D697B7185}" name="Tool Rating " dataDxfId="280"/>
    <tableColumn id="11" xr3:uid="{FE397F3F-9235-47D2-AF0E-351E2CAA67DA}" name="Column1" dataDxfId="279"/>
    <tableColumn id="10" xr3:uid="{6549CE1B-E4B0-4D15-8AEE-FD5E8DBB6EED}" name="Link" dataDxfId="278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688C37-45FA-446C-9B30-9B753FB6BB72}" name="Table40136" displayName="Table40136" ref="A38:K63" totalsRowShown="0" dataDxfId="276" headerRowBorderDxfId="277" tableBorderDxfId="275">
  <autoFilter ref="A38:K63" xr:uid="{FE5824C0-1662-4D77-B20A-F2CD92450CBD}"/>
  <tableColumns count="11">
    <tableColumn id="1" xr3:uid="{33CC293E-B320-4CE2-9FE4-F043315FDABC}" name="Product Name" dataDxfId="274"/>
    <tableColumn id="2" xr3:uid="{330A7263-8567-42DD-AFAD-8FEFB7FDE620}" name="ASIN" dataDxfId="273"/>
    <tableColumn id="3" xr3:uid="{7202B142-2408-4BC8-A8B9-F79793710C32}" name="Avg Price" dataDxfId="272"/>
    <tableColumn id="4" xr3:uid="{BF81ED61-4079-41B3-AD60-1ACE0AB4CC9C}" name="Estimated 12mo Revenue" dataDxfId="271"/>
    <tableColumn id="5" xr3:uid="{2CB284F4-C5F7-4845-8F24-0BE5EC27C7C1}" name="Monthly Rev" dataDxfId="270"/>
    <tableColumn id="6" xr3:uid="{E2D53742-5432-4161-BCDD-6B4F18591E7D}" name="Estimated 12mo Units" dataDxfId="269"/>
    <tableColumn id="7" xr3:uid="{8B381500-DF7B-4330-9C9E-C2B88D6430AC}" name="Monthly Units" dataDxfId="268"/>
    <tableColumn id="8" xr3:uid="{52CF9A71-F5C7-48DA-AEAB-9401DEC052C5}" name="# of Reviews" dataDxfId="267"/>
    <tableColumn id="9" xr3:uid="{6C68C2FA-75E3-4E3F-B627-E04406FF8209}" name="Tool Rating " dataDxfId="266"/>
    <tableColumn id="11" xr3:uid="{4CA3AF06-4411-4080-8C27-86BB2E6AC474}" name="Column1" dataDxfId="265"/>
    <tableColumn id="10" xr3:uid="{34794B6E-71B8-4FA6-A863-D3BC3F51BCCC}" name="Link" dataDxfId="264" dataCellStyle="Hyperlink">
      <calculatedColumnFormula>HYPERLINK(J39)</calculatedColumnFormula>
    </tableColumn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4E70F4F-751F-BC4D-87EA-BD9DA3D66DF7}" name="Table3912222" displayName="Table3912222" ref="A8:K27" totalsRowShown="0" dataDxfId="262" headerRowBorderDxfId="263" tableBorderDxfId="261">
  <autoFilter ref="A8:K27" xr:uid="{88364236-2597-4E54-AB10-5B55E5D86F9F}"/>
  <tableColumns count="11">
    <tableColumn id="1" xr3:uid="{C5E6792A-81D0-0146-91C6-5A81AC0A6EE1}" name="Product Name" dataDxfId="260"/>
    <tableColumn id="2" xr3:uid="{24332868-F47B-E441-96A0-C0542632AF29}" name="ASIN" dataDxfId="259"/>
    <tableColumn id="3" xr3:uid="{DC364C1C-18D0-404C-8C8E-C5ABB40FCFDA}" name="Avg Price" dataDxfId="258"/>
    <tableColumn id="4" xr3:uid="{92280CB0-7952-1742-BEAA-1D5C19B1194E}" name="Estimated 12mo Revenue" dataDxfId="257"/>
    <tableColumn id="5" xr3:uid="{9B1D6C2D-A6E5-EA44-B212-2D550C7258CB}" name="Monthly Rev" dataDxfId="256"/>
    <tableColumn id="6" xr3:uid="{B6B040D6-3802-0D41-941C-9F7458F01F03}" name="Estimated 12mo Units" dataDxfId="255"/>
    <tableColumn id="7" xr3:uid="{93FA74F6-7C2F-FF45-B062-0060B61F5A6C}" name="Monthly Units" dataDxfId="254"/>
    <tableColumn id="8" xr3:uid="{4B978BB7-62BC-FF46-A82C-1A12944D3BC5}" name="# of Reviews" dataDxfId="253"/>
    <tableColumn id="9" xr3:uid="{B20E719F-5CFE-F743-AB81-F78C10931F26}" name="Tool Rating " dataDxfId="252"/>
    <tableColumn id="11" xr3:uid="{E0B72AD6-0261-EC4B-84F4-9D8F48640646}" name="Column1" dataDxfId="251"/>
    <tableColumn id="10" xr3:uid="{33C24AC5-D213-DE43-A4AF-177EB1A2EC96}" name="Link" dataDxfId="250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3842AA-7B72-4A44-9DA3-AC108652ECC5}" name="Table4013623" displayName="Table4013623" ref="A32:K51" totalsRowShown="0" dataDxfId="248" headerRowBorderDxfId="249" tableBorderDxfId="247">
  <autoFilter ref="A32:K51" xr:uid="{FE5824C0-1662-4D77-B20A-F2CD92450CBD}"/>
  <tableColumns count="11">
    <tableColumn id="1" xr3:uid="{D400F17D-EA3A-494F-94ED-985D02023994}" name="Product Name" dataDxfId="246"/>
    <tableColumn id="2" xr3:uid="{9296486E-0E2D-9148-A5CB-9017B993D0F3}" name="ASIN" dataDxfId="245"/>
    <tableColumn id="3" xr3:uid="{E63D8E00-6261-0A4B-9447-A451A86BBF7A}" name="Avg Price" dataDxfId="244"/>
    <tableColumn id="4" xr3:uid="{05E38853-0D69-1943-BE81-8A30644E81BE}" name="Estimated 12mo Revenue" dataDxfId="243"/>
    <tableColumn id="5" xr3:uid="{E1906C96-D542-CB49-943C-A136CBD2F1EF}" name="Monthly Rev" dataDxfId="242"/>
    <tableColumn id="6" xr3:uid="{2F87D580-3241-2544-90F8-D18FA7048C7A}" name="Estimated 12mo Units" dataDxfId="241"/>
    <tableColumn id="7" xr3:uid="{A44CEDFB-E969-DD4A-BD58-5E6DE3D7770A}" name="Monthly Units" dataDxfId="240"/>
    <tableColumn id="8" xr3:uid="{2EF20CDE-A36C-F24C-9D62-1BA475143FF5}" name="# of Reviews" dataDxfId="239"/>
    <tableColumn id="9" xr3:uid="{7962C5EE-3033-1440-8A12-A070F397B27A}" name="Tool Rating " dataDxfId="238"/>
    <tableColumn id="11" xr3:uid="{3F4B2F22-ABA4-1048-9EB4-A1F2F828E2DB}" name="Column1" dataDxfId="237"/>
    <tableColumn id="10" xr3:uid="{BFE8A85F-D65E-8C40-9F8D-DDEF967253D2}" name="Link" dataDxfId="236" dataCellStyle="Hyperlink">
      <calculatedColumnFormula>HYPERLINK(J33)</calculatedColumnFormula>
    </tableColumn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F4A96C2-3AFE-41A8-83B5-B2821344F5D7}" name="Table19" displayName="Table19" ref="A8:K19" totalsRowShown="0" dataDxfId="234" headerRowBorderDxfId="235" tableBorderDxfId="233">
  <autoFilter ref="A8:K19" xr:uid="{0F4A96C2-3AFE-41A8-83B5-B2821344F5D7}"/>
  <tableColumns count="11">
    <tableColumn id="1" xr3:uid="{D525D79C-B7C4-4405-88D6-337386E43422}" name="Product Name" dataDxfId="232"/>
    <tableColumn id="2" xr3:uid="{46B363DC-9A48-4B1D-981A-11BCEC5CB617}" name="ASIN" dataDxfId="231"/>
    <tableColumn id="3" xr3:uid="{E7A2DF37-0308-47AD-95D4-8C3D556C8C1D}" name="Avg Price" dataDxfId="230"/>
    <tableColumn id="4" xr3:uid="{081F4A02-6010-46D9-8C40-7BEBF21C4B32}" name="Estimated 12mo Revenue" dataDxfId="229"/>
    <tableColumn id="5" xr3:uid="{982A99B0-F846-4008-B20D-9B9DF2B028B8}" name="Monthly Rev" dataDxfId="228"/>
    <tableColumn id="6" xr3:uid="{A6D91AB5-6177-4FB9-B65D-0443546B281C}" name="Estimated 12mo Units" dataDxfId="227"/>
    <tableColumn id="7" xr3:uid="{2374C00A-A30E-4E44-8169-F57BCF277E4A}" name="Monthly Units" dataDxfId="226"/>
    <tableColumn id="8" xr3:uid="{A35F95CC-AA71-4470-A82E-F53DE8F9769C}" name="# of Reviews" dataDxfId="225"/>
    <tableColumn id="9" xr3:uid="{6DFE11D0-98CB-4361-A7B6-8E3E0B0666E4}" name="Tool Rating " dataDxfId="224"/>
    <tableColumn id="11" xr3:uid="{2B26465A-2C6A-4038-BCEC-4F5BE491B875}" name="Column1" dataDxfId="223"/>
    <tableColumn id="10" xr3:uid="{4A197A70-EB77-4A6E-931E-F8A592BD9E21}" name="Link" dataDxfId="222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4F2DAC-4C26-4682-BF42-014924E0B654}" name="Table43" displayName="Table43" ref="A24:K35" totalsRowShown="0" headerRowDxfId="221" dataDxfId="220">
  <autoFilter ref="A24:K35" xr:uid="{C14F2DAC-4C26-4682-BF42-014924E0B654}"/>
  <tableColumns count="11">
    <tableColumn id="1" xr3:uid="{66689EC8-A80F-46A9-8BA1-CD891953E059}" name="Product Name" dataDxfId="219"/>
    <tableColumn id="12" xr3:uid="{E3FC8BA4-1F29-4E88-9427-43183537108B}" name="ASIN" dataDxfId="218"/>
    <tableColumn id="3" xr3:uid="{219A9655-B89D-41BB-B5D2-E5393C183A6F}" name="Avg Price" dataDxfId="217"/>
    <tableColumn id="4" xr3:uid="{4B077CD3-D19E-4B5E-B6A8-1B99D24FA79C}" name="Estimated 12mo Revenue" dataDxfId="216"/>
    <tableColumn id="5" xr3:uid="{21557FAC-8BDD-46C3-833C-0508018BEB74}" name="Monthly Rev" dataDxfId="215"/>
    <tableColumn id="6" xr3:uid="{4DA015D1-DC20-4759-81E5-3F256C7B75A5}" name="Estimated 12mo Units" dataDxfId="214"/>
    <tableColumn id="7" xr3:uid="{5630E707-A702-4E28-9191-51313BC35209}" name="Monthly Units" dataDxfId="213"/>
    <tableColumn id="8" xr3:uid="{F4A40CB6-EED6-44DE-B12C-9DBFFC089276}" name="# of Reviews" dataDxfId="212"/>
    <tableColumn id="9" xr3:uid="{40A1A1AB-BAB1-470A-B50A-C6EE954201B7}" name="Tool Rating " dataDxfId="211"/>
    <tableColumn id="11" xr3:uid="{11AC359B-2C38-4249-8043-15C877DE80BC}" name="Column1" dataDxfId="210"/>
    <tableColumn id="10" xr3:uid="{EA6B79A0-47D6-4166-BD70-03856E796D06}" name="Link" dataDxfId="209" dataCellStyle="Hyperlink">
      <calculatedColumnFormula>HYPERLINK(J25)</calculatedColumnFormula>
    </tableColumn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98740C-DC90-4F42-859A-4A2A85DD4BB3}" name="Table1915" displayName="Table1915" ref="A8:K25" totalsRowShown="0" dataDxfId="207" headerRowBorderDxfId="208" tableBorderDxfId="206">
  <autoFilter ref="A8:K25" xr:uid="{0F4A96C2-3AFE-41A8-83B5-B2821344F5D7}"/>
  <tableColumns count="11">
    <tableColumn id="1" xr3:uid="{67C2B7B0-0219-475D-8D96-C79461C376D1}" name="Product Name" dataDxfId="205"/>
    <tableColumn id="2" xr3:uid="{74DA7844-8CB1-4A57-99B7-185DC56C33EF}" name="ASIN" dataDxfId="204"/>
    <tableColumn id="3" xr3:uid="{B020E12D-CDE4-4527-B889-139322B0AF28}" name="Avg Price" dataDxfId="203"/>
    <tableColumn id="4" xr3:uid="{E770F996-F0CD-44AD-A9C7-E02E7E2BE48E}" name="Estimated 12mo Revenue" dataDxfId="202"/>
    <tableColumn id="5" xr3:uid="{38CE932B-EA62-4816-AEE9-480208B6B96E}" name="Monthly Rev" dataDxfId="201"/>
    <tableColumn id="6" xr3:uid="{6677E677-1B46-41A7-813D-9146D9D838B0}" name="Estimated 12mo Units" dataDxfId="200"/>
    <tableColumn id="7" xr3:uid="{B53EDB1A-3DE6-46C3-8B01-338063710AB5}" name="Monthly Units" dataDxfId="199"/>
    <tableColumn id="8" xr3:uid="{31C31F42-2693-41D5-960A-4A06A14707B8}" name="# of Reviews" dataDxfId="198"/>
    <tableColumn id="9" xr3:uid="{9BDBDC9E-B568-4C28-8236-C8048BDDB782}" name="Tool Rating " dataDxfId="197"/>
    <tableColumn id="11" xr3:uid="{463DF4E0-D92A-43A7-9CC6-214B569EE1D0}" name="Column1" dataDxfId="196"/>
    <tableColumn id="10" xr3:uid="{F79B8C75-33E6-4401-A9EA-B1A6AD9244C8}" name="Link" dataDxfId="195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54B0289-BAC1-41A5-B5FF-7BCB71A4DFA1}" name="Table4316" displayName="Table4316" ref="A30:K47" totalsRowShown="0" headerRowDxfId="194" dataDxfId="193">
  <autoFilter ref="A30:K47" xr:uid="{C14F2DAC-4C26-4682-BF42-014924E0B654}"/>
  <tableColumns count="11">
    <tableColumn id="1" xr3:uid="{B4959A5F-121B-41D2-801D-7739287023E4}" name="Product Name" dataDxfId="192"/>
    <tableColumn id="12" xr3:uid="{8DABAC33-5BD5-427A-91B3-C68224CFBE88}" name="ASIN" dataDxfId="191"/>
    <tableColumn id="3" xr3:uid="{0D9D8C10-111F-4B9F-8B87-E3B205A14CA0}" name="Avg Price" dataDxfId="190"/>
    <tableColumn id="4" xr3:uid="{FCF2ED35-EFFD-4F8C-9EFD-28616DD01255}" name="Estimated 12mo Revenue" dataDxfId="189"/>
    <tableColumn id="5" xr3:uid="{CE292178-F4A8-400A-B282-6C0F1349DFF1}" name="Monthly Rev" dataDxfId="188"/>
    <tableColumn id="6" xr3:uid="{1BE967D8-EAC6-49E5-918A-25A76A35AD97}" name="Estimated 12mo Units" dataDxfId="187"/>
    <tableColumn id="7" xr3:uid="{CE0CA52A-A704-4E2E-B0B7-872BD727F42D}" name="Monthly Units" dataDxfId="186"/>
    <tableColumn id="8" xr3:uid="{AA57A3EF-C86E-4283-B3B9-02AC298CA0CB}" name="# of Reviews" dataDxfId="185"/>
    <tableColumn id="9" xr3:uid="{4E66D908-A24E-433D-A1A8-ED721FBBDC0A}" name="Tool Rating " dataDxfId="184"/>
    <tableColumn id="11" xr3:uid="{E20225D7-D463-42F8-B830-1A447DC45B55}" name="Column1" dataDxfId="183"/>
    <tableColumn id="10" xr3:uid="{8F09D5B7-2EDB-4B31-B973-36579052DB15}" name="Link" dataDxfId="182" dataCellStyle="Hyperlink">
      <calculatedColumnFormula>HYPERLINK(J31)</calculatedColumnFormula>
    </tableColumn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94EF04-8427-4918-B3AC-550CC47021CC}" name="Table391227" displayName="Table391227" ref="A8:K11" totalsRowShown="0" dataDxfId="180" headerRowBorderDxfId="181" tableBorderDxfId="179">
  <autoFilter ref="A8:K11" xr:uid="{88364236-2597-4E54-AB10-5B55E5D86F9F}"/>
  <tableColumns count="11">
    <tableColumn id="1" xr3:uid="{D1E37354-2FAA-412D-8C28-BA9773AB0A25}" name="Product Name" dataDxfId="178"/>
    <tableColumn id="2" xr3:uid="{DE2E356D-5905-4710-ABB4-119F160BC8E1}" name="ASIN" dataDxfId="177"/>
    <tableColumn id="3" xr3:uid="{BB52F4FB-DF6B-4AB8-B302-69663FA5FEC6}" name="Avg Price" dataDxfId="176"/>
    <tableColumn id="4" xr3:uid="{1BBBBDCB-C504-4C95-BC3F-87D719E8E2ED}" name="Estimated 12mo Revenue" dataDxfId="175"/>
    <tableColumn id="5" xr3:uid="{58867618-3D66-4291-BFA8-90FC93052A3F}" name="Monthly Rev" dataDxfId="174"/>
    <tableColumn id="6" xr3:uid="{CFB1CD9C-3F2F-4312-A409-D21500739800}" name="Estimated 12mo Units" dataDxfId="173"/>
    <tableColumn id="7" xr3:uid="{C566CC7A-106E-49C8-992B-CB376C57E8AD}" name="Monthly Units" dataDxfId="172"/>
    <tableColumn id="8" xr3:uid="{913E1342-CC1D-4D1A-9F6A-40EA9DBD40BD}" name="# of Reviews" dataDxfId="171"/>
    <tableColumn id="9" xr3:uid="{C9CB989B-3BFC-4225-81CF-B790429FF296}" name="Tool Rating " dataDxfId="170"/>
    <tableColumn id="11" xr3:uid="{E32C7F66-C95A-4CCA-BF0D-159075E74026}" name="Column1" dataDxfId="169"/>
    <tableColumn id="10" xr3:uid="{6432ED1C-64C2-4915-A932-DEA92A3908AF}" name="Link" dataDxfId="168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1530F89-E6C2-489D-BDF9-C710A63B127B}" name="Table4013614" displayName="Table4013614" ref="A16:K19" totalsRowShown="0" dataDxfId="166" headerRowBorderDxfId="167" tableBorderDxfId="165">
  <autoFilter ref="A16:K19" xr:uid="{FE5824C0-1662-4D77-B20A-F2CD92450CBD}"/>
  <tableColumns count="11">
    <tableColumn id="1" xr3:uid="{3534A4DD-171F-4CF4-8ACB-5E712150B266}" name="Product Name" dataDxfId="164"/>
    <tableColumn id="2" xr3:uid="{5B59D089-2DAA-4692-8761-2F4490343BF9}" name="ASIN" dataDxfId="163"/>
    <tableColumn id="3" xr3:uid="{14060EE9-2E99-4BBC-9091-3E1317B55CDF}" name="Avg Price" dataDxfId="162"/>
    <tableColumn id="4" xr3:uid="{1C5D2356-3F0A-4391-8233-60FF7013119B}" name="Estimated 12mo Revenue" dataDxfId="161"/>
    <tableColumn id="5" xr3:uid="{4F00882E-52CC-4E30-B602-EBF604BF5CA0}" name="Monthly Rev" dataDxfId="160"/>
    <tableColumn id="6" xr3:uid="{59935726-4971-47E6-B311-5B08D1768CAF}" name="Estimated 12mo Units" dataDxfId="159"/>
    <tableColumn id="7" xr3:uid="{199ECC11-0204-4356-B058-C04616889653}" name="Monthly Units" dataDxfId="158"/>
    <tableColumn id="8" xr3:uid="{A158E819-960B-4D53-9207-CCF60721F266}" name="# of Reviews" dataDxfId="157"/>
    <tableColumn id="9" xr3:uid="{990BBA2F-6A9F-4053-A689-06AF0EA72028}" name="Tool Rating " dataDxfId="156"/>
    <tableColumn id="11" xr3:uid="{68994DAA-4EF8-4015-A6EC-F693CF911332}" name="Column1" dataDxfId="155"/>
    <tableColumn id="10" xr3:uid="{EFDFC754-8179-4EB1-B71A-F58A87164D08}" name="Link" dataDxfId="154" dataCellStyle="Hyperlink">
      <calculatedColumnFormula>HYPERLINK(J17)</calculatedColumnFormula>
    </tableColumn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80642A-5F1A-49CF-A9B2-FC7FD380B74D}" name="Table3" displayName="Table3" ref="A8:K14" headerRowDxfId="153" dataDxfId="152" totalsRowDxfId="151">
  <autoFilter ref="A8:K14" xr:uid="{C680642A-5F1A-49CF-A9B2-FC7FD380B74D}"/>
  <tableColumns count="11">
    <tableColumn id="1" xr3:uid="{EF6F3723-2571-4654-88E5-A25D6D8AD20A}" name="Product Name" totalsRowLabel="Total" dataDxfId="150" totalsRowDxfId="149"/>
    <tableColumn id="12" xr3:uid="{9CCC5DE6-372C-4C55-B57B-3B0E96AAD4E0}" name="ASIN" dataDxfId="148"/>
    <tableColumn id="3" xr3:uid="{4F08F926-9C78-4B8A-B6D9-0F945A40C763}" name="Avg Price" dataDxfId="147" totalsRowDxfId="146"/>
    <tableColumn id="4" xr3:uid="{30E08E9D-DA85-463A-AFF7-1E0FE9A33538}" name="Estimated 12mo Revenue" dataDxfId="145" totalsRowDxfId="144"/>
    <tableColumn id="5" xr3:uid="{FDC2DEB8-2829-4EAE-8F8D-DBDBB84F13CA}" name="Monthly Rev" dataDxfId="143" totalsRowDxfId="142"/>
    <tableColumn id="6" xr3:uid="{D8BC7677-A58F-4502-AABA-538E03CEBE9D}" name="Estimated 12mo Units" dataDxfId="141" totalsRowDxfId="140"/>
    <tableColumn id="7" xr3:uid="{51E30D3E-468B-4033-B06A-C06DC7DEE9AE}" name="Monthly Units" dataDxfId="139" totalsRowDxfId="138"/>
    <tableColumn id="8" xr3:uid="{1E530168-F850-4C76-8697-9E578A3AB27E}" name="# of Reviews" dataDxfId="137" totalsRowDxfId="136"/>
    <tableColumn id="9" xr3:uid="{3035D287-954F-4588-A2D1-6F1066B2F876}" name="Tool Rating " dataDxfId="135" totalsRowDxfId="134"/>
    <tableColumn id="11" xr3:uid="{9AB02F12-E08F-4C0F-AFD9-A8629E0EEF02}" name="Column1" dataDxfId="133" totalsRowDxfId="132"/>
    <tableColumn id="10" xr3:uid="{344498A7-B0F3-48D1-864C-B984665E3608}" name="Link" totalsRowFunction="count" dataDxfId="131" totalsRowDxfId="130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EE2DEE-EC23-49FB-80B8-33BD69F70FDA}" name="Table4" displayName="Table4" ref="A19:K25" totalsRowShown="0" headerRowDxfId="129" dataDxfId="128">
  <autoFilter ref="A19:K25" xr:uid="{8BEE2DEE-EC23-49FB-80B8-33BD69F70FDA}"/>
  <tableColumns count="11">
    <tableColumn id="1" xr3:uid="{748946F1-3951-491D-95E7-12F3DE748F8B}" name="Product Name" dataDxfId="127"/>
    <tableColumn id="12" xr3:uid="{81E091BF-656E-441E-B33C-95916E3BFA75}" name="ASIN" dataDxfId="126"/>
    <tableColumn id="3" xr3:uid="{6E5C7F02-27D3-4EE9-AE47-65A813235485}" name="Avg Price" dataDxfId="125"/>
    <tableColumn id="4" xr3:uid="{B640E744-C6AF-45D4-8496-AEA1A4948411}" name="Estimated 12mo Revenue" dataDxfId="124"/>
    <tableColumn id="5" xr3:uid="{04433A13-540E-4E9B-87EB-1571B0C5F304}" name="Monthly Rev" dataDxfId="123"/>
    <tableColumn id="6" xr3:uid="{A740CCE4-A9EB-49A8-9743-F4E943F187ED}" name="Estimated 12mo Units" dataDxfId="122"/>
    <tableColumn id="7" xr3:uid="{3D6DB9E3-C7D0-4072-B033-E954B8644F6D}" name="Monthly Units" dataDxfId="121"/>
    <tableColumn id="8" xr3:uid="{8F49DF4E-1BBA-446E-9E9C-160793ECE21D}" name="# of Reviews" dataDxfId="120"/>
    <tableColumn id="9" xr3:uid="{23576E82-CED8-4E55-95AE-36F1C6C92BCF}" name="Tool Rating " dataDxfId="119"/>
    <tableColumn id="11" xr3:uid="{506303EA-4AB2-45F3-8D1F-B733E0D385CA}" name="Column1" dataDxfId="118"/>
    <tableColumn id="10" xr3:uid="{EAA31DFA-D23C-4684-BB75-9470A1E51DB1}" name="Link" dataDxfId="117" dataCellStyle="Hyperlink">
      <calculatedColumnFormula>HYPERLINK(J20)</calculatedColumnFormula>
    </tableColumn>
  </tableColumns>
  <tableStyleInfo name="TableStyleLight1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C4BBE32-7080-4C3F-B13D-EFCC4CE4912F}" name="Table191517" displayName="Table191517" ref="A8:K18" totalsRowShown="0" dataDxfId="115" headerRowBorderDxfId="116" tableBorderDxfId="114">
  <autoFilter ref="A8:K18" xr:uid="{0F4A96C2-3AFE-41A8-83B5-B2821344F5D7}"/>
  <tableColumns count="11">
    <tableColumn id="1" xr3:uid="{9CA31133-F031-42CF-86C8-8EE48CF3F23A}" name="Product Name" dataDxfId="113"/>
    <tableColumn id="2" xr3:uid="{15260386-4566-46B9-A5AB-859161C21527}" name="ASIN" dataDxfId="112"/>
    <tableColumn id="3" xr3:uid="{DA502597-5395-4AB4-B7B5-6CBE564B359D}" name="Avg Price" dataDxfId="111"/>
    <tableColumn id="4" xr3:uid="{4DBC392C-C314-4F94-88FD-222C1A2F976E}" name="Estimated 12mo Revenue" dataDxfId="110"/>
    <tableColumn id="5" xr3:uid="{E8E7D8C2-A73F-4CCC-977E-C405FAA4928A}" name="Monthly Rev" dataDxfId="109"/>
    <tableColumn id="6" xr3:uid="{1E3B66D9-4599-4395-A646-0B5932BCF75E}" name="Estimated 12mo Units" dataDxfId="108"/>
    <tableColumn id="7" xr3:uid="{D1538ABF-0A9C-4C8D-B3D8-C24FC5DA5AB1}" name="Monthly Units" dataDxfId="107"/>
    <tableColumn id="8" xr3:uid="{06F84DE5-11F6-428C-A2DD-6150184AF647}" name="# of Reviews" dataDxfId="106"/>
    <tableColumn id="9" xr3:uid="{B106B38C-4298-4F78-A4B7-3B10AA71D79B}" name="Tool Rating " dataDxfId="105"/>
    <tableColumn id="11" xr3:uid="{E40900AB-75F6-41F1-8DB7-237F4F464A4A}" name="Column1" dataDxfId="104"/>
    <tableColumn id="10" xr3:uid="{0C114CA8-BABF-4C2F-AFCB-6660AD0A5B8A}" name="Link" dataDxfId="103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F88C39A-CB6E-47EF-A9A1-B5B9117E66A7}" name="Table431618" displayName="Table431618" ref="A23:K33" totalsRowShown="0" headerRowDxfId="102" dataDxfId="101">
  <autoFilter ref="A23:K33" xr:uid="{C14F2DAC-4C26-4682-BF42-014924E0B654}"/>
  <tableColumns count="11">
    <tableColumn id="1" xr3:uid="{F914AB38-D063-42BF-8860-A72FA536443C}" name="Product Name" dataDxfId="100"/>
    <tableColumn id="12" xr3:uid="{7C1A3C11-94AD-4224-BD52-83713BAB85DE}" name="ASIN" dataDxfId="99"/>
    <tableColumn id="3" xr3:uid="{A791338C-7A4C-4072-8845-3B355912A8F2}" name="Avg Price" dataDxfId="98"/>
    <tableColumn id="4" xr3:uid="{649F0FAF-8435-4148-A4A5-80B5186C1BA3}" name="Estimated 12mo Revenue" dataDxfId="97"/>
    <tableColumn id="5" xr3:uid="{73DEA395-09C9-42DB-AE39-950B549AE9CE}" name="Monthly Rev" dataDxfId="96"/>
    <tableColumn id="6" xr3:uid="{B413FC5B-5D0D-42A4-82DC-023C1C4F0607}" name="Estimated 12mo Units" dataDxfId="95"/>
    <tableColumn id="7" xr3:uid="{76283AC2-25D7-4F4D-AC08-7B0D780E7414}" name="Monthly Units" dataDxfId="94"/>
    <tableColumn id="8" xr3:uid="{98B80A4F-8491-4351-BE60-00EB48769A3B}" name="# of Reviews" dataDxfId="93"/>
    <tableColumn id="9" xr3:uid="{AD071EF3-78BA-4452-86D7-85D377DF3727}" name="Tool Rating " dataDxfId="92"/>
    <tableColumn id="11" xr3:uid="{00F06AF4-8270-4B2B-B202-B04372429735}" name="Column1" dataDxfId="91"/>
    <tableColumn id="10" xr3:uid="{BE51943D-9F25-4727-A633-291F41BE889D}" name="Link" dataDxfId="90" dataCellStyle="Hyperlink">
      <calculatedColumnFormula>HYPERLINK(J24)</calculatedColumnFormula>
    </tableColumn>
  </tableColumns>
  <tableStyleInfo name="TableStyleLight1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4075F7-AD59-4242-81F7-8B44C8B67C92}" name="Table19151719" displayName="Table19151719" ref="A8:K9" totalsRowShown="0" dataDxfId="88" headerRowBorderDxfId="89" tableBorderDxfId="87">
  <autoFilter ref="A8:K9" xr:uid="{0F4A96C2-3AFE-41A8-83B5-B2821344F5D7}"/>
  <tableColumns count="11">
    <tableColumn id="1" xr3:uid="{6235006B-98AB-414C-8F91-E364841E9A3F}" name="Product Name" dataDxfId="86"/>
    <tableColumn id="2" xr3:uid="{8287EA29-8DE5-4578-AB3A-69536D246D24}" name="ASIN" dataDxfId="85"/>
    <tableColumn id="3" xr3:uid="{2E3A0918-44EB-4343-B2C8-03AE2B7B55C4}" name="Avg Price" dataDxfId="84"/>
    <tableColumn id="4" xr3:uid="{3B2715E2-85E1-426D-A9B5-16B704C43837}" name="Estimated 12mo Revenue" dataDxfId="83"/>
    <tableColumn id="5" xr3:uid="{36E239CD-3764-4FC8-BA4E-C99C6464A419}" name="Monthly Rev" dataDxfId="82"/>
    <tableColumn id="6" xr3:uid="{AA3A41EA-8B19-4EA8-8B3B-8E44BF564E9B}" name="Estimated 12mo Units" dataDxfId="81"/>
    <tableColumn id="7" xr3:uid="{AA687EBE-3F19-46FB-BEB5-B5D90891C801}" name="Monthly Units" dataDxfId="80"/>
    <tableColumn id="8" xr3:uid="{4CDDF752-3074-4FE2-8554-372DEFF565C0}" name="# of Reviews" dataDxfId="79"/>
    <tableColumn id="9" xr3:uid="{7A2167DE-4AC6-463D-9ABF-C51322B917F9}" name="Tool Rating " dataDxfId="78"/>
    <tableColumn id="11" xr3:uid="{5A4153F1-54CD-4CE0-9771-F330FC0FA146}" name="Column1" dataDxfId="77"/>
    <tableColumn id="10" xr3:uid="{EAC4C0D9-8610-45A0-8E1B-A0A1E1E39D2C}" name="Link" dataDxfId="76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A603035-1AF7-4E58-9E57-3BE55EC1B14A}" name="Table43161821" displayName="Table43161821" ref="A14:K15" totalsRowShown="0" headerRowDxfId="75" dataDxfId="74">
  <autoFilter ref="A14:K15" xr:uid="{C14F2DAC-4C26-4682-BF42-014924E0B654}"/>
  <tableColumns count="11">
    <tableColumn id="1" xr3:uid="{364FD270-488C-48EF-8C10-29D0C608A6EE}" name="Product Name" dataDxfId="73"/>
    <tableColumn id="12" xr3:uid="{832D9EA4-5676-4EC2-A899-F0B9D647DAF2}" name="ASIN" dataDxfId="72"/>
    <tableColumn id="3" xr3:uid="{96073BBB-27A9-4068-9C6F-E8CA26734092}" name="Avg Price" dataDxfId="71"/>
    <tableColumn id="4" xr3:uid="{62335831-B5F3-4703-B3BB-092687106552}" name="Estimated 12mo Revenue" dataDxfId="70"/>
    <tableColumn id="5" xr3:uid="{CBEFF2A4-BBBF-4774-8E84-BA0187440D68}" name="Monthly Rev" dataDxfId="69"/>
    <tableColumn id="6" xr3:uid="{793534A1-2934-41E2-A118-BD61023789DD}" name="Estimated 12mo Units" dataDxfId="68"/>
    <tableColumn id="7" xr3:uid="{9B6D359F-30B5-4E96-B3C7-ABE1E9096615}" name="Monthly Units" dataDxfId="67"/>
    <tableColumn id="8" xr3:uid="{2193B2F2-0567-46A9-92D4-CD599A89C31D}" name="# of Reviews" dataDxfId="66"/>
    <tableColumn id="9" xr3:uid="{AC1B315D-3EFC-4EB5-9B31-E69CB0A5F721}" name="Tool Rating " dataDxfId="65"/>
    <tableColumn id="11" xr3:uid="{7D91CC4D-50C8-4CD6-8F8E-44C8E887F457}" name="Column1" dataDxfId="64"/>
    <tableColumn id="10" xr3:uid="{880E1F22-620C-46CF-8CC6-993AD1B0C792}" name="Link" dataDxfId="63" dataCellStyle="Hyperlink">
      <calculatedColumnFormula>HYPERLINK(J15)</calculatedColumnFormula>
    </tableColumn>
  </tableColumns>
  <tableStyleInfo name="TableStyleLight1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428483-D24B-430F-91AA-43D6D1E8B1E5}" name="Table3912" displayName="Table3912" ref="A8:K14" totalsRowShown="0" dataDxfId="61" headerRowBorderDxfId="62" tableBorderDxfId="60">
  <autoFilter ref="A8:K14" xr:uid="{88364236-2597-4E54-AB10-5B55E5D86F9F}"/>
  <tableColumns count="11">
    <tableColumn id="1" xr3:uid="{B5546841-1827-43AF-9780-A5DBA722193D}" name="Product Name" dataDxfId="59"/>
    <tableColumn id="2" xr3:uid="{51799C82-4027-43C3-B48D-AE56FD6A9CBD}" name="ASIN" dataDxfId="58"/>
    <tableColumn id="3" xr3:uid="{762C5216-8D26-4E0C-ADC8-57B07C1FF479}" name="Avg Price" dataDxfId="57"/>
    <tableColumn id="4" xr3:uid="{A748EA27-CD1A-44E6-9066-7744B28833AA}" name="Estimated 12mo Revenue" dataDxfId="56"/>
    <tableColumn id="5" xr3:uid="{19D88CAD-3073-4BBD-8E37-63144AFD5559}" name="Monthly Rev" dataDxfId="55"/>
    <tableColumn id="6" xr3:uid="{1AE2FB38-B0F3-497B-8B37-F02D9467023B}" name="Estimated 12mo Units" dataDxfId="54"/>
    <tableColumn id="7" xr3:uid="{369211BF-D40E-4001-BFA6-A9DF034509FF}" name="Monthly Units" dataDxfId="53"/>
    <tableColumn id="8" xr3:uid="{759C7DA0-3585-429F-A84C-956F25552885}" name="# of Reviews" dataDxfId="52"/>
    <tableColumn id="9" xr3:uid="{F61A1580-FFA1-4B4A-B644-CB06DE0E5E5A}" name="Tool Rating " dataDxfId="51"/>
    <tableColumn id="11" xr3:uid="{5D6ADF06-6B28-4918-B36B-FB98D7A7A552}" name="Column1" dataDxfId="50"/>
    <tableColumn id="10" xr3:uid="{6DD93343-D5A8-4016-AECD-097D01B0F823}" name="Link" dataDxfId="49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09D4-5429-4E22-AFEF-354D492AF342}" name="Table4013" displayName="Table4013" ref="A19:K25" totalsRowShown="0" dataDxfId="47" headerRowBorderDxfId="48" tableBorderDxfId="46">
  <autoFilter ref="A19:K25" xr:uid="{FE5824C0-1662-4D77-B20A-F2CD92450CBD}"/>
  <tableColumns count="11">
    <tableColumn id="1" xr3:uid="{3C3FB2CD-A9D5-47AB-B138-4C4BBE372FAF}" name="Product Name" dataDxfId="45"/>
    <tableColumn id="2" xr3:uid="{54711267-C6E5-4CE9-A4C6-7BE62ECD23E2}" name="ASIN" dataDxfId="44"/>
    <tableColumn id="3" xr3:uid="{B1EED3FB-A8C0-412C-BDD2-675764CA3AD6}" name="Avg Price" dataDxfId="43"/>
    <tableColumn id="4" xr3:uid="{E23C6E0C-54FB-4A9E-B0EF-0AD42A5B80F5}" name="Estimated 12mo Revenue" dataDxfId="42"/>
    <tableColumn id="5" xr3:uid="{B3BD9878-D8FA-4D26-A8D7-C2D4E3DA8891}" name="Monthly Rev" dataDxfId="41"/>
    <tableColumn id="6" xr3:uid="{6CA20A4D-A0E6-412E-BE11-AA70272401BB}" name="Estimated 12mo Units" dataDxfId="40"/>
    <tableColumn id="7" xr3:uid="{4FEFF81A-171F-4AF3-9F13-F30CA5414EE1}" name="Monthly Units" dataDxfId="39"/>
    <tableColumn id="8" xr3:uid="{D4FBD3A3-95BC-4BDE-9148-72ED50633405}" name="# of Reviews" dataDxfId="38"/>
    <tableColumn id="9" xr3:uid="{C33AF045-8C43-4E89-8715-8337FCC727A4}" name="Tool Rating " dataDxfId="37"/>
    <tableColumn id="11" xr3:uid="{0FB3865E-2A6D-4EFF-ACE4-BE6EFE332E69}" name="Column1" dataDxfId="36"/>
    <tableColumn id="10" xr3:uid="{B3B9BED5-53DD-4C23-925A-86B1D8DBA9A6}" name="Link" dataDxfId="35" dataCellStyle="Hyperlink">
      <calculatedColumnFormula>HYPERLINK(J20)</calculatedColumnFormula>
    </tableColumn>
  </tableColumns>
  <tableStyleInfo name="TableStyleLight1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FD26740-516E-1A48-8F15-12DEC7561082}" name="Table391224" displayName="Table391224" ref="A8:K17" totalsRowShown="0" dataDxfId="33" headerRowBorderDxfId="34" tableBorderDxfId="32">
  <autoFilter ref="A8:K17" xr:uid="{88364236-2597-4E54-AB10-5B55E5D86F9F}"/>
  <tableColumns count="11">
    <tableColumn id="1" xr3:uid="{324C6B51-5359-0944-88AD-4BD5DEC18EE8}" name="Product Name" dataDxfId="31"/>
    <tableColumn id="2" xr3:uid="{F2E0146F-E2BF-A54D-BBE8-C178DC482128}" name="ASIN" dataDxfId="30"/>
    <tableColumn id="3" xr3:uid="{483118AC-2BED-F442-B91D-2F4D35970820}" name="Avg Price" dataDxfId="29"/>
    <tableColumn id="4" xr3:uid="{F0FFD594-DDFF-5C42-8499-DC9DC6322715}" name="Estimated 12mo Revenue" dataDxfId="28"/>
    <tableColumn id="5" xr3:uid="{9D5E0A8C-C187-D248-99F5-66B2F55E5AD7}" name="Monthly Rev" dataDxfId="27"/>
    <tableColumn id="6" xr3:uid="{2A08C5EA-97B5-8C41-98EA-48BE406ACFE5}" name="Estimated 12mo Units" dataDxfId="26"/>
    <tableColumn id="7" xr3:uid="{3CBA3B10-6159-9F4F-804A-E97B7A9B35AF}" name="Monthly Units" dataDxfId="25"/>
    <tableColumn id="8" xr3:uid="{526228F0-E26C-D943-80B7-540BE376723E}" name="# of Reviews" dataDxfId="24"/>
    <tableColumn id="9" xr3:uid="{4C0DDA98-8A9E-604B-A9BE-C4F81489BF52}" name="Tool Rating " dataDxfId="23"/>
    <tableColumn id="11" xr3:uid="{B91FA398-60EA-5446-980C-5DAC4D60A938}" name="Column1" dataDxfId="22"/>
    <tableColumn id="10" xr3:uid="{2975E447-BF7F-B04F-9600-A75464E29B22}" name="Link" dataDxfId="21" dataCellStyle="Hyperlink">
      <calculatedColumnFormula>HYPERLINK(J9)</calculatedColumnFormula>
    </tableColumn>
  </tableColumns>
  <tableStyleInfo name="TableStyleLight1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7C0BA6D-8AD8-ED43-A5D4-E0493B837911}" name="Table401325" displayName="Table401325" ref="A22:K31" totalsRowShown="0" dataDxfId="19" headerRowBorderDxfId="20" tableBorderDxfId="18">
  <autoFilter ref="A22:K31" xr:uid="{FE5824C0-1662-4D77-B20A-F2CD92450CBD}"/>
  <tableColumns count="11">
    <tableColumn id="1" xr3:uid="{5158F8F6-D57E-264B-908F-743E02B195EF}" name="Product Name" dataDxfId="17"/>
    <tableColumn id="2" xr3:uid="{2CB2A034-CD65-D84F-BD17-1A54556C188C}" name="ASIN" dataDxfId="16"/>
    <tableColumn id="3" xr3:uid="{C8923838-7271-C645-94A3-965117BED197}" name="Avg Price" dataDxfId="15"/>
    <tableColumn id="4" xr3:uid="{59E33DCA-B70C-D44C-9DE8-F7B0D3025FEF}" name="Estimated 12mo Revenue" dataDxfId="14"/>
    <tableColumn id="5" xr3:uid="{3A390DBB-EA62-654A-A6C6-737ACD6F1358}" name="Monthly Rev" dataDxfId="13"/>
    <tableColumn id="6" xr3:uid="{E161E4A8-8CE1-7543-88CB-F00EE5A34B21}" name="Estimated 12mo Units" dataDxfId="12"/>
    <tableColumn id="7" xr3:uid="{E82ED789-D307-8046-A12E-A2D9FAE2FF84}" name="Monthly Units" dataDxfId="11"/>
    <tableColumn id="8" xr3:uid="{63C3BF44-A4E2-2A44-8984-9D05232D4E3E}" name="# of Reviews" dataDxfId="10"/>
    <tableColumn id="9" xr3:uid="{F277F105-0DEC-7643-A9C0-7732E08474C7}" name="Tool Rating " dataDxfId="9"/>
    <tableColumn id="11" xr3:uid="{CBC17292-9121-4A49-AE79-DBE811148B13}" name="Column1" dataDxfId="8"/>
    <tableColumn id="10" xr3:uid="{0A10C9A0-B47F-B442-9965-7E638D8DE070}" name="Link" dataDxfId="7" dataCellStyle="Hyperlink">
      <calculatedColumnFormula>HYPERLINK(J23)</calculatedColumnFormula>
    </tableColumn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mazon.com/dp/B0CW65T636" TargetMode="External"/><Relationship Id="rId13" Type="http://schemas.openxmlformats.org/officeDocument/2006/relationships/hyperlink" Target="https://amazon.com/dp/B0DGFC3D9H" TargetMode="External"/><Relationship Id="rId18" Type="http://schemas.openxmlformats.org/officeDocument/2006/relationships/hyperlink" Target="https://amazon.com/dp/B0C2P7KP5D" TargetMode="External"/><Relationship Id="rId26" Type="http://schemas.openxmlformats.org/officeDocument/2006/relationships/hyperlink" Target="https://amazon.com/dp/B0DT4H7QQM" TargetMode="External"/><Relationship Id="rId3" Type="http://schemas.openxmlformats.org/officeDocument/2006/relationships/hyperlink" Target="https://amazon.com/dp/B0C2P7TP2V" TargetMode="External"/><Relationship Id="rId21" Type="http://schemas.openxmlformats.org/officeDocument/2006/relationships/hyperlink" Target="https://amazon.com/dp/B0BV98JZ22" TargetMode="External"/><Relationship Id="rId7" Type="http://schemas.openxmlformats.org/officeDocument/2006/relationships/hyperlink" Target="https://amazon.com/dp/B0DGFBJYG2" TargetMode="External"/><Relationship Id="rId12" Type="http://schemas.openxmlformats.org/officeDocument/2006/relationships/hyperlink" Target="https://amazon.com/dp/B0CL4KT182" TargetMode="External"/><Relationship Id="rId17" Type="http://schemas.openxmlformats.org/officeDocument/2006/relationships/hyperlink" Target="https://amazon.com/dp/B0DXKXXNLJ" TargetMode="External"/><Relationship Id="rId25" Type="http://schemas.openxmlformats.org/officeDocument/2006/relationships/hyperlink" Target="https://amazon.com/dp/B0B28HRSBP" TargetMode="External"/><Relationship Id="rId2" Type="http://schemas.openxmlformats.org/officeDocument/2006/relationships/hyperlink" Target="https://amazon.com/dp/B0F5Q2YXY5" TargetMode="External"/><Relationship Id="rId16" Type="http://schemas.openxmlformats.org/officeDocument/2006/relationships/hyperlink" Target="https://amazon.com/dp/B0DYDXH1NQ" TargetMode="External"/><Relationship Id="rId20" Type="http://schemas.openxmlformats.org/officeDocument/2006/relationships/hyperlink" Target="https://amazon.com/dp/B0FJ29BJZ7" TargetMode="External"/><Relationship Id="rId29" Type="http://schemas.openxmlformats.org/officeDocument/2006/relationships/hyperlink" Target="https://amazon.com/dp/B08NJ8627V" TargetMode="External"/><Relationship Id="rId1" Type="http://schemas.openxmlformats.org/officeDocument/2006/relationships/hyperlink" Target="https://amazon.com/dp/B0DTJW83YG" TargetMode="External"/><Relationship Id="rId6" Type="http://schemas.openxmlformats.org/officeDocument/2006/relationships/hyperlink" Target="https://amazon.com/dp/B0DH1XWTKK" TargetMode="External"/><Relationship Id="rId11" Type="http://schemas.openxmlformats.org/officeDocument/2006/relationships/hyperlink" Target="https://amazon.com/dp/B0F2PQTT1G" TargetMode="External"/><Relationship Id="rId24" Type="http://schemas.openxmlformats.org/officeDocument/2006/relationships/hyperlink" Target="https://amazon.com/dp/B0CJY5C9QX" TargetMode="External"/><Relationship Id="rId5" Type="http://schemas.openxmlformats.org/officeDocument/2006/relationships/hyperlink" Target="https://amazon.com/dp/B0DWSNQWJ1" TargetMode="External"/><Relationship Id="rId15" Type="http://schemas.openxmlformats.org/officeDocument/2006/relationships/hyperlink" Target="https://amazon.com/dp/B0FMY9WR1H" TargetMode="External"/><Relationship Id="rId23" Type="http://schemas.openxmlformats.org/officeDocument/2006/relationships/hyperlink" Target="https://amazon.com/dp/B0DSFQV89R" TargetMode="External"/><Relationship Id="rId28" Type="http://schemas.openxmlformats.org/officeDocument/2006/relationships/hyperlink" Target="https://amazon.com/dp/B0928Q3T42" TargetMode="External"/><Relationship Id="rId10" Type="http://schemas.openxmlformats.org/officeDocument/2006/relationships/hyperlink" Target="https://amazon.com/dp/B0DNJJYG53" TargetMode="External"/><Relationship Id="rId19" Type="http://schemas.openxmlformats.org/officeDocument/2006/relationships/hyperlink" Target="https://amazon.com/dp/B0FJ2CFSHR" TargetMode="External"/><Relationship Id="rId31" Type="http://schemas.openxmlformats.org/officeDocument/2006/relationships/table" Target="../tables/table4.xml"/><Relationship Id="rId4" Type="http://schemas.openxmlformats.org/officeDocument/2006/relationships/hyperlink" Target="https://amazon.com/dp/B0CKQH4VZY" TargetMode="External"/><Relationship Id="rId9" Type="http://schemas.openxmlformats.org/officeDocument/2006/relationships/hyperlink" Target="https://amazon.com/dp/B0DT98YB3X" TargetMode="External"/><Relationship Id="rId14" Type="http://schemas.openxmlformats.org/officeDocument/2006/relationships/hyperlink" Target="https://amazon.com/dp/B0F9X12NH3" TargetMode="External"/><Relationship Id="rId22" Type="http://schemas.openxmlformats.org/officeDocument/2006/relationships/hyperlink" Target="https://amazon.com/dp/B0DNCQ3HYR" TargetMode="External"/><Relationship Id="rId27" Type="http://schemas.openxmlformats.org/officeDocument/2006/relationships/hyperlink" Target="https://amazon.com/dp/B0C3B32Q9Z" TargetMode="External"/><Relationship Id="rId30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hyperlink" Target="https://amazon.com/dp/B07S7H86Z1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hyperlink" Target="https://amazon.com/dp/B07S7H86Z1" TargetMode="External"/><Relationship Id="rId1" Type="http://schemas.openxmlformats.org/officeDocument/2006/relationships/hyperlink" Target="https://amazon.com/dp/B07S7H86Z1" TargetMode="External"/><Relationship Id="rId4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amazon.com/dp/B0CFF8Z1NF" TargetMode="External"/><Relationship Id="rId2" Type="http://schemas.openxmlformats.org/officeDocument/2006/relationships/hyperlink" Target="https://amazon.com/dp/B07S7H86Z1" TargetMode="External"/><Relationship Id="rId1" Type="http://schemas.openxmlformats.org/officeDocument/2006/relationships/hyperlink" Target="https://amazon.com/dp/B07S7H86Z1" TargetMode="External"/><Relationship Id="rId5" Type="http://schemas.openxmlformats.org/officeDocument/2006/relationships/table" Target="../tables/table16.xml"/><Relationship Id="rId4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hyperlink" Target="https://amazon.com/dp/B07S7H86Z1" TargetMode="External"/><Relationship Id="rId1" Type="http://schemas.openxmlformats.org/officeDocument/2006/relationships/hyperlink" Target="https://amazon.com/dp/B07S7H86Z1" TargetMode="Externa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hyperlink" Target="https://amazon.com/dp/B07S7H86Z1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5FB72-3955-5D44-95BB-F844E3D24190}">
  <sheetPr codeName="Sheet1"/>
  <dimension ref="A1:I29"/>
  <sheetViews>
    <sheetView zoomScaleNormal="100" workbookViewId="0">
      <selection activeCell="D40" sqref="D40"/>
    </sheetView>
  </sheetViews>
  <sheetFormatPr baseColWidth="10" defaultColWidth="11.1640625" defaultRowHeight="16" x14ac:dyDescent="0.2"/>
  <cols>
    <col min="1" max="2" width="15.33203125" customWidth="1"/>
    <col min="3" max="3" width="17.6640625" customWidth="1"/>
    <col min="4" max="4" width="23.6640625" customWidth="1"/>
    <col min="5" max="5" width="20.83203125" style="12" customWidth="1"/>
    <col min="6" max="6" width="25.33203125" bestFit="1" customWidth="1"/>
    <col min="7" max="7" width="19.83203125" customWidth="1"/>
    <col min="8" max="9" width="15.33203125" customWidth="1"/>
  </cols>
  <sheetData>
    <row r="1" spans="1:9" ht="26" x14ac:dyDescent="0.25">
      <c r="A1" s="115" t="s">
        <v>30</v>
      </c>
      <c r="B1" s="116"/>
      <c r="C1" s="116"/>
      <c r="D1" s="116"/>
      <c r="E1" s="116"/>
      <c r="F1" s="116"/>
      <c r="G1" s="116"/>
      <c r="H1" s="116"/>
      <c r="I1" s="116"/>
    </row>
    <row r="2" spans="1:9" x14ac:dyDescent="0.2">
      <c r="A2" s="1" t="s">
        <v>0</v>
      </c>
      <c r="B2" s="2" t="s">
        <v>1</v>
      </c>
      <c r="C2" s="3" t="s">
        <v>28</v>
      </c>
      <c r="D2" s="11" t="s">
        <v>2</v>
      </c>
      <c r="E2" s="14" t="s">
        <v>29</v>
      </c>
      <c r="F2" s="2" t="s">
        <v>26</v>
      </c>
      <c r="G2" s="2" t="s">
        <v>22</v>
      </c>
      <c r="H2" s="2" t="s">
        <v>3</v>
      </c>
      <c r="I2" s="4" t="s">
        <v>4</v>
      </c>
    </row>
    <row r="3" spans="1:9" x14ac:dyDescent="0.2">
      <c r="A3" t="s">
        <v>49</v>
      </c>
      <c r="B3">
        <v>19</v>
      </c>
      <c r="C3" s="112">
        <v>1628143.51</v>
      </c>
      <c r="D3" s="82">
        <v>19537722.120000001</v>
      </c>
      <c r="E3">
        <v>6728</v>
      </c>
      <c r="F3" s="84">
        <v>0.28960620968847461</v>
      </c>
      <c r="G3" s="85">
        <v>241.99517092746731</v>
      </c>
      <c r="H3">
        <v>8147</v>
      </c>
      <c r="I3" s="86">
        <v>4.5666871240947584</v>
      </c>
    </row>
    <row r="4" spans="1:9" x14ac:dyDescent="0.2">
      <c r="A4" t="s">
        <v>63</v>
      </c>
      <c r="B4">
        <v>25</v>
      </c>
      <c r="C4" s="112">
        <v>1352506.61</v>
      </c>
      <c r="D4" s="82">
        <v>16230079.32</v>
      </c>
      <c r="E4">
        <v>3632</v>
      </c>
      <c r="F4" s="84">
        <v>0.24057726514581501</v>
      </c>
      <c r="G4" s="85">
        <v>372.38618116740082</v>
      </c>
      <c r="H4">
        <v>44625</v>
      </c>
      <c r="I4" s="86">
        <v>4.2074240896358539</v>
      </c>
    </row>
    <row r="5" spans="1:9" x14ac:dyDescent="0.2">
      <c r="A5" t="s">
        <v>78</v>
      </c>
      <c r="B5">
        <v>11</v>
      </c>
      <c r="C5" s="113">
        <v>839737.85</v>
      </c>
      <c r="D5" s="39">
        <v>10076854.199999999</v>
      </c>
      <c r="E5">
        <v>3441</v>
      </c>
      <c r="F5" s="87">
        <v>0.1493684643747705</v>
      </c>
      <c r="G5" s="88">
        <v>244.03889857599529</v>
      </c>
      <c r="H5">
        <v>2725</v>
      </c>
      <c r="I5" s="89">
        <v>4.4707522935779824</v>
      </c>
    </row>
    <row r="6" spans="1:9" x14ac:dyDescent="0.2">
      <c r="A6" t="s">
        <v>72</v>
      </c>
      <c r="B6">
        <v>17</v>
      </c>
      <c r="C6" s="113">
        <v>605695.86</v>
      </c>
      <c r="D6" s="39">
        <v>7268350.3200000003</v>
      </c>
      <c r="E6">
        <v>2333</v>
      </c>
      <c r="F6" s="87">
        <v>0.1077382191196407</v>
      </c>
      <c r="G6" s="88">
        <v>259.62102871838829</v>
      </c>
      <c r="H6">
        <v>621</v>
      </c>
      <c r="I6" s="89">
        <v>4.3019323671497576</v>
      </c>
    </row>
    <row r="7" spans="1:9" x14ac:dyDescent="0.2">
      <c r="A7" t="s">
        <v>89</v>
      </c>
      <c r="B7">
        <v>3</v>
      </c>
      <c r="C7" s="113">
        <v>217573.99</v>
      </c>
      <c r="D7" s="39">
        <v>2610887.88</v>
      </c>
      <c r="E7">
        <v>1359</v>
      </c>
      <c r="F7" s="87">
        <v>3.8700997905705553E-2</v>
      </c>
      <c r="G7" s="88">
        <v>160.0985945548197</v>
      </c>
      <c r="H7">
        <v>316</v>
      </c>
      <c r="I7" s="89">
        <v>4.4936708860759493</v>
      </c>
    </row>
    <row r="8" spans="1:9" x14ac:dyDescent="0.2">
      <c r="A8" t="s">
        <v>138</v>
      </c>
      <c r="B8">
        <v>10</v>
      </c>
      <c r="C8" s="113">
        <v>118331.76</v>
      </c>
      <c r="D8" s="39">
        <v>1419981.12</v>
      </c>
      <c r="E8">
        <v>648</v>
      </c>
      <c r="F8" s="87">
        <v>2.1048275099144208E-2</v>
      </c>
      <c r="G8" s="88">
        <v>182.61074074074071</v>
      </c>
      <c r="H8">
        <v>549</v>
      </c>
      <c r="I8" s="89">
        <v>4.2194899817850642</v>
      </c>
    </row>
    <row r="9" spans="1:9" x14ac:dyDescent="0.2">
      <c r="A9" t="s">
        <v>118</v>
      </c>
      <c r="B9">
        <v>1</v>
      </c>
      <c r="C9" s="113">
        <v>108269.05</v>
      </c>
      <c r="D9" s="39">
        <v>1299228.6000000001</v>
      </c>
      <c r="E9">
        <v>905</v>
      </c>
      <c r="F9" s="87">
        <v>1.925836942781042E-2</v>
      </c>
      <c r="G9" s="88">
        <v>119.63430939226519</v>
      </c>
      <c r="H9">
        <v>45</v>
      </c>
      <c r="I9" s="89">
        <v>4.2</v>
      </c>
    </row>
    <row r="10" spans="1:9" x14ac:dyDescent="0.2">
      <c r="A10" t="s">
        <v>183</v>
      </c>
      <c r="B10">
        <v>6</v>
      </c>
      <c r="C10" s="113">
        <v>85686.86</v>
      </c>
      <c r="D10" s="39">
        <v>1028242.32</v>
      </c>
      <c r="E10">
        <v>155</v>
      </c>
      <c r="F10" s="87">
        <v>1.524155984548744E-2</v>
      </c>
      <c r="G10" s="88">
        <v>552.81845161290323</v>
      </c>
      <c r="H10">
        <v>140</v>
      </c>
      <c r="I10" s="89">
        <v>4.326428571428572</v>
      </c>
    </row>
    <row r="11" spans="1:9" x14ac:dyDescent="0.2">
      <c r="A11" t="s">
        <v>257</v>
      </c>
      <c r="B11">
        <v>6</v>
      </c>
      <c r="C11" s="112">
        <v>78801.240000000005</v>
      </c>
      <c r="D11" s="82">
        <v>945614.88000000012</v>
      </c>
      <c r="E11">
        <v>191</v>
      </c>
      <c r="F11" s="84">
        <v>1.401677941470394E-2</v>
      </c>
      <c r="G11" s="85">
        <v>412.57193717277488</v>
      </c>
      <c r="H11">
        <v>1503</v>
      </c>
      <c r="I11" s="86">
        <v>4.3399866932801068</v>
      </c>
    </row>
    <row r="12" spans="1:9" x14ac:dyDescent="0.2">
      <c r="A12" t="s">
        <v>200</v>
      </c>
      <c r="B12">
        <v>9</v>
      </c>
      <c r="C12" s="112">
        <v>72159.39</v>
      </c>
      <c r="D12" s="82">
        <v>865912.67999999993</v>
      </c>
      <c r="E12">
        <v>399</v>
      </c>
      <c r="F12" s="84">
        <v>1.2835359600046821E-2</v>
      </c>
      <c r="G12" s="85">
        <v>180.85060150375941</v>
      </c>
      <c r="H12">
        <v>1132</v>
      </c>
      <c r="I12" s="86">
        <v>4.1565371024734983</v>
      </c>
    </row>
    <row r="13" spans="1:9" ht="17" thickBot="1" x14ac:dyDescent="0.25">
      <c r="C13" s="106"/>
      <c r="E13"/>
    </row>
    <row r="14" spans="1:9" s="98" customFormat="1" ht="17" thickTop="1" x14ac:dyDescent="0.2">
      <c r="A14" s="90" t="s">
        <v>33</v>
      </c>
      <c r="B14" s="91">
        <v>525</v>
      </c>
      <c r="C14" s="93">
        <v>5621921.959999999</v>
      </c>
      <c r="D14" s="92">
        <v>67463063.519999996</v>
      </c>
      <c r="E14" s="94">
        <v>22766</v>
      </c>
      <c r="F14" s="95">
        <v>1</v>
      </c>
      <c r="G14" s="96">
        <v>246.94377404902039</v>
      </c>
      <c r="H14" s="94">
        <v>100495</v>
      </c>
      <c r="I14" s="97">
        <v>4.1725657992934968</v>
      </c>
    </row>
    <row r="16" spans="1:9" ht="26" x14ac:dyDescent="0.25">
      <c r="A16" s="115" t="s">
        <v>21</v>
      </c>
      <c r="B16" s="116"/>
      <c r="C16" s="116"/>
      <c r="D16" s="116"/>
      <c r="E16" s="116"/>
      <c r="F16" s="116"/>
      <c r="G16" s="116"/>
      <c r="H16" s="116"/>
      <c r="I16" s="116"/>
    </row>
    <row r="17" spans="1:9" x14ac:dyDescent="0.2">
      <c r="A17" s="1" t="s">
        <v>0</v>
      </c>
      <c r="B17" s="2" t="s">
        <v>1</v>
      </c>
      <c r="C17" s="3" t="s">
        <v>28</v>
      </c>
      <c r="D17" s="13" t="s">
        <v>14</v>
      </c>
      <c r="E17" s="108" t="s">
        <v>29</v>
      </c>
      <c r="F17" s="2" t="s">
        <v>27</v>
      </c>
      <c r="G17" s="2" t="s">
        <v>22</v>
      </c>
      <c r="H17" s="2" t="s">
        <v>20</v>
      </c>
      <c r="I17" s="4" t="s">
        <v>4</v>
      </c>
    </row>
    <row r="18" spans="1:9" x14ac:dyDescent="0.2">
      <c r="A18" s="80" t="s">
        <v>49</v>
      </c>
      <c r="B18">
        <v>19</v>
      </c>
      <c r="C18" s="82">
        <v>1628143.51</v>
      </c>
      <c r="D18" s="12">
        <v>80736</v>
      </c>
      <c r="E18" s="83">
        <v>6728</v>
      </c>
      <c r="F18" s="84">
        <v>0.29552841957304748</v>
      </c>
      <c r="G18" s="85">
        <v>241.99517092746731</v>
      </c>
      <c r="H18" s="12">
        <v>8147</v>
      </c>
      <c r="I18" s="86">
        <v>4.5666871240947584</v>
      </c>
    </row>
    <row r="19" spans="1:9" x14ac:dyDescent="0.2">
      <c r="A19" s="80" t="s">
        <v>63</v>
      </c>
      <c r="B19">
        <v>25</v>
      </c>
      <c r="C19" s="82">
        <v>1352506.61</v>
      </c>
      <c r="D19" s="12">
        <v>43584</v>
      </c>
      <c r="E19" s="83">
        <v>3632</v>
      </c>
      <c r="F19" s="84">
        <v>0.15953615039971891</v>
      </c>
      <c r="G19" s="85">
        <v>372.38618116740082</v>
      </c>
      <c r="H19" s="12">
        <v>44625</v>
      </c>
      <c r="I19" s="86">
        <v>4.2074240896358539</v>
      </c>
    </row>
    <row r="20" spans="1:9" ht="17" x14ac:dyDescent="0.2">
      <c r="A20" s="81" t="s">
        <v>78</v>
      </c>
      <c r="B20" s="18">
        <v>11</v>
      </c>
      <c r="C20" s="39">
        <v>839737.85</v>
      </c>
      <c r="D20" s="111">
        <v>41292</v>
      </c>
      <c r="E20" s="109">
        <v>3441</v>
      </c>
      <c r="F20" s="87">
        <v>0.15114644645524031</v>
      </c>
      <c r="G20" s="88">
        <v>244.03889857599529</v>
      </c>
      <c r="H20" s="46">
        <v>2725</v>
      </c>
      <c r="I20" s="89">
        <v>4.4707522935779824</v>
      </c>
    </row>
    <row r="21" spans="1:9" ht="17" x14ac:dyDescent="0.2">
      <c r="A21" s="81" t="s">
        <v>72</v>
      </c>
      <c r="B21" s="18">
        <v>17</v>
      </c>
      <c r="C21" s="39">
        <v>605695.86</v>
      </c>
      <c r="D21" s="111">
        <v>27996</v>
      </c>
      <c r="E21" s="109">
        <v>2333</v>
      </c>
      <c r="F21" s="87">
        <v>0.102477378546956</v>
      </c>
      <c r="G21" s="88">
        <v>259.62102871838829</v>
      </c>
      <c r="H21" s="46">
        <v>621</v>
      </c>
      <c r="I21" s="89">
        <v>4.3019323671497576</v>
      </c>
    </row>
    <row r="22" spans="1:9" ht="17" x14ac:dyDescent="0.2">
      <c r="A22" s="81" t="s">
        <v>89</v>
      </c>
      <c r="B22" s="18">
        <v>3</v>
      </c>
      <c r="C22" s="39">
        <v>217573.99</v>
      </c>
      <c r="D22" s="111">
        <v>16308</v>
      </c>
      <c r="E22" s="109">
        <v>1359</v>
      </c>
      <c r="F22" s="87">
        <v>5.9694280945269261E-2</v>
      </c>
      <c r="G22" s="88">
        <v>160.0985945548197</v>
      </c>
      <c r="H22" s="46">
        <v>316</v>
      </c>
      <c r="I22" s="89">
        <v>4.4936708860759493</v>
      </c>
    </row>
    <row r="23" spans="1:9" ht="17" x14ac:dyDescent="0.2">
      <c r="A23" s="81" t="s">
        <v>118</v>
      </c>
      <c r="B23" s="18">
        <v>1</v>
      </c>
      <c r="C23" s="39">
        <v>108269.05</v>
      </c>
      <c r="D23" s="111">
        <v>10860</v>
      </c>
      <c r="E23" s="109">
        <v>905</v>
      </c>
      <c r="F23" s="87">
        <v>3.9752262145304397E-2</v>
      </c>
      <c r="G23" s="88">
        <v>119.63430939226519</v>
      </c>
      <c r="H23" s="46">
        <v>45</v>
      </c>
      <c r="I23" s="89">
        <v>4.2</v>
      </c>
    </row>
    <row r="24" spans="1:9" ht="17" x14ac:dyDescent="0.2">
      <c r="A24" s="81" t="s">
        <v>138</v>
      </c>
      <c r="B24" s="18">
        <v>10</v>
      </c>
      <c r="C24" s="39">
        <v>118331.76</v>
      </c>
      <c r="D24" s="111">
        <v>7776</v>
      </c>
      <c r="E24" s="109">
        <v>648</v>
      </c>
      <c r="F24" s="87">
        <v>2.846349819906879E-2</v>
      </c>
      <c r="G24" s="88">
        <v>182.61074074074071</v>
      </c>
      <c r="H24" s="46">
        <v>549</v>
      </c>
      <c r="I24" s="89">
        <v>4.2194899817850642</v>
      </c>
    </row>
    <row r="25" spans="1:9" ht="17" x14ac:dyDescent="0.2">
      <c r="A25" s="81" t="s">
        <v>222</v>
      </c>
      <c r="B25" s="18">
        <v>6</v>
      </c>
      <c r="C25" s="39">
        <v>59956.63</v>
      </c>
      <c r="D25" s="111">
        <v>5580</v>
      </c>
      <c r="E25" s="109">
        <v>465</v>
      </c>
      <c r="F25" s="87">
        <v>2.042519546692436E-2</v>
      </c>
      <c r="G25" s="88">
        <v>128.93898924731181</v>
      </c>
      <c r="H25" s="46">
        <v>173</v>
      </c>
      <c r="I25" s="89">
        <v>4.2312138728323703</v>
      </c>
    </row>
    <row r="26" spans="1:9" x14ac:dyDescent="0.2">
      <c r="A26" s="80" t="s">
        <v>200</v>
      </c>
      <c r="B26">
        <v>9</v>
      </c>
      <c r="C26" s="82">
        <v>72159.39</v>
      </c>
      <c r="D26" s="12">
        <v>4788</v>
      </c>
      <c r="E26" s="83">
        <v>399</v>
      </c>
      <c r="F26" s="84">
        <v>1.7526135465167351E-2</v>
      </c>
      <c r="G26" s="85">
        <v>180.85060150375941</v>
      </c>
      <c r="H26" s="12">
        <v>1132</v>
      </c>
      <c r="I26" s="86">
        <v>4.1565371024734983</v>
      </c>
    </row>
    <row r="27" spans="1:9" x14ac:dyDescent="0.2">
      <c r="A27" s="80" t="s">
        <v>34</v>
      </c>
      <c r="B27">
        <v>5</v>
      </c>
      <c r="C27" s="82">
        <v>34593.440000000002</v>
      </c>
      <c r="D27" s="12">
        <v>2496</v>
      </c>
      <c r="E27" s="83">
        <v>208</v>
      </c>
      <c r="F27" s="84">
        <v>9.136431520688746E-3</v>
      </c>
      <c r="G27" s="85">
        <v>166.31461538461539</v>
      </c>
      <c r="H27" s="12">
        <v>200</v>
      </c>
      <c r="I27" s="86">
        <v>4.2614999999999998</v>
      </c>
    </row>
    <row r="28" spans="1:9" ht="17" thickBot="1" x14ac:dyDescent="0.25">
      <c r="C28" s="82"/>
      <c r="D28" s="12"/>
      <c r="E28" s="83"/>
      <c r="F28" s="84"/>
      <c r="G28" s="85"/>
      <c r="H28" s="12"/>
      <c r="I28" s="86"/>
    </row>
    <row r="29" spans="1:9" s="98" customFormat="1" ht="17" thickTop="1" x14ac:dyDescent="0.2">
      <c r="A29" s="90" t="s">
        <v>33</v>
      </c>
      <c r="B29" s="91">
        <v>525</v>
      </c>
      <c r="C29" s="92">
        <v>5621921.959999999</v>
      </c>
      <c r="D29" s="92">
        <v>273192</v>
      </c>
      <c r="E29" s="110">
        <v>22766</v>
      </c>
      <c r="F29" s="95">
        <v>1</v>
      </c>
      <c r="G29" s="96">
        <v>246.94377404902039</v>
      </c>
      <c r="H29" s="94">
        <v>100495</v>
      </c>
      <c r="I29" s="97">
        <v>4.1725657992934968</v>
      </c>
    </row>
  </sheetData>
  <mergeCells count="2">
    <mergeCell ref="A1:I1"/>
    <mergeCell ref="A16:I16"/>
  </mergeCells>
  <phoneticPr fontId="17" type="noConversion"/>
  <pageMargins left="0.7" right="0.7" top="0.75" bottom="0.75" header="0.3" footer="0.3"/>
  <pageSetup orientation="portrait" horizontalDpi="1200" verticalDpi="12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202AB-569D-BB4B-AFF7-93DA6A50F82A}">
  <sheetPr codeName="Sheet3"/>
  <dimension ref="A1:R106"/>
  <sheetViews>
    <sheetView topLeftCell="B1" zoomScaleNormal="100" workbookViewId="0">
      <selection activeCell="R55" sqref="R55"/>
    </sheetView>
  </sheetViews>
  <sheetFormatPr baseColWidth="10" defaultColWidth="11.1640625" defaultRowHeight="16" x14ac:dyDescent="0.2"/>
  <cols>
    <col min="1" max="1" width="9.6640625" customWidth="1"/>
    <col min="2" max="2" width="11.1640625" bestFit="1" customWidth="1"/>
    <col min="3" max="3" width="14.83203125" customWidth="1"/>
    <col min="5" max="5" width="9" bestFit="1" customWidth="1"/>
    <col min="6" max="6" width="10.6640625" bestFit="1" customWidth="1"/>
    <col min="7" max="7" width="8.1640625" customWidth="1"/>
    <col min="8" max="9" width="10.6640625" customWidth="1"/>
    <col min="10" max="10" width="12" bestFit="1" customWidth="1"/>
    <col min="11" max="11" width="7.6640625" customWidth="1"/>
    <col min="12" max="12" width="10" bestFit="1" customWidth="1"/>
    <col min="13" max="13" width="13.5" bestFit="1" customWidth="1"/>
    <col min="14" max="14" width="6.6640625" customWidth="1"/>
    <col min="15" max="15" width="4.83203125" customWidth="1"/>
    <col min="16" max="16" width="28.5" style="102" bestFit="1" customWidth="1"/>
    <col min="17" max="17" width="35.33203125" hidden="1" customWidth="1"/>
    <col min="18" max="18" width="35" bestFit="1" customWidth="1"/>
  </cols>
  <sheetData>
    <row r="1" spans="1:18" ht="26" x14ac:dyDescent="0.25">
      <c r="A1" s="115" t="s">
        <v>31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4"/>
    </row>
    <row r="2" spans="1:18" ht="43" x14ac:dyDescent="0.2">
      <c r="A2" s="47" t="s">
        <v>25</v>
      </c>
      <c r="B2" s="48" t="s">
        <v>6</v>
      </c>
      <c r="C2" s="48" t="s">
        <v>7</v>
      </c>
      <c r="D2" s="48" t="s">
        <v>0</v>
      </c>
      <c r="E2" s="49" t="s">
        <v>35</v>
      </c>
      <c r="F2" s="49" t="s">
        <v>258</v>
      </c>
      <c r="G2" s="49" t="s">
        <v>259</v>
      </c>
      <c r="H2" s="49" t="s">
        <v>260</v>
      </c>
      <c r="I2" s="49" t="s">
        <v>261</v>
      </c>
      <c r="J2" s="49" t="s">
        <v>262</v>
      </c>
      <c r="K2" s="49" t="s">
        <v>45</v>
      </c>
      <c r="L2" s="50" t="s">
        <v>8</v>
      </c>
      <c r="M2" s="51" t="s">
        <v>17</v>
      </c>
      <c r="N2" s="52" t="s">
        <v>16</v>
      </c>
      <c r="O2" s="53" t="s">
        <v>9</v>
      </c>
      <c r="P2" s="53" t="s">
        <v>10</v>
      </c>
      <c r="Q2" s="103" t="s">
        <v>24</v>
      </c>
      <c r="R2" s="103" t="s">
        <v>11</v>
      </c>
    </row>
    <row r="3" spans="1:18" ht="16.25" customHeight="1" x14ac:dyDescent="0.2">
      <c r="A3" s="5">
        <v>1</v>
      </c>
      <c r="B3" s="5" t="s">
        <v>47</v>
      </c>
      <c r="C3" s="5" t="s">
        <v>48</v>
      </c>
      <c r="D3" s="5" t="s">
        <v>49</v>
      </c>
      <c r="E3" s="5" t="s">
        <v>36</v>
      </c>
      <c r="F3" s="5" t="s">
        <v>50</v>
      </c>
      <c r="G3" s="5" t="s">
        <v>51</v>
      </c>
      <c r="H3" s="5" t="s">
        <v>52</v>
      </c>
      <c r="I3" s="5" t="s">
        <v>52</v>
      </c>
      <c r="J3" s="5" t="s">
        <v>52</v>
      </c>
      <c r="K3" s="5" t="s">
        <v>53</v>
      </c>
      <c r="L3" s="107">
        <v>151.05000000000001</v>
      </c>
      <c r="M3" s="107">
        <v>737548.76</v>
      </c>
      <c r="N3" s="5">
        <v>3851</v>
      </c>
      <c r="O3" s="5">
        <v>289</v>
      </c>
      <c r="P3" s="5">
        <v>4.5</v>
      </c>
      <c r="Q3" s="5" t="s">
        <v>54</v>
      </c>
      <c r="R3" s="5" t="s">
        <v>54</v>
      </c>
    </row>
    <row r="4" spans="1:18" ht="16.25" customHeight="1" x14ac:dyDescent="0.2">
      <c r="A4" s="5">
        <v>2</v>
      </c>
      <c r="B4" s="5" t="s">
        <v>55</v>
      </c>
      <c r="C4" s="5" t="s">
        <v>56</v>
      </c>
      <c r="D4" s="5" t="s">
        <v>49</v>
      </c>
      <c r="E4" s="5" t="s">
        <v>57</v>
      </c>
      <c r="F4" s="5" t="s">
        <v>58</v>
      </c>
      <c r="G4" s="5" t="s">
        <v>59</v>
      </c>
      <c r="H4" s="5" t="s">
        <v>52</v>
      </c>
      <c r="I4" s="5" t="s">
        <v>52</v>
      </c>
      <c r="J4" s="5" t="s">
        <v>52</v>
      </c>
      <c r="K4" s="5" t="s">
        <v>46</v>
      </c>
      <c r="L4" s="107">
        <v>236.55</v>
      </c>
      <c r="M4" s="107">
        <v>262427.92</v>
      </c>
      <c r="N4" s="5">
        <v>848</v>
      </c>
      <c r="O4" s="5">
        <v>102</v>
      </c>
      <c r="P4" s="5">
        <v>4.5999999999999996</v>
      </c>
      <c r="Q4" s="5" t="s">
        <v>60</v>
      </c>
      <c r="R4" s="5" t="s">
        <v>60</v>
      </c>
    </row>
    <row r="5" spans="1:18" ht="16.25" customHeight="1" x14ac:dyDescent="0.2">
      <c r="A5" s="5">
        <v>3</v>
      </c>
      <c r="B5" s="5" t="s">
        <v>61</v>
      </c>
      <c r="C5" s="5" t="s">
        <v>62</v>
      </c>
      <c r="D5" s="5" t="s">
        <v>63</v>
      </c>
      <c r="E5" s="5" t="s">
        <v>37</v>
      </c>
      <c r="F5" s="5" t="s">
        <v>64</v>
      </c>
      <c r="G5" s="5" t="s">
        <v>65</v>
      </c>
      <c r="H5" s="5" t="s">
        <v>52</v>
      </c>
      <c r="I5" s="5" t="s">
        <v>66</v>
      </c>
      <c r="J5" s="5" t="s">
        <v>67</v>
      </c>
      <c r="K5" s="5" t="s">
        <v>68</v>
      </c>
      <c r="L5" s="107">
        <v>599</v>
      </c>
      <c r="M5" s="107">
        <v>211337.49</v>
      </c>
      <c r="N5" s="5">
        <v>353</v>
      </c>
      <c r="O5" s="5">
        <v>1256</v>
      </c>
      <c r="P5" s="5">
        <v>4.3</v>
      </c>
      <c r="Q5" s="5" t="s">
        <v>69</v>
      </c>
      <c r="R5" s="5" t="s">
        <v>69</v>
      </c>
    </row>
    <row r="6" spans="1:18" ht="16.25" customHeight="1" x14ac:dyDescent="0.2">
      <c r="A6" s="5">
        <v>4</v>
      </c>
      <c r="B6" s="5" t="s">
        <v>70</v>
      </c>
      <c r="C6" s="5" t="s">
        <v>71</v>
      </c>
      <c r="D6" s="5" t="s">
        <v>72</v>
      </c>
      <c r="E6" s="5" t="s">
        <v>36</v>
      </c>
      <c r="F6" s="5" t="s">
        <v>58</v>
      </c>
      <c r="G6" s="5" t="s">
        <v>59</v>
      </c>
      <c r="H6" s="5" t="s">
        <v>66</v>
      </c>
      <c r="I6" s="5" t="s">
        <v>66</v>
      </c>
      <c r="J6" s="5" t="s">
        <v>73</v>
      </c>
      <c r="K6" s="5" t="s">
        <v>74</v>
      </c>
      <c r="L6" s="107">
        <v>359</v>
      </c>
      <c r="M6" s="107">
        <v>210210.68</v>
      </c>
      <c r="N6" s="5">
        <v>551</v>
      </c>
      <c r="O6" s="5">
        <v>92</v>
      </c>
      <c r="P6" s="5">
        <v>4.2</v>
      </c>
      <c r="Q6" s="5" t="s">
        <v>75</v>
      </c>
      <c r="R6" s="5" t="s">
        <v>75</v>
      </c>
    </row>
    <row r="7" spans="1:18" ht="16.25" customHeight="1" x14ac:dyDescent="0.2">
      <c r="A7" s="5">
        <v>5</v>
      </c>
      <c r="B7" s="5" t="s">
        <v>76</v>
      </c>
      <c r="C7" s="5" t="s">
        <v>77</v>
      </c>
      <c r="D7" s="5" t="s">
        <v>78</v>
      </c>
      <c r="E7" s="5" t="s">
        <v>37</v>
      </c>
      <c r="F7" s="5" t="s">
        <v>79</v>
      </c>
      <c r="G7" s="5" t="s">
        <v>51</v>
      </c>
      <c r="H7" s="5" t="s">
        <v>52</v>
      </c>
      <c r="I7" s="5" t="s">
        <v>52</v>
      </c>
      <c r="J7" s="5" t="s">
        <v>80</v>
      </c>
      <c r="K7" s="5" t="s">
        <v>68</v>
      </c>
      <c r="L7" s="107">
        <v>239.99</v>
      </c>
      <c r="M7" s="107">
        <v>205009.23</v>
      </c>
      <c r="N7" s="5">
        <v>888</v>
      </c>
      <c r="O7" s="5">
        <v>440</v>
      </c>
      <c r="P7" s="5">
        <v>4.5</v>
      </c>
      <c r="Q7" s="5" t="s">
        <v>81</v>
      </c>
      <c r="R7" s="5" t="s">
        <v>81</v>
      </c>
    </row>
    <row r="8" spans="1:18" ht="16.25" customHeight="1" x14ac:dyDescent="0.2">
      <c r="A8" s="5">
        <v>6</v>
      </c>
      <c r="B8" s="5" t="s">
        <v>82</v>
      </c>
      <c r="C8" s="5" t="s">
        <v>83</v>
      </c>
      <c r="D8" s="5" t="s">
        <v>78</v>
      </c>
      <c r="E8" s="5" t="s">
        <v>36</v>
      </c>
      <c r="F8" s="5" t="s">
        <v>58</v>
      </c>
      <c r="G8" s="5" t="s">
        <v>84</v>
      </c>
      <c r="H8" s="5" t="s">
        <v>52</v>
      </c>
      <c r="I8" s="5" t="s">
        <v>52</v>
      </c>
      <c r="J8" s="5" t="s">
        <v>52</v>
      </c>
      <c r="K8" s="5" t="s">
        <v>85</v>
      </c>
      <c r="L8" s="107">
        <v>339</v>
      </c>
      <c r="M8" s="107">
        <v>200701.62</v>
      </c>
      <c r="N8" s="5">
        <v>603</v>
      </c>
      <c r="O8" s="5">
        <v>159</v>
      </c>
      <c r="P8" s="5">
        <v>4.8</v>
      </c>
      <c r="Q8" s="5" t="s">
        <v>86</v>
      </c>
      <c r="R8" s="5" t="s">
        <v>86</v>
      </c>
    </row>
    <row r="9" spans="1:18" ht="16.25" customHeight="1" x14ac:dyDescent="0.2">
      <c r="A9" s="5">
        <v>7</v>
      </c>
      <c r="B9" s="5" t="s">
        <v>87</v>
      </c>
      <c r="C9" s="5" t="s">
        <v>88</v>
      </c>
      <c r="D9" s="5" t="s">
        <v>89</v>
      </c>
      <c r="E9" s="5" t="s">
        <v>36</v>
      </c>
      <c r="F9" s="5" t="s">
        <v>50</v>
      </c>
      <c r="G9" s="5" t="s">
        <v>51</v>
      </c>
      <c r="H9" s="5" t="s">
        <v>52</v>
      </c>
      <c r="I9" s="5" t="s">
        <v>52</v>
      </c>
      <c r="J9" s="5" t="s">
        <v>52</v>
      </c>
      <c r="K9" s="5" t="s">
        <v>53</v>
      </c>
      <c r="L9" s="107">
        <v>199.99</v>
      </c>
      <c r="M9" s="107">
        <v>191114.38</v>
      </c>
      <c r="N9" s="5">
        <v>1257</v>
      </c>
      <c r="O9" s="5">
        <v>250</v>
      </c>
      <c r="P9" s="5">
        <v>4.5</v>
      </c>
      <c r="Q9" s="5" t="s">
        <v>90</v>
      </c>
      <c r="R9" s="5" t="s">
        <v>90</v>
      </c>
    </row>
    <row r="10" spans="1:18" ht="16.25" customHeight="1" x14ac:dyDescent="0.2">
      <c r="A10" s="5">
        <v>8</v>
      </c>
      <c r="B10" s="5" t="s">
        <v>91</v>
      </c>
      <c r="C10" s="5" t="s">
        <v>92</v>
      </c>
      <c r="D10" s="5" t="s">
        <v>78</v>
      </c>
      <c r="E10" s="5" t="s">
        <v>36</v>
      </c>
      <c r="F10" s="5" t="s">
        <v>79</v>
      </c>
      <c r="G10" s="5" t="s">
        <v>51</v>
      </c>
      <c r="H10" s="5" t="s">
        <v>66</v>
      </c>
      <c r="I10" s="5" t="s">
        <v>52</v>
      </c>
      <c r="J10" s="5" t="s">
        <v>52</v>
      </c>
      <c r="K10" s="5" t="s">
        <v>53</v>
      </c>
      <c r="L10" s="107">
        <v>199.99</v>
      </c>
      <c r="M10" s="107">
        <v>190268.93</v>
      </c>
      <c r="N10" s="5">
        <v>946</v>
      </c>
      <c r="O10" s="5">
        <v>858</v>
      </c>
      <c r="P10" s="5">
        <v>4.5</v>
      </c>
      <c r="Q10" s="5" t="s">
        <v>93</v>
      </c>
      <c r="R10" s="5" t="s">
        <v>93</v>
      </c>
    </row>
    <row r="11" spans="1:18" ht="16.25" customHeight="1" x14ac:dyDescent="0.2">
      <c r="A11" s="5">
        <v>9</v>
      </c>
      <c r="B11" s="5" t="s">
        <v>94</v>
      </c>
      <c r="C11" s="5" t="s">
        <v>95</v>
      </c>
      <c r="D11" s="5" t="s">
        <v>63</v>
      </c>
      <c r="E11" s="5" t="s">
        <v>36</v>
      </c>
      <c r="F11" s="5" t="s">
        <v>96</v>
      </c>
      <c r="G11" s="5" t="s">
        <v>64</v>
      </c>
      <c r="H11" s="5" t="s">
        <v>66</v>
      </c>
      <c r="I11" s="5" t="s">
        <v>97</v>
      </c>
      <c r="J11" s="5" t="s">
        <v>73</v>
      </c>
      <c r="K11" s="5" t="s">
        <v>53</v>
      </c>
      <c r="L11" s="107">
        <v>358.95</v>
      </c>
      <c r="M11" s="107">
        <v>170830.16</v>
      </c>
      <c r="N11" s="5">
        <v>480</v>
      </c>
      <c r="O11" s="5">
        <v>1408</v>
      </c>
      <c r="P11" s="5">
        <v>4.3</v>
      </c>
      <c r="Q11" s="5" t="s">
        <v>98</v>
      </c>
      <c r="R11" s="5" t="s">
        <v>98</v>
      </c>
    </row>
    <row r="12" spans="1:18" ht="16.25" customHeight="1" x14ac:dyDescent="0.2">
      <c r="A12" s="5">
        <v>10</v>
      </c>
      <c r="B12" s="5" t="s">
        <v>99</v>
      </c>
      <c r="C12" s="5" t="s">
        <v>100</v>
      </c>
      <c r="D12" s="5" t="s">
        <v>78</v>
      </c>
      <c r="E12" s="5" t="s">
        <v>36</v>
      </c>
      <c r="F12" s="5" t="s">
        <v>79</v>
      </c>
      <c r="G12" s="5" t="s">
        <v>51</v>
      </c>
      <c r="H12" s="5" t="s">
        <v>66</v>
      </c>
      <c r="I12" s="5" t="s">
        <v>52</v>
      </c>
      <c r="J12" s="5" t="s">
        <v>80</v>
      </c>
      <c r="K12" s="5" t="s">
        <v>53</v>
      </c>
      <c r="L12" s="107">
        <v>219.99</v>
      </c>
      <c r="M12" s="107">
        <v>165444.09</v>
      </c>
      <c r="N12" s="5">
        <v>755</v>
      </c>
      <c r="O12" s="5">
        <v>858</v>
      </c>
      <c r="P12" s="5">
        <v>4.5</v>
      </c>
      <c r="Q12" s="5" t="s">
        <v>101</v>
      </c>
      <c r="R12" s="5" t="s">
        <v>101</v>
      </c>
    </row>
    <row r="13" spans="1:18" ht="16.25" customHeight="1" x14ac:dyDescent="0.2">
      <c r="A13" s="5">
        <v>11</v>
      </c>
      <c r="B13" s="5" t="s">
        <v>102</v>
      </c>
      <c r="C13" s="5" t="s">
        <v>103</v>
      </c>
      <c r="D13" s="5" t="s">
        <v>63</v>
      </c>
      <c r="E13" s="5" t="s">
        <v>104</v>
      </c>
      <c r="F13" s="5" t="s">
        <v>64</v>
      </c>
      <c r="G13" s="5" t="s">
        <v>105</v>
      </c>
      <c r="H13" s="5" t="s">
        <v>52</v>
      </c>
      <c r="I13" s="5" t="s">
        <v>52</v>
      </c>
      <c r="J13" s="5" t="s">
        <v>73</v>
      </c>
      <c r="K13" s="5" t="s">
        <v>46</v>
      </c>
      <c r="L13" s="107">
        <v>429</v>
      </c>
      <c r="M13" s="107">
        <v>140843.97</v>
      </c>
      <c r="N13" s="5">
        <v>328</v>
      </c>
      <c r="O13" s="5">
        <v>3629</v>
      </c>
      <c r="P13" s="5">
        <v>4.3</v>
      </c>
      <c r="Q13" s="5" t="s">
        <v>106</v>
      </c>
      <c r="R13" s="5" t="s">
        <v>106</v>
      </c>
    </row>
    <row r="14" spans="1:18" ht="16.25" customHeight="1" x14ac:dyDescent="0.2">
      <c r="A14" s="5">
        <v>12</v>
      </c>
      <c r="B14" s="5" t="s">
        <v>107</v>
      </c>
      <c r="C14" s="5" t="s">
        <v>108</v>
      </c>
      <c r="D14" s="5" t="s">
        <v>63</v>
      </c>
      <c r="E14" s="5" t="s">
        <v>104</v>
      </c>
      <c r="F14" s="5" t="s">
        <v>96</v>
      </c>
      <c r="G14" s="5" t="s">
        <v>109</v>
      </c>
      <c r="H14" s="5" t="s">
        <v>52</v>
      </c>
      <c r="I14" s="5" t="s">
        <v>52</v>
      </c>
      <c r="J14" s="5" t="s">
        <v>73</v>
      </c>
      <c r="K14" s="5" t="s">
        <v>46</v>
      </c>
      <c r="L14" s="107">
        <v>214</v>
      </c>
      <c r="M14" s="107">
        <v>140823.73000000001</v>
      </c>
      <c r="N14" s="5">
        <v>658</v>
      </c>
      <c r="O14" s="5">
        <v>6570</v>
      </c>
      <c r="P14" s="5">
        <v>4.0999999999999996</v>
      </c>
      <c r="Q14" s="5" t="s">
        <v>110</v>
      </c>
      <c r="R14" s="5" t="s">
        <v>110</v>
      </c>
    </row>
    <row r="15" spans="1:18" ht="16.25" customHeight="1" x14ac:dyDescent="0.2">
      <c r="A15" s="5">
        <v>13</v>
      </c>
      <c r="B15" s="5" t="s">
        <v>111</v>
      </c>
      <c r="C15" s="5" t="s">
        <v>112</v>
      </c>
      <c r="D15" s="5" t="s">
        <v>49</v>
      </c>
      <c r="E15" s="5" t="s">
        <v>36</v>
      </c>
      <c r="F15" s="5" t="s">
        <v>58</v>
      </c>
      <c r="G15" s="5" t="s">
        <v>113</v>
      </c>
      <c r="H15" s="5" t="s">
        <v>52</v>
      </c>
      <c r="I15" s="5" t="s">
        <v>52</v>
      </c>
      <c r="J15" s="5" t="s">
        <v>52</v>
      </c>
      <c r="K15" s="5" t="s">
        <v>114</v>
      </c>
      <c r="L15" s="107">
        <v>369</v>
      </c>
      <c r="M15" s="107">
        <v>130846.78</v>
      </c>
      <c r="N15" s="5">
        <v>395</v>
      </c>
      <c r="O15" s="5">
        <v>854</v>
      </c>
      <c r="P15" s="5">
        <v>4.5999999999999996</v>
      </c>
      <c r="Q15" s="5" t="s">
        <v>115</v>
      </c>
      <c r="R15" s="5" t="s">
        <v>115</v>
      </c>
    </row>
    <row r="16" spans="1:18" ht="16.25" customHeight="1" x14ac:dyDescent="0.2">
      <c r="A16" s="5">
        <v>14</v>
      </c>
      <c r="B16" s="5" t="s">
        <v>116</v>
      </c>
      <c r="C16" s="5" t="s">
        <v>117</v>
      </c>
      <c r="D16" s="5" t="s">
        <v>118</v>
      </c>
      <c r="E16" s="5" t="s">
        <v>36</v>
      </c>
      <c r="F16" s="5" t="s">
        <v>79</v>
      </c>
      <c r="G16" s="5" t="s">
        <v>51</v>
      </c>
      <c r="H16" s="5" t="s">
        <v>52</v>
      </c>
      <c r="I16" s="5" t="s">
        <v>52</v>
      </c>
      <c r="J16" s="5" t="s">
        <v>52</v>
      </c>
      <c r="K16" s="5" t="s">
        <v>119</v>
      </c>
      <c r="L16" s="107">
        <v>139.99</v>
      </c>
      <c r="M16" s="107">
        <v>108269.05</v>
      </c>
      <c r="N16" s="5">
        <v>905</v>
      </c>
      <c r="O16" s="5">
        <v>45</v>
      </c>
      <c r="P16" s="5">
        <v>4.2</v>
      </c>
      <c r="Q16" s="5" t="s">
        <v>120</v>
      </c>
      <c r="R16" s="5" t="s">
        <v>120</v>
      </c>
    </row>
    <row r="17" spans="1:18" ht="16.25" customHeight="1" x14ac:dyDescent="0.2">
      <c r="A17" s="5">
        <v>15</v>
      </c>
      <c r="B17" s="5" t="s">
        <v>121</v>
      </c>
      <c r="C17" s="5" t="s">
        <v>122</v>
      </c>
      <c r="D17" s="5" t="s">
        <v>63</v>
      </c>
      <c r="E17" s="5" t="s">
        <v>38</v>
      </c>
      <c r="F17" s="5" t="s">
        <v>64</v>
      </c>
      <c r="G17" s="5" t="s">
        <v>105</v>
      </c>
      <c r="H17" s="5" t="s">
        <v>52</v>
      </c>
      <c r="I17" s="5" t="s">
        <v>66</v>
      </c>
      <c r="J17" s="5" t="s">
        <v>80</v>
      </c>
      <c r="K17" s="5" t="s">
        <v>46</v>
      </c>
      <c r="L17" s="107">
        <v>419</v>
      </c>
      <c r="M17" s="107">
        <v>104366.28</v>
      </c>
      <c r="N17" s="5">
        <v>201</v>
      </c>
      <c r="O17" s="5">
        <v>359</v>
      </c>
      <c r="P17" s="5">
        <v>4.0999999999999996</v>
      </c>
      <c r="Q17" s="5" t="s">
        <v>123</v>
      </c>
      <c r="R17" s="5" t="s">
        <v>123</v>
      </c>
    </row>
    <row r="18" spans="1:18" ht="16.25" customHeight="1" x14ac:dyDescent="0.2">
      <c r="A18" s="5">
        <v>16</v>
      </c>
      <c r="B18" s="5" t="s">
        <v>124</v>
      </c>
      <c r="C18" s="5" t="s">
        <v>125</v>
      </c>
      <c r="D18" s="5" t="s">
        <v>49</v>
      </c>
      <c r="E18" s="5" t="s">
        <v>126</v>
      </c>
      <c r="F18" s="5" t="s">
        <v>58</v>
      </c>
      <c r="G18" s="5" t="s">
        <v>59</v>
      </c>
      <c r="H18" s="5" t="s">
        <v>52</v>
      </c>
      <c r="I18" s="5" t="s">
        <v>52</v>
      </c>
      <c r="J18" s="5" t="s">
        <v>52</v>
      </c>
      <c r="K18" s="5" t="s">
        <v>46</v>
      </c>
      <c r="L18" s="107">
        <v>298.99</v>
      </c>
      <c r="M18" s="107">
        <v>99565.65</v>
      </c>
      <c r="N18" s="5">
        <v>333</v>
      </c>
      <c r="O18" s="5">
        <v>1350</v>
      </c>
      <c r="P18" s="5">
        <v>4.5999999999999996</v>
      </c>
      <c r="Q18" s="5" t="s">
        <v>127</v>
      </c>
      <c r="R18" s="5" t="s">
        <v>127</v>
      </c>
    </row>
    <row r="19" spans="1:18" ht="16.25" customHeight="1" x14ac:dyDescent="0.2">
      <c r="A19" s="5">
        <v>17</v>
      </c>
      <c r="B19" s="5" t="s">
        <v>128</v>
      </c>
      <c r="C19" s="5" t="s">
        <v>129</v>
      </c>
      <c r="D19" s="5" t="s">
        <v>63</v>
      </c>
      <c r="E19" s="5" t="s">
        <v>37</v>
      </c>
      <c r="F19" s="5" t="s">
        <v>130</v>
      </c>
      <c r="G19" s="5" t="s">
        <v>65</v>
      </c>
      <c r="H19" s="5" t="s">
        <v>52</v>
      </c>
      <c r="I19" s="5" t="s">
        <v>66</v>
      </c>
      <c r="J19" s="5" t="s">
        <v>67</v>
      </c>
      <c r="K19" s="5" t="s">
        <v>68</v>
      </c>
      <c r="L19" s="107">
        <v>480</v>
      </c>
      <c r="M19" s="107">
        <v>91091.7</v>
      </c>
      <c r="N19" s="5">
        <v>190</v>
      </c>
      <c r="O19" s="5">
        <v>1256</v>
      </c>
      <c r="P19" s="5">
        <v>4.3</v>
      </c>
      <c r="Q19" s="5" t="s">
        <v>131</v>
      </c>
      <c r="R19" s="5" t="s">
        <v>131</v>
      </c>
    </row>
    <row r="20" spans="1:18" ht="16.25" customHeight="1" x14ac:dyDescent="0.2">
      <c r="A20" s="5">
        <v>18</v>
      </c>
      <c r="B20" s="5" t="s">
        <v>132</v>
      </c>
      <c r="C20" s="5" t="s">
        <v>133</v>
      </c>
      <c r="D20" s="5" t="s">
        <v>49</v>
      </c>
      <c r="E20" s="5" t="s">
        <v>134</v>
      </c>
      <c r="F20" s="5" t="s">
        <v>58</v>
      </c>
      <c r="G20" s="5" t="s">
        <v>59</v>
      </c>
      <c r="H20" s="5" t="s">
        <v>52</v>
      </c>
      <c r="I20" s="5" t="s">
        <v>52</v>
      </c>
      <c r="J20" s="5" t="s">
        <v>52</v>
      </c>
      <c r="K20" s="5" t="s">
        <v>46</v>
      </c>
      <c r="L20" s="107">
        <v>299</v>
      </c>
      <c r="M20" s="107">
        <v>89416.44</v>
      </c>
      <c r="N20" s="5">
        <v>310</v>
      </c>
      <c r="O20" s="5">
        <v>715</v>
      </c>
      <c r="P20" s="5">
        <v>4.5999999999999996</v>
      </c>
      <c r="Q20" s="5" t="s">
        <v>135</v>
      </c>
      <c r="R20" s="5" t="s">
        <v>135</v>
      </c>
    </row>
    <row r="21" spans="1:18" ht="16.25" customHeight="1" x14ac:dyDescent="0.2">
      <c r="A21" s="5">
        <v>19</v>
      </c>
      <c r="B21" s="5" t="s">
        <v>136</v>
      </c>
      <c r="C21" s="5" t="s">
        <v>137</v>
      </c>
      <c r="D21" s="5" t="s">
        <v>138</v>
      </c>
      <c r="E21" s="5" t="s">
        <v>36</v>
      </c>
      <c r="F21" s="5" t="s">
        <v>79</v>
      </c>
      <c r="G21" s="5" t="s">
        <v>51</v>
      </c>
      <c r="H21" s="5" t="s">
        <v>52</v>
      </c>
      <c r="I21" s="5" t="s">
        <v>52</v>
      </c>
      <c r="J21" s="5" t="s">
        <v>52</v>
      </c>
      <c r="K21" s="5" t="s">
        <v>114</v>
      </c>
      <c r="L21" s="107">
        <v>219.99</v>
      </c>
      <c r="M21" s="107">
        <v>86255.15</v>
      </c>
      <c r="N21" s="5">
        <v>535</v>
      </c>
      <c r="O21" s="5">
        <v>284</v>
      </c>
      <c r="P21" s="5">
        <v>4.3</v>
      </c>
      <c r="Q21" s="5" t="s">
        <v>139</v>
      </c>
      <c r="R21" s="5" t="s">
        <v>139</v>
      </c>
    </row>
    <row r="22" spans="1:18" ht="16.25" customHeight="1" x14ac:dyDescent="0.2">
      <c r="A22" s="5">
        <v>20</v>
      </c>
      <c r="B22" s="5" t="s">
        <v>140</v>
      </c>
      <c r="C22" s="5" t="s">
        <v>141</v>
      </c>
      <c r="D22" s="5" t="s">
        <v>63</v>
      </c>
      <c r="E22" s="5" t="s">
        <v>126</v>
      </c>
      <c r="F22" s="5" t="s">
        <v>96</v>
      </c>
      <c r="G22" s="5" t="s">
        <v>109</v>
      </c>
      <c r="H22" s="5" t="s">
        <v>52</v>
      </c>
      <c r="I22" s="5" t="s">
        <v>52</v>
      </c>
      <c r="J22" s="5" t="s">
        <v>73</v>
      </c>
      <c r="K22" s="5" t="s">
        <v>46</v>
      </c>
      <c r="L22" s="107">
        <v>199</v>
      </c>
      <c r="M22" s="107">
        <v>83796.350000000006</v>
      </c>
      <c r="N22" s="5">
        <v>405</v>
      </c>
      <c r="O22" s="5">
        <v>6554</v>
      </c>
      <c r="P22" s="5">
        <v>4.0999999999999996</v>
      </c>
      <c r="Q22" s="5" t="s">
        <v>142</v>
      </c>
      <c r="R22" s="5" t="s">
        <v>142</v>
      </c>
    </row>
    <row r="23" spans="1:18" ht="16.25" customHeight="1" x14ac:dyDescent="0.2">
      <c r="A23" s="5">
        <v>21</v>
      </c>
      <c r="B23" s="5" t="s">
        <v>143</v>
      </c>
      <c r="C23" s="5" t="s">
        <v>144</v>
      </c>
      <c r="D23" s="5" t="s">
        <v>49</v>
      </c>
      <c r="E23" s="5" t="s">
        <v>36</v>
      </c>
      <c r="F23" s="5" t="s">
        <v>58</v>
      </c>
      <c r="G23" s="5" t="s">
        <v>65</v>
      </c>
      <c r="H23" s="5" t="s">
        <v>52</v>
      </c>
      <c r="I23" s="5" t="s">
        <v>52</v>
      </c>
      <c r="J23" s="5" t="s">
        <v>73</v>
      </c>
      <c r="K23" s="5" t="s">
        <v>114</v>
      </c>
      <c r="L23" s="107">
        <v>469.99</v>
      </c>
      <c r="M23" s="107">
        <v>83529.070000000007</v>
      </c>
      <c r="N23" s="5">
        <v>200</v>
      </c>
      <c r="O23" s="5">
        <v>244</v>
      </c>
      <c r="P23" s="5">
        <v>4.5999999999999996</v>
      </c>
      <c r="Q23" s="5" t="s">
        <v>145</v>
      </c>
      <c r="R23" s="5" t="s">
        <v>145</v>
      </c>
    </row>
    <row r="24" spans="1:18" ht="16.25" customHeight="1" x14ac:dyDescent="0.2">
      <c r="A24" s="5">
        <v>22</v>
      </c>
      <c r="B24" s="5" t="s">
        <v>146</v>
      </c>
      <c r="C24" s="5" t="s">
        <v>147</v>
      </c>
      <c r="D24" s="5" t="s">
        <v>49</v>
      </c>
      <c r="E24" s="5" t="s">
        <v>148</v>
      </c>
      <c r="F24" s="5" t="s">
        <v>58</v>
      </c>
      <c r="G24" s="5" t="s">
        <v>59</v>
      </c>
      <c r="H24" s="5" t="s">
        <v>52</v>
      </c>
      <c r="I24" s="5" t="s">
        <v>52</v>
      </c>
      <c r="J24" s="5" t="s">
        <v>52</v>
      </c>
      <c r="K24" s="5" t="s">
        <v>46</v>
      </c>
      <c r="L24" s="107">
        <v>299</v>
      </c>
      <c r="M24" s="107">
        <v>76565.86</v>
      </c>
      <c r="N24" s="5">
        <v>268</v>
      </c>
      <c r="O24" s="5">
        <v>715</v>
      </c>
      <c r="P24" s="5">
        <v>4.5999999999999996</v>
      </c>
      <c r="Q24" s="5" t="s">
        <v>149</v>
      </c>
      <c r="R24" s="5" t="s">
        <v>149</v>
      </c>
    </row>
    <row r="25" spans="1:18" ht="16.25" customHeight="1" x14ac:dyDescent="0.2">
      <c r="A25" s="5">
        <v>23</v>
      </c>
      <c r="B25" s="5" t="s">
        <v>150</v>
      </c>
      <c r="C25" s="5" t="s">
        <v>151</v>
      </c>
      <c r="D25" s="5" t="s">
        <v>63</v>
      </c>
      <c r="E25" s="5" t="s">
        <v>37</v>
      </c>
      <c r="F25" s="5" t="s">
        <v>113</v>
      </c>
      <c r="G25" s="5" t="s">
        <v>65</v>
      </c>
      <c r="H25" s="5" t="s">
        <v>52</v>
      </c>
      <c r="I25" s="5" t="s">
        <v>66</v>
      </c>
      <c r="J25" s="5" t="s">
        <v>67</v>
      </c>
      <c r="K25" s="5" t="s">
        <v>68</v>
      </c>
      <c r="L25" s="107">
        <v>899</v>
      </c>
      <c r="M25" s="107">
        <v>72413.2</v>
      </c>
      <c r="N25" s="5">
        <v>81</v>
      </c>
      <c r="O25" s="5">
        <v>1254</v>
      </c>
      <c r="P25" s="5">
        <v>4.3</v>
      </c>
      <c r="Q25" s="5" t="s">
        <v>152</v>
      </c>
      <c r="R25" s="5" t="s">
        <v>152</v>
      </c>
    </row>
    <row r="26" spans="1:18" ht="16.25" customHeight="1" x14ac:dyDescent="0.2">
      <c r="A26" s="5">
        <v>24</v>
      </c>
      <c r="B26" s="5" t="s">
        <v>153</v>
      </c>
      <c r="C26" s="5" t="s">
        <v>154</v>
      </c>
      <c r="D26" s="5" t="s">
        <v>63</v>
      </c>
      <c r="E26" s="5" t="s">
        <v>36</v>
      </c>
      <c r="F26" s="5" t="s">
        <v>64</v>
      </c>
      <c r="G26" s="5" t="s">
        <v>65</v>
      </c>
      <c r="H26" s="5" t="s">
        <v>66</v>
      </c>
      <c r="I26" s="5" t="s">
        <v>97</v>
      </c>
      <c r="J26" s="5" t="s">
        <v>52</v>
      </c>
      <c r="K26" s="5" t="s">
        <v>53</v>
      </c>
      <c r="L26" s="107">
        <v>369</v>
      </c>
      <c r="M26" s="107">
        <v>71965.17</v>
      </c>
      <c r="N26" s="5">
        <v>148</v>
      </c>
      <c r="O26" s="5">
        <v>1407</v>
      </c>
      <c r="P26" s="5">
        <v>4.3</v>
      </c>
      <c r="Q26" s="5" t="s">
        <v>155</v>
      </c>
      <c r="R26" s="5" t="s">
        <v>155</v>
      </c>
    </row>
    <row r="27" spans="1:18" ht="16.25" customHeight="1" x14ac:dyDescent="0.2">
      <c r="A27" s="5">
        <v>25</v>
      </c>
      <c r="B27" s="5" t="s">
        <v>156</v>
      </c>
      <c r="C27" s="5" t="s">
        <v>157</v>
      </c>
      <c r="D27" s="5" t="s">
        <v>72</v>
      </c>
      <c r="E27" s="5" t="s">
        <v>57</v>
      </c>
      <c r="F27" s="5" t="s">
        <v>64</v>
      </c>
      <c r="G27" s="5" t="s">
        <v>113</v>
      </c>
      <c r="H27" s="5" t="s">
        <v>52</v>
      </c>
      <c r="I27" s="5" t="s">
        <v>52</v>
      </c>
      <c r="J27" s="5" t="s">
        <v>52</v>
      </c>
      <c r="K27" s="5" t="s">
        <v>46</v>
      </c>
      <c r="L27" s="107">
        <v>139</v>
      </c>
      <c r="M27" s="107">
        <v>68826.84</v>
      </c>
      <c r="N27" s="5">
        <v>495</v>
      </c>
      <c r="O27" s="5">
        <v>27</v>
      </c>
      <c r="P27" s="5">
        <v>4.3</v>
      </c>
      <c r="Q27" s="5" t="s">
        <v>158</v>
      </c>
      <c r="R27" s="5" t="s">
        <v>158</v>
      </c>
    </row>
    <row r="28" spans="1:18" ht="16.25" customHeight="1" x14ac:dyDescent="0.2">
      <c r="A28" s="5">
        <v>26</v>
      </c>
      <c r="B28" s="5" t="s">
        <v>159</v>
      </c>
      <c r="C28" s="5" t="s">
        <v>160</v>
      </c>
      <c r="D28" s="5" t="s">
        <v>72</v>
      </c>
      <c r="E28" s="5" t="s">
        <v>57</v>
      </c>
      <c r="F28" s="5" t="s">
        <v>64</v>
      </c>
      <c r="G28" s="5" t="s">
        <v>113</v>
      </c>
      <c r="H28" s="5" t="s">
        <v>52</v>
      </c>
      <c r="I28" s="5" t="s">
        <v>52</v>
      </c>
      <c r="J28" s="5" t="s">
        <v>52</v>
      </c>
      <c r="K28" s="5" t="s">
        <v>46</v>
      </c>
      <c r="L28" s="107">
        <v>139</v>
      </c>
      <c r="M28" s="107">
        <v>68045.77</v>
      </c>
      <c r="N28" s="5">
        <v>488</v>
      </c>
      <c r="O28" s="5">
        <v>52</v>
      </c>
      <c r="P28" s="5">
        <v>4.4000000000000004</v>
      </c>
      <c r="Q28" s="5" t="s">
        <v>161</v>
      </c>
      <c r="R28" s="5" t="s">
        <v>161</v>
      </c>
    </row>
    <row r="29" spans="1:18" ht="16.25" customHeight="1" x14ac:dyDescent="0.2">
      <c r="A29" s="5">
        <v>27</v>
      </c>
      <c r="B29" s="5" t="s">
        <v>162</v>
      </c>
      <c r="C29" s="5" t="s">
        <v>163</v>
      </c>
      <c r="D29" s="5" t="s">
        <v>72</v>
      </c>
      <c r="E29" s="5" t="s">
        <v>57</v>
      </c>
      <c r="F29" s="5" t="s">
        <v>58</v>
      </c>
      <c r="G29" s="5" t="s">
        <v>59</v>
      </c>
      <c r="H29" s="5" t="s">
        <v>52</v>
      </c>
      <c r="I29" s="5" t="s">
        <v>52</v>
      </c>
      <c r="J29" s="5" t="s">
        <v>52</v>
      </c>
      <c r="K29" s="5" t="s">
        <v>46</v>
      </c>
      <c r="L29" s="107">
        <v>349</v>
      </c>
      <c r="M29" s="107">
        <v>65550.47</v>
      </c>
      <c r="N29" s="5">
        <v>226</v>
      </c>
      <c r="O29" s="5">
        <v>56</v>
      </c>
      <c r="P29" s="5">
        <v>4.2</v>
      </c>
      <c r="Q29" s="5" t="s">
        <v>164</v>
      </c>
      <c r="R29" s="5" t="s">
        <v>164</v>
      </c>
    </row>
    <row r="30" spans="1:18" ht="16.25" customHeight="1" x14ac:dyDescent="0.2">
      <c r="A30" s="5">
        <v>28</v>
      </c>
      <c r="B30" s="5" t="s">
        <v>165</v>
      </c>
      <c r="C30" s="5" t="s">
        <v>166</v>
      </c>
      <c r="D30" s="5" t="s">
        <v>72</v>
      </c>
      <c r="E30" s="5" t="s">
        <v>36</v>
      </c>
      <c r="F30" s="5" t="s">
        <v>58</v>
      </c>
      <c r="G30" s="5" t="s">
        <v>59</v>
      </c>
      <c r="H30" s="5" t="s">
        <v>52</v>
      </c>
      <c r="I30" s="5" t="s">
        <v>66</v>
      </c>
      <c r="J30" s="5" t="s">
        <v>73</v>
      </c>
      <c r="K30" s="5" t="s">
        <v>74</v>
      </c>
      <c r="L30" s="107">
        <v>359</v>
      </c>
      <c r="M30" s="107">
        <v>57974.33</v>
      </c>
      <c r="N30" s="5">
        <v>151</v>
      </c>
      <c r="O30" s="5">
        <v>21</v>
      </c>
      <c r="P30" s="5">
        <v>4.4000000000000004</v>
      </c>
      <c r="Q30" s="5" t="s">
        <v>167</v>
      </c>
      <c r="R30" s="5" t="s">
        <v>167</v>
      </c>
    </row>
    <row r="31" spans="1:18" ht="16.25" customHeight="1" x14ac:dyDescent="0.2">
      <c r="A31" s="5">
        <v>29</v>
      </c>
      <c r="B31" s="5" t="s">
        <v>168</v>
      </c>
      <c r="C31" s="5" t="s">
        <v>169</v>
      </c>
      <c r="D31" s="5" t="s">
        <v>63</v>
      </c>
      <c r="E31" s="5" t="s">
        <v>38</v>
      </c>
      <c r="F31" s="5" t="s">
        <v>96</v>
      </c>
      <c r="G31" s="5" t="s">
        <v>109</v>
      </c>
      <c r="H31" s="5" t="s">
        <v>52</v>
      </c>
      <c r="I31" s="5" t="s">
        <v>66</v>
      </c>
      <c r="J31" s="5" t="s">
        <v>80</v>
      </c>
      <c r="K31" s="5" t="s">
        <v>46</v>
      </c>
      <c r="L31" s="107">
        <v>249</v>
      </c>
      <c r="M31" s="107">
        <v>57851.61</v>
      </c>
      <c r="N31" s="5">
        <v>185</v>
      </c>
      <c r="O31" s="5">
        <v>360</v>
      </c>
      <c r="P31" s="5">
        <v>4.0999999999999996</v>
      </c>
      <c r="Q31" s="5" t="s">
        <v>170</v>
      </c>
      <c r="R31" s="5" t="s">
        <v>170</v>
      </c>
    </row>
    <row r="32" spans="1:18" ht="16.25" customHeight="1" x14ac:dyDescent="0.2">
      <c r="A32" s="5">
        <v>30</v>
      </c>
      <c r="B32" s="5" t="s">
        <v>171</v>
      </c>
      <c r="C32" s="5" t="s">
        <v>172</v>
      </c>
      <c r="D32" s="5" t="s">
        <v>63</v>
      </c>
      <c r="E32" s="5" t="s">
        <v>148</v>
      </c>
      <c r="F32" s="5" t="s">
        <v>96</v>
      </c>
      <c r="G32" s="5" t="s">
        <v>109</v>
      </c>
      <c r="H32" s="5" t="s">
        <v>52</v>
      </c>
      <c r="I32" s="5" t="s">
        <v>52</v>
      </c>
      <c r="J32" s="5" t="s">
        <v>73</v>
      </c>
      <c r="K32" s="5" t="s">
        <v>46</v>
      </c>
      <c r="L32" s="107">
        <v>179.99</v>
      </c>
      <c r="M32" s="107">
        <v>53482.02</v>
      </c>
      <c r="N32" s="5">
        <v>282</v>
      </c>
      <c r="O32" s="5">
        <v>6567</v>
      </c>
      <c r="P32" s="5">
        <v>4.0999999999999996</v>
      </c>
      <c r="Q32" s="5" t="s">
        <v>173</v>
      </c>
      <c r="R32" s="5" t="s">
        <v>173</v>
      </c>
    </row>
    <row r="33" spans="1:18" ht="16.25" customHeight="1" x14ac:dyDescent="0.2">
      <c r="A33" s="5">
        <v>31</v>
      </c>
      <c r="B33" s="5" t="s">
        <v>174</v>
      </c>
      <c r="C33" s="5" t="s">
        <v>175</v>
      </c>
      <c r="D33" s="5" t="s">
        <v>176</v>
      </c>
      <c r="E33" s="5" t="s">
        <v>37</v>
      </c>
      <c r="F33" s="5" t="s">
        <v>64</v>
      </c>
      <c r="G33" s="5" t="s">
        <v>65</v>
      </c>
      <c r="H33" s="5" t="s">
        <v>52</v>
      </c>
      <c r="I33" s="5" t="s">
        <v>52</v>
      </c>
      <c r="J33" s="5" t="s">
        <v>52</v>
      </c>
      <c r="K33" s="5" t="s">
        <v>53</v>
      </c>
      <c r="L33" s="107">
        <v>301.61</v>
      </c>
      <c r="M33" s="107">
        <v>45754.82</v>
      </c>
      <c r="N33" s="5">
        <v>143</v>
      </c>
      <c r="O33" s="5">
        <v>913</v>
      </c>
      <c r="P33" s="5">
        <v>4.4000000000000004</v>
      </c>
      <c r="Q33" s="5" t="s">
        <v>177</v>
      </c>
      <c r="R33" s="5" t="s">
        <v>177</v>
      </c>
    </row>
    <row r="34" spans="1:18" ht="16.25" customHeight="1" x14ac:dyDescent="0.2">
      <c r="A34" s="5">
        <v>32</v>
      </c>
      <c r="B34" s="5" t="s">
        <v>178</v>
      </c>
      <c r="C34" s="5" t="s">
        <v>179</v>
      </c>
      <c r="D34" s="5" t="s">
        <v>63</v>
      </c>
      <c r="E34" s="5" t="s">
        <v>126</v>
      </c>
      <c r="F34" s="5" t="s">
        <v>64</v>
      </c>
      <c r="G34" s="5" t="s">
        <v>105</v>
      </c>
      <c r="H34" s="5" t="s">
        <v>52</v>
      </c>
      <c r="I34" s="5" t="s">
        <v>52</v>
      </c>
      <c r="J34" s="5" t="s">
        <v>73</v>
      </c>
      <c r="K34" s="5" t="s">
        <v>46</v>
      </c>
      <c r="L34" s="107">
        <v>429</v>
      </c>
      <c r="M34" s="107">
        <v>37407.129999999997</v>
      </c>
      <c r="N34" s="5">
        <v>91</v>
      </c>
      <c r="O34" s="5">
        <v>3629</v>
      </c>
      <c r="P34" s="5">
        <v>4.3</v>
      </c>
      <c r="Q34" s="5" t="s">
        <v>180</v>
      </c>
      <c r="R34" s="5" t="s">
        <v>180</v>
      </c>
    </row>
    <row r="35" spans="1:18" ht="16.25" customHeight="1" x14ac:dyDescent="0.2">
      <c r="A35" s="5">
        <v>33</v>
      </c>
      <c r="B35" s="5" t="s">
        <v>181</v>
      </c>
      <c r="C35" s="5" t="s">
        <v>182</v>
      </c>
      <c r="D35" s="5" t="s">
        <v>183</v>
      </c>
      <c r="E35" s="5" t="s">
        <v>126</v>
      </c>
      <c r="F35" s="5" t="s">
        <v>58</v>
      </c>
      <c r="G35" s="5" t="s">
        <v>65</v>
      </c>
      <c r="H35" s="5" t="s">
        <v>52</v>
      </c>
      <c r="I35" s="5" t="s">
        <v>52</v>
      </c>
      <c r="J35" s="5" t="s">
        <v>52</v>
      </c>
      <c r="K35" s="5" t="s">
        <v>46</v>
      </c>
      <c r="L35" s="107">
        <v>361.77</v>
      </c>
      <c r="M35" s="107">
        <v>36681.269999999997</v>
      </c>
      <c r="N35" s="5">
        <v>86</v>
      </c>
      <c r="O35" s="5">
        <v>39</v>
      </c>
      <c r="P35" s="5">
        <v>4.4000000000000004</v>
      </c>
      <c r="Q35" s="5" t="s">
        <v>184</v>
      </c>
      <c r="R35" s="5" t="s">
        <v>184</v>
      </c>
    </row>
    <row r="36" spans="1:18" ht="16.25" customHeight="1" x14ac:dyDescent="0.2">
      <c r="A36" s="5">
        <v>34</v>
      </c>
      <c r="B36" s="5" t="s">
        <v>185</v>
      </c>
      <c r="C36" s="5" t="s">
        <v>186</v>
      </c>
      <c r="D36" s="5" t="s">
        <v>63</v>
      </c>
      <c r="E36" s="5" t="s">
        <v>148</v>
      </c>
      <c r="F36" s="5" t="s">
        <v>64</v>
      </c>
      <c r="G36" s="5" t="s">
        <v>105</v>
      </c>
      <c r="H36" s="5" t="s">
        <v>52</v>
      </c>
      <c r="I36" s="5" t="s">
        <v>52</v>
      </c>
      <c r="J36" s="5" t="s">
        <v>73</v>
      </c>
      <c r="K36" s="5" t="s">
        <v>46</v>
      </c>
      <c r="L36" s="107">
        <v>339</v>
      </c>
      <c r="M36" s="107">
        <v>35158.54</v>
      </c>
      <c r="N36" s="5">
        <v>94</v>
      </c>
      <c r="O36" s="5">
        <v>3629</v>
      </c>
      <c r="P36" s="5">
        <v>4.3</v>
      </c>
      <c r="Q36" s="5" t="s">
        <v>187</v>
      </c>
      <c r="R36" s="5" t="s">
        <v>187</v>
      </c>
    </row>
    <row r="37" spans="1:18" ht="16.25" customHeight="1" x14ac:dyDescent="0.2">
      <c r="A37" s="5">
        <v>35</v>
      </c>
      <c r="B37" s="5" t="s">
        <v>188</v>
      </c>
      <c r="C37" s="5" t="s">
        <v>189</v>
      </c>
      <c r="D37" s="5" t="s">
        <v>49</v>
      </c>
      <c r="E37" s="5" t="s">
        <v>36</v>
      </c>
      <c r="F37" s="5" t="s">
        <v>58</v>
      </c>
      <c r="G37" s="5" t="s">
        <v>65</v>
      </c>
      <c r="H37" s="5" t="s">
        <v>52</v>
      </c>
      <c r="I37" s="5" t="s">
        <v>52</v>
      </c>
      <c r="J37" s="5" t="s">
        <v>52</v>
      </c>
      <c r="K37" s="5" t="s">
        <v>114</v>
      </c>
      <c r="L37" s="107">
        <v>399</v>
      </c>
      <c r="M37" s="107">
        <v>33155.5</v>
      </c>
      <c r="N37" s="5">
        <v>96</v>
      </c>
      <c r="O37" s="5">
        <v>244</v>
      </c>
      <c r="P37" s="5">
        <v>4.5999999999999996</v>
      </c>
      <c r="Q37" s="5" t="s">
        <v>190</v>
      </c>
      <c r="R37" s="5" t="s">
        <v>190</v>
      </c>
    </row>
    <row r="38" spans="1:18" ht="16.25" customHeight="1" x14ac:dyDescent="0.2">
      <c r="A38" s="5">
        <v>36</v>
      </c>
      <c r="B38" s="5" t="s">
        <v>191</v>
      </c>
      <c r="C38" s="5" t="s">
        <v>192</v>
      </c>
      <c r="D38" s="5" t="s">
        <v>72</v>
      </c>
      <c r="E38" s="5" t="s">
        <v>57</v>
      </c>
      <c r="F38" s="5" t="s">
        <v>58</v>
      </c>
      <c r="G38" s="5" t="s">
        <v>59</v>
      </c>
      <c r="H38" s="5" t="s">
        <v>52</v>
      </c>
      <c r="I38" s="5" t="s">
        <v>52</v>
      </c>
      <c r="J38" s="5" t="s">
        <v>52</v>
      </c>
      <c r="K38" s="5" t="s">
        <v>46</v>
      </c>
      <c r="L38" s="107">
        <v>339</v>
      </c>
      <c r="M38" s="107">
        <v>33080.1</v>
      </c>
      <c r="N38" s="5">
        <v>105</v>
      </c>
      <c r="O38" s="5">
        <v>10</v>
      </c>
      <c r="P38" s="5">
        <v>4.8</v>
      </c>
      <c r="Q38" s="5" t="s">
        <v>193</v>
      </c>
      <c r="R38" s="5" t="s">
        <v>193</v>
      </c>
    </row>
    <row r="39" spans="1:18" ht="16.25" customHeight="1" x14ac:dyDescent="0.2">
      <c r="A39" s="5">
        <v>37</v>
      </c>
      <c r="B39" s="5" t="s">
        <v>194</v>
      </c>
      <c r="C39" s="5" t="s">
        <v>195</v>
      </c>
      <c r="D39" s="5" t="s">
        <v>183</v>
      </c>
      <c r="E39" s="5" t="s">
        <v>37</v>
      </c>
      <c r="F39" s="5" t="s">
        <v>196</v>
      </c>
      <c r="G39" s="5" t="s">
        <v>65</v>
      </c>
      <c r="H39" s="5" t="s">
        <v>52</v>
      </c>
      <c r="I39" s="5" t="s">
        <v>52</v>
      </c>
      <c r="J39" s="5" t="s">
        <v>52</v>
      </c>
      <c r="K39" s="5" t="s">
        <v>68</v>
      </c>
      <c r="L39" s="107">
        <v>925</v>
      </c>
      <c r="M39" s="107">
        <v>32621.71</v>
      </c>
      <c r="N39" s="5">
        <v>35</v>
      </c>
      <c r="O39" s="5">
        <v>23</v>
      </c>
      <c r="P39" s="5">
        <v>4.0999999999999996</v>
      </c>
      <c r="Q39" s="5" t="s">
        <v>197</v>
      </c>
      <c r="R39" s="5" t="s">
        <v>197</v>
      </c>
    </row>
    <row r="40" spans="1:18" ht="16.25" customHeight="1" x14ac:dyDescent="0.2">
      <c r="A40" s="5">
        <v>38</v>
      </c>
      <c r="B40" s="5" t="s">
        <v>198</v>
      </c>
      <c r="C40" s="5" t="s">
        <v>199</v>
      </c>
      <c r="D40" s="5" t="s">
        <v>200</v>
      </c>
      <c r="E40" s="5" t="s">
        <v>65</v>
      </c>
      <c r="F40" s="5" t="s">
        <v>65</v>
      </c>
      <c r="G40" s="5" t="s">
        <v>65</v>
      </c>
      <c r="H40" s="5" t="s">
        <v>65</v>
      </c>
      <c r="I40" s="5" t="s">
        <v>65</v>
      </c>
      <c r="J40" s="5" t="s">
        <v>65</v>
      </c>
      <c r="K40" s="5" t="s">
        <v>65</v>
      </c>
      <c r="L40" s="107">
        <v>369</v>
      </c>
      <c r="M40" s="107">
        <v>30320.880000000001</v>
      </c>
      <c r="N40" s="5">
        <v>82</v>
      </c>
      <c r="O40" s="5">
        <v>212</v>
      </c>
      <c r="P40" s="5">
        <v>4.3</v>
      </c>
      <c r="Q40" s="5" t="s">
        <v>201</v>
      </c>
      <c r="R40" s="5" t="s">
        <v>201</v>
      </c>
    </row>
    <row r="41" spans="1:18" ht="16.25" customHeight="1" x14ac:dyDescent="0.2">
      <c r="A41" s="5">
        <v>39</v>
      </c>
      <c r="B41" s="5" t="s">
        <v>202</v>
      </c>
      <c r="C41" s="5" t="s">
        <v>203</v>
      </c>
      <c r="D41" s="5" t="s">
        <v>49</v>
      </c>
      <c r="E41" s="5" t="s">
        <v>126</v>
      </c>
      <c r="F41" s="5" t="s">
        <v>58</v>
      </c>
      <c r="G41" s="5" t="s">
        <v>59</v>
      </c>
      <c r="H41" s="5" t="s">
        <v>52</v>
      </c>
      <c r="I41" s="5" t="s">
        <v>52</v>
      </c>
      <c r="J41" s="5" t="s">
        <v>204</v>
      </c>
      <c r="K41" s="5" t="s">
        <v>46</v>
      </c>
      <c r="L41" s="107">
        <v>299</v>
      </c>
      <c r="M41" s="107">
        <v>30154.5</v>
      </c>
      <c r="N41" s="5">
        <v>106</v>
      </c>
      <c r="O41" s="5">
        <v>191</v>
      </c>
      <c r="P41" s="5">
        <v>4.4000000000000004</v>
      </c>
      <c r="Q41" s="5" t="s">
        <v>205</v>
      </c>
      <c r="R41" s="5" t="s">
        <v>205</v>
      </c>
    </row>
    <row r="42" spans="1:18" ht="16.25" customHeight="1" x14ac:dyDescent="0.2">
      <c r="A42" s="5">
        <v>40</v>
      </c>
      <c r="B42" s="5" t="s">
        <v>206</v>
      </c>
      <c r="C42" s="5" t="s">
        <v>207</v>
      </c>
      <c r="D42" s="5" t="s">
        <v>78</v>
      </c>
      <c r="E42" s="5" t="s">
        <v>37</v>
      </c>
      <c r="F42" s="5" t="s">
        <v>58</v>
      </c>
      <c r="G42" s="5" t="s">
        <v>65</v>
      </c>
      <c r="H42" s="5" t="s">
        <v>52</v>
      </c>
      <c r="I42" s="5" t="s">
        <v>66</v>
      </c>
      <c r="J42" s="5" t="s">
        <v>208</v>
      </c>
      <c r="K42" s="5" t="s">
        <v>68</v>
      </c>
      <c r="L42" s="107">
        <v>459</v>
      </c>
      <c r="M42" s="107">
        <v>29965.85</v>
      </c>
      <c r="N42" s="5">
        <v>65</v>
      </c>
      <c r="O42" s="5">
        <v>36</v>
      </c>
      <c r="P42" s="5">
        <v>4.5999999999999996</v>
      </c>
      <c r="Q42" s="5" t="s">
        <v>209</v>
      </c>
      <c r="R42" s="5" t="s">
        <v>209</v>
      </c>
    </row>
    <row r="43" spans="1:18" ht="16.25" customHeight="1" x14ac:dyDescent="0.2">
      <c r="A43" s="5">
        <v>41</v>
      </c>
      <c r="B43" s="5" t="s">
        <v>210</v>
      </c>
      <c r="C43" s="5" t="s">
        <v>211</v>
      </c>
      <c r="D43" s="5" t="s">
        <v>72</v>
      </c>
      <c r="E43" s="5" t="s">
        <v>36</v>
      </c>
      <c r="F43" s="5" t="s">
        <v>58</v>
      </c>
      <c r="G43" s="5" t="s">
        <v>59</v>
      </c>
      <c r="H43" s="5" t="s">
        <v>66</v>
      </c>
      <c r="I43" s="5" t="s">
        <v>66</v>
      </c>
      <c r="J43" s="5" t="s">
        <v>73</v>
      </c>
      <c r="K43" s="5" t="s">
        <v>74</v>
      </c>
      <c r="L43" s="107">
        <v>569</v>
      </c>
      <c r="M43" s="107">
        <v>29263.07</v>
      </c>
      <c r="N43" s="5">
        <v>49</v>
      </c>
      <c r="O43" s="5">
        <v>89</v>
      </c>
      <c r="P43" s="5">
        <v>4.2</v>
      </c>
      <c r="Q43" s="5" t="s">
        <v>212</v>
      </c>
      <c r="R43" s="5" t="s">
        <v>212</v>
      </c>
    </row>
    <row r="44" spans="1:18" ht="16.25" customHeight="1" x14ac:dyDescent="0.2">
      <c r="A44" s="5">
        <v>42</v>
      </c>
      <c r="B44" s="5" t="s">
        <v>213</v>
      </c>
      <c r="C44" s="5" t="s">
        <v>214</v>
      </c>
      <c r="D44" s="5" t="s">
        <v>49</v>
      </c>
      <c r="E44" s="5" t="s">
        <v>126</v>
      </c>
      <c r="F44" s="5" t="s">
        <v>58</v>
      </c>
      <c r="G44" s="5" t="s">
        <v>59</v>
      </c>
      <c r="H44" s="5" t="s">
        <v>52</v>
      </c>
      <c r="I44" s="5" t="s">
        <v>52</v>
      </c>
      <c r="J44" s="5" t="s">
        <v>52</v>
      </c>
      <c r="K44" s="5" t="s">
        <v>46</v>
      </c>
      <c r="L44" s="107">
        <v>299</v>
      </c>
      <c r="M44" s="107">
        <v>27971.3</v>
      </c>
      <c r="N44" s="5">
        <v>94</v>
      </c>
      <c r="O44" s="5">
        <v>1350</v>
      </c>
      <c r="P44" s="5">
        <v>4.5999999999999996</v>
      </c>
      <c r="Q44" s="5" t="s">
        <v>215</v>
      </c>
      <c r="R44" s="5" t="s">
        <v>215</v>
      </c>
    </row>
    <row r="45" spans="1:18" ht="16.25" customHeight="1" x14ac:dyDescent="0.2">
      <c r="A45" s="5">
        <v>43</v>
      </c>
      <c r="B45" s="5" t="s">
        <v>324</v>
      </c>
      <c r="C45" s="5" t="s">
        <v>323</v>
      </c>
      <c r="D45" s="5" t="s">
        <v>78</v>
      </c>
      <c r="E45" s="5" t="s">
        <v>65</v>
      </c>
      <c r="F45" s="5" t="s">
        <v>65</v>
      </c>
      <c r="G45" s="5" t="s">
        <v>65</v>
      </c>
      <c r="H45" s="5" t="s">
        <v>65</v>
      </c>
      <c r="I45" s="5" t="s">
        <v>65</v>
      </c>
      <c r="J45" s="5" t="s">
        <v>65</v>
      </c>
      <c r="K45" s="5" t="s">
        <v>65</v>
      </c>
      <c r="L45" s="107">
        <v>439</v>
      </c>
      <c r="M45" s="107">
        <v>27036.77</v>
      </c>
      <c r="N45" s="5">
        <v>62</v>
      </c>
      <c r="O45" s="5">
        <v>60</v>
      </c>
      <c r="P45" s="5">
        <v>4.4000000000000004</v>
      </c>
      <c r="Q45" s="5" t="s">
        <v>325</v>
      </c>
      <c r="R45" s="5" t="s">
        <v>325</v>
      </c>
    </row>
    <row r="46" spans="1:18" ht="16.25" customHeight="1" x14ac:dyDescent="0.2">
      <c r="A46" s="5">
        <v>44</v>
      </c>
      <c r="B46" s="5" t="s">
        <v>216</v>
      </c>
      <c r="C46" s="5" t="s">
        <v>217</v>
      </c>
      <c r="D46" s="5" t="s">
        <v>200</v>
      </c>
      <c r="E46" s="5" t="s">
        <v>57</v>
      </c>
      <c r="F46" s="5" t="s">
        <v>79</v>
      </c>
      <c r="G46" s="5" t="s">
        <v>218</v>
      </c>
      <c r="H46" s="5" t="s">
        <v>52</v>
      </c>
      <c r="I46" s="5" t="s">
        <v>52</v>
      </c>
      <c r="J46" s="5" t="s">
        <v>52</v>
      </c>
      <c r="K46" s="5" t="s">
        <v>46</v>
      </c>
      <c r="L46" s="107">
        <v>109</v>
      </c>
      <c r="M46" s="107">
        <v>26950.23</v>
      </c>
      <c r="N46" s="5">
        <v>247</v>
      </c>
      <c r="O46" s="5">
        <v>323</v>
      </c>
      <c r="P46" s="5">
        <v>4</v>
      </c>
      <c r="Q46" s="5" t="s">
        <v>219</v>
      </c>
      <c r="R46" s="5" t="s">
        <v>219</v>
      </c>
    </row>
    <row r="47" spans="1:18" ht="16.25" customHeight="1" x14ac:dyDescent="0.2">
      <c r="A47" s="5">
        <v>45</v>
      </c>
      <c r="B47" s="5" t="s">
        <v>264</v>
      </c>
      <c r="C47" s="5" t="s">
        <v>263</v>
      </c>
      <c r="D47" s="5" t="s">
        <v>63</v>
      </c>
      <c r="E47" s="5" t="s">
        <v>65</v>
      </c>
      <c r="F47" s="5" t="s">
        <v>65</v>
      </c>
      <c r="G47" s="5" t="s">
        <v>65</v>
      </c>
      <c r="H47" s="5" t="s">
        <v>65</v>
      </c>
      <c r="I47" s="5" t="s">
        <v>65</v>
      </c>
      <c r="J47" s="5" t="s">
        <v>65</v>
      </c>
      <c r="K47" s="5" t="s">
        <v>65</v>
      </c>
      <c r="L47" s="107">
        <v>789</v>
      </c>
      <c r="M47" s="107">
        <v>26669.35</v>
      </c>
      <c r="N47" s="5">
        <v>34</v>
      </c>
      <c r="O47" s="5">
        <v>1408</v>
      </c>
      <c r="P47" s="5">
        <v>4.3</v>
      </c>
      <c r="Q47" s="5" t="s">
        <v>265</v>
      </c>
      <c r="R47" s="5" t="s">
        <v>265</v>
      </c>
    </row>
    <row r="48" spans="1:18" ht="16.25" customHeight="1" x14ac:dyDescent="0.2">
      <c r="A48" s="5">
        <v>46</v>
      </c>
      <c r="B48" s="5" t="s">
        <v>220</v>
      </c>
      <c r="C48" s="5" t="s">
        <v>221</v>
      </c>
      <c r="D48" s="5" t="s">
        <v>222</v>
      </c>
      <c r="E48" s="5" t="s">
        <v>36</v>
      </c>
      <c r="F48" s="5" t="s">
        <v>79</v>
      </c>
      <c r="G48" s="5" t="s">
        <v>51</v>
      </c>
      <c r="H48" s="5" t="s">
        <v>52</v>
      </c>
      <c r="I48" s="5" t="s">
        <v>52</v>
      </c>
      <c r="J48" s="5" t="s">
        <v>52</v>
      </c>
      <c r="K48" s="5" t="s">
        <v>53</v>
      </c>
      <c r="L48" s="107">
        <v>109.99</v>
      </c>
      <c r="M48" s="107">
        <v>26121.360000000001</v>
      </c>
      <c r="N48" s="5">
        <v>237</v>
      </c>
      <c r="O48" s="5">
        <v>51</v>
      </c>
      <c r="P48" s="5">
        <v>4.2</v>
      </c>
      <c r="Q48" s="5" t="s">
        <v>223</v>
      </c>
      <c r="R48" s="5" t="s">
        <v>223</v>
      </c>
    </row>
    <row r="49" spans="1:18" ht="16.25" customHeight="1" x14ac:dyDescent="0.2">
      <c r="A49" s="5">
        <v>47</v>
      </c>
      <c r="B49" s="5" t="s">
        <v>410</v>
      </c>
      <c r="C49" s="5" t="s">
        <v>411</v>
      </c>
      <c r="D49" s="5" t="s">
        <v>257</v>
      </c>
      <c r="E49" s="5" t="s">
        <v>65</v>
      </c>
      <c r="F49" s="5" t="s">
        <v>65</v>
      </c>
      <c r="G49" s="5" t="s">
        <v>65</v>
      </c>
      <c r="H49" s="5" t="s">
        <v>65</v>
      </c>
      <c r="I49" s="5" t="s">
        <v>65</v>
      </c>
      <c r="J49" s="5" t="s">
        <v>65</v>
      </c>
      <c r="K49" s="5" t="s">
        <v>65</v>
      </c>
      <c r="L49" s="107">
        <v>399</v>
      </c>
      <c r="M49" s="107">
        <v>26052.32</v>
      </c>
      <c r="N49" s="5">
        <v>65</v>
      </c>
      <c r="O49" s="5">
        <v>457</v>
      </c>
      <c r="P49" s="5">
        <v>4.3</v>
      </c>
      <c r="Q49" s="5" t="s">
        <v>412</v>
      </c>
      <c r="R49" s="5" t="s">
        <v>412</v>
      </c>
    </row>
    <row r="50" spans="1:18" ht="16.25" customHeight="1" x14ac:dyDescent="0.2">
      <c r="A50" s="5">
        <v>48</v>
      </c>
      <c r="B50" s="5" t="s">
        <v>224</v>
      </c>
      <c r="C50" s="5" t="s">
        <v>225</v>
      </c>
      <c r="D50" s="5" t="s">
        <v>222</v>
      </c>
      <c r="E50" s="5" t="s">
        <v>36</v>
      </c>
      <c r="F50" s="5" t="s">
        <v>79</v>
      </c>
      <c r="G50" s="5" t="s">
        <v>51</v>
      </c>
      <c r="H50" s="5" t="s">
        <v>52</v>
      </c>
      <c r="I50" s="5" t="s">
        <v>52</v>
      </c>
      <c r="J50" s="5" t="s">
        <v>52</v>
      </c>
      <c r="K50" s="5" t="s">
        <v>53</v>
      </c>
      <c r="L50" s="107">
        <v>119.99</v>
      </c>
      <c r="M50" s="107">
        <v>25830.97</v>
      </c>
      <c r="N50" s="5">
        <v>200</v>
      </c>
      <c r="O50" s="5">
        <v>51</v>
      </c>
      <c r="P50" s="5">
        <v>4.2</v>
      </c>
      <c r="Q50" s="5" t="s">
        <v>226</v>
      </c>
      <c r="R50" s="5" t="s">
        <v>226</v>
      </c>
    </row>
    <row r="51" spans="1:18" ht="16.25" customHeight="1" x14ac:dyDescent="0.2">
      <c r="A51" s="5">
        <v>49</v>
      </c>
      <c r="B51" s="5" t="s">
        <v>235</v>
      </c>
      <c r="C51" s="5" t="s">
        <v>236</v>
      </c>
      <c r="D51" s="5" t="s">
        <v>49</v>
      </c>
      <c r="E51" s="5" t="s">
        <v>36</v>
      </c>
      <c r="F51" s="5" t="s">
        <v>64</v>
      </c>
      <c r="G51" s="5" t="s">
        <v>109</v>
      </c>
      <c r="H51" s="5" t="s">
        <v>52</v>
      </c>
      <c r="I51" s="5" t="s">
        <v>52</v>
      </c>
      <c r="J51" s="5" t="s">
        <v>52</v>
      </c>
      <c r="K51" s="5" t="s">
        <v>114</v>
      </c>
      <c r="L51" s="107">
        <v>199</v>
      </c>
      <c r="M51" s="107">
        <v>25653.19</v>
      </c>
      <c r="N51" s="5">
        <v>129</v>
      </c>
      <c r="O51" s="5">
        <v>854</v>
      </c>
      <c r="P51" s="5">
        <v>4.5999999999999996</v>
      </c>
      <c r="Q51" s="5" t="s">
        <v>237</v>
      </c>
      <c r="R51" s="5" t="s">
        <v>237</v>
      </c>
    </row>
    <row r="52" spans="1:18" ht="16.25" customHeight="1" x14ac:dyDescent="0.2">
      <c r="A52" s="5">
        <v>50</v>
      </c>
      <c r="B52" s="5" t="s">
        <v>241</v>
      </c>
      <c r="C52" s="5" t="s">
        <v>242</v>
      </c>
      <c r="D52" s="5" t="s">
        <v>89</v>
      </c>
      <c r="E52" s="5" t="s">
        <v>126</v>
      </c>
      <c r="F52" s="5" t="s">
        <v>58</v>
      </c>
      <c r="G52" s="5" t="s">
        <v>59</v>
      </c>
      <c r="H52" s="5" t="s">
        <v>52</v>
      </c>
      <c r="I52" s="5" t="s">
        <v>52</v>
      </c>
      <c r="J52" s="5" t="s">
        <v>52</v>
      </c>
      <c r="K52" s="5" t="s">
        <v>46</v>
      </c>
      <c r="L52" s="107">
        <v>259</v>
      </c>
      <c r="M52" s="107">
        <v>25592.959999999999</v>
      </c>
      <c r="N52" s="5">
        <v>99</v>
      </c>
      <c r="O52" s="5">
        <v>28</v>
      </c>
      <c r="P52" s="5">
        <v>4.7</v>
      </c>
      <c r="Q52" s="5" t="s">
        <v>243</v>
      </c>
      <c r="R52" s="5" t="s">
        <v>243</v>
      </c>
    </row>
    <row r="53" spans="1:18" x14ac:dyDescent="0.2">
      <c r="E53" s="6"/>
      <c r="F53" s="6"/>
      <c r="G53" s="6"/>
      <c r="H53" s="8"/>
      <c r="I53" s="8"/>
      <c r="K53" s="15"/>
    </row>
    <row r="54" spans="1:18" x14ac:dyDescent="0.2">
      <c r="E54" s="6"/>
      <c r="F54" s="6"/>
      <c r="G54" s="6"/>
      <c r="H54" s="8"/>
      <c r="I54" s="8"/>
    </row>
    <row r="55" spans="1:18" ht="26" x14ac:dyDescent="0.25">
      <c r="A55" s="115" t="s">
        <v>32</v>
      </c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4"/>
    </row>
    <row r="56" spans="1:18" ht="29" x14ac:dyDescent="0.2">
      <c r="A56" s="47" t="s">
        <v>25</v>
      </c>
      <c r="B56" s="48" t="s">
        <v>6</v>
      </c>
      <c r="C56" s="48" t="s">
        <v>7</v>
      </c>
      <c r="D56" s="48" t="s">
        <v>0</v>
      </c>
      <c r="E56" s="49" t="s">
        <v>35</v>
      </c>
      <c r="F56" s="49" t="s">
        <v>258</v>
      </c>
      <c r="G56" s="49" t="s">
        <v>259</v>
      </c>
      <c r="H56" s="49" t="s">
        <v>260</v>
      </c>
      <c r="I56" s="49" t="s">
        <v>261</v>
      </c>
      <c r="J56" s="49" t="s">
        <v>262</v>
      </c>
      <c r="K56" s="49" t="s">
        <v>45</v>
      </c>
      <c r="L56" s="50" t="s">
        <v>8</v>
      </c>
      <c r="M56" s="51" t="s">
        <v>17</v>
      </c>
      <c r="N56" s="52" t="s">
        <v>16</v>
      </c>
      <c r="O56" s="53" t="s">
        <v>9</v>
      </c>
      <c r="P56" s="53" t="s">
        <v>10</v>
      </c>
      <c r="Q56" s="103" t="s">
        <v>24</v>
      </c>
      <c r="R56" s="103" t="s">
        <v>11</v>
      </c>
    </row>
    <row r="57" spans="1:18" ht="18.25" customHeight="1" x14ac:dyDescent="0.2">
      <c r="A57" s="7">
        <v>1</v>
      </c>
      <c r="B57" s="5" t="s">
        <v>47</v>
      </c>
      <c r="C57" s="9" t="s">
        <v>48</v>
      </c>
      <c r="D57" s="10" t="s">
        <v>49</v>
      </c>
      <c r="E57" s="6" t="s">
        <v>36</v>
      </c>
      <c r="F57" s="6" t="s">
        <v>50</v>
      </c>
      <c r="G57" s="6" t="s">
        <v>51</v>
      </c>
      <c r="H57" s="6" t="s">
        <v>52</v>
      </c>
      <c r="I57" s="6" t="s">
        <v>52</v>
      </c>
      <c r="J57" s="6" t="s">
        <v>52</v>
      </c>
      <c r="K57" s="6" t="s">
        <v>53</v>
      </c>
      <c r="L57" s="6">
        <v>151.05000000000001</v>
      </c>
      <c r="M57" s="8">
        <v>737548.76</v>
      </c>
      <c r="N57" s="8">
        <v>3851</v>
      </c>
      <c r="O57" s="5">
        <v>289</v>
      </c>
      <c r="P57" s="5">
        <v>4.5</v>
      </c>
      <c r="Q57" s="21" t="s">
        <v>54</v>
      </c>
      <c r="R57" s="5" t="s">
        <v>54</v>
      </c>
    </row>
    <row r="58" spans="1:18" ht="18.25" customHeight="1" x14ac:dyDescent="0.2">
      <c r="A58" s="7">
        <v>2</v>
      </c>
      <c r="B58" s="5" t="s">
        <v>87</v>
      </c>
      <c r="C58" s="9" t="s">
        <v>88</v>
      </c>
      <c r="D58" s="10" t="s">
        <v>89</v>
      </c>
      <c r="E58" s="6" t="s">
        <v>36</v>
      </c>
      <c r="F58" s="6" t="s">
        <v>50</v>
      </c>
      <c r="G58" s="6" t="s">
        <v>51</v>
      </c>
      <c r="H58" s="6" t="s">
        <v>52</v>
      </c>
      <c r="I58" s="6" t="s">
        <v>52</v>
      </c>
      <c r="J58" s="6" t="s">
        <v>52</v>
      </c>
      <c r="K58" s="6" t="s">
        <v>53</v>
      </c>
      <c r="L58" s="6">
        <v>199.99</v>
      </c>
      <c r="M58" s="8">
        <v>191114.38</v>
      </c>
      <c r="N58" s="8">
        <v>1257</v>
      </c>
      <c r="O58" s="5">
        <v>250</v>
      </c>
      <c r="P58" s="5">
        <v>4.5</v>
      </c>
      <c r="Q58" s="21" t="s">
        <v>90</v>
      </c>
      <c r="R58" s="5" t="s">
        <v>90</v>
      </c>
    </row>
    <row r="59" spans="1:18" ht="18.25" customHeight="1" x14ac:dyDescent="0.2">
      <c r="A59" s="7">
        <v>3</v>
      </c>
      <c r="B59" s="5" t="s">
        <v>91</v>
      </c>
      <c r="C59" s="9" t="s">
        <v>92</v>
      </c>
      <c r="D59" s="10" t="s">
        <v>78</v>
      </c>
      <c r="E59" s="6" t="s">
        <v>36</v>
      </c>
      <c r="F59" s="6" t="s">
        <v>79</v>
      </c>
      <c r="G59" s="6" t="s">
        <v>51</v>
      </c>
      <c r="H59" s="6" t="s">
        <v>66</v>
      </c>
      <c r="I59" s="6" t="s">
        <v>52</v>
      </c>
      <c r="J59" s="6" t="s">
        <v>52</v>
      </c>
      <c r="K59" s="6" t="s">
        <v>53</v>
      </c>
      <c r="L59" s="6">
        <v>199.99</v>
      </c>
      <c r="M59" s="8">
        <v>190268.93</v>
      </c>
      <c r="N59" s="8">
        <v>946</v>
      </c>
      <c r="O59" s="5">
        <v>858</v>
      </c>
      <c r="P59" s="5">
        <v>4.5</v>
      </c>
      <c r="Q59" s="21" t="s">
        <v>93</v>
      </c>
      <c r="R59" s="5" t="s">
        <v>93</v>
      </c>
    </row>
    <row r="60" spans="1:18" ht="18.25" customHeight="1" x14ac:dyDescent="0.2">
      <c r="A60" s="7">
        <v>4</v>
      </c>
      <c r="B60" s="5" t="s">
        <v>116</v>
      </c>
      <c r="C60" s="9" t="s">
        <v>117</v>
      </c>
      <c r="D60" s="10" t="s">
        <v>118</v>
      </c>
      <c r="E60" s="6" t="s">
        <v>36</v>
      </c>
      <c r="F60" s="6" t="s">
        <v>79</v>
      </c>
      <c r="G60" s="6" t="s">
        <v>51</v>
      </c>
      <c r="H60" s="6" t="s">
        <v>52</v>
      </c>
      <c r="I60" s="6" t="s">
        <v>52</v>
      </c>
      <c r="J60" s="6" t="s">
        <v>52</v>
      </c>
      <c r="K60" s="6" t="s">
        <v>119</v>
      </c>
      <c r="L60" s="6">
        <v>139.99</v>
      </c>
      <c r="M60" s="8">
        <v>108269.05</v>
      </c>
      <c r="N60" s="8">
        <v>905</v>
      </c>
      <c r="O60" s="5">
        <v>45</v>
      </c>
      <c r="P60" s="5">
        <v>4.2</v>
      </c>
      <c r="Q60" s="21" t="s">
        <v>120</v>
      </c>
      <c r="R60" s="5" t="s">
        <v>120</v>
      </c>
    </row>
    <row r="61" spans="1:18" ht="18.25" customHeight="1" x14ac:dyDescent="0.2">
      <c r="A61" s="7">
        <v>5</v>
      </c>
      <c r="B61" s="5" t="s">
        <v>76</v>
      </c>
      <c r="C61" s="9" t="s">
        <v>77</v>
      </c>
      <c r="D61" s="10" t="s">
        <v>78</v>
      </c>
      <c r="E61" s="6" t="s">
        <v>37</v>
      </c>
      <c r="F61" s="6" t="s">
        <v>79</v>
      </c>
      <c r="G61" s="6" t="s">
        <v>51</v>
      </c>
      <c r="H61" s="6" t="s">
        <v>52</v>
      </c>
      <c r="I61" s="6" t="s">
        <v>52</v>
      </c>
      <c r="J61" s="6" t="s">
        <v>80</v>
      </c>
      <c r="K61" s="6" t="s">
        <v>68</v>
      </c>
      <c r="L61" s="6">
        <v>239.99</v>
      </c>
      <c r="M61" s="8">
        <v>205009.23</v>
      </c>
      <c r="N61" s="8">
        <v>888</v>
      </c>
      <c r="O61" s="5">
        <v>440</v>
      </c>
      <c r="P61" s="5">
        <v>4.5</v>
      </c>
      <c r="Q61" s="21" t="s">
        <v>81</v>
      </c>
      <c r="R61" s="5" t="s">
        <v>81</v>
      </c>
    </row>
    <row r="62" spans="1:18" ht="18.25" customHeight="1" x14ac:dyDescent="0.2">
      <c r="A62" s="7">
        <v>6</v>
      </c>
      <c r="B62" s="5" t="s">
        <v>55</v>
      </c>
      <c r="C62" s="9" t="s">
        <v>56</v>
      </c>
      <c r="D62" s="10" t="s">
        <v>49</v>
      </c>
      <c r="E62" s="6" t="s">
        <v>57</v>
      </c>
      <c r="F62" s="6" t="s">
        <v>58</v>
      </c>
      <c r="G62" s="6" t="s">
        <v>59</v>
      </c>
      <c r="H62" s="6" t="s">
        <v>52</v>
      </c>
      <c r="I62" s="6" t="s">
        <v>52</v>
      </c>
      <c r="J62" s="6" t="s">
        <v>52</v>
      </c>
      <c r="K62" s="6" t="s">
        <v>46</v>
      </c>
      <c r="L62" s="6">
        <v>236.55</v>
      </c>
      <c r="M62" s="8">
        <v>262427.92</v>
      </c>
      <c r="N62" s="8">
        <v>848</v>
      </c>
      <c r="O62" s="5">
        <v>102</v>
      </c>
      <c r="P62" s="5">
        <v>4.5999999999999996</v>
      </c>
      <c r="Q62" s="21" t="s">
        <v>60</v>
      </c>
      <c r="R62" s="5" t="s">
        <v>60</v>
      </c>
    </row>
    <row r="63" spans="1:18" ht="18.25" customHeight="1" x14ac:dyDescent="0.2">
      <c r="A63" s="7">
        <v>7</v>
      </c>
      <c r="B63" s="5" t="s">
        <v>99</v>
      </c>
      <c r="C63" s="9" t="s">
        <v>100</v>
      </c>
      <c r="D63" s="10" t="s">
        <v>78</v>
      </c>
      <c r="E63" s="6" t="s">
        <v>36</v>
      </c>
      <c r="F63" s="6" t="s">
        <v>79</v>
      </c>
      <c r="G63" s="6" t="s">
        <v>51</v>
      </c>
      <c r="H63" s="6" t="s">
        <v>66</v>
      </c>
      <c r="I63" s="6" t="s">
        <v>52</v>
      </c>
      <c r="J63" s="6" t="s">
        <v>80</v>
      </c>
      <c r="K63" s="6" t="s">
        <v>53</v>
      </c>
      <c r="L63" s="6">
        <v>219.99</v>
      </c>
      <c r="M63" s="8">
        <v>165444.09</v>
      </c>
      <c r="N63" s="8">
        <v>755</v>
      </c>
      <c r="O63" s="5">
        <v>858</v>
      </c>
      <c r="P63" s="5">
        <v>4.5</v>
      </c>
      <c r="Q63" s="21" t="s">
        <v>101</v>
      </c>
      <c r="R63" s="5" t="s">
        <v>101</v>
      </c>
    </row>
    <row r="64" spans="1:18" ht="18.25" customHeight="1" x14ac:dyDescent="0.2">
      <c r="A64" s="7">
        <v>8</v>
      </c>
      <c r="B64" s="5" t="s">
        <v>107</v>
      </c>
      <c r="C64" s="9" t="s">
        <v>108</v>
      </c>
      <c r="D64" s="10" t="s">
        <v>63</v>
      </c>
      <c r="E64" s="6" t="s">
        <v>104</v>
      </c>
      <c r="F64" s="6" t="s">
        <v>96</v>
      </c>
      <c r="G64" s="6" t="s">
        <v>109</v>
      </c>
      <c r="H64" s="6" t="s">
        <v>52</v>
      </c>
      <c r="I64" s="6" t="s">
        <v>52</v>
      </c>
      <c r="J64" s="6" t="s">
        <v>73</v>
      </c>
      <c r="K64" s="6" t="s">
        <v>46</v>
      </c>
      <c r="L64" s="6">
        <v>214</v>
      </c>
      <c r="M64" s="8">
        <v>140823.73000000001</v>
      </c>
      <c r="N64" s="8">
        <v>658</v>
      </c>
      <c r="O64" s="5">
        <v>6570</v>
      </c>
      <c r="P64" s="5">
        <v>4.0999999999999996</v>
      </c>
      <c r="Q64" s="21" t="s">
        <v>110</v>
      </c>
      <c r="R64" s="5" t="s">
        <v>110</v>
      </c>
    </row>
    <row r="65" spans="1:18" ht="18.25" customHeight="1" x14ac:dyDescent="0.2">
      <c r="A65" s="7">
        <v>9</v>
      </c>
      <c r="B65" s="5" t="s">
        <v>82</v>
      </c>
      <c r="C65" s="9" t="s">
        <v>83</v>
      </c>
      <c r="D65" s="10" t="s">
        <v>78</v>
      </c>
      <c r="E65" s="6" t="s">
        <v>36</v>
      </c>
      <c r="F65" s="6" t="s">
        <v>58</v>
      </c>
      <c r="G65" s="6" t="s">
        <v>84</v>
      </c>
      <c r="H65" s="6" t="s">
        <v>52</v>
      </c>
      <c r="I65" s="6" t="s">
        <v>52</v>
      </c>
      <c r="J65" s="6" t="s">
        <v>52</v>
      </c>
      <c r="K65" s="6" t="s">
        <v>85</v>
      </c>
      <c r="L65" s="6">
        <v>339</v>
      </c>
      <c r="M65" s="8">
        <v>200701.62</v>
      </c>
      <c r="N65" s="8">
        <v>603</v>
      </c>
      <c r="O65" s="5">
        <v>159</v>
      </c>
      <c r="P65" s="5">
        <v>4.8</v>
      </c>
      <c r="Q65" s="21" t="s">
        <v>86</v>
      </c>
      <c r="R65" s="5" t="s">
        <v>86</v>
      </c>
    </row>
    <row r="66" spans="1:18" ht="18.25" customHeight="1" x14ac:dyDescent="0.2">
      <c r="A66" s="7">
        <v>10</v>
      </c>
      <c r="B66" s="5" t="s">
        <v>70</v>
      </c>
      <c r="C66" s="9" t="s">
        <v>71</v>
      </c>
      <c r="D66" s="10" t="s">
        <v>72</v>
      </c>
      <c r="E66" s="6" t="s">
        <v>36</v>
      </c>
      <c r="F66" s="6" t="s">
        <v>58</v>
      </c>
      <c r="G66" s="6" t="s">
        <v>59</v>
      </c>
      <c r="H66" s="6" t="s">
        <v>66</v>
      </c>
      <c r="I66" s="6" t="s">
        <v>66</v>
      </c>
      <c r="J66" s="6" t="s">
        <v>73</v>
      </c>
      <c r="K66" s="6" t="s">
        <v>74</v>
      </c>
      <c r="L66" s="6">
        <v>359</v>
      </c>
      <c r="M66" s="8">
        <v>210210.68</v>
      </c>
      <c r="N66" s="8">
        <v>551</v>
      </c>
      <c r="O66" s="5">
        <v>92</v>
      </c>
      <c r="P66" s="5">
        <v>4.2</v>
      </c>
      <c r="Q66" s="21" t="s">
        <v>75</v>
      </c>
      <c r="R66" s="5" t="s">
        <v>75</v>
      </c>
    </row>
    <row r="67" spans="1:18" ht="18.25" customHeight="1" x14ac:dyDescent="0.2">
      <c r="A67" s="7">
        <v>11</v>
      </c>
      <c r="B67" s="5" t="s">
        <v>136</v>
      </c>
      <c r="C67" s="9" t="s">
        <v>137</v>
      </c>
      <c r="D67" s="10" t="s">
        <v>138</v>
      </c>
      <c r="E67" s="6" t="s">
        <v>36</v>
      </c>
      <c r="F67" s="6" t="s">
        <v>79</v>
      </c>
      <c r="G67" s="6" t="s">
        <v>51</v>
      </c>
      <c r="H67" s="6" t="s">
        <v>52</v>
      </c>
      <c r="I67" s="6" t="s">
        <v>52</v>
      </c>
      <c r="J67" s="6" t="s">
        <v>52</v>
      </c>
      <c r="K67" s="6" t="s">
        <v>114</v>
      </c>
      <c r="L67" s="6">
        <v>219.99</v>
      </c>
      <c r="M67" s="8">
        <v>86255.15</v>
      </c>
      <c r="N67" s="8">
        <v>535</v>
      </c>
      <c r="O67" s="5">
        <v>284</v>
      </c>
      <c r="P67" s="5">
        <v>4.3</v>
      </c>
      <c r="Q67" s="21" t="s">
        <v>139</v>
      </c>
      <c r="R67" s="5" t="s">
        <v>139</v>
      </c>
    </row>
    <row r="68" spans="1:18" ht="18.25" customHeight="1" x14ac:dyDescent="0.2">
      <c r="A68" s="7">
        <v>12</v>
      </c>
      <c r="B68" s="5" t="s">
        <v>156</v>
      </c>
      <c r="C68" s="9" t="s">
        <v>157</v>
      </c>
      <c r="D68" s="10" t="s">
        <v>72</v>
      </c>
      <c r="E68" s="6" t="s">
        <v>57</v>
      </c>
      <c r="F68" s="6" t="s">
        <v>64</v>
      </c>
      <c r="G68" s="6" t="s">
        <v>113</v>
      </c>
      <c r="H68" s="6" t="s">
        <v>52</v>
      </c>
      <c r="I68" s="6" t="s">
        <v>52</v>
      </c>
      <c r="J68" s="6" t="s">
        <v>52</v>
      </c>
      <c r="K68" s="6" t="s">
        <v>46</v>
      </c>
      <c r="L68" s="6">
        <v>139</v>
      </c>
      <c r="M68" s="8">
        <v>68826.84</v>
      </c>
      <c r="N68" s="8">
        <v>495</v>
      </c>
      <c r="O68" s="5">
        <v>27</v>
      </c>
      <c r="P68" s="5">
        <v>4.3</v>
      </c>
      <c r="Q68" s="21" t="s">
        <v>158</v>
      </c>
      <c r="R68" s="5" t="s">
        <v>158</v>
      </c>
    </row>
    <row r="69" spans="1:18" ht="18.25" customHeight="1" x14ac:dyDescent="0.2">
      <c r="A69" s="7">
        <v>13</v>
      </c>
      <c r="B69" s="5" t="s">
        <v>159</v>
      </c>
      <c r="C69" s="9" t="s">
        <v>160</v>
      </c>
      <c r="D69" s="10" t="s">
        <v>72</v>
      </c>
      <c r="E69" s="6" t="s">
        <v>57</v>
      </c>
      <c r="F69" s="6" t="s">
        <v>64</v>
      </c>
      <c r="G69" s="6" t="s">
        <v>113</v>
      </c>
      <c r="H69" s="6" t="s">
        <v>52</v>
      </c>
      <c r="I69" s="6" t="s">
        <v>52</v>
      </c>
      <c r="J69" s="6" t="s">
        <v>52</v>
      </c>
      <c r="K69" s="6" t="s">
        <v>46</v>
      </c>
      <c r="L69" s="6">
        <v>139</v>
      </c>
      <c r="M69" s="8">
        <v>68045.77</v>
      </c>
      <c r="N69" s="8">
        <v>488</v>
      </c>
      <c r="O69" s="5">
        <v>52</v>
      </c>
      <c r="P69" s="5">
        <v>4.4000000000000004</v>
      </c>
      <c r="Q69" s="21" t="s">
        <v>161</v>
      </c>
      <c r="R69" s="5" t="s">
        <v>161</v>
      </c>
    </row>
    <row r="70" spans="1:18" ht="18.25" customHeight="1" x14ac:dyDescent="0.2">
      <c r="A70" s="7">
        <v>14</v>
      </c>
      <c r="B70" s="5" t="s">
        <v>94</v>
      </c>
      <c r="C70" s="9" t="s">
        <v>95</v>
      </c>
      <c r="D70" s="10" t="s">
        <v>63</v>
      </c>
      <c r="E70" s="6" t="s">
        <v>36</v>
      </c>
      <c r="F70" s="6" t="s">
        <v>96</v>
      </c>
      <c r="G70" s="6" t="s">
        <v>64</v>
      </c>
      <c r="H70" s="6" t="s">
        <v>66</v>
      </c>
      <c r="I70" s="6" t="s">
        <v>97</v>
      </c>
      <c r="J70" s="6" t="s">
        <v>73</v>
      </c>
      <c r="K70" s="6" t="s">
        <v>53</v>
      </c>
      <c r="L70" s="6">
        <v>358.95</v>
      </c>
      <c r="M70" s="8">
        <v>170830.16</v>
      </c>
      <c r="N70" s="8">
        <v>480</v>
      </c>
      <c r="O70" s="5">
        <v>1408</v>
      </c>
      <c r="P70" s="5">
        <v>4.3</v>
      </c>
      <c r="Q70" s="21" t="s">
        <v>98</v>
      </c>
      <c r="R70" s="5" t="s">
        <v>98</v>
      </c>
    </row>
    <row r="71" spans="1:18" ht="18.25" customHeight="1" x14ac:dyDescent="0.2">
      <c r="A71" s="7">
        <v>15</v>
      </c>
      <c r="B71" s="5" t="s">
        <v>140</v>
      </c>
      <c r="C71" s="9" t="s">
        <v>141</v>
      </c>
      <c r="D71" s="10" t="s">
        <v>63</v>
      </c>
      <c r="E71" s="6" t="s">
        <v>126</v>
      </c>
      <c r="F71" s="6" t="s">
        <v>96</v>
      </c>
      <c r="G71" s="6" t="s">
        <v>109</v>
      </c>
      <c r="H71" s="6" t="s">
        <v>52</v>
      </c>
      <c r="I71" s="6" t="s">
        <v>52</v>
      </c>
      <c r="J71" s="6" t="s">
        <v>73</v>
      </c>
      <c r="K71" s="6" t="s">
        <v>46</v>
      </c>
      <c r="L71" s="6">
        <v>199</v>
      </c>
      <c r="M71" s="8">
        <v>83796.350000000006</v>
      </c>
      <c r="N71" s="8">
        <v>405</v>
      </c>
      <c r="O71" s="5">
        <v>6554</v>
      </c>
      <c r="P71" s="5">
        <v>4.0999999999999996</v>
      </c>
      <c r="Q71" s="21" t="s">
        <v>142</v>
      </c>
      <c r="R71" s="5" t="s">
        <v>142</v>
      </c>
    </row>
    <row r="72" spans="1:18" ht="18.25" customHeight="1" x14ac:dyDescent="0.2">
      <c r="A72" s="7">
        <v>16</v>
      </c>
      <c r="B72" s="5" t="s">
        <v>111</v>
      </c>
      <c r="C72" s="9" t="s">
        <v>112</v>
      </c>
      <c r="D72" s="10" t="s">
        <v>49</v>
      </c>
      <c r="E72" s="6" t="s">
        <v>36</v>
      </c>
      <c r="F72" s="6" t="s">
        <v>58</v>
      </c>
      <c r="G72" s="6" t="s">
        <v>113</v>
      </c>
      <c r="H72" s="6" t="s">
        <v>52</v>
      </c>
      <c r="I72" s="6" t="s">
        <v>52</v>
      </c>
      <c r="J72" s="6" t="s">
        <v>52</v>
      </c>
      <c r="K72" s="6" t="s">
        <v>114</v>
      </c>
      <c r="L72" s="6">
        <v>369</v>
      </c>
      <c r="M72" s="8">
        <v>130846.78</v>
      </c>
      <c r="N72" s="8">
        <v>395</v>
      </c>
      <c r="O72" s="5">
        <v>854</v>
      </c>
      <c r="P72" s="5">
        <v>4.5999999999999996</v>
      </c>
      <c r="Q72" s="21" t="s">
        <v>115</v>
      </c>
      <c r="R72" s="5" t="s">
        <v>115</v>
      </c>
    </row>
    <row r="73" spans="1:18" ht="18.25" customHeight="1" x14ac:dyDescent="0.2">
      <c r="A73" s="7">
        <v>17</v>
      </c>
      <c r="B73" s="5" t="s">
        <v>61</v>
      </c>
      <c r="C73" s="9" t="s">
        <v>62</v>
      </c>
      <c r="D73" s="10" t="s">
        <v>63</v>
      </c>
      <c r="E73" s="6" t="s">
        <v>37</v>
      </c>
      <c r="F73" s="6" t="s">
        <v>64</v>
      </c>
      <c r="G73" s="6" t="s">
        <v>65</v>
      </c>
      <c r="H73" s="6" t="s">
        <v>52</v>
      </c>
      <c r="I73" s="6" t="s">
        <v>66</v>
      </c>
      <c r="J73" s="6" t="s">
        <v>67</v>
      </c>
      <c r="K73" s="6" t="s">
        <v>68</v>
      </c>
      <c r="L73" s="6">
        <v>599</v>
      </c>
      <c r="M73" s="8">
        <v>211337.49</v>
      </c>
      <c r="N73" s="8">
        <v>353</v>
      </c>
      <c r="O73" s="5">
        <v>1256</v>
      </c>
      <c r="P73" s="5">
        <v>4.3</v>
      </c>
      <c r="Q73" s="21" t="s">
        <v>69</v>
      </c>
      <c r="R73" s="5" t="s">
        <v>69</v>
      </c>
    </row>
    <row r="74" spans="1:18" ht="18.25" customHeight="1" x14ac:dyDescent="0.2">
      <c r="A74" s="7">
        <v>18</v>
      </c>
      <c r="B74" s="5" t="s">
        <v>124</v>
      </c>
      <c r="C74" s="9" t="s">
        <v>125</v>
      </c>
      <c r="D74" s="10" t="s">
        <v>49</v>
      </c>
      <c r="E74" s="6" t="s">
        <v>126</v>
      </c>
      <c r="F74" s="6" t="s">
        <v>58</v>
      </c>
      <c r="G74" s="6" t="s">
        <v>59</v>
      </c>
      <c r="H74" s="6" t="s">
        <v>52</v>
      </c>
      <c r="I74" s="6" t="s">
        <v>52</v>
      </c>
      <c r="J74" s="6" t="s">
        <v>52</v>
      </c>
      <c r="K74" s="6" t="s">
        <v>46</v>
      </c>
      <c r="L74" s="6">
        <v>298.99</v>
      </c>
      <c r="M74" s="8">
        <v>99565.65</v>
      </c>
      <c r="N74" s="8">
        <v>333</v>
      </c>
      <c r="O74" s="5">
        <v>1350</v>
      </c>
      <c r="P74" s="5">
        <v>4.5999999999999996</v>
      </c>
      <c r="Q74" s="21" t="s">
        <v>127</v>
      </c>
      <c r="R74" s="5" t="s">
        <v>127</v>
      </c>
    </row>
    <row r="75" spans="1:18" ht="18.25" customHeight="1" x14ac:dyDescent="0.2">
      <c r="A75" s="7">
        <v>19</v>
      </c>
      <c r="B75" s="5" t="s">
        <v>102</v>
      </c>
      <c r="C75" s="9" t="s">
        <v>103</v>
      </c>
      <c r="D75" s="10" t="s">
        <v>63</v>
      </c>
      <c r="E75" s="6" t="s">
        <v>104</v>
      </c>
      <c r="F75" s="6" t="s">
        <v>64</v>
      </c>
      <c r="G75" s="6" t="s">
        <v>105</v>
      </c>
      <c r="H75" s="6" t="s">
        <v>52</v>
      </c>
      <c r="I75" s="6" t="s">
        <v>52</v>
      </c>
      <c r="J75" s="6" t="s">
        <v>73</v>
      </c>
      <c r="K75" s="6" t="s">
        <v>46</v>
      </c>
      <c r="L75" s="6">
        <v>429</v>
      </c>
      <c r="M75" s="8">
        <v>140843.97</v>
      </c>
      <c r="N75" s="8">
        <v>328</v>
      </c>
      <c r="O75" s="5">
        <v>3629</v>
      </c>
      <c r="P75" s="5">
        <v>4.3</v>
      </c>
      <c r="Q75" s="21" t="s">
        <v>106</v>
      </c>
      <c r="R75" s="5" t="s">
        <v>106</v>
      </c>
    </row>
    <row r="76" spans="1:18" ht="18.25" customHeight="1" x14ac:dyDescent="0.2">
      <c r="A76" s="7">
        <v>20</v>
      </c>
      <c r="B76" s="5" t="s">
        <v>132</v>
      </c>
      <c r="C76" s="9" t="s">
        <v>133</v>
      </c>
      <c r="D76" s="10" t="s">
        <v>49</v>
      </c>
      <c r="E76" s="6" t="s">
        <v>134</v>
      </c>
      <c r="F76" s="6" t="s">
        <v>58</v>
      </c>
      <c r="G76" s="6" t="s">
        <v>59</v>
      </c>
      <c r="H76" s="6" t="s">
        <v>52</v>
      </c>
      <c r="I76" s="6" t="s">
        <v>52</v>
      </c>
      <c r="J76" s="6" t="s">
        <v>52</v>
      </c>
      <c r="K76" s="6" t="s">
        <v>46</v>
      </c>
      <c r="L76" s="6">
        <v>299</v>
      </c>
      <c r="M76" s="8">
        <v>89416.44</v>
      </c>
      <c r="N76" s="8">
        <v>310</v>
      </c>
      <c r="O76" s="5">
        <v>715</v>
      </c>
      <c r="P76" s="5">
        <v>4.5999999999999996</v>
      </c>
      <c r="Q76" s="21" t="s">
        <v>135</v>
      </c>
      <c r="R76" s="5" t="s">
        <v>135</v>
      </c>
    </row>
    <row r="77" spans="1:18" ht="18.25" customHeight="1" x14ac:dyDescent="0.2">
      <c r="A77" s="7">
        <v>21</v>
      </c>
      <c r="B77" s="5" t="s">
        <v>171</v>
      </c>
      <c r="C77" s="9" t="s">
        <v>172</v>
      </c>
      <c r="D77" s="10" t="s">
        <v>63</v>
      </c>
      <c r="E77" s="6" t="s">
        <v>148</v>
      </c>
      <c r="F77" s="6" t="s">
        <v>96</v>
      </c>
      <c r="G77" s="6" t="s">
        <v>109</v>
      </c>
      <c r="H77" s="6" t="s">
        <v>52</v>
      </c>
      <c r="I77" s="6" t="s">
        <v>52</v>
      </c>
      <c r="J77" s="6" t="s">
        <v>73</v>
      </c>
      <c r="K77" s="6" t="s">
        <v>46</v>
      </c>
      <c r="L77" s="6">
        <v>179.99</v>
      </c>
      <c r="M77" s="8">
        <v>53482.02</v>
      </c>
      <c r="N77" s="8">
        <v>282</v>
      </c>
      <c r="O77" s="5">
        <v>6567</v>
      </c>
      <c r="P77" s="5">
        <v>4.0999999999999996</v>
      </c>
      <c r="Q77" s="21" t="s">
        <v>173</v>
      </c>
      <c r="R77" s="5" t="s">
        <v>173</v>
      </c>
    </row>
    <row r="78" spans="1:18" ht="18.25" customHeight="1" x14ac:dyDescent="0.2">
      <c r="A78" s="7">
        <v>22</v>
      </c>
      <c r="B78" s="5" t="s">
        <v>146</v>
      </c>
      <c r="C78" s="9" t="s">
        <v>147</v>
      </c>
      <c r="D78" s="10" t="s">
        <v>49</v>
      </c>
      <c r="E78" s="6" t="s">
        <v>148</v>
      </c>
      <c r="F78" s="6" t="s">
        <v>58</v>
      </c>
      <c r="G78" s="6" t="s">
        <v>59</v>
      </c>
      <c r="H78" s="6" t="s">
        <v>52</v>
      </c>
      <c r="I78" s="6" t="s">
        <v>52</v>
      </c>
      <c r="J78" s="6" t="s">
        <v>52</v>
      </c>
      <c r="K78" s="6" t="s">
        <v>46</v>
      </c>
      <c r="L78" s="6">
        <v>299</v>
      </c>
      <c r="M78" s="8">
        <v>76565.86</v>
      </c>
      <c r="N78" s="8">
        <v>268</v>
      </c>
      <c r="O78" s="5">
        <v>715</v>
      </c>
      <c r="P78" s="5">
        <v>4.5999999999999996</v>
      </c>
      <c r="Q78" s="21" t="s">
        <v>149</v>
      </c>
      <c r="R78" s="5" t="s">
        <v>149</v>
      </c>
    </row>
    <row r="79" spans="1:18" ht="18.25" customHeight="1" x14ac:dyDescent="0.2">
      <c r="A79" s="7">
        <v>23</v>
      </c>
      <c r="B79" s="5" t="s">
        <v>216</v>
      </c>
      <c r="C79" s="9" t="s">
        <v>217</v>
      </c>
      <c r="D79" s="10" t="s">
        <v>200</v>
      </c>
      <c r="E79" s="6" t="s">
        <v>57</v>
      </c>
      <c r="F79" s="6" t="s">
        <v>79</v>
      </c>
      <c r="G79" s="6" t="s">
        <v>218</v>
      </c>
      <c r="H79" s="6" t="s">
        <v>52</v>
      </c>
      <c r="I79" s="6" t="s">
        <v>52</v>
      </c>
      <c r="J79" s="6" t="s">
        <v>52</v>
      </c>
      <c r="K79" s="6" t="s">
        <v>46</v>
      </c>
      <c r="L79" s="6">
        <v>109</v>
      </c>
      <c r="M79" s="8">
        <v>26950.23</v>
      </c>
      <c r="N79" s="8">
        <v>247</v>
      </c>
      <c r="O79" s="5">
        <v>323</v>
      </c>
      <c r="P79" s="5">
        <v>4</v>
      </c>
      <c r="Q79" s="21" t="s">
        <v>219</v>
      </c>
      <c r="R79" s="5" t="s">
        <v>219</v>
      </c>
    </row>
    <row r="80" spans="1:18" ht="18.25" customHeight="1" x14ac:dyDescent="0.2">
      <c r="A80" s="7">
        <v>24</v>
      </c>
      <c r="B80" s="5" t="s">
        <v>220</v>
      </c>
      <c r="C80" s="9" t="s">
        <v>221</v>
      </c>
      <c r="D80" s="10" t="s">
        <v>222</v>
      </c>
      <c r="E80" s="6" t="s">
        <v>36</v>
      </c>
      <c r="F80" s="6" t="s">
        <v>79</v>
      </c>
      <c r="G80" s="6" t="s">
        <v>51</v>
      </c>
      <c r="H80" s="6" t="s">
        <v>52</v>
      </c>
      <c r="I80" s="6" t="s">
        <v>52</v>
      </c>
      <c r="J80" s="6" t="s">
        <v>52</v>
      </c>
      <c r="K80" s="6" t="s">
        <v>53</v>
      </c>
      <c r="L80" s="6">
        <v>109.99</v>
      </c>
      <c r="M80" s="8">
        <v>26121.360000000001</v>
      </c>
      <c r="N80" s="8">
        <v>237</v>
      </c>
      <c r="O80" s="5">
        <v>51</v>
      </c>
      <c r="P80" s="5">
        <v>4.2</v>
      </c>
      <c r="Q80" s="21" t="s">
        <v>223</v>
      </c>
      <c r="R80" s="5" t="s">
        <v>223</v>
      </c>
    </row>
    <row r="81" spans="1:18" ht="18.25" customHeight="1" x14ac:dyDescent="0.2">
      <c r="A81" s="7">
        <v>25</v>
      </c>
      <c r="B81" s="5" t="s">
        <v>162</v>
      </c>
      <c r="C81" s="9" t="s">
        <v>163</v>
      </c>
      <c r="D81" s="10" t="s">
        <v>72</v>
      </c>
      <c r="E81" s="6" t="s">
        <v>57</v>
      </c>
      <c r="F81" s="6" t="s">
        <v>58</v>
      </c>
      <c r="G81" s="6" t="s">
        <v>59</v>
      </c>
      <c r="H81" s="6" t="s">
        <v>52</v>
      </c>
      <c r="I81" s="6" t="s">
        <v>52</v>
      </c>
      <c r="J81" s="6" t="s">
        <v>52</v>
      </c>
      <c r="K81" s="6" t="s">
        <v>46</v>
      </c>
      <c r="L81" s="6">
        <v>349</v>
      </c>
      <c r="M81" s="8">
        <v>65550.47</v>
      </c>
      <c r="N81" s="8">
        <v>226</v>
      </c>
      <c r="O81" s="5">
        <v>56</v>
      </c>
      <c r="P81" s="5">
        <v>4.2</v>
      </c>
      <c r="Q81" s="21" t="s">
        <v>164</v>
      </c>
      <c r="R81" s="5" t="s">
        <v>164</v>
      </c>
    </row>
    <row r="82" spans="1:18" ht="18.25" customHeight="1" x14ac:dyDescent="0.2">
      <c r="A82" s="7">
        <v>26</v>
      </c>
      <c r="B82" s="5" t="s">
        <v>121</v>
      </c>
      <c r="C82" s="9" t="s">
        <v>122</v>
      </c>
      <c r="D82" s="10" t="s">
        <v>63</v>
      </c>
      <c r="E82" s="6" t="s">
        <v>38</v>
      </c>
      <c r="F82" s="6" t="s">
        <v>64</v>
      </c>
      <c r="G82" s="6" t="s">
        <v>105</v>
      </c>
      <c r="H82" s="6" t="s">
        <v>52</v>
      </c>
      <c r="I82" s="6" t="s">
        <v>66</v>
      </c>
      <c r="J82" s="6" t="s">
        <v>80</v>
      </c>
      <c r="K82" s="6" t="s">
        <v>46</v>
      </c>
      <c r="L82" s="6">
        <v>419</v>
      </c>
      <c r="M82" s="8">
        <v>104366.28</v>
      </c>
      <c r="N82" s="8">
        <v>201</v>
      </c>
      <c r="O82" s="5">
        <v>359</v>
      </c>
      <c r="P82" s="5">
        <v>4.0999999999999996</v>
      </c>
      <c r="Q82" s="21" t="s">
        <v>123</v>
      </c>
      <c r="R82" s="5" t="s">
        <v>123</v>
      </c>
    </row>
    <row r="83" spans="1:18" ht="18.25" customHeight="1" x14ac:dyDescent="0.2">
      <c r="A83" s="7">
        <v>27</v>
      </c>
      <c r="B83" s="5" t="s">
        <v>143</v>
      </c>
      <c r="C83" s="9" t="s">
        <v>144</v>
      </c>
      <c r="D83" s="10" t="s">
        <v>49</v>
      </c>
      <c r="E83" s="6" t="s">
        <v>36</v>
      </c>
      <c r="F83" s="6" t="s">
        <v>58</v>
      </c>
      <c r="G83" s="6" t="s">
        <v>65</v>
      </c>
      <c r="H83" s="6" t="s">
        <v>52</v>
      </c>
      <c r="I83" s="6" t="s">
        <v>52</v>
      </c>
      <c r="J83" s="6" t="s">
        <v>73</v>
      </c>
      <c r="K83" s="6" t="s">
        <v>114</v>
      </c>
      <c r="L83" s="6">
        <v>469.99</v>
      </c>
      <c r="M83" s="8">
        <v>83529.070000000007</v>
      </c>
      <c r="N83" s="8">
        <v>200</v>
      </c>
      <c r="O83" s="5">
        <v>244</v>
      </c>
      <c r="P83" s="5">
        <v>4.5999999999999996</v>
      </c>
      <c r="Q83" s="21" t="s">
        <v>145</v>
      </c>
      <c r="R83" s="5" t="s">
        <v>145</v>
      </c>
    </row>
    <row r="84" spans="1:18" ht="18.25" customHeight="1" x14ac:dyDescent="0.2">
      <c r="A84" s="7">
        <v>28</v>
      </c>
      <c r="B84" s="5" t="s">
        <v>224</v>
      </c>
      <c r="C84" s="9" t="s">
        <v>225</v>
      </c>
      <c r="D84" s="10" t="s">
        <v>222</v>
      </c>
      <c r="E84" s="6" t="s">
        <v>36</v>
      </c>
      <c r="F84" s="6" t="s">
        <v>79</v>
      </c>
      <c r="G84" s="6" t="s">
        <v>51</v>
      </c>
      <c r="H84" s="6" t="s">
        <v>52</v>
      </c>
      <c r="I84" s="6" t="s">
        <v>52</v>
      </c>
      <c r="J84" s="6" t="s">
        <v>52</v>
      </c>
      <c r="K84" s="6" t="s">
        <v>53</v>
      </c>
      <c r="L84" s="6">
        <v>119.99</v>
      </c>
      <c r="M84" s="8">
        <v>25830.97</v>
      </c>
      <c r="N84" s="8">
        <v>200</v>
      </c>
      <c r="O84" s="5">
        <v>51</v>
      </c>
      <c r="P84" s="5">
        <v>4.2</v>
      </c>
      <c r="Q84" s="21" t="s">
        <v>226</v>
      </c>
      <c r="R84" s="5" t="s">
        <v>226</v>
      </c>
    </row>
    <row r="85" spans="1:18" ht="18.25" customHeight="1" x14ac:dyDescent="0.2">
      <c r="A85" s="7">
        <v>29</v>
      </c>
      <c r="B85" s="5" t="s">
        <v>128</v>
      </c>
      <c r="C85" s="9" t="s">
        <v>129</v>
      </c>
      <c r="D85" s="10" t="s">
        <v>63</v>
      </c>
      <c r="E85" s="6" t="s">
        <v>37</v>
      </c>
      <c r="F85" s="6" t="s">
        <v>130</v>
      </c>
      <c r="G85" s="6" t="s">
        <v>65</v>
      </c>
      <c r="H85" s="6" t="s">
        <v>52</v>
      </c>
      <c r="I85" s="6" t="s">
        <v>66</v>
      </c>
      <c r="J85" s="6" t="s">
        <v>67</v>
      </c>
      <c r="K85" s="6" t="s">
        <v>68</v>
      </c>
      <c r="L85" s="6">
        <v>480</v>
      </c>
      <c r="M85" s="8">
        <v>91091.7</v>
      </c>
      <c r="N85" s="8">
        <v>190</v>
      </c>
      <c r="O85" s="5">
        <v>1256</v>
      </c>
      <c r="P85" s="5">
        <v>4.3</v>
      </c>
      <c r="Q85" s="21" t="s">
        <v>131</v>
      </c>
      <c r="R85" s="5" t="s">
        <v>131</v>
      </c>
    </row>
    <row r="86" spans="1:18" ht="18.25" customHeight="1" x14ac:dyDescent="0.2">
      <c r="A86" s="7">
        <v>30</v>
      </c>
      <c r="B86" s="5" t="s">
        <v>168</v>
      </c>
      <c r="C86" s="9" t="s">
        <v>169</v>
      </c>
      <c r="D86" s="10" t="s">
        <v>63</v>
      </c>
      <c r="E86" s="6" t="s">
        <v>38</v>
      </c>
      <c r="F86" s="6" t="s">
        <v>96</v>
      </c>
      <c r="G86" s="6" t="s">
        <v>109</v>
      </c>
      <c r="H86" s="6" t="s">
        <v>52</v>
      </c>
      <c r="I86" s="6" t="s">
        <v>66</v>
      </c>
      <c r="J86" s="6" t="s">
        <v>80</v>
      </c>
      <c r="K86" s="6" t="s">
        <v>46</v>
      </c>
      <c r="L86" s="6">
        <v>249</v>
      </c>
      <c r="M86" s="8">
        <v>57851.61</v>
      </c>
      <c r="N86" s="8">
        <v>185</v>
      </c>
      <c r="O86" s="5">
        <v>360</v>
      </c>
      <c r="P86" s="5">
        <v>4.0999999999999996</v>
      </c>
      <c r="Q86" s="21" t="s">
        <v>170</v>
      </c>
      <c r="R86" s="5" t="s">
        <v>170</v>
      </c>
    </row>
    <row r="87" spans="1:18" ht="18.25" customHeight="1" x14ac:dyDescent="0.2">
      <c r="A87" s="7">
        <v>31</v>
      </c>
      <c r="B87" s="5" t="s">
        <v>165</v>
      </c>
      <c r="C87" s="9" t="s">
        <v>166</v>
      </c>
      <c r="D87" s="10" t="s">
        <v>72</v>
      </c>
      <c r="E87" s="6" t="s">
        <v>36</v>
      </c>
      <c r="F87" s="6" t="s">
        <v>58</v>
      </c>
      <c r="G87" s="6" t="s">
        <v>59</v>
      </c>
      <c r="H87" s="6" t="s">
        <v>52</v>
      </c>
      <c r="I87" s="6" t="s">
        <v>66</v>
      </c>
      <c r="J87" s="6" t="s">
        <v>73</v>
      </c>
      <c r="K87" s="6" t="s">
        <v>74</v>
      </c>
      <c r="L87" s="6">
        <v>359</v>
      </c>
      <c r="M87" s="8">
        <v>57974.33</v>
      </c>
      <c r="N87" s="8">
        <v>151</v>
      </c>
      <c r="O87" s="5">
        <v>21</v>
      </c>
      <c r="P87" s="5">
        <v>4.4000000000000004</v>
      </c>
      <c r="Q87" s="21" t="s">
        <v>167</v>
      </c>
      <c r="R87" s="5" t="s">
        <v>167</v>
      </c>
    </row>
    <row r="88" spans="1:18" ht="18.25" customHeight="1" x14ac:dyDescent="0.2">
      <c r="A88" s="7">
        <v>32</v>
      </c>
      <c r="B88" s="5" t="s">
        <v>153</v>
      </c>
      <c r="C88" s="9" t="s">
        <v>154</v>
      </c>
      <c r="D88" s="10" t="s">
        <v>63</v>
      </c>
      <c r="E88" s="6" t="s">
        <v>36</v>
      </c>
      <c r="F88" s="6" t="s">
        <v>64</v>
      </c>
      <c r="G88" s="6" t="s">
        <v>65</v>
      </c>
      <c r="H88" s="6" t="s">
        <v>66</v>
      </c>
      <c r="I88" s="6" t="s">
        <v>97</v>
      </c>
      <c r="J88" s="6" t="s">
        <v>52</v>
      </c>
      <c r="K88" s="6" t="s">
        <v>53</v>
      </c>
      <c r="L88" s="6">
        <v>369</v>
      </c>
      <c r="M88" s="8">
        <v>71965.17</v>
      </c>
      <c r="N88" s="8">
        <v>148</v>
      </c>
      <c r="O88" s="5">
        <v>1407</v>
      </c>
      <c r="P88" s="5">
        <v>4.3</v>
      </c>
      <c r="Q88" s="21" t="s">
        <v>155</v>
      </c>
      <c r="R88" s="5" t="s">
        <v>155</v>
      </c>
    </row>
    <row r="89" spans="1:18" ht="18.25" customHeight="1" x14ac:dyDescent="0.2">
      <c r="A89" s="7">
        <v>33</v>
      </c>
      <c r="B89" s="5" t="s">
        <v>174</v>
      </c>
      <c r="C89" s="9" t="s">
        <v>175</v>
      </c>
      <c r="D89" s="10" t="s">
        <v>176</v>
      </c>
      <c r="E89" s="6" t="s">
        <v>37</v>
      </c>
      <c r="F89" s="6" t="s">
        <v>64</v>
      </c>
      <c r="G89" s="6" t="s">
        <v>65</v>
      </c>
      <c r="H89" s="6" t="s">
        <v>52</v>
      </c>
      <c r="I89" s="6" t="s">
        <v>52</v>
      </c>
      <c r="J89" s="6" t="s">
        <v>52</v>
      </c>
      <c r="K89" s="6" t="s">
        <v>53</v>
      </c>
      <c r="L89" s="6">
        <v>301.61</v>
      </c>
      <c r="M89" s="8">
        <v>45754.82</v>
      </c>
      <c r="N89" s="8">
        <v>143</v>
      </c>
      <c r="O89" s="5">
        <v>913</v>
      </c>
      <c r="P89" s="5">
        <v>4.4000000000000004</v>
      </c>
      <c r="Q89" s="21" t="s">
        <v>177</v>
      </c>
      <c r="R89" s="5" t="s">
        <v>177</v>
      </c>
    </row>
    <row r="90" spans="1:18" ht="18.25" customHeight="1" x14ac:dyDescent="0.2">
      <c r="A90" s="7">
        <v>34</v>
      </c>
      <c r="B90" s="5" t="s">
        <v>227</v>
      </c>
      <c r="C90" s="9" t="s">
        <v>228</v>
      </c>
      <c r="D90" s="10" t="s">
        <v>34</v>
      </c>
      <c r="E90" s="6" t="s">
        <v>36</v>
      </c>
      <c r="F90" s="6" t="s">
        <v>196</v>
      </c>
      <c r="G90" s="6" t="s">
        <v>109</v>
      </c>
      <c r="H90" s="6" t="s">
        <v>66</v>
      </c>
      <c r="I90" s="6" t="s">
        <v>52</v>
      </c>
      <c r="J90" s="6" t="s">
        <v>204</v>
      </c>
      <c r="K90" s="6" t="s">
        <v>85</v>
      </c>
      <c r="L90" s="6">
        <v>175.99</v>
      </c>
      <c r="M90" s="8">
        <v>20720.830000000002</v>
      </c>
      <c r="N90" s="8">
        <v>142</v>
      </c>
      <c r="O90" s="5">
        <v>114</v>
      </c>
      <c r="P90" s="5">
        <v>4.3</v>
      </c>
      <c r="Q90" s="21" t="s">
        <v>229</v>
      </c>
      <c r="R90" s="5" t="s">
        <v>229</v>
      </c>
    </row>
    <row r="91" spans="1:18" ht="18.25" customHeight="1" x14ac:dyDescent="0.2">
      <c r="A91" s="7">
        <v>35</v>
      </c>
      <c r="B91" s="5" t="s">
        <v>230</v>
      </c>
      <c r="C91" s="9" t="s">
        <v>231</v>
      </c>
      <c r="D91" s="10" t="s">
        <v>232</v>
      </c>
      <c r="E91" s="6" t="s">
        <v>233</v>
      </c>
      <c r="F91" s="6" t="s">
        <v>65</v>
      </c>
      <c r="G91" s="6" t="s">
        <v>65</v>
      </c>
      <c r="H91" s="6" t="s">
        <v>65</v>
      </c>
      <c r="I91" s="6" t="s">
        <v>65</v>
      </c>
      <c r="J91" s="6" t="s">
        <v>65</v>
      </c>
      <c r="K91" s="6" t="s">
        <v>46</v>
      </c>
      <c r="L91" s="6">
        <v>15.99</v>
      </c>
      <c r="M91" s="8">
        <v>2141.63</v>
      </c>
      <c r="N91" s="8">
        <v>134</v>
      </c>
      <c r="O91" s="5">
        <v>908</v>
      </c>
      <c r="P91" s="5">
        <v>4.5999999999999996</v>
      </c>
      <c r="Q91" s="21" t="s">
        <v>234</v>
      </c>
      <c r="R91" s="5" t="s">
        <v>234</v>
      </c>
    </row>
    <row r="92" spans="1:18" ht="18.25" customHeight="1" x14ac:dyDescent="0.2">
      <c r="A92" s="7">
        <v>36</v>
      </c>
      <c r="B92" s="5" t="s">
        <v>235</v>
      </c>
      <c r="C92" s="9" t="s">
        <v>236</v>
      </c>
      <c r="D92" s="10" t="s">
        <v>49</v>
      </c>
      <c r="E92" s="6" t="s">
        <v>36</v>
      </c>
      <c r="F92" s="6" t="s">
        <v>64</v>
      </c>
      <c r="G92" s="6" t="s">
        <v>109</v>
      </c>
      <c r="H92" s="6" t="s">
        <v>52</v>
      </c>
      <c r="I92" s="6" t="s">
        <v>52</v>
      </c>
      <c r="J92" s="6" t="s">
        <v>52</v>
      </c>
      <c r="K92" s="6" t="s">
        <v>114</v>
      </c>
      <c r="L92" s="6">
        <v>199</v>
      </c>
      <c r="M92" s="8">
        <v>25653.19</v>
      </c>
      <c r="N92" s="8">
        <v>129</v>
      </c>
      <c r="O92" s="5">
        <v>854</v>
      </c>
      <c r="P92" s="5">
        <v>4.5999999999999996</v>
      </c>
      <c r="Q92" s="21" t="s">
        <v>237</v>
      </c>
      <c r="R92" s="5" t="s">
        <v>237</v>
      </c>
    </row>
    <row r="93" spans="1:18" ht="18.25" customHeight="1" x14ac:dyDescent="0.2">
      <c r="A93" s="7">
        <v>37</v>
      </c>
      <c r="B93" s="5" t="s">
        <v>202</v>
      </c>
      <c r="C93" s="9" t="s">
        <v>203</v>
      </c>
      <c r="D93" s="10" t="s">
        <v>49</v>
      </c>
      <c r="E93" s="6" t="s">
        <v>126</v>
      </c>
      <c r="F93" s="6" t="s">
        <v>58</v>
      </c>
      <c r="G93" s="6" t="s">
        <v>59</v>
      </c>
      <c r="H93" s="6" t="s">
        <v>52</v>
      </c>
      <c r="I93" s="6" t="s">
        <v>52</v>
      </c>
      <c r="J93" s="6" t="s">
        <v>204</v>
      </c>
      <c r="K93" s="6" t="s">
        <v>46</v>
      </c>
      <c r="L93" s="6">
        <v>299</v>
      </c>
      <c r="M93" s="8">
        <v>30154.5</v>
      </c>
      <c r="N93" s="8">
        <v>106</v>
      </c>
      <c r="O93" s="5">
        <v>191</v>
      </c>
      <c r="P93" s="5">
        <v>4.4000000000000004</v>
      </c>
      <c r="Q93" s="21" t="s">
        <v>205</v>
      </c>
      <c r="R93" s="5" t="s">
        <v>205</v>
      </c>
    </row>
    <row r="94" spans="1:18" ht="18.25" customHeight="1" x14ac:dyDescent="0.2">
      <c r="A94" s="7">
        <v>38</v>
      </c>
      <c r="B94" s="5" t="s">
        <v>191</v>
      </c>
      <c r="C94" s="9" t="s">
        <v>192</v>
      </c>
      <c r="D94" s="10" t="s">
        <v>72</v>
      </c>
      <c r="E94" s="6" t="s">
        <v>57</v>
      </c>
      <c r="F94" s="6" t="s">
        <v>58</v>
      </c>
      <c r="G94" s="6" t="s">
        <v>59</v>
      </c>
      <c r="H94" s="6" t="s">
        <v>52</v>
      </c>
      <c r="I94" s="6" t="s">
        <v>52</v>
      </c>
      <c r="J94" s="6" t="s">
        <v>52</v>
      </c>
      <c r="K94" s="6" t="s">
        <v>46</v>
      </c>
      <c r="L94" s="6">
        <v>339</v>
      </c>
      <c r="M94" s="8">
        <v>33080.1</v>
      </c>
      <c r="N94" s="8">
        <v>105</v>
      </c>
      <c r="O94" s="5">
        <v>10</v>
      </c>
      <c r="P94" s="5">
        <v>4.8</v>
      </c>
      <c r="Q94" s="21" t="s">
        <v>193</v>
      </c>
      <c r="R94" s="5" t="s">
        <v>193</v>
      </c>
    </row>
    <row r="95" spans="1:18" ht="18.25" customHeight="1" x14ac:dyDescent="0.2">
      <c r="A95" s="7">
        <v>39</v>
      </c>
      <c r="B95" s="5" t="s">
        <v>241</v>
      </c>
      <c r="C95" s="9" t="s">
        <v>242</v>
      </c>
      <c r="D95" s="10" t="s">
        <v>89</v>
      </c>
      <c r="E95" s="6" t="s">
        <v>126</v>
      </c>
      <c r="F95" s="6" t="s">
        <v>58</v>
      </c>
      <c r="G95" s="6" t="s">
        <v>59</v>
      </c>
      <c r="H95" s="6" t="s">
        <v>52</v>
      </c>
      <c r="I95" s="6" t="s">
        <v>52</v>
      </c>
      <c r="J95" s="6" t="s">
        <v>52</v>
      </c>
      <c r="K95" s="6" t="s">
        <v>46</v>
      </c>
      <c r="L95" s="6">
        <v>259</v>
      </c>
      <c r="M95" s="8">
        <v>25592.959999999999</v>
      </c>
      <c r="N95" s="8">
        <v>99</v>
      </c>
      <c r="O95" s="5">
        <v>28</v>
      </c>
      <c r="P95" s="5">
        <v>4.7</v>
      </c>
      <c r="Q95" s="21" t="s">
        <v>243</v>
      </c>
      <c r="R95" s="5" t="s">
        <v>243</v>
      </c>
    </row>
    <row r="96" spans="1:18" ht="18.25" customHeight="1" x14ac:dyDescent="0.2">
      <c r="A96" s="7">
        <v>40</v>
      </c>
      <c r="B96" s="5" t="s">
        <v>238</v>
      </c>
      <c r="C96" s="9" t="s">
        <v>239</v>
      </c>
      <c r="D96" s="10" t="s">
        <v>72</v>
      </c>
      <c r="E96" s="6" t="s">
        <v>126</v>
      </c>
      <c r="F96" s="6" t="s">
        <v>58</v>
      </c>
      <c r="G96" s="6" t="s">
        <v>59</v>
      </c>
      <c r="H96" s="6" t="s">
        <v>52</v>
      </c>
      <c r="I96" s="6" t="s">
        <v>52</v>
      </c>
      <c r="J96" s="6" t="s">
        <v>52</v>
      </c>
      <c r="K96" s="6" t="s">
        <v>46</v>
      </c>
      <c r="L96" s="6">
        <v>189.04</v>
      </c>
      <c r="M96" s="8">
        <v>19061.98</v>
      </c>
      <c r="N96" s="8">
        <v>99</v>
      </c>
      <c r="O96" s="5">
        <v>35</v>
      </c>
      <c r="P96" s="5">
        <v>4.2</v>
      </c>
      <c r="Q96" s="21" t="s">
        <v>240</v>
      </c>
      <c r="R96" s="5" t="s">
        <v>240</v>
      </c>
    </row>
    <row r="97" spans="1:18" ht="18.25" customHeight="1" x14ac:dyDescent="0.2">
      <c r="A97" s="7">
        <v>41</v>
      </c>
      <c r="B97" s="5" t="s">
        <v>188</v>
      </c>
      <c r="C97" s="9" t="s">
        <v>189</v>
      </c>
      <c r="D97" s="10" t="s">
        <v>49</v>
      </c>
      <c r="E97" s="6" t="s">
        <v>36</v>
      </c>
      <c r="F97" s="6" t="s">
        <v>58</v>
      </c>
      <c r="G97" s="6" t="s">
        <v>65</v>
      </c>
      <c r="H97" s="6" t="s">
        <v>52</v>
      </c>
      <c r="I97" s="6" t="s">
        <v>52</v>
      </c>
      <c r="J97" s="6" t="s">
        <v>52</v>
      </c>
      <c r="K97" s="6" t="s">
        <v>114</v>
      </c>
      <c r="L97" s="6">
        <v>399</v>
      </c>
      <c r="M97" s="8">
        <v>33155.5</v>
      </c>
      <c r="N97" s="8">
        <v>96</v>
      </c>
      <c r="O97" s="5">
        <v>244</v>
      </c>
      <c r="P97" s="5">
        <v>4.5999999999999996</v>
      </c>
      <c r="Q97" s="21" t="s">
        <v>190</v>
      </c>
      <c r="R97" s="5" t="s">
        <v>190</v>
      </c>
    </row>
    <row r="98" spans="1:18" ht="18.25" customHeight="1" x14ac:dyDescent="0.2">
      <c r="A98" s="7">
        <v>42</v>
      </c>
      <c r="B98" s="5" t="s">
        <v>213</v>
      </c>
      <c r="C98" s="9" t="s">
        <v>214</v>
      </c>
      <c r="D98" s="10" t="s">
        <v>49</v>
      </c>
      <c r="E98" s="6" t="s">
        <v>126</v>
      </c>
      <c r="F98" s="6" t="s">
        <v>58</v>
      </c>
      <c r="G98" s="6" t="s">
        <v>59</v>
      </c>
      <c r="H98" s="6" t="s">
        <v>52</v>
      </c>
      <c r="I98" s="6" t="s">
        <v>52</v>
      </c>
      <c r="J98" s="6" t="s">
        <v>52</v>
      </c>
      <c r="K98" s="6" t="s">
        <v>46</v>
      </c>
      <c r="L98" s="6">
        <v>299</v>
      </c>
      <c r="M98" s="8">
        <v>27971.3</v>
      </c>
      <c r="N98" s="8">
        <v>94</v>
      </c>
      <c r="O98" s="5">
        <v>1350</v>
      </c>
      <c r="P98" s="5">
        <v>4.5999999999999996</v>
      </c>
      <c r="Q98" s="21" t="s">
        <v>215</v>
      </c>
      <c r="R98" s="5" t="s">
        <v>215</v>
      </c>
    </row>
    <row r="99" spans="1:18" ht="18.25" customHeight="1" x14ac:dyDescent="0.2">
      <c r="A99" s="7">
        <v>43</v>
      </c>
      <c r="B99" s="5" t="s">
        <v>185</v>
      </c>
      <c r="C99" s="9" t="s">
        <v>186</v>
      </c>
      <c r="D99" s="10" t="s">
        <v>63</v>
      </c>
      <c r="E99" s="6" t="s">
        <v>148</v>
      </c>
      <c r="F99" s="6" t="s">
        <v>64</v>
      </c>
      <c r="G99" s="6" t="s">
        <v>105</v>
      </c>
      <c r="H99" s="6" t="s">
        <v>52</v>
      </c>
      <c r="I99" s="6" t="s">
        <v>52</v>
      </c>
      <c r="J99" s="6" t="s">
        <v>73</v>
      </c>
      <c r="K99" s="6" t="s">
        <v>46</v>
      </c>
      <c r="L99" s="6">
        <v>339</v>
      </c>
      <c r="M99" s="8">
        <v>35158.54</v>
      </c>
      <c r="N99" s="8">
        <v>94</v>
      </c>
      <c r="O99" s="5">
        <v>3629</v>
      </c>
      <c r="P99" s="5">
        <v>4.3</v>
      </c>
      <c r="Q99" s="21" t="s">
        <v>187</v>
      </c>
      <c r="R99" s="5" t="s">
        <v>187</v>
      </c>
    </row>
    <row r="100" spans="1:18" ht="18.25" customHeight="1" x14ac:dyDescent="0.2">
      <c r="A100" s="7">
        <v>44</v>
      </c>
      <c r="B100" s="5" t="s">
        <v>178</v>
      </c>
      <c r="C100" s="9" t="s">
        <v>179</v>
      </c>
      <c r="D100" s="10" t="s">
        <v>63</v>
      </c>
      <c r="E100" s="6" t="s">
        <v>126</v>
      </c>
      <c r="F100" s="6" t="s">
        <v>64</v>
      </c>
      <c r="G100" s="6" t="s">
        <v>105</v>
      </c>
      <c r="H100" s="6" t="s">
        <v>52</v>
      </c>
      <c r="I100" s="6" t="s">
        <v>52</v>
      </c>
      <c r="J100" s="6" t="s">
        <v>73</v>
      </c>
      <c r="K100" s="6" t="s">
        <v>46</v>
      </c>
      <c r="L100" s="6">
        <v>429</v>
      </c>
      <c r="M100" s="8">
        <v>37407.129999999997</v>
      </c>
      <c r="N100" s="8">
        <v>91</v>
      </c>
      <c r="O100" s="5">
        <v>3629</v>
      </c>
      <c r="P100" s="5">
        <v>4.3</v>
      </c>
      <c r="Q100" s="21" t="s">
        <v>180</v>
      </c>
      <c r="R100" s="5" t="s">
        <v>180</v>
      </c>
    </row>
    <row r="101" spans="1:18" ht="18.25" customHeight="1" x14ac:dyDescent="0.2">
      <c r="A101" s="7">
        <v>45</v>
      </c>
      <c r="B101" s="5" t="s">
        <v>244</v>
      </c>
      <c r="C101" s="9" t="s">
        <v>245</v>
      </c>
      <c r="D101" s="10" t="s">
        <v>246</v>
      </c>
      <c r="E101" s="6" t="s">
        <v>233</v>
      </c>
      <c r="F101" s="6" t="s">
        <v>65</v>
      </c>
      <c r="G101" s="6" t="s">
        <v>65</v>
      </c>
      <c r="H101" s="6" t="s">
        <v>65</v>
      </c>
      <c r="I101" s="6" t="s">
        <v>65</v>
      </c>
      <c r="J101" s="6" t="s">
        <v>65</v>
      </c>
      <c r="K101" s="6" t="s">
        <v>46</v>
      </c>
      <c r="L101" s="6">
        <v>20.99</v>
      </c>
      <c r="M101" s="8">
        <v>1879.86</v>
      </c>
      <c r="N101" s="8">
        <v>89</v>
      </c>
      <c r="O101" s="5">
        <v>20</v>
      </c>
      <c r="P101" s="5">
        <v>4.4000000000000004</v>
      </c>
      <c r="Q101" s="21" t="s">
        <v>247</v>
      </c>
      <c r="R101" s="5" t="s">
        <v>247</v>
      </c>
    </row>
    <row r="102" spans="1:18" ht="18.25" customHeight="1" x14ac:dyDescent="0.2">
      <c r="A102" s="7">
        <v>46</v>
      </c>
      <c r="B102" s="5" t="s">
        <v>181</v>
      </c>
      <c r="C102" s="9" t="s">
        <v>182</v>
      </c>
      <c r="D102" s="10" t="s">
        <v>183</v>
      </c>
      <c r="E102" s="6" t="s">
        <v>126</v>
      </c>
      <c r="F102" s="6" t="s">
        <v>58</v>
      </c>
      <c r="G102" s="6" t="s">
        <v>65</v>
      </c>
      <c r="H102" s="6" t="s">
        <v>52</v>
      </c>
      <c r="I102" s="6" t="s">
        <v>52</v>
      </c>
      <c r="J102" s="6" t="s">
        <v>52</v>
      </c>
      <c r="K102" s="6" t="s">
        <v>46</v>
      </c>
      <c r="L102" s="6">
        <v>361.77</v>
      </c>
      <c r="M102" s="8">
        <v>36681.269999999997</v>
      </c>
      <c r="N102" s="8">
        <v>86</v>
      </c>
      <c r="O102" s="5">
        <v>39</v>
      </c>
      <c r="P102" s="5">
        <v>4.4000000000000004</v>
      </c>
      <c r="Q102" s="21" t="s">
        <v>184</v>
      </c>
      <c r="R102" s="5" t="s">
        <v>184</v>
      </c>
    </row>
    <row r="103" spans="1:18" ht="18.25" customHeight="1" x14ac:dyDescent="0.2">
      <c r="A103" s="7">
        <v>47</v>
      </c>
      <c r="B103" s="5" t="s">
        <v>248</v>
      </c>
      <c r="C103" s="9" t="s">
        <v>249</v>
      </c>
      <c r="D103" s="10" t="s">
        <v>250</v>
      </c>
      <c r="E103" s="6" t="s">
        <v>251</v>
      </c>
      <c r="F103" s="6" t="s">
        <v>96</v>
      </c>
      <c r="G103" s="6" t="s">
        <v>65</v>
      </c>
      <c r="H103" s="6" t="s">
        <v>52</v>
      </c>
      <c r="I103" s="6" t="s">
        <v>52</v>
      </c>
      <c r="J103" s="6" t="s">
        <v>52</v>
      </c>
      <c r="K103" s="6" t="s">
        <v>46</v>
      </c>
      <c r="L103" s="6">
        <v>129.99</v>
      </c>
      <c r="M103" s="8">
        <v>10994.63</v>
      </c>
      <c r="N103" s="8">
        <v>86</v>
      </c>
      <c r="O103" s="5">
        <v>11</v>
      </c>
      <c r="P103" s="5">
        <v>4.4000000000000004</v>
      </c>
      <c r="Q103" s="21" t="s">
        <v>252</v>
      </c>
      <c r="R103" s="5" t="s">
        <v>252</v>
      </c>
    </row>
    <row r="104" spans="1:18" ht="18.25" customHeight="1" x14ac:dyDescent="0.2">
      <c r="A104" s="7">
        <v>48</v>
      </c>
      <c r="B104" s="5" t="s">
        <v>253</v>
      </c>
      <c r="C104" s="9" t="s">
        <v>254</v>
      </c>
      <c r="D104" s="10" t="s">
        <v>255</v>
      </c>
      <c r="E104" s="6" t="s">
        <v>36</v>
      </c>
      <c r="F104" s="6" t="s">
        <v>196</v>
      </c>
      <c r="G104" s="6" t="s">
        <v>109</v>
      </c>
      <c r="H104" s="6" t="s">
        <v>66</v>
      </c>
      <c r="I104" s="6" t="s">
        <v>52</v>
      </c>
      <c r="J104" s="6" t="s">
        <v>52</v>
      </c>
      <c r="K104" s="6" t="s">
        <v>114</v>
      </c>
      <c r="L104" s="6">
        <v>179.99</v>
      </c>
      <c r="M104" s="8">
        <v>14970.55</v>
      </c>
      <c r="N104" s="8">
        <v>84</v>
      </c>
      <c r="O104" s="5">
        <v>23</v>
      </c>
      <c r="P104" s="5">
        <v>4.7</v>
      </c>
      <c r="Q104" s="21" t="s">
        <v>256</v>
      </c>
      <c r="R104" s="5" t="s">
        <v>256</v>
      </c>
    </row>
    <row r="105" spans="1:18" ht="18.25" customHeight="1" x14ac:dyDescent="0.2">
      <c r="A105" s="7">
        <v>49</v>
      </c>
      <c r="B105" s="5" t="s">
        <v>198</v>
      </c>
      <c r="C105" s="9" t="s">
        <v>199</v>
      </c>
      <c r="D105" s="10" t="s">
        <v>200</v>
      </c>
      <c r="E105" s="6" t="s">
        <v>65</v>
      </c>
      <c r="F105" s="6" t="s">
        <v>65</v>
      </c>
      <c r="G105" s="6" t="s">
        <v>65</v>
      </c>
      <c r="H105" s="6" t="s">
        <v>65</v>
      </c>
      <c r="I105" s="6" t="s">
        <v>65</v>
      </c>
      <c r="J105" s="6" t="s">
        <v>65</v>
      </c>
      <c r="K105" s="6" t="s">
        <v>65</v>
      </c>
      <c r="L105" s="6">
        <v>369</v>
      </c>
      <c r="M105" s="8">
        <v>30320.880000000001</v>
      </c>
      <c r="N105" s="8">
        <v>82</v>
      </c>
      <c r="O105" s="5">
        <v>212</v>
      </c>
      <c r="P105" s="5">
        <v>4.3</v>
      </c>
      <c r="Q105" s="21" t="s">
        <v>201</v>
      </c>
      <c r="R105" s="5" t="s">
        <v>201</v>
      </c>
    </row>
    <row r="106" spans="1:18" ht="18.25" customHeight="1" x14ac:dyDescent="0.2">
      <c r="A106" s="7">
        <v>50</v>
      </c>
      <c r="B106" s="5" t="s">
        <v>150</v>
      </c>
      <c r="C106" s="9" t="s">
        <v>151</v>
      </c>
      <c r="D106" s="10" t="s">
        <v>63</v>
      </c>
      <c r="E106" s="6" t="s">
        <v>37</v>
      </c>
      <c r="F106" s="6" t="s">
        <v>113</v>
      </c>
      <c r="G106" s="6" t="s">
        <v>65</v>
      </c>
      <c r="H106" s="6" t="s">
        <v>52</v>
      </c>
      <c r="I106" s="6" t="s">
        <v>66</v>
      </c>
      <c r="J106" s="6" t="s">
        <v>67</v>
      </c>
      <c r="K106" s="6" t="s">
        <v>68</v>
      </c>
      <c r="L106" s="6">
        <v>899</v>
      </c>
      <c r="M106" s="8">
        <v>72413.2</v>
      </c>
      <c r="N106" s="8">
        <v>81</v>
      </c>
      <c r="O106" s="5">
        <v>1254</v>
      </c>
      <c r="P106" s="5">
        <v>4.3</v>
      </c>
      <c r="Q106" s="21" t="s">
        <v>152</v>
      </c>
      <c r="R106" s="5" t="s">
        <v>152</v>
      </c>
    </row>
  </sheetData>
  <mergeCells count="2">
    <mergeCell ref="A1:Q1"/>
    <mergeCell ref="A55:Q55"/>
  </mergeCells>
  <phoneticPr fontId="17" type="noConversion"/>
  <hyperlinks>
    <hyperlink ref="Q58" r:id="rId1" xr:uid="{745FB5EC-FD93-CF4A-B898-89845411ABC6}"/>
    <hyperlink ref="Q80" r:id="rId2" display="https://amazon.com/dp/B0F5Q2YXY5" xr:uid="{1EFBC42B-5B3C-3D4B-8D72-02F7B9F1BB2B}"/>
    <hyperlink ref="Q81" r:id="rId3" display="https://amazon.com/dp/B0C2P7TP2V" xr:uid="{BBF002D3-2663-1941-B24D-F93A9F917968}"/>
    <hyperlink ref="Q83" r:id="rId4" display="https://amazon.com/dp/B0CKQH4VZY" xr:uid="{B54942AE-E75F-A14B-912C-FF25DD0E6132}"/>
    <hyperlink ref="Q84" r:id="rId5" display="https://amazon.com/dp/B0DWSNQWJ1" xr:uid="{AC3430F5-13A7-5644-AD50-7809CAFD3507}"/>
    <hyperlink ref="Q87" r:id="rId6" display="https://amazon.com/dp/B0DH1XWTKK" xr:uid="{08C3E125-6459-D64B-814B-E2E0C4678D76}"/>
    <hyperlink ref="Q88" r:id="rId7" display="https://amazon.com/dp/B0DGFBJYG2" xr:uid="{E3AF355A-41FA-5B41-9078-B0D59B0553D8}"/>
    <hyperlink ref="Q90" r:id="rId8" display="https://amazon.com/dp/B0CW65T636" xr:uid="{51CAC3E0-3A7C-7E4E-B5CC-3D68FD622B9A}"/>
    <hyperlink ref="Q91" r:id="rId9" display="https://amazon.com/dp/B0DT98YB3X" xr:uid="{CEFE3012-EB77-E245-8E0E-3AA361DDBF34}"/>
    <hyperlink ref="Q92" r:id="rId10" display="https://amazon.com/dp/B0DNJJYG53" xr:uid="{F37A51A7-687D-F140-BB9A-9A4C9BD74B5A}"/>
    <hyperlink ref="Q93" r:id="rId11" display="https://amazon.com/dp/B0F2PQTT1G" xr:uid="{7A86C1B8-BCB3-6247-98C3-683653305887}"/>
    <hyperlink ref="Q94" r:id="rId12" display="https://amazon.com/dp/B0CL4KT182" xr:uid="{4FC4336F-018C-1042-ACB5-5EDAB3AFA826}"/>
    <hyperlink ref="Q95" r:id="rId13" display="https://amazon.com/dp/B0DGFC3D9H" xr:uid="{701FAC1F-2383-A94C-B702-DACFD7664B87}"/>
    <hyperlink ref="Q96" r:id="rId14" display="https://amazon.com/dp/B0F9X12NH3" xr:uid="{FBC59C95-F4BE-434C-84F4-44AB496EB84F}"/>
    <hyperlink ref="Q97" r:id="rId15" display="https://amazon.com/dp/B0FMY9WR1H" xr:uid="{52D45A26-6FBA-C149-9BF6-DB3C041024DB}"/>
    <hyperlink ref="Q98" r:id="rId16" display="https://amazon.com/dp/B0DYDXH1NQ" xr:uid="{C1561B93-318B-804B-9673-2BFE76038719}"/>
    <hyperlink ref="Q99" r:id="rId17" display="https://amazon.com/dp/B0DXKXXNLJ" xr:uid="{C6206CC2-C022-D742-A822-95492D54DC3E}"/>
    <hyperlink ref="Q100" r:id="rId18" display="https://amazon.com/dp/B0C2P7KP5D" xr:uid="{CE6E322B-1A07-5645-B9CA-521D1EEDA932}"/>
    <hyperlink ref="Q101" r:id="rId19" display="https://amazon.com/dp/B0FJ2CFSHR" xr:uid="{B8633383-5A41-2740-A07F-5A0EBF9A0465}"/>
    <hyperlink ref="Q102" r:id="rId20" display="https://amazon.com/dp/B0FJ29BJZ7" xr:uid="{495AC3DA-A02A-674F-9D78-75C03FC9CF4F}"/>
    <hyperlink ref="Q104" r:id="rId21" display="https://amazon.com/dp/B0BV98JZ22" xr:uid="{3A1E447D-1236-F541-B1C9-536EC992D1FD}"/>
    <hyperlink ref="Q105" r:id="rId22" display="https://amazon.com/dp/B0DNCQ3HYR" xr:uid="{6E12B4D6-E9AE-794F-AB73-C2682DAC1EA3}"/>
    <hyperlink ref="Q106" r:id="rId23" display="https://amazon.com/dp/B0DSFQV89R" xr:uid="{FE5335CD-6DA6-1040-886B-D96E4EA594DD}"/>
    <hyperlink ref="Q57" r:id="rId24" display="https://amazon.com/dp/B0CJY5C9QX" xr:uid="{79976857-9EA5-410E-BA64-FDB9412DFC32}"/>
    <hyperlink ref="Q63" r:id="rId25" display="https://amazon.com/dp/B0B28HRSBP" xr:uid="{3CE37AB4-A76F-43C3-A7D6-F9A6AF09FEE9}"/>
    <hyperlink ref="Q73" r:id="rId26" display="https://amazon.com/dp/B0DT4H7QQM" xr:uid="{E85BE21F-8FCC-423A-8893-470BF2D8F2DF}"/>
    <hyperlink ref="Q75" r:id="rId27" display="https://amazon.com/dp/B0C3B32Q9Z" xr:uid="{BCF5F9ED-B121-4278-B3FE-BE7615E22478}"/>
    <hyperlink ref="Q68" r:id="rId28" display="https://amazon.com/dp/B0928Q3T42" xr:uid="{BDA752AD-4709-4C20-94A7-78614A756C88}"/>
    <hyperlink ref="Q85" r:id="rId29" display="https://amazon.com/dp/B08NJ8627V" xr:uid="{E90E9743-544D-4784-8143-8F0B9AAB6973}"/>
  </hyperlinks>
  <pageMargins left="0.7" right="0.7" top="0.75" bottom="0.75" header="0.3" footer="0.3"/>
  <tableParts count="2">
    <tablePart r:id="rId30"/>
    <tablePart r:id="rId3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96F3F-594D-4560-8E35-82B79ABDDFD9}">
  <dimension ref="A1:F35"/>
  <sheetViews>
    <sheetView zoomScale="87" workbookViewId="0">
      <selection activeCell="I28" sqref="I28"/>
    </sheetView>
  </sheetViews>
  <sheetFormatPr baseColWidth="10" defaultColWidth="8.83203125" defaultRowHeight="16" x14ac:dyDescent="0.2"/>
  <cols>
    <col min="1" max="2" width="15.33203125" customWidth="1"/>
    <col min="3" max="3" width="23.6640625" customWidth="1"/>
    <col min="4" max="4" width="20.83203125" style="12" customWidth="1"/>
    <col min="5" max="5" width="19.83203125" customWidth="1"/>
    <col min="6" max="6" width="15.33203125" customWidth="1"/>
  </cols>
  <sheetData>
    <row r="1" spans="1:6" ht="26" x14ac:dyDescent="0.25">
      <c r="A1" s="115" t="s">
        <v>43</v>
      </c>
      <c r="B1" s="115"/>
      <c r="C1" s="115"/>
      <c r="D1" s="115"/>
      <c r="E1" s="115"/>
      <c r="F1" s="115"/>
    </row>
    <row r="2" spans="1:6" x14ac:dyDescent="0.2">
      <c r="A2" s="59" t="s">
        <v>35</v>
      </c>
      <c r="B2" s="60" t="s">
        <v>12</v>
      </c>
      <c r="C2" s="60" t="s">
        <v>39</v>
      </c>
      <c r="D2" s="61" t="s">
        <v>40</v>
      </c>
      <c r="E2" s="62" t="s">
        <v>41</v>
      </c>
      <c r="F2" s="63" t="s">
        <v>42</v>
      </c>
    </row>
    <row r="3" spans="1:6" x14ac:dyDescent="0.2">
      <c r="A3" s="74" t="s">
        <v>65</v>
      </c>
      <c r="B3" s="75">
        <v>499</v>
      </c>
      <c r="C3" s="76">
        <v>243</v>
      </c>
      <c r="D3" s="77">
        <v>1.250321584769745E-2</v>
      </c>
      <c r="E3" s="78">
        <v>110079.32</v>
      </c>
      <c r="F3" s="77">
        <v>2.2429396944691381E-2</v>
      </c>
    </row>
    <row r="4" spans="1:6" x14ac:dyDescent="0.2">
      <c r="A4" s="74" t="s">
        <v>449</v>
      </c>
      <c r="B4" s="75">
        <v>274.59473684210519</v>
      </c>
      <c r="C4" s="76">
        <v>5563</v>
      </c>
      <c r="D4" s="77">
        <v>0.28623617185490102</v>
      </c>
      <c r="E4" s="78">
        <v>1402341.05</v>
      </c>
      <c r="F4" s="77">
        <v>0.28573635867559227</v>
      </c>
    </row>
    <row r="5" spans="1:6" x14ac:dyDescent="0.2">
      <c r="A5" s="74" t="s">
        <v>36</v>
      </c>
      <c r="B5" s="75">
        <v>286.21777777777783</v>
      </c>
      <c r="C5" s="76">
        <v>11488</v>
      </c>
      <c r="D5" s="77">
        <v>0.59109853357344999</v>
      </c>
      <c r="E5" s="78">
        <v>2544982.2599999998</v>
      </c>
      <c r="F5" s="77">
        <v>0.5185571397673765</v>
      </c>
    </row>
    <row r="6" spans="1:6" x14ac:dyDescent="0.2">
      <c r="A6" s="74" t="s">
        <v>37</v>
      </c>
      <c r="B6" s="75">
        <v>557.65714285714284</v>
      </c>
      <c r="C6" s="76">
        <v>1755</v>
      </c>
      <c r="D6" s="77">
        <v>9.0301003344481601E-2</v>
      </c>
      <c r="E6" s="78">
        <v>688194</v>
      </c>
      <c r="F6" s="77">
        <v>0.140224125666428</v>
      </c>
    </row>
    <row r="7" spans="1:6" x14ac:dyDescent="0.2">
      <c r="A7" s="74" t="s">
        <v>38</v>
      </c>
      <c r="B7" s="75">
        <v>334</v>
      </c>
      <c r="C7" s="76">
        <v>386</v>
      </c>
      <c r="D7" s="77">
        <v>1.9861075379470031E-2</v>
      </c>
      <c r="E7" s="78">
        <v>162217.89000000001</v>
      </c>
      <c r="F7" s="77">
        <v>3.3052978945911762E-2</v>
      </c>
    </row>
    <row r="8" spans="1:6" x14ac:dyDescent="0.2">
      <c r="A8" s="69" t="s">
        <v>5</v>
      </c>
      <c r="B8" s="70">
        <v>390.29393149540522</v>
      </c>
      <c r="C8" s="71">
        <v>19435</v>
      </c>
      <c r="D8" s="72">
        <v>1</v>
      </c>
      <c r="E8" s="73">
        <v>4907814.5199999996</v>
      </c>
      <c r="F8" s="72">
        <v>1</v>
      </c>
    </row>
    <row r="26" spans="1:6" ht="26" x14ac:dyDescent="0.25">
      <c r="A26" s="115" t="s">
        <v>44</v>
      </c>
      <c r="B26" s="115"/>
      <c r="C26" s="115"/>
      <c r="D26" s="115"/>
      <c r="E26" s="115"/>
      <c r="F26" s="115"/>
    </row>
    <row r="27" spans="1:6" x14ac:dyDescent="0.2">
      <c r="A27" s="59" t="s">
        <v>35</v>
      </c>
      <c r="B27" s="60" t="s">
        <v>12</v>
      </c>
      <c r="C27" s="60" t="s">
        <v>39</v>
      </c>
      <c r="D27" s="61" t="s">
        <v>40</v>
      </c>
      <c r="E27" s="62" t="s">
        <v>41</v>
      </c>
      <c r="F27" s="63" t="s">
        <v>42</v>
      </c>
    </row>
    <row r="28" spans="1:6" x14ac:dyDescent="0.2">
      <c r="A28" s="74" t="s">
        <v>65</v>
      </c>
      <c r="B28" s="75">
        <v>369</v>
      </c>
      <c r="C28" s="76">
        <v>82</v>
      </c>
      <c r="D28" s="77">
        <v>4.1500075914773019E-3</v>
      </c>
      <c r="E28" s="78">
        <v>30320.880000000001</v>
      </c>
      <c r="F28" s="77">
        <v>6.3089967054821899E-3</v>
      </c>
    </row>
    <row r="29" spans="1:6" x14ac:dyDescent="0.2">
      <c r="A29" s="74" t="s">
        <v>233</v>
      </c>
      <c r="B29" s="75">
        <v>18.489999999999998</v>
      </c>
      <c r="C29" s="76">
        <v>223</v>
      </c>
      <c r="D29" s="77">
        <v>1.12859962548712E-2</v>
      </c>
      <c r="E29" s="78">
        <v>4021.49</v>
      </c>
      <c r="F29" s="77">
        <v>8.3676882600800396E-4</v>
      </c>
    </row>
    <row r="30" spans="1:6" x14ac:dyDescent="0.2">
      <c r="A30" s="74" t="s">
        <v>449</v>
      </c>
      <c r="B30" s="75">
        <v>270.31700000000001</v>
      </c>
      <c r="C30" s="76">
        <v>5662</v>
      </c>
      <c r="D30" s="77">
        <v>0.28655296320663998</v>
      </c>
      <c r="E30" s="78">
        <v>1421403.03</v>
      </c>
      <c r="F30" s="77">
        <v>0.29575747911776967</v>
      </c>
    </row>
    <row r="31" spans="1:6" x14ac:dyDescent="0.2">
      <c r="A31" s="74" t="s">
        <v>36</v>
      </c>
      <c r="B31" s="75">
        <v>259.94210526315788</v>
      </c>
      <c r="C31" s="76">
        <v>11665</v>
      </c>
      <c r="D31" s="77">
        <v>0.59036388481198443</v>
      </c>
      <c r="E31" s="78">
        <v>2551410.5699999998</v>
      </c>
      <c r="F31" s="77">
        <v>0.5308830377107272</v>
      </c>
    </row>
    <row r="32" spans="1:6" x14ac:dyDescent="0.2">
      <c r="A32" s="74" t="s">
        <v>37</v>
      </c>
      <c r="B32" s="75">
        <v>503.92</v>
      </c>
      <c r="C32" s="76">
        <v>1655</v>
      </c>
      <c r="D32" s="77">
        <v>8.3759299559694314E-2</v>
      </c>
      <c r="E32" s="78">
        <v>625606.43999999994</v>
      </c>
      <c r="F32" s="77">
        <v>0.1301726390819937</v>
      </c>
    </row>
    <row r="33" spans="1:6" x14ac:dyDescent="0.2">
      <c r="A33" s="74" t="s">
        <v>251</v>
      </c>
      <c r="B33" s="75">
        <v>129.99</v>
      </c>
      <c r="C33" s="76">
        <v>86</v>
      </c>
      <c r="D33" s="77">
        <v>4.352446986183511E-3</v>
      </c>
      <c r="E33" s="78">
        <v>10994.63</v>
      </c>
      <c r="F33" s="77">
        <v>2.2877002398345842E-3</v>
      </c>
    </row>
    <row r="34" spans="1:6" x14ac:dyDescent="0.2">
      <c r="A34" s="74" t="s">
        <v>38</v>
      </c>
      <c r="B34" s="75">
        <v>334</v>
      </c>
      <c r="C34" s="76">
        <v>386</v>
      </c>
      <c r="D34" s="77">
        <v>1.9535401589149251E-2</v>
      </c>
      <c r="E34" s="78">
        <v>162217.89000000001</v>
      </c>
      <c r="F34" s="77">
        <v>3.3753378318184438E-2</v>
      </c>
    </row>
    <row r="35" spans="1:6" x14ac:dyDescent="0.2">
      <c r="A35" s="69" t="s">
        <v>5</v>
      </c>
      <c r="B35" s="70">
        <v>269.37987218045112</v>
      </c>
      <c r="C35" s="71">
        <v>19759</v>
      </c>
      <c r="D35" s="72">
        <v>1</v>
      </c>
      <c r="E35" s="73">
        <v>4805974.9300000006</v>
      </c>
      <c r="F35" s="72">
        <v>1</v>
      </c>
    </row>
  </sheetData>
  <mergeCells count="2">
    <mergeCell ref="A1:F1"/>
    <mergeCell ref="A26:F26"/>
  </mergeCells>
  <conditionalFormatting sqref="C3:F8 C28:F35">
    <cfRule type="expression" dxfId="6" priority="1">
      <formula>C3&lt;0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5609A-14E2-4747-8AD4-6AFEAE1E7026}">
  <dimension ref="A1:F44"/>
  <sheetViews>
    <sheetView zoomScale="87" workbookViewId="0">
      <selection activeCell="J43" sqref="J43"/>
    </sheetView>
  </sheetViews>
  <sheetFormatPr baseColWidth="10" defaultColWidth="8.83203125" defaultRowHeight="16" x14ac:dyDescent="0.2"/>
  <cols>
    <col min="1" max="2" width="15.33203125" customWidth="1"/>
    <col min="3" max="3" width="23.6640625" customWidth="1"/>
    <col min="4" max="4" width="20.83203125" style="12" customWidth="1"/>
    <col min="5" max="5" width="19.83203125" customWidth="1"/>
    <col min="6" max="6" width="15.33203125" customWidth="1"/>
  </cols>
  <sheetData>
    <row r="1" spans="1:6" ht="26" x14ac:dyDescent="0.25">
      <c r="A1" s="115" t="s">
        <v>43</v>
      </c>
      <c r="B1" s="115"/>
      <c r="C1" s="115"/>
      <c r="D1" s="115"/>
      <c r="E1" s="115"/>
      <c r="F1" s="115"/>
    </row>
    <row r="2" spans="1:6" x14ac:dyDescent="0.2">
      <c r="A2" s="59" t="s">
        <v>258</v>
      </c>
      <c r="B2" s="60" t="s">
        <v>12</v>
      </c>
      <c r="C2" s="60" t="s">
        <v>39</v>
      </c>
      <c r="D2" s="61" t="s">
        <v>40</v>
      </c>
      <c r="E2" s="62" t="s">
        <v>41</v>
      </c>
      <c r="F2" s="63" t="s">
        <v>42</v>
      </c>
    </row>
    <row r="3" spans="1:6" x14ac:dyDescent="0.2">
      <c r="A3" s="74" t="s">
        <v>65</v>
      </c>
      <c r="B3" s="75">
        <v>499</v>
      </c>
      <c r="C3" s="76">
        <v>243</v>
      </c>
      <c r="D3" s="77">
        <v>1.250321584769745E-2</v>
      </c>
      <c r="E3" s="78">
        <v>110079.32</v>
      </c>
      <c r="F3" s="77">
        <v>2.2429396944691381E-2</v>
      </c>
    </row>
    <row r="4" spans="1:6" x14ac:dyDescent="0.2">
      <c r="A4" s="74" t="s">
        <v>196</v>
      </c>
      <c r="B4" s="75">
        <v>925</v>
      </c>
      <c r="C4" s="76">
        <v>35</v>
      </c>
      <c r="D4" s="77">
        <v>1.8008747105737069E-3</v>
      </c>
      <c r="E4" s="78">
        <v>32621.71</v>
      </c>
      <c r="F4" s="77">
        <v>6.6468913743708462E-3</v>
      </c>
    </row>
    <row r="5" spans="1:6" x14ac:dyDescent="0.2">
      <c r="A5" s="74" t="s">
        <v>50</v>
      </c>
      <c r="B5" s="75">
        <v>175.52</v>
      </c>
      <c r="C5" s="76">
        <v>5108</v>
      </c>
      <c r="D5" s="77">
        <v>0.26282480061744268</v>
      </c>
      <c r="E5" s="78">
        <v>928663.14</v>
      </c>
      <c r="F5" s="77">
        <v>0.1892213196353639</v>
      </c>
    </row>
    <row r="6" spans="1:6" x14ac:dyDescent="0.2">
      <c r="A6" s="74" t="s">
        <v>130</v>
      </c>
      <c r="B6" s="75">
        <v>480</v>
      </c>
      <c r="C6" s="76">
        <v>190</v>
      </c>
      <c r="D6" s="77">
        <v>9.7761770002572686E-3</v>
      </c>
      <c r="E6" s="78">
        <v>91091.7</v>
      </c>
      <c r="F6" s="77">
        <v>1.8560542503957542E-2</v>
      </c>
    </row>
    <row r="7" spans="1:6" x14ac:dyDescent="0.2">
      <c r="A7" s="74" t="s">
        <v>64</v>
      </c>
      <c r="B7" s="75">
        <v>336.26100000000002</v>
      </c>
      <c r="C7" s="76">
        <v>2470</v>
      </c>
      <c r="D7" s="77">
        <v>0.12709030100334451</v>
      </c>
      <c r="E7" s="78">
        <v>809359.2</v>
      </c>
      <c r="F7" s="77">
        <v>0.16491234473139779</v>
      </c>
    </row>
    <row r="8" spans="1:6" x14ac:dyDescent="0.2">
      <c r="A8" s="74" t="s">
        <v>58</v>
      </c>
      <c r="B8" s="75">
        <v>353.51666666666671</v>
      </c>
      <c r="C8" s="76">
        <v>4585</v>
      </c>
      <c r="D8" s="77">
        <v>0.23591458708515561</v>
      </c>
      <c r="E8" s="78">
        <v>1522653.37</v>
      </c>
      <c r="F8" s="77">
        <v>0.31025079774204672</v>
      </c>
    </row>
    <row r="9" spans="1:6" x14ac:dyDescent="0.2">
      <c r="A9" s="74" t="s">
        <v>113</v>
      </c>
      <c r="B9" s="75">
        <v>899</v>
      </c>
      <c r="C9" s="76">
        <v>81</v>
      </c>
      <c r="D9" s="77">
        <v>4.1677386158991509E-3</v>
      </c>
      <c r="E9" s="78">
        <v>72413.2</v>
      </c>
      <c r="F9" s="77">
        <v>1.475467332860819E-2</v>
      </c>
    </row>
    <row r="10" spans="1:6" x14ac:dyDescent="0.2">
      <c r="A10" s="74" t="s">
        <v>96</v>
      </c>
      <c r="B10" s="75">
        <v>240.18799999999999</v>
      </c>
      <c r="C10" s="76">
        <v>2010</v>
      </c>
      <c r="D10" s="77">
        <v>0.10342166195009</v>
      </c>
      <c r="E10" s="78">
        <v>506783.87</v>
      </c>
      <c r="F10" s="77">
        <v>0.1032605995876144</v>
      </c>
    </row>
    <row r="11" spans="1:6" x14ac:dyDescent="0.2">
      <c r="A11" s="74" t="s">
        <v>79</v>
      </c>
      <c r="B11" s="75">
        <v>169.86625000000001</v>
      </c>
      <c r="C11" s="76">
        <v>4713</v>
      </c>
      <c r="D11" s="77">
        <v>0.24250064316953951</v>
      </c>
      <c r="E11" s="78">
        <v>834149.01</v>
      </c>
      <c r="F11" s="77">
        <v>0.16996343415194909</v>
      </c>
    </row>
    <row r="12" spans="1:6" x14ac:dyDescent="0.2">
      <c r="A12" s="64"/>
      <c r="B12" s="65"/>
      <c r="C12" s="66"/>
      <c r="D12" s="67"/>
      <c r="E12" s="68"/>
      <c r="F12" s="67"/>
    </row>
    <row r="13" spans="1:6" x14ac:dyDescent="0.2">
      <c r="A13" s="69" t="s">
        <v>5</v>
      </c>
      <c r="B13" s="70">
        <v>453.15021296296288</v>
      </c>
      <c r="C13" s="71">
        <v>19435</v>
      </c>
      <c r="D13" s="72">
        <v>1</v>
      </c>
      <c r="E13" s="73">
        <v>4907814.5199999996</v>
      </c>
      <c r="F13" s="72">
        <v>1</v>
      </c>
    </row>
    <row r="31" spans="1:6" ht="26" x14ac:dyDescent="0.25">
      <c r="A31" s="115" t="s">
        <v>44</v>
      </c>
      <c r="B31" s="115"/>
      <c r="C31" s="115"/>
      <c r="D31" s="115"/>
      <c r="E31" s="115"/>
      <c r="F31" s="115"/>
    </row>
    <row r="32" spans="1:6" x14ac:dyDescent="0.2">
      <c r="A32" s="59" t="s">
        <v>258</v>
      </c>
      <c r="B32" s="60" t="s">
        <v>12</v>
      </c>
      <c r="C32" s="60" t="s">
        <v>39</v>
      </c>
      <c r="D32" s="61" t="s">
        <v>40</v>
      </c>
      <c r="E32" s="62" t="s">
        <v>41</v>
      </c>
      <c r="F32" s="63" t="s">
        <v>42</v>
      </c>
    </row>
    <row r="33" spans="1:6" x14ac:dyDescent="0.2">
      <c r="A33" s="74" t="s">
        <v>65</v>
      </c>
      <c r="B33" s="75">
        <v>135.32666666666671</v>
      </c>
      <c r="C33" s="76">
        <v>305</v>
      </c>
      <c r="D33" s="77">
        <v>1.54360038463485E-2</v>
      </c>
      <c r="E33" s="78">
        <v>34342.370000000003</v>
      </c>
      <c r="F33" s="77">
        <v>7.145765531490194E-3</v>
      </c>
    </row>
    <row r="34" spans="1:6" x14ac:dyDescent="0.2">
      <c r="A34" s="74" t="s">
        <v>196</v>
      </c>
      <c r="B34" s="75">
        <v>177.99</v>
      </c>
      <c r="C34" s="76">
        <v>226</v>
      </c>
      <c r="D34" s="77">
        <v>1.143782580090085E-2</v>
      </c>
      <c r="E34" s="78">
        <v>35691.379999999997</v>
      </c>
      <c r="F34" s="77">
        <v>7.4264598795982482E-3</v>
      </c>
    </row>
    <row r="35" spans="1:6" x14ac:dyDescent="0.2">
      <c r="A35" s="74" t="s">
        <v>50</v>
      </c>
      <c r="B35" s="75">
        <v>175.52</v>
      </c>
      <c r="C35" s="76">
        <v>5108</v>
      </c>
      <c r="D35" s="77">
        <v>0.25851510703982988</v>
      </c>
      <c r="E35" s="78">
        <v>928663.14</v>
      </c>
      <c r="F35" s="77">
        <v>0.19323095803165161</v>
      </c>
    </row>
    <row r="36" spans="1:6" x14ac:dyDescent="0.2">
      <c r="A36" s="74" t="s">
        <v>130</v>
      </c>
      <c r="B36" s="75">
        <v>480</v>
      </c>
      <c r="C36" s="76">
        <v>190</v>
      </c>
      <c r="D36" s="77">
        <v>9.6158712485449674E-3</v>
      </c>
      <c r="E36" s="78">
        <v>91091.7</v>
      </c>
      <c r="F36" s="77">
        <v>1.895384418911232E-2</v>
      </c>
    </row>
    <row r="37" spans="1:6" x14ac:dyDescent="0.2">
      <c r="A37" s="74" t="s">
        <v>64</v>
      </c>
      <c r="B37" s="75">
        <v>336.26100000000002</v>
      </c>
      <c r="C37" s="76">
        <v>2470</v>
      </c>
      <c r="D37" s="77">
        <v>0.1250063262310846</v>
      </c>
      <c r="E37" s="78">
        <v>809359.2</v>
      </c>
      <c r="F37" s="77">
        <v>0.16840687098632029</v>
      </c>
    </row>
    <row r="38" spans="1:6" x14ac:dyDescent="0.2">
      <c r="A38" s="74" t="s">
        <v>58</v>
      </c>
      <c r="B38" s="75">
        <v>324.96117647058833</v>
      </c>
      <c r="C38" s="76">
        <v>4570</v>
      </c>
      <c r="D38" s="77">
        <v>0.23128700845184469</v>
      </c>
      <c r="E38" s="78">
        <v>1482486.43</v>
      </c>
      <c r="F38" s="77">
        <v>0.3084673664745895</v>
      </c>
    </row>
    <row r="39" spans="1:6" x14ac:dyDescent="0.2">
      <c r="A39" s="74" t="s">
        <v>113</v>
      </c>
      <c r="B39" s="75">
        <v>899</v>
      </c>
      <c r="C39" s="76">
        <v>81</v>
      </c>
      <c r="D39" s="77">
        <v>4.0993977428007491E-3</v>
      </c>
      <c r="E39" s="78">
        <v>72413.2</v>
      </c>
      <c r="F39" s="77">
        <v>1.506732786889506E-2</v>
      </c>
    </row>
    <row r="40" spans="1:6" x14ac:dyDescent="0.2">
      <c r="A40" s="74" t="s">
        <v>96</v>
      </c>
      <c r="B40" s="75">
        <v>221.82166666666669</v>
      </c>
      <c r="C40" s="76">
        <v>2096</v>
      </c>
      <c r="D40" s="77">
        <v>0.10607824282605401</v>
      </c>
      <c r="E40" s="78">
        <v>517778.5</v>
      </c>
      <c r="F40" s="77">
        <v>0.10773641301537119</v>
      </c>
    </row>
    <row r="41" spans="1:6" x14ac:dyDescent="0.2">
      <c r="A41" s="74" t="s">
        <v>79</v>
      </c>
      <c r="B41" s="75">
        <v>169.86625000000001</v>
      </c>
      <c r="C41" s="76">
        <v>4713</v>
      </c>
      <c r="D41" s="77">
        <v>0.2385242168125917</v>
      </c>
      <c r="E41" s="78">
        <v>834149.01</v>
      </c>
      <c r="F41" s="77">
        <v>0.17356499402297129</v>
      </c>
    </row>
    <row r="42" spans="1:6" x14ac:dyDescent="0.2">
      <c r="A42" s="74"/>
      <c r="B42" s="75"/>
      <c r="C42" s="76"/>
      <c r="D42" s="77"/>
      <c r="E42" s="78"/>
      <c r="F42" s="77"/>
    </row>
    <row r="43" spans="1:6" x14ac:dyDescent="0.2">
      <c r="A43" s="64"/>
      <c r="B43" s="65"/>
      <c r="C43" s="66"/>
      <c r="D43" s="67"/>
      <c r="E43" s="68"/>
      <c r="F43" s="67"/>
    </row>
    <row r="44" spans="1:6" x14ac:dyDescent="0.2">
      <c r="A44" s="69" t="s">
        <v>5</v>
      </c>
      <c r="B44" s="70">
        <v>324.52741775599128</v>
      </c>
      <c r="C44" s="71">
        <v>19759</v>
      </c>
      <c r="D44" s="72">
        <v>1</v>
      </c>
      <c r="E44" s="73">
        <v>4805974.9300000006</v>
      </c>
      <c r="F44" s="72">
        <v>1</v>
      </c>
    </row>
  </sheetData>
  <mergeCells count="2">
    <mergeCell ref="A1:F1"/>
    <mergeCell ref="A31:F31"/>
  </mergeCells>
  <conditionalFormatting sqref="C3:F13 C33:F44">
    <cfRule type="expression" dxfId="5" priority="1">
      <formula>C3&lt;0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687CB-E330-B749-A47E-BF87BFD925A3}">
  <dimension ref="A1:F43"/>
  <sheetViews>
    <sheetView zoomScale="62" workbookViewId="0">
      <selection activeCell="L39" sqref="L39"/>
    </sheetView>
  </sheetViews>
  <sheetFormatPr baseColWidth="10" defaultColWidth="8.83203125" defaultRowHeight="16" x14ac:dyDescent="0.2"/>
  <cols>
    <col min="1" max="2" width="15.33203125" customWidth="1"/>
    <col min="3" max="3" width="23.6640625" customWidth="1"/>
    <col min="4" max="4" width="20.83203125" style="12" customWidth="1"/>
    <col min="5" max="5" width="19.83203125" customWidth="1"/>
    <col min="6" max="6" width="15.33203125" customWidth="1"/>
  </cols>
  <sheetData>
    <row r="1" spans="1:6" ht="26" x14ac:dyDescent="0.25">
      <c r="A1" s="115" t="s">
        <v>43</v>
      </c>
      <c r="B1" s="115"/>
      <c r="C1" s="115"/>
      <c r="D1" s="115"/>
      <c r="E1" s="115"/>
      <c r="F1" s="115"/>
    </row>
    <row r="2" spans="1:6" x14ac:dyDescent="0.2">
      <c r="A2" s="59" t="s">
        <v>259</v>
      </c>
      <c r="B2" s="60" t="s">
        <v>12</v>
      </c>
      <c r="C2" s="60" t="s">
        <v>39</v>
      </c>
      <c r="D2" s="61" t="s">
        <v>40</v>
      </c>
      <c r="E2" s="62" t="s">
        <v>41</v>
      </c>
      <c r="F2" s="63" t="s">
        <v>42</v>
      </c>
    </row>
    <row r="3" spans="1:6" x14ac:dyDescent="0.2">
      <c r="A3" s="74" t="s">
        <v>65</v>
      </c>
      <c r="B3" s="75">
        <v>518.5264285714286</v>
      </c>
      <c r="C3" s="76">
        <v>1640</v>
      </c>
      <c r="D3" s="77">
        <v>8.4383843581168003E-2</v>
      </c>
      <c r="E3" s="78">
        <v>818595.1</v>
      </c>
      <c r="F3" s="77">
        <v>0.16679422106603981</v>
      </c>
    </row>
    <row r="4" spans="1:6" x14ac:dyDescent="0.2">
      <c r="A4" s="74" t="s">
        <v>64</v>
      </c>
      <c r="B4" s="75">
        <v>358.95</v>
      </c>
      <c r="C4" s="76">
        <v>480</v>
      </c>
      <c r="D4" s="77">
        <v>2.4697710316439411E-2</v>
      </c>
      <c r="E4" s="78">
        <v>170830.16</v>
      </c>
      <c r="F4" s="77">
        <v>3.4807786501271441E-2</v>
      </c>
    </row>
    <row r="5" spans="1:6" x14ac:dyDescent="0.2">
      <c r="A5" s="74" t="s">
        <v>218</v>
      </c>
      <c r="B5" s="75">
        <v>109</v>
      </c>
      <c r="C5" s="76">
        <v>247</v>
      </c>
      <c r="D5" s="77">
        <v>1.270903010033445E-2</v>
      </c>
      <c r="E5" s="78">
        <v>26950.23</v>
      </c>
      <c r="F5" s="77">
        <v>5.4912894303919208E-3</v>
      </c>
    </row>
    <row r="6" spans="1:6" x14ac:dyDescent="0.2">
      <c r="A6" s="74" t="s">
        <v>109</v>
      </c>
      <c r="B6" s="75">
        <v>208.19800000000001</v>
      </c>
      <c r="C6" s="76">
        <v>1659</v>
      </c>
      <c r="D6" s="77">
        <v>8.5361461281193721E-2</v>
      </c>
      <c r="E6" s="78">
        <v>361606.9</v>
      </c>
      <c r="F6" s="77">
        <v>7.367982195056548E-2</v>
      </c>
    </row>
    <row r="7" spans="1:6" x14ac:dyDescent="0.2">
      <c r="A7" s="74" t="s">
        <v>51</v>
      </c>
      <c r="B7" s="75">
        <v>177.88555555555561</v>
      </c>
      <c r="C7" s="76">
        <v>9574</v>
      </c>
      <c r="D7" s="77">
        <v>0.49261641368664782</v>
      </c>
      <c r="E7" s="78">
        <v>1735861.92</v>
      </c>
      <c r="F7" s="77">
        <v>0.35369346435692112</v>
      </c>
    </row>
    <row r="8" spans="1:6" x14ac:dyDescent="0.2">
      <c r="A8" s="74" t="s">
        <v>113</v>
      </c>
      <c r="B8" s="75">
        <v>215.66666666666671</v>
      </c>
      <c r="C8" s="76">
        <v>1378</v>
      </c>
      <c r="D8" s="77">
        <v>7.0903010033444819E-2</v>
      </c>
      <c r="E8" s="78">
        <v>267719.39</v>
      </c>
      <c r="F8" s="77">
        <v>5.4549614478910657E-2</v>
      </c>
    </row>
    <row r="9" spans="1:6" x14ac:dyDescent="0.2">
      <c r="A9" s="74" t="s">
        <v>105</v>
      </c>
      <c r="B9" s="75">
        <v>404</v>
      </c>
      <c r="C9" s="76">
        <v>714</v>
      </c>
      <c r="D9" s="77">
        <v>3.6737844095703617E-2</v>
      </c>
      <c r="E9" s="78">
        <v>317775.92</v>
      </c>
      <c r="F9" s="77">
        <v>6.4748966918986156E-2</v>
      </c>
    </row>
    <row r="10" spans="1:6" x14ac:dyDescent="0.2">
      <c r="A10" s="64" t="s">
        <v>59</v>
      </c>
      <c r="B10" s="65">
        <v>330.46166666666659</v>
      </c>
      <c r="C10" s="66">
        <v>3140</v>
      </c>
      <c r="D10" s="67">
        <v>0.16156418832004121</v>
      </c>
      <c r="E10" s="68">
        <v>1007773.28</v>
      </c>
      <c r="F10" s="67">
        <v>0.20534053923455931</v>
      </c>
    </row>
    <row r="11" spans="1:6" x14ac:dyDescent="0.2">
      <c r="A11" s="64" t="s">
        <v>84</v>
      </c>
      <c r="B11" s="65">
        <v>339</v>
      </c>
      <c r="C11" s="66">
        <v>603</v>
      </c>
      <c r="D11" s="67">
        <v>3.1026498585027009E-2</v>
      </c>
      <c r="E11" s="68">
        <v>200701.62</v>
      </c>
      <c r="F11" s="67">
        <v>4.0894296062354042E-2</v>
      </c>
    </row>
    <row r="12" spans="1:6" x14ac:dyDescent="0.2">
      <c r="A12" s="69" t="s">
        <v>5</v>
      </c>
      <c r="B12" s="70">
        <v>295.7431463844797</v>
      </c>
      <c r="C12" s="71">
        <v>19435</v>
      </c>
      <c r="D12" s="72">
        <v>1</v>
      </c>
      <c r="E12" s="73">
        <v>4907814.5199999996</v>
      </c>
      <c r="F12" s="72">
        <v>1</v>
      </c>
    </row>
    <row r="30" spans="1:6" ht="26" x14ac:dyDescent="0.25">
      <c r="A30" s="115" t="s">
        <v>44</v>
      </c>
      <c r="B30" s="115"/>
      <c r="C30" s="115"/>
      <c r="D30" s="115"/>
      <c r="E30" s="115"/>
      <c r="F30" s="115"/>
    </row>
    <row r="31" spans="1:6" x14ac:dyDescent="0.2">
      <c r="A31" s="59" t="s">
        <v>259</v>
      </c>
      <c r="B31" s="60" t="s">
        <v>12</v>
      </c>
      <c r="C31" s="60" t="s">
        <v>39</v>
      </c>
      <c r="D31" s="61" t="s">
        <v>40</v>
      </c>
      <c r="E31" s="62" t="s">
        <v>41</v>
      </c>
      <c r="F31" s="63" t="s">
        <v>42</v>
      </c>
    </row>
    <row r="32" spans="1:6" x14ac:dyDescent="0.2">
      <c r="A32" s="74" t="s">
        <v>65</v>
      </c>
      <c r="B32" s="75">
        <v>367.94499999999999</v>
      </c>
      <c r="C32" s="76">
        <v>1688</v>
      </c>
      <c r="D32" s="77">
        <v>8.5429424566020554E-2</v>
      </c>
      <c r="E32" s="78">
        <v>691265.22</v>
      </c>
      <c r="F32" s="77">
        <v>0.14383454555390279</v>
      </c>
    </row>
    <row r="33" spans="1:6" x14ac:dyDescent="0.2">
      <c r="A33" s="74" t="s">
        <v>64</v>
      </c>
      <c r="B33" s="75">
        <v>358.95</v>
      </c>
      <c r="C33" s="76">
        <v>480</v>
      </c>
      <c r="D33" s="77">
        <v>2.4292727364745179E-2</v>
      </c>
      <c r="E33" s="78">
        <v>170830.16</v>
      </c>
      <c r="F33" s="77">
        <v>3.5545370603920309E-2</v>
      </c>
    </row>
    <row r="34" spans="1:6" x14ac:dyDescent="0.2">
      <c r="A34" s="74" t="s">
        <v>218</v>
      </c>
      <c r="B34" s="75">
        <v>109</v>
      </c>
      <c r="C34" s="76">
        <v>247</v>
      </c>
      <c r="D34" s="77">
        <v>1.250063262310846E-2</v>
      </c>
      <c r="E34" s="78">
        <v>26950.23</v>
      </c>
      <c r="F34" s="77">
        <v>5.6076509745755154E-3</v>
      </c>
    </row>
    <row r="35" spans="1:6" x14ac:dyDescent="0.2">
      <c r="A35" s="74" t="s">
        <v>109</v>
      </c>
      <c r="B35" s="75">
        <v>199.5671428571429</v>
      </c>
      <c r="C35" s="76">
        <v>1885</v>
      </c>
      <c r="D35" s="77">
        <v>9.5399564755301383E-2</v>
      </c>
      <c r="E35" s="78">
        <v>397298.28</v>
      </c>
      <c r="F35" s="77">
        <v>8.2667572300465578E-2</v>
      </c>
    </row>
    <row r="36" spans="1:6" x14ac:dyDescent="0.2">
      <c r="A36" s="74" t="s">
        <v>51</v>
      </c>
      <c r="B36" s="75">
        <v>177.88555555555561</v>
      </c>
      <c r="C36" s="76">
        <v>9574</v>
      </c>
      <c r="D36" s="77">
        <v>0.4845386912293132</v>
      </c>
      <c r="E36" s="78">
        <v>1735861.92</v>
      </c>
      <c r="F36" s="77">
        <v>0.3611883010800474</v>
      </c>
    </row>
    <row r="37" spans="1:6" x14ac:dyDescent="0.2">
      <c r="A37" s="74" t="s">
        <v>113</v>
      </c>
      <c r="B37" s="75">
        <v>215.66666666666671</v>
      </c>
      <c r="C37" s="76">
        <v>1378</v>
      </c>
      <c r="D37" s="77">
        <v>6.9740371476289281E-2</v>
      </c>
      <c r="E37" s="78">
        <v>267719.39</v>
      </c>
      <c r="F37" s="77">
        <v>5.5705531947084039E-2</v>
      </c>
    </row>
    <row r="38" spans="1:6" x14ac:dyDescent="0.2">
      <c r="A38" s="64" t="s">
        <v>105</v>
      </c>
      <c r="B38" s="65">
        <v>404</v>
      </c>
      <c r="C38" s="66">
        <v>714</v>
      </c>
      <c r="D38" s="67">
        <v>3.6135431955058452E-2</v>
      </c>
      <c r="E38" s="68">
        <v>317775.92</v>
      </c>
      <c r="F38" s="67">
        <v>6.6121010747761E-2</v>
      </c>
    </row>
    <row r="39" spans="1:6" x14ac:dyDescent="0.2">
      <c r="A39" s="74" t="s">
        <v>59</v>
      </c>
      <c r="B39" s="75">
        <v>298.79833333333329</v>
      </c>
      <c r="C39" s="76">
        <v>3190</v>
      </c>
      <c r="D39" s="77">
        <v>0.1614454172782023</v>
      </c>
      <c r="E39" s="78">
        <v>997572.19</v>
      </c>
      <c r="F39" s="77">
        <v>0.20756916224696159</v>
      </c>
    </row>
    <row r="40" spans="1:6" x14ac:dyDescent="0.2">
      <c r="A40" s="64" t="s">
        <v>84</v>
      </c>
      <c r="B40" s="65">
        <v>339</v>
      </c>
      <c r="C40" s="66">
        <v>603</v>
      </c>
      <c r="D40" s="67">
        <v>3.0517738751961131E-2</v>
      </c>
      <c r="E40" s="68">
        <v>200701.62</v>
      </c>
      <c r="F40" s="67">
        <v>4.1760854545281612E-2</v>
      </c>
    </row>
    <row r="41" spans="1:6" x14ac:dyDescent="0.2">
      <c r="A41" s="74"/>
      <c r="B41" s="75"/>
      <c r="C41" s="76"/>
      <c r="D41" s="77"/>
      <c r="E41" s="78"/>
      <c r="F41" s="77"/>
    </row>
    <row r="42" spans="1:6" x14ac:dyDescent="0.2">
      <c r="A42" s="64"/>
      <c r="B42" s="65"/>
      <c r="C42" s="66"/>
      <c r="D42" s="67"/>
      <c r="E42" s="68"/>
      <c r="F42" s="67"/>
    </row>
    <row r="43" spans="1:6" x14ac:dyDescent="0.2">
      <c r="A43" s="69" t="s">
        <v>5</v>
      </c>
      <c r="B43" s="70">
        <v>274.53474426807759</v>
      </c>
      <c r="C43" s="71">
        <v>19759</v>
      </c>
      <c r="D43" s="72">
        <v>1</v>
      </c>
      <c r="E43" s="73">
        <v>4805974.9300000006</v>
      </c>
      <c r="F43" s="72">
        <v>1</v>
      </c>
    </row>
  </sheetData>
  <mergeCells count="2">
    <mergeCell ref="A1:F1"/>
    <mergeCell ref="A30:F30"/>
  </mergeCells>
  <conditionalFormatting sqref="C3:F12 C32:F43">
    <cfRule type="expression" dxfId="4" priority="1">
      <formula>C3&lt;0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0539B-D13D-4D4F-A989-E109630BDFE3}">
  <dimension ref="A1:F33"/>
  <sheetViews>
    <sheetView topLeftCell="A4" zoomScale="75" workbookViewId="0">
      <selection activeCell="K34" sqref="K34"/>
    </sheetView>
  </sheetViews>
  <sheetFormatPr baseColWidth="10" defaultColWidth="8.83203125" defaultRowHeight="16" x14ac:dyDescent="0.2"/>
  <cols>
    <col min="1" max="2" width="15.33203125" customWidth="1"/>
    <col min="3" max="3" width="23.6640625" customWidth="1"/>
    <col min="4" max="4" width="20.83203125" style="12" customWidth="1"/>
    <col min="5" max="5" width="19.83203125" customWidth="1"/>
    <col min="6" max="6" width="15.33203125" customWidth="1"/>
  </cols>
  <sheetData>
    <row r="1" spans="1:6" ht="26" x14ac:dyDescent="0.25">
      <c r="A1" s="115" t="s">
        <v>43</v>
      </c>
      <c r="B1" s="115"/>
      <c r="C1" s="115"/>
      <c r="D1" s="115"/>
      <c r="E1" s="115"/>
      <c r="F1" s="115"/>
    </row>
    <row r="2" spans="1:6" x14ac:dyDescent="0.2">
      <c r="A2" s="59" t="s">
        <v>260</v>
      </c>
      <c r="B2" s="60" t="s">
        <v>12</v>
      </c>
      <c r="C2" s="60" t="s">
        <v>39</v>
      </c>
      <c r="D2" s="61" t="s">
        <v>40</v>
      </c>
      <c r="E2" s="62" t="s">
        <v>41</v>
      </c>
      <c r="F2" s="63" t="s">
        <v>42</v>
      </c>
    </row>
    <row r="3" spans="1:6" x14ac:dyDescent="0.2">
      <c r="A3" s="74" t="s">
        <v>65</v>
      </c>
      <c r="B3" s="75">
        <v>499</v>
      </c>
      <c r="C3" s="76">
        <v>243</v>
      </c>
      <c r="D3" s="77">
        <v>1.250321584769745E-2</v>
      </c>
      <c r="E3" s="78">
        <v>110079.32</v>
      </c>
      <c r="F3" s="77">
        <v>2.2429396944691381E-2</v>
      </c>
    </row>
    <row r="4" spans="1:6" x14ac:dyDescent="0.2">
      <c r="A4" s="64" t="s">
        <v>52</v>
      </c>
      <c r="B4" s="65">
        <v>321.62225000000001</v>
      </c>
      <c r="C4" s="66">
        <v>16263</v>
      </c>
      <c r="D4" s="67">
        <v>0.8367892976588629</v>
      </c>
      <c r="E4" s="68">
        <v>3959753.1</v>
      </c>
      <c r="F4" s="67">
        <v>0.8068261512050785</v>
      </c>
    </row>
    <row r="5" spans="1:6" x14ac:dyDescent="0.2">
      <c r="A5" s="74" t="s">
        <v>66</v>
      </c>
      <c r="B5" s="75">
        <v>345.9883333333334</v>
      </c>
      <c r="C5" s="76">
        <v>2929</v>
      </c>
      <c r="D5" s="77">
        <v>0.15070748649343971</v>
      </c>
      <c r="E5" s="78">
        <v>837982.1</v>
      </c>
      <c r="F5" s="77">
        <v>0.17074445185022999</v>
      </c>
    </row>
    <row r="6" spans="1:6" x14ac:dyDescent="0.2">
      <c r="A6" s="74"/>
      <c r="B6" s="75"/>
      <c r="C6" s="76"/>
      <c r="D6" s="77"/>
      <c r="E6" s="78"/>
      <c r="F6" s="77"/>
    </row>
    <row r="7" spans="1:6" x14ac:dyDescent="0.2">
      <c r="A7" s="64"/>
      <c r="B7" s="65"/>
      <c r="C7" s="66"/>
      <c r="D7" s="67"/>
      <c r="E7" s="68"/>
      <c r="F7" s="67"/>
    </row>
    <row r="8" spans="1:6" x14ac:dyDescent="0.2">
      <c r="A8" s="69" t="s">
        <v>5</v>
      </c>
      <c r="B8" s="70">
        <v>388.87019444444451</v>
      </c>
      <c r="C8" s="71">
        <v>19435</v>
      </c>
      <c r="D8" s="72">
        <v>1</v>
      </c>
      <c r="E8" s="73">
        <v>4907814.5199999996</v>
      </c>
      <c r="F8" s="72">
        <v>1</v>
      </c>
    </row>
    <row r="26" spans="1:6" ht="26" x14ac:dyDescent="0.25">
      <c r="A26" s="115" t="s">
        <v>44</v>
      </c>
      <c r="B26" s="115"/>
      <c r="C26" s="115"/>
      <c r="D26" s="115"/>
      <c r="E26" s="115"/>
      <c r="F26" s="115"/>
    </row>
    <row r="27" spans="1:6" x14ac:dyDescent="0.2">
      <c r="A27" s="59" t="s">
        <v>260</v>
      </c>
      <c r="B27" s="60" t="s">
        <v>12</v>
      </c>
      <c r="C27" s="60" t="s">
        <v>39</v>
      </c>
      <c r="D27" s="61" t="s">
        <v>40</v>
      </c>
      <c r="E27" s="62" t="s">
        <v>41</v>
      </c>
      <c r="F27" s="63" t="s">
        <v>42</v>
      </c>
    </row>
    <row r="28" spans="1:6" x14ac:dyDescent="0.2">
      <c r="A28" s="74" t="s">
        <v>65</v>
      </c>
      <c r="B28" s="75">
        <v>135.32666666666671</v>
      </c>
      <c r="C28" s="76">
        <v>305</v>
      </c>
      <c r="D28" s="77">
        <v>1.54360038463485E-2</v>
      </c>
      <c r="E28" s="78">
        <v>34342.370000000003</v>
      </c>
      <c r="F28" s="77">
        <v>7.145765531490194E-3</v>
      </c>
    </row>
    <row r="29" spans="1:6" x14ac:dyDescent="0.2">
      <c r="A29" s="64" t="s">
        <v>52</v>
      </c>
      <c r="B29" s="65">
        <v>294.99799999999999</v>
      </c>
      <c r="C29" s="66">
        <v>16348</v>
      </c>
      <c r="D29" s="67">
        <v>0.82736980616427958</v>
      </c>
      <c r="E29" s="68">
        <v>3927222.15</v>
      </c>
      <c r="F29" s="67">
        <v>0.81715410654462139</v>
      </c>
    </row>
    <row r="30" spans="1:6" x14ac:dyDescent="0.2">
      <c r="A30" s="74" t="s">
        <v>66</v>
      </c>
      <c r="B30" s="75">
        <v>266.13</v>
      </c>
      <c r="C30" s="76">
        <v>3106</v>
      </c>
      <c r="D30" s="77">
        <v>0.1571941899893719</v>
      </c>
      <c r="E30" s="78">
        <v>844410.41</v>
      </c>
      <c r="F30" s="77">
        <v>0.17570012792388831</v>
      </c>
    </row>
    <row r="31" spans="1:6" x14ac:dyDescent="0.2">
      <c r="A31" s="74"/>
      <c r="B31" s="75"/>
      <c r="C31" s="76"/>
      <c r="D31" s="77"/>
      <c r="E31" s="78"/>
      <c r="F31" s="77"/>
    </row>
    <row r="32" spans="1:6" x14ac:dyDescent="0.2">
      <c r="A32" s="64"/>
      <c r="B32" s="65"/>
      <c r="C32" s="66"/>
      <c r="D32" s="67"/>
      <c r="E32" s="68"/>
      <c r="F32" s="67"/>
    </row>
    <row r="33" spans="1:6" x14ac:dyDescent="0.2">
      <c r="A33" s="69" t="s">
        <v>5</v>
      </c>
      <c r="B33" s="70">
        <v>232.15155555555549</v>
      </c>
      <c r="C33" s="71">
        <v>19759</v>
      </c>
      <c r="D33" s="72">
        <v>1</v>
      </c>
      <c r="E33" s="73">
        <v>4805974.9300000006</v>
      </c>
      <c r="F33" s="72">
        <v>1</v>
      </c>
    </row>
  </sheetData>
  <mergeCells count="2">
    <mergeCell ref="A1:F1"/>
    <mergeCell ref="A26:F26"/>
  </mergeCells>
  <conditionalFormatting sqref="C3:F8 C28:F33">
    <cfRule type="expression" dxfId="3" priority="1">
      <formula>C3&lt;0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0C597-5A7A-0E46-AF45-EC7B63771778}">
  <dimension ref="A1:F33"/>
  <sheetViews>
    <sheetView zoomScale="56" workbookViewId="0">
      <selection activeCell="L24" sqref="L24"/>
    </sheetView>
  </sheetViews>
  <sheetFormatPr baseColWidth="10" defaultColWidth="8.83203125" defaultRowHeight="16" x14ac:dyDescent="0.2"/>
  <cols>
    <col min="1" max="2" width="15.33203125" customWidth="1"/>
    <col min="3" max="3" width="23.6640625" customWidth="1"/>
    <col min="4" max="4" width="20.83203125" style="12" customWidth="1"/>
    <col min="5" max="5" width="19.83203125" customWidth="1"/>
    <col min="6" max="6" width="15.33203125" customWidth="1"/>
  </cols>
  <sheetData>
    <row r="1" spans="1:6" ht="26" x14ac:dyDescent="0.25">
      <c r="A1" s="115" t="s">
        <v>43</v>
      </c>
      <c r="B1" s="115"/>
      <c r="C1" s="115"/>
      <c r="D1" s="115"/>
      <c r="E1" s="115"/>
      <c r="F1" s="115"/>
    </row>
    <row r="2" spans="1:6" x14ac:dyDescent="0.2">
      <c r="A2" s="59" t="s">
        <v>261</v>
      </c>
      <c r="B2" s="60" t="s">
        <v>12</v>
      </c>
      <c r="C2" s="60" t="s">
        <v>39</v>
      </c>
      <c r="D2" s="61" t="s">
        <v>40</v>
      </c>
      <c r="E2" s="62" t="s">
        <v>41</v>
      </c>
      <c r="F2" s="63" t="s">
        <v>42</v>
      </c>
    </row>
    <row r="3" spans="1:6" x14ac:dyDescent="0.2">
      <c r="A3" s="74" t="s">
        <v>65</v>
      </c>
      <c r="B3" s="75">
        <v>499</v>
      </c>
      <c r="C3" s="76">
        <v>243</v>
      </c>
      <c r="D3" s="77">
        <v>1.250321584769745E-2</v>
      </c>
      <c r="E3" s="78">
        <v>110079.32</v>
      </c>
      <c r="F3" s="77">
        <v>2.2429396944691381E-2</v>
      </c>
    </row>
    <row r="4" spans="1:6" x14ac:dyDescent="0.2">
      <c r="A4" s="64" t="s">
        <v>97</v>
      </c>
      <c r="B4" s="65">
        <v>363.97500000000002</v>
      </c>
      <c r="C4" s="66">
        <v>628</v>
      </c>
      <c r="D4" s="67">
        <v>3.2312837664008227E-2</v>
      </c>
      <c r="E4" s="68">
        <v>242795.33</v>
      </c>
      <c r="F4" s="67">
        <v>4.9471170723868349E-2</v>
      </c>
    </row>
    <row r="5" spans="1:6" x14ac:dyDescent="0.2">
      <c r="A5" s="74" t="s">
        <v>52</v>
      </c>
      <c r="B5" s="75">
        <v>280.59628571428573</v>
      </c>
      <c r="C5" s="76">
        <v>16738</v>
      </c>
      <c r="D5" s="77">
        <v>0.86122974015950604</v>
      </c>
      <c r="E5" s="78">
        <v>3690465.66</v>
      </c>
      <c r="F5" s="77">
        <v>0.7519570360617458</v>
      </c>
    </row>
    <row r="6" spans="1:6" x14ac:dyDescent="0.2">
      <c r="A6" s="74" t="s">
        <v>66</v>
      </c>
      <c r="B6" s="75">
        <v>488</v>
      </c>
      <c r="C6" s="76">
        <v>1826</v>
      </c>
      <c r="D6" s="77">
        <v>9.3954206328788273E-2</v>
      </c>
      <c r="E6" s="78">
        <v>864474.21</v>
      </c>
      <c r="F6" s="77">
        <v>0.17614239626969441</v>
      </c>
    </row>
    <row r="7" spans="1:6" x14ac:dyDescent="0.2">
      <c r="A7" s="64"/>
      <c r="B7" s="65"/>
      <c r="C7" s="66"/>
      <c r="D7" s="67"/>
      <c r="E7" s="68"/>
      <c r="F7" s="67"/>
    </row>
    <row r="8" spans="1:6" x14ac:dyDescent="0.2">
      <c r="A8" s="69" t="s">
        <v>5</v>
      </c>
      <c r="B8" s="70">
        <v>407.89282142857138</v>
      </c>
      <c r="C8" s="71">
        <v>19435</v>
      </c>
      <c r="D8" s="72">
        <v>1</v>
      </c>
      <c r="E8" s="73">
        <v>4907814.5199999996</v>
      </c>
      <c r="F8" s="72">
        <v>1</v>
      </c>
    </row>
    <row r="26" spans="1:6" ht="26" x14ac:dyDescent="0.25">
      <c r="A26" s="115" t="s">
        <v>44</v>
      </c>
      <c r="B26" s="115"/>
      <c r="C26" s="115"/>
      <c r="D26" s="115"/>
      <c r="E26" s="115"/>
      <c r="F26" s="115"/>
    </row>
    <row r="27" spans="1:6" x14ac:dyDescent="0.2">
      <c r="A27" s="59" t="s">
        <v>261</v>
      </c>
      <c r="B27" s="60" t="s">
        <v>12</v>
      </c>
      <c r="C27" s="60" t="s">
        <v>39</v>
      </c>
      <c r="D27" s="61" t="s">
        <v>40</v>
      </c>
      <c r="E27" s="62" t="s">
        <v>41</v>
      </c>
      <c r="F27" s="63" t="s">
        <v>42</v>
      </c>
    </row>
    <row r="28" spans="1:6" x14ac:dyDescent="0.2">
      <c r="A28" s="74" t="s">
        <v>65</v>
      </c>
      <c r="B28" s="75">
        <v>135.32666666666671</v>
      </c>
      <c r="C28" s="76">
        <v>305</v>
      </c>
      <c r="D28" s="77">
        <v>1.54360038463485E-2</v>
      </c>
      <c r="E28" s="78">
        <v>34342.370000000003</v>
      </c>
      <c r="F28" s="77">
        <v>7.145765531490194E-3</v>
      </c>
    </row>
    <row r="29" spans="1:6" x14ac:dyDescent="0.2">
      <c r="A29" s="64" t="s">
        <v>97</v>
      </c>
      <c r="B29" s="65">
        <v>363.97500000000002</v>
      </c>
      <c r="C29" s="66">
        <v>628</v>
      </c>
      <c r="D29" s="67">
        <v>3.1782984968874953E-2</v>
      </c>
      <c r="E29" s="68">
        <v>242795.33</v>
      </c>
      <c r="F29" s="67">
        <v>5.0519474932009263E-2</v>
      </c>
    </row>
    <row r="30" spans="1:6" x14ac:dyDescent="0.2">
      <c r="A30" s="74" t="s">
        <v>52</v>
      </c>
      <c r="B30" s="75">
        <v>251.86526315789479</v>
      </c>
      <c r="C30" s="76">
        <v>17114</v>
      </c>
      <c r="D30" s="77">
        <v>0.86613695025051873</v>
      </c>
      <c r="E30" s="78">
        <v>3723591.94</v>
      </c>
      <c r="F30" s="77">
        <v>0.77478388760550598</v>
      </c>
    </row>
    <row r="31" spans="1:6" x14ac:dyDescent="0.2">
      <c r="A31" t="s">
        <v>66</v>
      </c>
      <c r="B31">
        <v>480.57142857142861</v>
      </c>
      <c r="C31">
        <v>1712</v>
      </c>
      <c r="D31" s="12">
        <v>8.6644060934257805E-2</v>
      </c>
      <c r="E31">
        <v>805245.29</v>
      </c>
      <c r="F31">
        <v>0.16755087193099441</v>
      </c>
    </row>
    <row r="32" spans="1:6" x14ac:dyDescent="0.2">
      <c r="A32" s="74"/>
      <c r="B32" s="75"/>
      <c r="C32" s="76"/>
      <c r="D32" s="77"/>
      <c r="E32" s="78"/>
      <c r="F32" s="77"/>
    </row>
    <row r="33" spans="1:6" x14ac:dyDescent="0.2">
      <c r="A33" s="69" t="s">
        <v>5</v>
      </c>
      <c r="B33" s="70">
        <v>307.93458959899749</v>
      </c>
      <c r="C33" s="71">
        <v>19759</v>
      </c>
      <c r="D33" s="72">
        <v>1</v>
      </c>
      <c r="E33" s="73">
        <v>4805974.9300000006</v>
      </c>
      <c r="F33" s="72">
        <v>1</v>
      </c>
    </row>
  </sheetData>
  <mergeCells count="2">
    <mergeCell ref="A1:F1"/>
    <mergeCell ref="A26:F26"/>
  </mergeCells>
  <conditionalFormatting sqref="C3:F8 C28:F30 C32:F33">
    <cfRule type="expression" dxfId="2" priority="1">
      <formula>C3&lt;0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71480-4B95-FB4D-A02A-764101F8EE68}">
  <dimension ref="A1:F36"/>
  <sheetViews>
    <sheetView topLeftCell="A6" zoomScale="75" workbookViewId="0">
      <selection activeCell="H37" sqref="H37"/>
    </sheetView>
  </sheetViews>
  <sheetFormatPr baseColWidth="10" defaultColWidth="8.83203125" defaultRowHeight="16" x14ac:dyDescent="0.2"/>
  <cols>
    <col min="1" max="2" width="15.33203125" customWidth="1"/>
    <col min="3" max="3" width="23.6640625" customWidth="1"/>
    <col min="4" max="4" width="20.83203125" style="12" customWidth="1"/>
    <col min="5" max="5" width="19.83203125" customWidth="1"/>
    <col min="6" max="6" width="15.33203125" customWidth="1"/>
  </cols>
  <sheetData>
    <row r="1" spans="1:6" ht="26" x14ac:dyDescent="0.25">
      <c r="A1" s="115" t="s">
        <v>43</v>
      </c>
      <c r="B1" s="115"/>
      <c r="C1" s="115"/>
      <c r="D1" s="115"/>
      <c r="E1" s="115"/>
      <c r="F1" s="115"/>
    </row>
    <row r="2" spans="1:6" x14ac:dyDescent="0.2">
      <c r="A2" s="59" t="s">
        <v>262</v>
      </c>
      <c r="B2" s="60" t="s">
        <v>12</v>
      </c>
      <c r="C2" s="60" t="s">
        <v>39</v>
      </c>
      <c r="D2" s="61" t="s">
        <v>40</v>
      </c>
      <c r="E2" s="62" t="s">
        <v>41</v>
      </c>
      <c r="F2" s="63" t="s">
        <v>42</v>
      </c>
    </row>
    <row r="3" spans="1:6" x14ac:dyDescent="0.2">
      <c r="A3" s="74" t="s">
        <v>65</v>
      </c>
      <c r="B3" s="75">
        <v>499</v>
      </c>
      <c r="C3" s="76">
        <v>243</v>
      </c>
      <c r="D3" s="77">
        <v>1.250321584769745E-2</v>
      </c>
      <c r="E3" s="78">
        <v>110079.32</v>
      </c>
      <c r="F3" s="77">
        <v>2.2429396944691381E-2</v>
      </c>
    </row>
    <row r="4" spans="1:6" x14ac:dyDescent="0.2">
      <c r="A4" s="64" t="s">
        <v>80</v>
      </c>
      <c r="B4" s="65">
        <v>281.995</v>
      </c>
      <c r="C4" s="66">
        <v>2029</v>
      </c>
      <c r="D4" s="67">
        <v>0.10439927965011581</v>
      </c>
      <c r="E4" s="68">
        <v>532671.21</v>
      </c>
      <c r="F4" s="67">
        <v>0.10853531807880951</v>
      </c>
    </row>
    <row r="5" spans="1:6" x14ac:dyDescent="0.2">
      <c r="A5" s="74" t="s">
        <v>204</v>
      </c>
      <c r="B5" s="75">
        <v>299</v>
      </c>
      <c r="C5" s="76">
        <v>106</v>
      </c>
      <c r="D5" s="77">
        <v>5.4540776948803701E-3</v>
      </c>
      <c r="E5" s="78">
        <v>30154.5</v>
      </c>
      <c r="F5" s="77">
        <v>6.1441808522136234E-3</v>
      </c>
    </row>
    <row r="6" spans="1:6" x14ac:dyDescent="0.2">
      <c r="A6" s="64" t="s">
        <v>73</v>
      </c>
      <c r="B6" s="65">
        <v>355.08454545454549</v>
      </c>
      <c r="C6" s="66">
        <v>3289</v>
      </c>
      <c r="D6" s="67">
        <v>0.16923076923076921</v>
      </c>
      <c r="E6" s="68">
        <v>1043319.05</v>
      </c>
      <c r="F6" s="67">
        <v>0.2125832273710295</v>
      </c>
    </row>
    <row r="7" spans="1:6" x14ac:dyDescent="0.2">
      <c r="A7" s="74" t="s">
        <v>67</v>
      </c>
      <c r="B7" s="75">
        <v>659.33333333333337</v>
      </c>
      <c r="C7" s="76">
        <v>624</v>
      </c>
      <c r="D7" s="77">
        <v>3.2107023411371227E-2</v>
      </c>
      <c r="E7" s="78">
        <v>374842.39</v>
      </c>
      <c r="F7" s="77">
        <v>7.6376641470957629E-2</v>
      </c>
    </row>
    <row r="8" spans="1:6" x14ac:dyDescent="0.2">
      <c r="A8" s="74" t="s">
        <v>208</v>
      </c>
      <c r="B8" s="75">
        <v>459</v>
      </c>
      <c r="C8" s="76">
        <v>65</v>
      </c>
      <c r="D8" s="77">
        <v>3.3444816053511709E-3</v>
      </c>
      <c r="E8" s="78">
        <v>29965.85</v>
      </c>
      <c r="F8" s="77">
        <v>6.1057421542491368E-3</v>
      </c>
    </row>
    <row r="9" spans="1:6" x14ac:dyDescent="0.2">
      <c r="A9" s="64" t="s">
        <v>52</v>
      </c>
      <c r="B9" s="65">
        <v>275.80423076923068</v>
      </c>
      <c r="C9" s="66">
        <v>13079</v>
      </c>
      <c r="D9" s="67">
        <v>0.67296115255981481</v>
      </c>
      <c r="E9" s="68">
        <v>2786782.2</v>
      </c>
      <c r="F9" s="67">
        <v>0.5678254931280492</v>
      </c>
    </row>
    <row r="10" spans="1:6" x14ac:dyDescent="0.2">
      <c r="A10" s="69" t="s">
        <v>5</v>
      </c>
      <c r="B10" s="70">
        <v>404.17387279387282</v>
      </c>
      <c r="C10" s="71">
        <v>19435</v>
      </c>
      <c r="D10" s="72">
        <v>1</v>
      </c>
      <c r="E10" s="73">
        <v>4907814.5199999996</v>
      </c>
      <c r="F10" s="72">
        <v>1</v>
      </c>
    </row>
    <row r="28" spans="1:6" ht="26" x14ac:dyDescent="0.25">
      <c r="A28" s="115" t="s">
        <v>44</v>
      </c>
      <c r="B28" s="115"/>
      <c r="C28" s="115"/>
      <c r="D28" s="115"/>
      <c r="E28" s="115"/>
      <c r="F28" s="115"/>
    </row>
    <row r="29" spans="1:6" x14ac:dyDescent="0.2">
      <c r="A29" s="59" t="s">
        <v>262</v>
      </c>
      <c r="B29" s="60" t="s">
        <v>12</v>
      </c>
      <c r="C29" s="60" t="s">
        <v>39</v>
      </c>
      <c r="D29" s="61" t="s">
        <v>40</v>
      </c>
      <c r="E29" s="62" t="s">
        <v>41</v>
      </c>
      <c r="F29" s="63" t="s">
        <v>42</v>
      </c>
    </row>
    <row r="30" spans="1:6" x14ac:dyDescent="0.2">
      <c r="A30" s="74" t="s">
        <v>65</v>
      </c>
      <c r="B30" s="75">
        <v>135.32666666666671</v>
      </c>
      <c r="C30" s="76">
        <v>305</v>
      </c>
      <c r="D30" s="77">
        <v>1.54360038463485E-2</v>
      </c>
      <c r="E30" s="78">
        <v>34342.370000000003</v>
      </c>
      <c r="F30" s="77">
        <v>7.145765531490194E-3</v>
      </c>
    </row>
    <row r="31" spans="1:6" x14ac:dyDescent="0.2">
      <c r="A31" s="64" t="s">
        <v>80</v>
      </c>
      <c r="B31" s="65">
        <v>281.995</v>
      </c>
      <c r="C31" s="66">
        <v>2029</v>
      </c>
      <c r="D31" s="67">
        <v>0.1026873829647249</v>
      </c>
      <c r="E31" s="68">
        <v>532671.21</v>
      </c>
      <c r="F31" s="67">
        <v>0.1108352036284966</v>
      </c>
    </row>
    <row r="32" spans="1:6" x14ac:dyDescent="0.2">
      <c r="A32" s="64" t="s">
        <v>204</v>
      </c>
      <c r="B32" s="65">
        <v>237.495</v>
      </c>
      <c r="C32" s="66">
        <v>248</v>
      </c>
      <c r="D32" s="67">
        <v>1.2551242471785009E-2</v>
      </c>
      <c r="E32" s="68">
        <v>50875.33</v>
      </c>
      <c r="F32" s="67">
        <v>1.0585850059771329E-2</v>
      </c>
    </row>
    <row r="33" spans="1:6" x14ac:dyDescent="0.2">
      <c r="A33" s="64" t="s">
        <v>73</v>
      </c>
      <c r="B33" s="65">
        <v>333.69299999999998</v>
      </c>
      <c r="C33" s="66">
        <v>3240</v>
      </c>
      <c r="D33" s="67">
        <v>0.16397590971202999</v>
      </c>
      <c r="E33" s="68">
        <v>1014055.98</v>
      </c>
      <c r="F33" s="67">
        <v>0.21099901576057531</v>
      </c>
    </row>
    <row r="34" spans="1:6" x14ac:dyDescent="0.2">
      <c r="A34" s="64" t="s">
        <v>67</v>
      </c>
      <c r="B34" s="65">
        <v>659.33333333333337</v>
      </c>
      <c r="C34" s="66">
        <v>624</v>
      </c>
      <c r="D34" s="67">
        <v>3.1580545574168728E-2</v>
      </c>
      <c r="E34" s="68">
        <v>374842.39</v>
      </c>
      <c r="F34" s="67">
        <v>7.7995078097504764E-2</v>
      </c>
    </row>
    <row r="35" spans="1:6" x14ac:dyDescent="0.2">
      <c r="A35" s="74" t="s">
        <v>52</v>
      </c>
      <c r="B35" s="75">
        <v>240.89035714285711</v>
      </c>
      <c r="C35" s="76">
        <v>13313</v>
      </c>
      <c r="D35" s="77">
        <v>0.67376891543094286</v>
      </c>
      <c r="E35" s="78">
        <v>2799187.65</v>
      </c>
      <c r="F35" s="77">
        <v>0.58243908692216162</v>
      </c>
    </row>
    <row r="36" spans="1:6" x14ac:dyDescent="0.2">
      <c r="A36" s="69" t="s">
        <v>5</v>
      </c>
      <c r="B36" s="70">
        <v>314.78889285714291</v>
      </c>
      <c r="C36" s="71">
        <v>19759</v>
      </c>
      <c r="D36" s="72">
        <v>1</v>
      </c>
      <c r="E36" s="73">
        <v>4805974.9300000006</v>
      </c>
      <c r="F36" s="72">
        <v>1</v>
      </c>
    </row>
  </sheetData>
  <mergeCells count="2">
    <mergeCell ref="A1:F1"/>
    <mergeCell ref="A28:F28"/>
  </mergeCells>
  <conditionalFormatting sqref="C3:F10 C30:F36">
    <cfRule type="expression" dxfId="1" priority="1">
      <formula>C3&lt;0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960F6-2E68-754E-A875-E7077B1EEF22}">
  <dimension ref="A1:F41"/>
  <sheetViews>
    <sheetView zoomScale="86" workbookViewId="0">
      <selection activeCell="K38" sqref="K38"/>
    </sheetView>
  </sheetViews>
  <sheetFormatPr baseColWidth="10" defaultColWidth="8.83203125" defaultRowHeight="16" x14ac:dyDescent="0.2"/>
  <cols>
    <col min="1" max="2" width="15.33203125" customWidth="1"/>
    <col min="3" max="3" width="23.6640625" customWidth="1"/>
    <col min="4" max="4" width="20.83203125" style="12" customWidth="1"/>
    <col min="5" max="5" width="19.83203125" customWidth="1"/>
    <col min="6" max="6" width="15.33203125" customWidth="1"/>
  </cols>
  <sheetData>
    <row r="1" spans="1:6" ht="26" x14ac:dyDescent="0.25">
      <c r="A1" s="115" t="s">
        <v>43</v>
      </c>
      <c r="B1" s="115"/>
      <c r="C1" s="115"/>
      <c r="D1" s="115"/>
      <c r="E1" s="115"/>
      <c r="F1" s="115"/>
    </row>
    <row r="2" spans="1:6" x14ac:dyDescent="0.2">
      <c r="A2" s="59" t="s">
        <v>45</v>
      </c>
      <c r="B2" s="60" t="s">
        <v>12</v>
      </c>
      <c r="C2" s="60" t="s">
        <v>39</v>
      </c>
      <c r="D2" s="61" t="s">
        <v>40</v>
      </c>
      <c r="E2" s="62" t="s">
        <v>41</v>
      </c>
      <c r="F2" s="63" t="s">
        <v>42</v>
      </c>
    </row>
    <row r="3" spans="1:6" x14ac:dyDescent="0.2">
      <c r="A3" s="74" t="s">
        <v>65</v>
      </c>
      <c r="B3" s="75">
        <v>499</v>
      </c>
      <c r="C3" s="76">
        <v>243</v>
      </c>
      <c r="D3" s="77">
        <v>1.250321584769745E-2</v>
      </c>
      <c r="E3" s="78">
        <v>110079.32</v>
      </c>
      <c r="F3" s="77">
        <v>2.2429396944691381E-2</v>
      </c>
    </row>
    <row r="4" spans="1:6" x14ac:dyDescent="0.2">
      <c r="A4" s="74" t="s">
        <v>119</v>
      </c>
      <c r="B4" s="75">
        <v>139.99</v>
      </c>
      <c r="C4" s="76">
        <v>905</v>
      </c>
      <c r="D4" s="77">
        <v>4.6565474659120143E-2</v>
      </c>
      <c r="E4" s="78">
        <v>108269.05</v>
      </c>
      <c r="F4" s="77">
        <v>2.206054233687707E-2</v>
      </c>
    </row>
    <row r="5" spans="1:6" x14ac:dyDescent="0.2">
      <c r="A5" s="74" t="s">
        <v>53</v>
      </c>
      <c r="B5" s="75">
        <v>225.6177777777778</v>
      </c>
      <c r="C5" s="76">
        <v>8017</v>
      </c>
      <c r="D5" s="77">
        <v>0.41250321584769739</v>
      </c>
      <c r="E5" s="78">
        <v>1624878.64</v>
      </c>
      <c r="F5" s="77">
        <v>0.33107987952242329</v>
      </c>
    </row>
    <row r="6" spans="1:6" x14ac:dyDescent="0.2">
      <c r="A6" s="74" t="s">
        <v>114</v>
      </c>
      <c r="B6" s="75">
        <v>331.39600000000002</v>
      </c>
      <c r="C6" s="76">
        <v>1355</v>
      </c>
      <c r="D6" s="77">
        <v>6.9719578080782094E-2</v>
      </c>
      <c r="E6" s="78">
        <v>359439.69</v>
      </c>
      <c r="F6" s="77">
        <v>7.3238238432857483E-2</v>
      </c>
    </row>
    <row r="7" spans="1:6" x14ac:dyDescent="0.2">
      <c r="A7" s="74" t="s">
        <v>85</v>
      </c>
      <c r="B7" s="75">
        <v>339</v>
      </c>
      <c r="C7" s="76">
        <v>603</v>
      </c>
      <c r="D7" s="77">
        <v>3.1026498585027009E-2</v>
      </c>
      <c r="E7" s="78">
        <v>200701.62</v>
      </c>
      <c r="F7" s="77">
        <v>4.0894296062354042E-2</v>
      </c>
    </row>
    <row r="8" spans="1:6" x14ac:dyDescent="0.2">
      <c r="A8" s="74" t="s">
        <v>74</v>
      </c>
      <c r="B8" s="75">
        <v>429</v>
      </c>
      <c r="C8" s="76">
        <v>751</v>
      </c>
      <c r="D8" s="77">
        <v>3.8641625932595833E-2</v>
      </c>
      <c r="E8" s="78">
        <v>297448.08</v>
      </c>
      <c r="F8" s="77">
        <v>6.0607033698575882E-2</v>
      </c>
    </row>
    <row r="9" spans="1:6" x14ac:dyDescent="0.2">
      <c r="A9" s="74" t="s">
        <v>68</v>
      </c>
      <c r="B9" s="75">
        <v>600.33166666666659</v>
      </c>
      <c r="C9" s="76">
        <v>1612</v>
      </c>
      <c r="D9" s="77">
        <v>8.2943143812709036E-2</v>
      </c>
      <c r="E9" s="78">
        <v>642439.17999999993</v>
      </c>
      <c r="F9" s="77">
        <v>0.13090127538071669</v>
      </c>
    </row>
    <row r="10" spans="1:6" x14ac:dyDescent="0.2">
      <c r="A10" s="64" t="s">
        <v>46</v>
      </c>
      <c r="B10" s="65">
        <v>280.25238095238097</v>
      </c>
      <c r="C10" s="66">
        <v>5949</v>
      </c>
      <c r="D10" s="67">
        <v>0.30609724723437098</v>
      </c>
      <c r="E10" s="68">
        <v>1564558.94</v>
      </c>
      <c r="F10" s="67">
        <v>0.31878933762150402</v>
      </c>
    </row>
    <row r="11" spans="1:6" x14ac:dyDescent="0.2">
      <c r="A11" s="64"/>
      <c r="B11" s="65"/>
      <c r="C11" s="66"/>
      <c r="D11" s="67"/>
      <c r="E11" s="68"/>
      <c r="F11" s="67"/>
    </row>
    <row r="12" spans="1:6" x14ac:dyDescent="0.2">
      <c r="A12" s="69" t="s">
        <v>5</v>
      </c>
      <c r="B12" s="70">
        <v>355.57347817460322</v>
      </c>
      <c r="C12" s="71">
        <v>19435</v>
      </c>
      <c r="D12" s="72">
        <v>1</v>
      </c>
      <c r="E12" s="73">
        <v>4907814.5199999996</v>
      </c>
      <c r="F12" s="72">
        <v>1</v>
      </c>
    </row>
    <row r="30" spans="1:6" ht="26" x14ac:dyDescent="0.25">
      <c r="A30" s="115" t="s">
        <v>44</v>
      </c>
      <c r="B30" s="115"/>
      <c r="C30" s="115"/>
      <c r="D30" s="115"/>
      <c r="E30" s="115"/>
      <c r="F30" s="115"/>
    </row>
    <row r="31" spans="1:6" x14ac:dyDescent="0.2">
      <c r="A31" s="59" t="s">
        <v>45</v>
      </c>
      <c r="B31" s="60" t="s">
        <v>12</v>
      </c>
      <c r="C31" s="60" t="s">
        <v>39</v>
      </c>
      <c r="D31" s="61" t="s">
        <v>40</v>
      </c>
      <c r="E31" s="62" t="s">
        <v>41</v>
      </c>
      <c r="F31" s="63" t="s">
        <v>42</v>
      </c>
    </row>
    <row r="32" spans="1:6" x14ac:dyDescent="0.2">
      <c r="A32" s="74" t="s">
        <v>65</v>
      </c>
      <c r="B32" s="75">
        <v>369</v>
      </c>
      <c r="C32" s="76">
        <v>82</v>
      </c>
      <c r="D32" s="77">
        <v>4.1500075914773019E-3</v>
      </c>
      <c r="E32" s="78">
        <v>30320.880000000001</v>
      </c>
      <c r="F32" s="77">
        <v>6.3089967054821899E-3</v>
      </c>
    </row>
    <row r="33" spans="1:6" x14ac:dyDescent="0.2">
      <c r="A33" s="64" t="s">
        <v>119</v>
      </c>
      <c r="B33" s="65">
        <v>139.99</v>
      </c>
      <c r="C33" s="66">
        <v>905</v>
      </c>
      <c r="D33" s="67">
        <v>4.5801913052279972E-2</v>
      </c>
      <c r="E33" s="68">
        <v>108269.05</v>
      </c>
      <c r="F33" s="67">
        <v>2.252800973308448E-2</v>
      </c>
    </row>
    <row r="34" spans="1:6" x14ac:dyDescent="0.2">
      <c r="A34" s="64" t="s">
        <v>53</v>
      </c>
      <c r="B34" s="65">
        <v>225.6177777777778</v>
      </c>
      <c r="C34" s="66">
        <v>8017</v>
      </c>
      <c r="D34" s="67">
        <v>0.40573915683992112</v>
      </c>
      <c r="E34" s="68">
        <v>1624878.64</v>
      </c>
      <c r="F34" s="67">
        <v>0.33809552976590318</v>
      </c>
    </row>
    <row r="35" spans="1:6" x14ac:dyDescent="0.2">
      <c r="A35" s="64" t="s">
        <v>114</v>
      </c>
      <c r="B35" s="65">
        <v>306.16166666666669</v>
      </c>
      <c r="C35" s="66">
        <v>1439</v>
      </c>
      <c r="D35" s="67">
        <v>7.2827572245558983E-2</v>
      </c>
      <c r="E35" s="68">
        <v>374410.23999999999</v>
      </c>
      <c r="F35" s="67">
        <v>7.7905158777014247E-2</v>
      </c>
    </row>
    <row r="36" spans="1:6" x14ac:dyDescent="0.2">
      <c r="A36" s="64" t="s">
        <v>85</v>
      </c>
      <c r="B36" s="65">
        <v>257.495</v>
      </c>
      <c r="C36" s="66">
        <v>745</v>
      </c>
      <c r="D36" s="67">
        <v>3.7704337264031579E-2</v>
      </c>
      <c r="E36" s="68">
        <v>221422.45</v>
      </c>
      <c r="F36" s="67">
        <v>4.6072327306126828E-2</v>
      </c>
    </row>
    <row r="37" spans="1:6" x14ac:dyDescent="0.2">
      <c r="A37" s="74" t="s">
        <v>74</v>
      </c>
      <c r="B37" s="75">
        <v>359</v>
      </c>
      <c r="C37" s="76">
        <v>702</v>
      </c>
      <c r="D37" s="77">
        <v>3.5528113770939833E-2</v>
      </c>
      <c r="E37" s="78">
        <v>268185.01</v>
      </c>
      <c r="F37" s="77">
        <v>5.580241551530523E-2</v>
      </c>
    </row>
    <row r="38" spans="1:6" x14ac:dyDescent="0.2">
      <c r="A38" s="64" t="s">
        <v>68</v>
      </c>
      <c r="B38" s="65">
        <v>554.49749999999995</v>
      </c>
      <c r="C38" s="66">
        <v>1512</v>
      </c>
      <c r="D38" s="67">
        <v>7.6522091198947317E-2</v>
      </c>
      <c r="E38" s="68">
        <v>579851.62</v>
      </c>
      <c r="F38" s="67">
        <v>0.12065223569528689</v>
      </c>
    </row>
    <row r="39" spans="1:6" x14ac:dyDescent="0.2">
      <c r="A39" s="74" t="s">
        <v>46</v>
      </c>
      <c r="B39" s="75">
        <v>249.6524</v>
      </c>
      <c r="C39" s="76">
        <v>6357</v>
      </c>
      <c r="D39" s="77">
        <v>0.32172680803684389</v>
      </c>
      <c r="E39" s="78">
        <v>1598637.04</v>
      </c>
      <c r="F39" s="77">
        <v>0.33263532650179678</v>
      </c>
    </row>
    <row r="40" spans="1:6" x14ac:dyDescent="0.2">
      <c r="A40" s="64"/>
      <c r="B40" s="65"/>
      <c r="C40" s="66"/>
      <c r="D40" s="67"/>
      <c r="E40" s="68"/>
      <c r="F40" s="67"/>
    </row>
    <row r="41" spans="1:6" x14ac:dyDescent="0.2">
      <c r="A41" s="69" t="s">
        <v>5</v>
      </c>
      <c r="B41" s="70">
        <v>307.67679305555549</v>
      </c>
      <c r="C41" s="71">
        <v>19759</v>
      </c>
      <c r="D41" s="72">
        <v>1</v>
      </c>
      <c r="E41" s="73">
        <v>4805974.9300000006</v>
      </c>
      <c r="F41" s="72">
        <v>1</v>
      </c>
    </row>
  </sheetData>
  <mergeCells count="2">
    <mergeCell ref="A1:F1"/>
    <mergeCell ref="A30:F30"/>
  </mergeCells>
  <conditionalFormatting sqref="C3:F12 C32:F41">
    <cfRule type="expression" dxfId="0" priority="1">
      <formula>C3&lt;0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A569-657B-4DDA-8A22-3EFE0BE80898}">
  <dimension ref="A1:K64"/>
  <sheetViews>
    <sheetView workbookViewId="0">
      <selection activeCell="M9" sqref="M9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39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28.1640625" style="18" hidden="1" customWidth="1"/>
    <col min="11" max="11" width="35.6640625" style="18" customWidth="1"/>
    <col min="12" max="16384" width="12.6640625" style="18"/>
  </cols>
  <sheetData>
    <row r="1" spans="1:11" x14ac:dyDescent="0.2">
      <c r="A1" s="117" t="e" vm="1">
        <v>#VALUE!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</row>
    <row r="2" spans="1:11" x14ac:dyDescent="0.2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</row>
    <row r="3" spans="1:11" x14ac:dyDescent="0.2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</row>
    <row r="4" spans="1:11" x14ac:dyDescent="0.2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</row>
    <row r="5" spans="1:11" x14ac:dyDescent="0.2">
      <c r="A5" s="117"/>
      <c r="B5" s="117"/>
      <c r="C5" s="117"/>
      <c r="D5" s="117"/>
      <c r="E5" s="117"/>
      <c r="F5" s="117"/>
      <c r="G5" s="117"/>
      <c r="H5" s="117"/>
      <c r="I5" s="117"/>
      <c r="J5" s="117"/>
      <c r="K5" s="117"/>
    </row>
    <row r="6" spans="1:11" x14ac:dyDescent="0.2">
      <c r="B6" s="36"/>
      <c r="D6" s="36"/>
      <c r="E6" s="37"/>
      <c r="F6" s="37"/>
      <c r="G6" s="37"/>
      <c r="H6" s="38"/>
      <c r="I6" s="36"/>
    </row>
    <row r="7" spans="1:11" x14ac:dyDescent="0.2">
      <c r="A7" s="118" t="s">
        <v>19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45" x14ac:dyDescent="0.2">
      <c r="A9" s="17" t="s">
        <v>62</v>
      </c>
      <c r="B9" s="17" t="s">
        <v>61</v>
      </c>
      <c r="C9" s="40">
        <v>599</v>
      </c>
      <c r="D9" s="41">
        <v>2536049.88</v>
      </c>
      <c r="E9" s="42">
        <v>211337.49</v>
      </c>
      <c r="F9" s="43">
        <v>4236</v>
      </c>
      <c r="G9" s="43">
        <v>353</v>
      </c>
      <c r="H9" s="43">
        <v>1256</v>
      </c>
      <c r="I9" s="44">
        <v>4.3</v>
      </c>
      <c r="J9" s="44" t="s">
        <v>69</v>
      </c>
      <c r="K9" s="54" t="str">
        <f>HYPERLINK(J9)</f>
        <v>https://amazon.com/dp/B0892MZZT1</v>
      </c>
    </row>
    <row r="10" spans="1:11" ht="30" x14ac:dyDescent="0.2">
      <c r="A10" s="17" t="s">
        <v>95</v>
      </c>
      <c r="B10" s="17" t="s">
        <v>94</v>
      </c>
      <c r="C10" s="40">
        <v>358.95</v>
      </c>
      <c r="D10" s="41">
        <v>2049961.92</v>
      </c>
      <c r="E10" s="42">
        <v>170830.16</v>
      </c>
      <c r="F10" s="43">
        <v>5760</v>
      </c>
      <c r="G10" s="43">
        <v>480</v>
      </c>
      <c r="H10" s="43">
        <v>1408</v>
      </c>
      <c r="I10" s="44">
        <v>4.3</v>
      </c>
      <c r="J10" s="44" t="s">
        <v>98</v>
      </c>
      <c r="K10" s="54" t="str">
        <f t="shared" ref="K10:K13" si="0">HYPERLINK(J10)</f>
        <v>https://amazon.com/dp/B08D3YC5CW</v>
      </c>
    </row>
    <row r="11" spans="1:11" ht="30" x14ac:dyDescent="0.2">
      <c r="A11" s="17" t="s">
        <v>103</v>
      </c>
      <c r="B11" s="17" t="s">
        <v>102</v>
      </c>
      <c r="C11" s="40">
        <v>429</v>
      </c>
      <c r="D11" s="41">
        <v>1690127.64</v>
      </c>
      <c r="E11" s="42">
        <v>140843.97</v>
      </c>
      <c r="F11" s="43">
        <v>3936</v>
      </c>
      <c r="G11" s="43">
        <v>328</v>
      </c>
      <c r="H11" s="43">
        <v>3629</v>
      </c>
      <c r="I11" s="44">
        <v>4.3</v>
      </c>
      <c r="J11" s="44" t="s">
        <v>106</v>
      </c>
      <c r="K11" s="54" t="str">
        <f t="shared" si="0"/>
        <v>https://amazon.com/dp/B0DPXWFD12</v>
      </c>
    </row>
    <row r="12" spans="1:11" ht="30" x14ac:dyDescent="0.2">
      <c r="A12" s="17" t="s">
        <v>108</v>
      </c>
      <c r="B12" s="17" t="s">
        <v>107</v>
      </c>
      <c r="C12" s="40">
        <v>214</v>
      </c>
      <c r="D12" s="41">
        <v>1689884.76</v>
      </c>
      <c r="E12" s="42">
        <v>140823.73000000001</v>
      </c>
      <c r="F12" s="43">
        <v>7896</v>
      </c>
      <c r="G12" s="43">
        <v>658</v>
      </c>
      <c r="H12" s="43">
        <v>6570</v>
      </c>
      <c r="I12" s="44">
        <v>4.0999999999999996</v>
      </c>
      <c r="J12" s="44" t="s">
        <v>110</v>
      </c>
      <c r="K12" s="54" t="str">
        <f t="shared" si="0"/>
        <v>https://amazon.com/dp/B0DPXX7P5M</v>
      </c>
    </row>
    <row r="13" spans="1:11" ht="45" x14ac:dyDescent="0.2">
      <c r="A13" s="17" t="s">
        <v>122</v>
      </c>
      <c r="B13" s="17" t="s">
        <v>121</v>
      </c>
      <c r="C13" s="40">
        <v>419</v>
      </c>
      <c r="D13" s="41">
        <v>1252395.3600000001</v>
      </c>
      <c r="E13" s="42">
        <v>104366.28</v>
      </c>
      <c r="F13" s="43">
        <v>2412</v>
      </c>
      <c r="G13" s="43">
        <v>201</v>
      </c>
      <c r="H13" s="43">
        <v>359</v>
      </c>
      <c r="I13" s="44">
        <v>4.0999999999999996</v>
      </c>
      <c r="J13" s="44" t="s">
        <v>123</v>
      </c>
      <c r="K13" s="54" t="str">
        <f t="shared" si="0"/>
        <v>https://amazon.com/dp/B0BLJD6Q5G</v>
      </c>
    </row>
    <row r="14" spans="1:11" ht="45" x14ac:dyDescent="0.2">
      <c r="A14" s="17" t="s">
        <v>129</v>
      </c>
      <c r="B14" s="17" t="s">
        <v>128</v>
      </c>
      <c r="C14" s="40">
        <v>480</v>
      </c>
      <c r="D14" s="41">
        <v>1093100.3999999999</v>
      </c>
      <c r="E14" s="42">
        <v>91091.7</v>
      </c>
      <c r="F14" s="43">
        <v>2280</v>
      </c>
      <c r="G14" s="43">
        <v>190</v>
      </c>
      <c r="H14" s="43">
        <v>1256</v>
      </c>
      <c r="I14" s="44">
        <v>4.3</v>
      </c>
      <c r="J14" s="44" t="s">
        <v>131</v>
      </c>
      <c r="K14" s="54" t="str">
        <f t="shared" ref="K14:K29" si="1">HYPERLINK(J14)</f>
        <v>https://amazon.com/dp/B08N6YHQWX</v>
      </c>
    </row>
    <row r="15" spans="1:11" ht="30" x14ac:dyDescent="0.2">
      <c r="A15" s="17" t="s">
        <v>141</v>
      </c>
      <c r="B15" s="17" t="s">
        <v>140</v>
      </c>
      <c r="C15" s="40">
        <v>199</v>
      </c>
      <c r="D15" s="41">
        <v>1005556.2</v>
      </c>
      <c r="E15" s="42">
        <v>83796.350000000006</v>
      </c>
      <c r="F15" s="43">
        <v>4860</v>
      </c>
      <c r="G15" s="43">
        <v>405</v>
      </c>
      <c r="H15" s="43">
        <v>6554</v>
      </c>
      <c r="I15" s="44">
        <v>4.0999999999999996</v>
      </c>
      <c r="J15" s="44" t="s">
        <v>142</v>
      </c>
      <c r="K15" s="54" t="str">
        <f t="shared" si="1"/>
        <v>https://amazon.com/dp/B0728C7KNC</v>
      </c>
    </row>
    <row r="16" spans="1:11" ht="45" x14ac:dyDescent="0.2">
      <c r="A16" s="17" t="s">
        <v>151</v>
      </c>
      <c r="B16" s="17" t="s">
        <v>150</v>
      </c>
      <c r="C16" s="40">
        <v>899</v>
      </c>
      <c r="D16" s="41">
        <v>868958.39999999991</v>
      </c>
      <c r="E16" s="42">
        <v>72413.2</v>
      </c>
      <c r="F16" s="43">
        <v>972</v>
      </c>
      <c r="G16" s="43">
        <v>81</v>
      </c>
      <c r="H16" s="43">
        <v>1254</v>
      </c>
      <c r="I16" s="44">
        <v>4.3</v>
      </c>
      <c r="J16" s="44" t="s">
        <v>152</v>
      </c>
      <c r="K16" s="54" t="str">
        <f t="shared" si="1"/>
        <v>https://amazon.com/dp/B0FMH37XL7</v>
      </c>
    </row>
    <row r="17" spans="1:11" ht="30" x14ac:dyDescent="0.2">
      <c r="A17" s="17" t="s">
        <v>154</v>
      </c>
      <c r="B17" s="17" t="s">
        <v>153</v>
      </c>
      <c r="C17" s="40">
        <v>369</v>
      </c>
      <c r="D17" s="41">
        <v>863582.04</v>
      </c>
      <c r="E17" s="42">
        <v>71965.17</v>
      </c>
      <c r="F17" s="43">
        <v>1776</v>
      </c>
      <c r="G17" s="43">
        <v>148</v>
      </c>
      <c r="H17" s="43">
        <v>1407</v>
      </c>
      <c r="I17" s="44">
        <v>4.3</v>
      </c>
      <c r="J17" s="44" t="s">
        <v>155</v>
      </c>
      <c r="K17" s="54" t="str">
        <f t="shared" si="1"/>
        <v>https://amazon.com/dp/B07XH96SK4</v>
      </c>
    </row>
    <row r="18" spans="1:11" ht="45" x14ac:dyDescent="0.2">
      <c r="A18" s="17" t="s">
        <v>169</v>
      </c>
      <c r="B18" s="17" t="s">
        <v>168</v>
      </c>
      <c r="C18" s="40">
        <v>249</v>
      </c>
      <c r="D18" s="41">
        <v>694219.32000000007</v>
      </c>
      <c r="E18" s="42">
        <v>57851.61</v>
      </c>
      <c r="F18" s="43">
        <v>2220</v>
      </c>
      <c r="G18" s="43">
        <v>185</v>
      </c>
      <c r="H18" s="43">
        <v>360</v>
      </c>
      <c r="I18" s="44">
        <v>4.0999999999999996</v>
      </c>
      <c r="J18" s="44" t="s">
        <v>170</v>
      </c>
      <c r="K18" s="54" t="str">
        <f t="shared" si="1"/>
        <v>https://amazon.com/dp/B0BLJ3XJ3Z</v>
      </c>
    </row>
    <row r="19" spans="1:11" ht="30" x14ac:dyDescent="0.2">
      <c r="A19" s="17" t="s">
        <v>172</v>
      </c>
      <c r="B19" s="17" t="s">
        <v>171</v>
      </c>
      <c r="C19" s="40">
        <v>179.99</v>
      </c>
      <c r="D19" s="41">
        <v>641784.24</v>
      </c>
      <c r="E19" s="42">
        <v>53482.02</v>
      </c>
      <c r="F19" s="43">
        <v>3384</v>
      </c>
      <c r="G19" s="43">
        <v>282</v>
      </c>
      <c r="H19" s="43">
        <v>6567</v>
      </c>
      <c r="I19" s="44">
        <v>4.0999999999999996</v>
      </c>
      <c r="J19" s="44" t="s">
        <v>173</v>
      </c>
      <c r="K19" s="54" t="str">
        <f t="shared" si="1"/>
        <v>https://amazon.com/dp/B0728C7KND</v>
      </c>
    </row>
    <row r="20" spans="1:11" ht="30" x14ac:dyDescent="0.2">
      <c r="A20" s="17" t="s">
        <v>179</v>
      </c>
      <c r="B20" s="17" t="s">
        <v>178</v>
      </c>
      <c r="C20" s="40">
        <v>429</v>
      </c>
      <c r="D20" s="41">
        <v>448885.55999999988</v>
      </c>
      <c r="E20" s="42">
        <v>37407.129999999997</v>
      </c>
      <c r="F20" s="43">
        <v>1092</v>
      </c>
      <c r="G20" s="43">
        <v>91</v>
      </c>
      <c r="H20" s="43">
        <v>3629</v>
      </c>
      <c r="I20" s="44">
        <v>4.3</v>
      </c>
      <c r="J20" s="44" t="s">
        <v>180</v>
      </c>
      <c r="K20" s="54" t="str">
        <f t="shared" si="1"/>
        <v>https://amazon.com/dp/B0716ZGL7C</v>
      </c>
    </row>
    <row r="21" spans="1:11" ht="45" x14ac:dyDescent="0.2">
      <c r="A21" s="17" t="s">
        <v>186</v>
      </c>
      <c r="B21" s="17" t="s">
        <v>185</v>
      </c>
      <c r="C21" s="40">
        <v>339</v>
      </c>
      <c r="D21" s="41">
        <v>421902.48</v>
      </c>
      <c r="E21" s="42">
        <v>35158.54</v>
      </c>
      <c r="F21" s="43">
        <v>1128</v>
      </c>
      <c r="G21" s="43">
        <v>94</v>
      </c>
      <c r="H21" s="43">
        <v>3629</v>
      </c>
      <c r="I21" s="44">
        <v>4.3</v>
      </c>
      <c r="J21" s="44" t="s">
        <v>187</v>
      </c>
      <c r="K21" s="54" t="str">
        <f t="shared" si="1"/>
        <v>https://amazon.com/dp/B072J49BX7</v>
      </c>
    </row>
    <row r="22" spans="1:11" ht="30" x14ac:dyDescent="0.2">
      <c r="A22" s="17" t="s">
        <v>263</v>
      </c>
      <c r="B22" s="17" t="s">
        <v>264</v>
      </c>
      <c r="C22" s="40">
        <v>789</v>
      </c>
      <c r="D22" s="41">
        <v>320032.2</v>
      </c>
      <c r="E22" s="42">
        <v>26669.35</v>
      </c>
      <c r="F22" s="43">
        <v>408</v>
      </c>
      <c r="G22" s="43">
        <v>34</v>
      </c>
      <c r="H22" s="43">
        <v>1408</v>
      </c>
      <c r="I22" s="44">
        <v>4.3</v>
      </c>
      <c r="J22" s="44" t="s">
        <v>265</v>
      </c>
      <c r="K22" s="54" t="str">
        <f t="shared" si="1"/>
        <v>https://amazon.com/dp/B07TRN55BC</v>
      </c>
    </row>
    <row r="23" spans="1:11" ht="30" x14ac:dyDescent="0.2">
      <c r="A23" s="17" t="s">
        <v>266</v>
      </c>
      <c r="B23" s="17" t="s">
        <v>267</v>
      </c>
      <c r="C23" s="40">
        <v>862.99</v>
      </c>
      <c r="D23" s="41">
        <v>235195.32</v>
      </c>
      <c r="E23" s="42">
        <v>19599.61</v>
      </c>
      <c r="F23" s="43">
        <v>288</v>
      </c>
      <c r="G23" s="43">
        <v>24</v>
      </c>
      <c r="H23" s="43">
        <v>1408</v>
      </c>
      <c r="I23" s="44">
        <v>4.3</v>
      </c>
      <c r="J23" s="44" t="s">
        <v>268</v>
      </c>
      <c r="K23" s="54" t="str">
        <f t="shared" si="1"/>
        <v>https://amazon.com/dp/B07XDBYQG6</v>
      </c>
    </row>
    <row r="24" spans="1:11" ht="45" x14ac:dyDescent="0.2">
      <c r="A24" s="17" t="s">
        <v>269</v>
      </c>
      <c r="B24" s="17" t="s">
        <v>270</v>
      </c>
      <c r="C24" s="40">
        <v>899</v>
      </c>
      <c r="D24" s="41">
        <v>175291.68</v>
      </c>
      <c r="E24" s="42">
        <v>14607.64</v>
      </c>
      <c r="F24" s="43">
        <v>192</v>
      </c>
      <c r="G24" s="43">
        <v>16</v>
      </c>
      <c r="H24" s="43">
        <v>1407</v>
      </c>
      <c r="I24" s="44">
        <v>4.3</v>
      </c>
      <c r="J24" s="44" t="s">
        <v>271</v>
      </c>
      <c r="K24" s="54" t="str">
        <f t="shared" si="1"/>
        <v>https://amazon.com/dp/B0F2N9K5VC</v>
      </c>
    </row>
    <row r="25" spans="1:11" ht="30" x14ac:dyDescent="0.2">
      <c r="A25" s="17" t="s">
        <v>272</v>
      </c>
      <c r="B25" s="17" t="s">
        <v>273</v>
      </c>
      <c r="C25" s="40">
        <v>319</v>
      </c>
      <c r="D25" s="41">
        <v>99612.12</v>
      </c>
      <c r="E25" s="42">
        <v>8301.01</v>
      </c>
      <c r="F25" s="43">
        <v>312</v>
      </c>
      <c r="G25" s="43">
        <v>26</v>
      </c>
      <c r="H25" s="43">
        <v>1998</v>
      </c>
      <c r="I25" s="44">
        <v>4.3</v>
      </c>
      <c r="J25" s="44" t="s">
        <v>274</v>
      </c>
      <c r="K25" s="54" t="str">
        <f t="shared" si="1"/>
        <v>https://amazon.com/dp/B07DM8DG1B</v>
      </c>
    </row>
    <row r="26" spans="1:11" ht="30" x14ac:dyDescent="0.2">
      <c r="A26" s="17" t="s">
        <v>275</v>
      </c>
      <c r="B26" s="17" t="s">
        <v>276</v>
      </c>
      <c r="C26" s="40">
        <v>519</v>
      </c>
      <c r="D26" s="41">
        <v>92436.479999999996</v>
      </c>
      <c r="E26" s="42">
        <v>7703.04</v>
      </c>
      <c r="F26" s="43">
        <v>192</v>
      </c>
      <c r="G26" s="43">
        <v>16</v>
      </c>
      <c r="H26" s="43">
        <v>36</v>
      </c>
      <c r="I26" s="44">
        <v>4.0999999999999996</v>
      </c>
      <c r="J26" s="44" t="s">
        <v>277</v>
      </c>
      <c r="K26" s="54" t="str">
        <f t="shared" si="1"/>
        <v>https://amazon.com/dp/B081QNTWD6</v>
      </c>
    </row>
    <row r="27" spans="1:11" ht="30" x14ac:dyDescent="0.2">
      <c r="A27" s="17" t="s">
        <v>278</v>
      </c>
      <c r="B27" s="17" t="s">
        <v>279</v>
      </c>
      <c r="C27" s="40">
        <v>209</v>
      </c>
      <c r="D27" s="41">
        <v>30975.360000000001</v>
      </c>
      <c r="E27" s="42">
        <v>2581.2800000000002</v>
      </c>
      <c r="F27" s="43">
        <v>144</v>
      </c>
      <c r="G27" s="43">
        <v>12</v>
      </c>
      <c r="H27" s="43">
        <v>93</v>
      </c>
      <c r="I27" s="44">
        <v>4.0999999999999996</v>
      </c>
      <c r="J27" s="44" t="s">
        <v>280</v>
      </c>
      <c r="K27" s="54" t="str">
        <f t="shared" si="1"/>
        <v>https://amazon.com/dp/B0CBL4BGK8</v>
      </c>
    </row>
    <row r="28" spans="1:11" ht="30" x14ac:dyDescent="0.2">
      <c r="A28" s="17" t="s">
        <v>281</v>
      </c>
      <c r="B28" s="17" t="s">
        <v>282</v>
      </c>
      <c r="C28" s="40">
        <v>217.67</v>
      </c>
      <c r="D28" s="41">
        <v>14583.48</v>
      </c>
      <c r="E28" s="42">
        <v>1215.29</v>
      </c>
      <c r="F28" s="43">
        <v>60</v>
      </c>
      <c r="G28" s="43">
        <v>5</v>
      </c>
      <c r="H28" s="43">
        <v>93</v>
      </c>
      <c r="I28" s="44">
        <v>4.0999999999999996</v>
      </c>
      <c r="J28" s="44" t="s">
        <v>283</v>
      </c>
      <c r="K28" s="54" t="str">
        <f t="shared" si="1"/>
        <v>https://amazon.com/dp/B0CBL4BBP2</v>
      </c>
    </row>
    <row r="29" spans="1:11" ht="30" x14ac:dyDescent="0.2">
      <c r="A29" s="17" t="s">
        <v>284</v>
      </c>
      <c r="B29" s="17" t="s">
        <v>285</v>
      </c>
      <c r="C29" s="40">
        <v>211.99</v>
      </c>
      <c r="D29" s="41">
        <v>3698.28</v>
      </c>
      <c r="E29" s="42">
        <v>308.19</v>
      </c>
      <c r="F29" s="43">
        <v>12</v>
      </c>
      <c r="G29" s="43">
        <v>1</v>
      </c>
      <c r="H29" s="43">
        <v>16</v>
      </c>
      <c r="I29" s="44">
        <v>3.1</v>
      </c>
      <c r="J29" s="44" t="s">
        <v>286</v>
      </c>
      <c r="K29" s="54" t="str">
        <f t="shared" si="1"/>
        <v>https://amazon.com/dp/B08W1MP8QX</v>
      </c>
    </row>
    <row r="30" spans="1:11" ht="30" x14ac:dyDescent="0.2">
      <c r="A30" s="17" t="s">
        <v>287</v>
      </c>
      <c r="B30" s="17" t="s">
        <v>288</v>
      </c>
      <c r="C30" s="40">
        <v>226.33</v>
      </c>
      <c r="D30" s="41">
        <v>1389.36</v>
      </c>
      <c r="E30" s="42">
        <v>115.78</v>
      </c>
      <c r="F30" s="43">
        <v>12</v>
      </c>
      <c r="G30" s="43">
        <v>1</v>
      </c>
      <c r="H30" s="43">
        <v>15</v>
      </c>
      <c r="I30" s="44">
        <v>3.4</v>
      </c>
      <c r="J30" s="44" t="s">
        <v>289</v>
      </c>
      <c r="K30" s="54" t="str">
        <f t="shared" ref="K30:K33" si="2">HYPERLINK(J30)</f>
        <v>https://amazon.com/dp/B08W2K1X74</v>
      </c>
    </row>
    <row r="31" spans="1:11" ht="17" x14ac:dyDescent="0.2">
      <c r="A31" s="17" t="s">
        <v>290</v>
      </c>
      <c r="B31" s="17" t="s">
        <v>291</v>
      </c>
      <c r="C31" s="40">
        <v>28.96</v>
      </c>
      <c r="D31" s="41">
        <v>456.84</v>
      </c>
      <c r="E31" s="42">
        <v>38.07</v>
      </c>
      <c r="F31" s="43">
        <v>12</v>
      </c>
      <c r="G31" s="43">
        <v>1</v>
      </c>
      <c r="H31" s="43">
        <v>1</v>
      </c>
      <c r="I31" s="44">
        <v>5</v>
      </c>
      <c r="J31" s="44" t="s">
        <v>292</v>
      </c>
      <c r="K31" s="54" t="str">
        <f t="shared" si="2"/>
        <v>https://amazon.com/dp/B01N7S4H5H</v>
      </c>
    </row>
    <row r="32" spans="1:11" ht="30" x14ac:dyDescent="0.2">
      <c r="A32" s="17" t="s">
        <v>293</v>
      </c>
      <c r="B32" s="17" t="s">
        <v>294</v>
      </c>
      <c r="C32" s="40">
        <v>27.73</v>
      </c>
      <c r="D32" s="41"/>
      <c r="E32" s="42"/>
      <c r="F32" s="43">
        <v>0</v>
      </c>
      <c r="G32" s="43">
        <v>0</v>
      </c>
      <c r="H32" s="43"/>
      <c r="I32" s="44"/>
      <c r="J32" s="44" t="s">
        <v>295</v>
      </c>
      <c r="K32" s="54" t="str">
        <f t="shared" si="2"/>
        <v>https://amazon.com/dp/B07DH6WQG3</v>
      </c>
    </row>
    <row r="33" spans="1:11" ht="30" x14ac:dyDescent="0.2">
      <c r="A33" s="17" t="s">
        <v>296</v>
      </c>
      <c r="B33" s="17" t="s">
        <v>297</v>
      </c>
      <c r="C33" s="40">
        <v>812.57</v>
      </c>
      <c r="D33" s="41"/>
      <c r="E33" s="42"/>
      <c r="F33" s="43">
        <v>0</v>
      </c>
      <c r="G33" s="43">
        <v>0</v>
      </c>
      <c r="H33" s="43">
        <v>272</v>
      </c>
      <c r="I33" s="44">
        <v>4.4000000000000004</v>
      </c>
      <c r="J33" s="44" t="s">
        <v>298</v>
      </c>
      <c r="K33" s="54" t="str">
        <f t="shared" si="2"/>
        <v>https://amazon.com/dp/B00IZAF3CW</v>
      </c>
    </row>
    <row r="34" spans="1:11" ht="17" x14ac:dyDescent="0.2">
      <c r="A34" s="20" t="s">
        <v>5</v>
      </c>
      <c r="B34" s="20"/>
      <c r="C34" s="55"/>
      <c r="D34" s="104">
        <f>SUM(D9:D33)</f>
        <v>16230079.319999997</v>
      </c>
      <c r="E34" s="104">
        <f>SUM(E9:E33)</f>
        <v>1352506.61</v>
      </c>
      <c r="F34" s="57"/>
      <c r="G34" s="57"/>
      <c r="H34" s="57"/>
      <c r="I34" s="58"/>
      <c r="J34" s="20"/>
      <c r="K34" s="19"/>
    </row>
    <row r="37" spans="1:11" x14ac:dyDescent="0.2">
      <c r="A37" s="118" t="s">
        <v>18</v>
      </c>
      <c r="B37" s="118"/>
      <c r="C37" s="118"/>
      <c r="D37" s="118"/>
      <c r="E37" s="118"/>
      <c r="F37" s="118"/>
      <c r="G37" s="118"/>
      <c r="H37" s="118"/>
      <c r="I37" s="118"/>
      <c r="J37" s="118"/>
      <c r="K37" s="118"/>
    </row>
    <row r="38" spans="1:11" ht="17" x14ac:dyDescent="0.2">
      <c r="A38" s="23" t="s">
        <v>7</v>
      </c>
      <c r="B38" s="24" t="s">
        <v>6</v>
      </c>
      <c r="C38" s="25" t="s">
        <v>12</v>
      </c>
      <c r="D38" s="26" t="s">
        <v>2</v>
      </c>
      <c r="E38" s="24" t="s">
        <v>28</v>
      </c>
      <c r="F38" s="28" t="s">
        <v>14</v>
      </c>
      <c r="G38" s="31" t="s">
        <v>29</v>
      </c>
      <c r="H38" s="28" t="s">
        <v>9</v>
      </c>
      <c r="I38" s="29" t="s">
        <v>13</v>
      </c>
      <c r="J38" s="29" t="s">
        <v>23</v>
      </c>
      <c r="K38" s="30" t="s">
        <v>11</v>
      </c>
    </row>
    <row r="39" spans="1:11" ht="30" x14ac:dyDescent="0.2">
      <c r="A39" s="17" t="s">
        <v>108</v>
      </c>
      <c r="B39" s="17" t="s">
        <v>107</v>
      </c>
      <c r="C39" s="40">
        <v>214</v>
      </c>
      <c r="D39" s="41">
        <v>1689884.76</v>
      </c>
      <c r="E39" s="41">
        <v>140823.73000000001</v>
      </c>
      <c r="F39" s="43">
        <v>7896</v>
      </c>
      <c r="G39" s="45">
        <v>658</v>
      </c>
      <c r="H39" s="43">
        <v>6570</v>
      </c>
      <c r="I39" s="44">
        <v>4.0999999999999996</v>
      </c>
      <c r="J39" s="44" t="s">
        <v>110</v>
      </c>
      <c r="K39" s="54" t="str">
        <f>HYPERLINK(J39)</f>
        <v>https://amazon.com/dp/B0DPXX7P5M</v>
      </c>
    </row>
    <row r="40" spans="1:11" ht="30" x14ac:dyDescent="0.2">
      <c r="A40" s="17" t="s">
        <v>95</v>
      </c>
      <c r="B40" s="17" t="s">
        <v>94</v>
      </c>
      <c r="C40" s="40">
        <v>358.95</v>
      </c>
      <c r="D40" s="41">
        <v>2049961.92</v>
      </c>
      <c r="E40" s="41">
        <v>170830.16</v>
      </c>
      <c r="F40" s="43">
        <v>5760</v>
      </c>
      <c r="G40" s="45">
        <v>480</v>
      </c>
      <c r="H40" s="43">
        <v>1408</v>
      </c>
      <c r="I40" s="44">
        <v>4.3</v>
      </c>
      <c r="J40" s="44" t="s">
        <v>98</v>
      </c>
      <c r="K40" s="54" t="str">
        <f t="shared" ref="K40:K46" si="3">HYPERLINK(J40)</f>
        <v>https://amazon.com/dp/B08D3YC5CW</v>
      </c>
    </row>
    <row r="41" spans="1:11" ht="30" x14ac:dyDescent="0.2">
      <c r="A41" s="17" t="s">
        <v>141</v>
      </c>
      <c r="B41" s="17" t="s">
        <v>140</v>
      </c>
      <c r="C41" s="40">
        <v>199</v>
      </c>
      <c r="D41" s="41">
        <v>1005556.2</v>
      </c>
      <c r="E41" s="41">
        <v>83796.350000000006</v>
      </c>
      <c r="F41" s="43">
        <v>4860</v>
      </c>
      <c r="G41" s="45">
        <v>405</v>
      </c>
      <c r="H41" s="43">
        <v>6554</v>
      </c>
      <c r="I41" s="44">
        <v>4.0999999999999996</v>
      </c>
      <c r="J41" s="44" t="s">
        <v>142</v>
      </c>
      <c r="K41" s="54" t="str">
        <f t="shared" si="3"/>
        <v>https://amazon.com/dp/B0728C7KNC</v>
      </c>
    </row>
    <row r="42" spans="1:11" ht="45" x14ac:dyDescent="0.2">
      <c r="A42" s="17" t="s">
        <v>62</v>
      </c>
      <c r="B42" s="17" t="s">
        <v>61</v>
      </c>
      <c r="C42" s="40">
        <v>599</v>
      </c>
      <c r="D42" s="41">
        <v>2536049.88</v>
      </c>
      <c r="E42" s="41">
        <v>211337.49</v>
      </c>
      <c r="F42" s="43">
        <v>4236</v>
      </c>
      <c r="G42" s="45">
        <v>353</v>
      </c>
      <c r="H42" s="43">
        <v>1256</v>
      </c>
      <c r="I42" s="44">
        <v>4.3</v>
      </c>
      <c r="J42" s="44" t="s">
        <v>69</v>
      </c>
      <c r="K42" s="54" t="str">
        <f t="shared" si="3"/>
        <v>https://amazon.com/dp/B0892MZZT1</v>
      </c>
    </row>
    <row r="43" spans="1:11" ht="30" x14ac:dyDescent="0.2">
      <c r="A43" s="17" t="s">
        <v>103</v>
      </c>
      <c r="B43" s="17" t="s">
        <v>102</v>
      </c>
      <c r="C43" s="40">
        <v>429</v>
      </c>
      <c r="D43" s="41">
        <v>1690127.64</v>
      </c>
      <c r="E43" s="41">
        <v>140843.97</v>
      </c>
      <c r="F43" s="43">
        <v>3936</v>
      </c>
      <c r="G43" s="45">
        <v>328</v>
      </c>
      <c r="H43" s="43">
        <v>3629</v>
      </c>
      <c r="I43" s="44">
        <v>4.3</v>
      </c>
      <c r="J43" s="44" t="s">
        <v>106</v>
      </c>
      <c r="K43" s="54" t="str">
        <f t="shared" si="3"/>
        <v>https://amazon.com/dp/B0DPXWFD12</v>
      </c>
    </row>
    <row r="44" spans="1:11" ht="30" x14ac:dyDescent="0.2">
      <c r="A44" s="17" t="s">
        <v>172</v>
      </c>
      <c r="B44" s="17" t="s">
        <v>171</v>
      </c>
      <c r="C44" s="40">
        <v>179.99</v>
      </c>
      <c r="D44" s="41">
        <v>641784.24</v>
      </c>
      <c r="E44" s="41">
        <v>53482.02</v>
      </c>
      <c r="F44" s="43">
        <v>3384</v>
      </c>
      <c r="G44" s="45">
        <v>282</v>
      </c>
      <c r="H44" s="43">
        <v>6567</v>
      </c>
      <c r="I44" s="44">
        <v>4.0999999999999996</v>
      </c>
      <c r="J44" s="44" t="s">
        <v>173</v>
      </c>
      <c r="K44" s="54" t="str">
        <f t="shared" si="3"/>
        <v>https://amazon.com/dp/B0728C7KND</v>
      </c>
    </row>
    <row r="45" spans="1:11" ht="45" x14ac:dyDescent="0.2">
      <c r="A45" s="17" t="s">
        <v>122</v>
      </c>
      <c r="B45" s="17" t="s">
        <v>121</v>
      </c>
      <c r="C45" s="40">
        <v>419</v>
      </c>
      <c r="D45" s="41">
        <v>1252395.3600000001</v>
      </c>
      <c r="E45" s="41">
        <v>104366.28</v>
      </c>
      <c r="F45" s="43">
        <v>2412</v>
      </c>
      <c r="G45" s="45">
        <v>201</v>
      </c>
      <c r="H45" s="43">
        <v>359</v>
      </c>
      <c r="I45" s="44">
        <v>4.0999999999999996</v>
      </c>
      <c r="J45" s="44" t="s">
        <v>123</v>
      </c>
      <c r="K45" s="54" t="str">
        <f t="shared" si="3"/>
        <v>https://amazon.com/dp/B0BLJD6Q5G</v>
      </c>
    </row>
    <row r="46" spans="1:11" ht="45" x14ac:dyDescent="0.2">
      <c r="A46" s="17" t="s">
        <v>129</v>
      </c>
      <c r="B46" s="17" t="s">
        <v>128</v>
      </c>
      <c r="C46" s="40">
        <v>480</v>
      </c>
      <c r="D46" s="41">
        <v>1093100.3999999999</v>
      </c>
      <c r="E46" s="41">
        <v>91091.7</v>
      </c>
      <c r="F46" s="43">
        <v>2280</v>
      </c>
      <c r="G46" s="45">
        <v>190</v>
      </c>
      <c r="H46" s="43">
        <v>1256</v>
      </c>
      <c r="I46" s="44">
        <v>4.3</v>
      </c>
      <c r="J46" s="44" t="s">
        <v>131</v>
      </c>
      <c r="K46" s="54" t="str">
        <f t="shared" si="3"/>
        <v>https://amazon.com/dp/B08N6YHQWX</v>
      </c>
    </row>
    <row r="47" spans="1:11" ht="45" x14ac:dyDescent="0.2">
      <c r="A47" s="17" t="s">
        <v>169</v>
      </c>
      <c r="B47" s="17" t="s">
        <v>168</v>
      </c>
      <c r="C47" s="40">
        <v>249</v>
      </c>
      <c r="D47" s="41">
        <v>694219.32000000007</v>
      </c>
      <c r="E47" s="41">
        <v>57851.61</v>
      </c>
      <c r="F47" s="43">
        <v>2220</v>
      </c>
      <c r="G47" s="45">
        <v>185</v>
      </c>
      <c r="H47" s="43">
        <v>360</v>
      </c>
      <c r="I47" s="44">
        <v>4.0999999999999996</v>
      </c>
      <c r="J47" s="44" t="s">
        <v>170</v>
      </c>
      <c r="K47" s="54" t="str">
        <f t="shared" ref="K47:K53" si="4">HYPERLINK(J47)</f>
        <v>https://amazon.com/dp/B0BLJ3XJ3Z</v>
      </c>
    </row>
    <row r="48" spans="1:11" ht="30" x14ac:dyDescent="0.2">
      <c r="A48" s="17" t="s">
        <v>154</v>
      </c>
      <c r="B48" s="17" t="s">
        <v>153</v>
      </c>
      <c r="C48" s="40">
        <v>369</v>
      </c>
      <c r="D48" s="41">
        <v>863582.04</v>
      </c>
      <c r="E48" s="41">
        <v>71965.17</v>
      </c>
      <c r="F48" s="43">
        <v>1776</v>
      </c>
      <c r="G48" s="45">
        <v>148</v>
      </c>
      <c r="H48" s="43">
        <v>1407</v>
      </c>
      <c r="I48" s="44">
        <v>4.3</v>
      </c>
      <c r="J48" s="44" t="s">
        <v>155</v>
      </c>
      <c r="K48" s="54" t="str">
        <f t="shared" si="4"/>
        <v>https://amazon.com/dp/B07XH96SK4</v>
      </c>
    </row>
    <row r="49" spans="1:11" ht="45" x14ac:dyDescent="0.2">
      <c r="A49" s="17" t="s">
        <v>186</v>
      </c>
      <c r="B49" s="17" t="s">
        <v>185</v>
      </c>
      <c r="C49" s="40">
        <v>339</v>
      </c>
      <c r="D49" s="41">
        <v>421902.48</v>
      </c>
      <c r="E49" s="41">
        <v>35158.54</v>
      </c>
      <c r="F49" s="43">
        <v>1128</v>
      </c>
      <c r="G49" s="45">
        <v>94</v>
      </c>
      <c r="H49" s="43">
        <v>3629</v>
      </c>
      <c r="I49" s="44">
        <v>4.3</v>
      </c>
      <c r="J49" s="44" t="s">
        <v>187</v>
      </c>
      <c r="K49" s="54" t="str">
        <f t="shared" si="4"/>
        <v>https://amazon.com/dp/B072J49BX7</v>
      </c>
    </row>
    <row r="50" spans="1:11" ht="30" x14ac:dyDescent="0.2">
      <c r="A50" s="17" t="s">
        <v>179</v>
      </c>
      <c r="B50" s="17" t="s">
        <v>178</v>
      </c>
      <c r="C50" s="40">
        <v>429</v>
      </c>
      <c r="D50" s="41">
        <v>448885.55999999988</v>
      </c>
      <c r="E50" s="41">
        <v>37407.129999999997</v>
      </c>
      <c r="F50" s="43">
        <v>1092</v>
      </c>
      <c r="G50" s="45">
        <v>91</v>
      </c>
      <c r="H50" s="43">
        <v>3629</v>
      </c>
      <c r="I50" s="44">
        <v>4.3</v>
      </c>
      <c r="J50" s="44" t="s">
        <v>180</v>
      </c>
      <c r="K50" s="54" t="str">
        <f t="shared" si="4"/>
        <v>https://amazon.com/dp/B0716ZGL7C</v>
      </c>
    </row>
    <row r="51" spans="1:11" ht="45" x14ac:dyDescent="0.2">
      <c r="A51" s="17" t="s">
        <v>151</v>
      </c>
      <c r="B51" s="17" t="s">
        <v>150</v>
      </c>
      <c r="C51" s="40">
        <v>899</v>
      </c>
      <c r="D51" s="41">
        <v>868958.39999999991</v>
      </c>
      <c r="E51" s="41">
        <v>72413.2</v>
      </c>
      <c r="F51" s="43">
        <v>972</v>
      </c>
      <c r="G51" s="45">
        <v>81</v>
      </c>
      <c r="H51" s="43">
        <v>1254</v>
      </c>
      <c r="I51" s="44">
        <v>4.3</v>
      </c>
      <c r="J51" s="44" t="s">
        <v>152</v>
      </c>
      <c r="K51" s="54" t="str">
        <f t="shared" si="4"/>
        <v>https://amazon.com/dp/B0FMH37XL7</v>
      </c>
    </row>
    <row r="52" spans="1:11" ht="30" x14ac:dyDescent="0.2">
      <c r="A52" s="17" t="s">
        <v>263</v>
      </c>
      <c r="B52" s="17" t="s">
        <v>264</v>
      </c>
      <c r="C52" s="40">
        <v>789</v>
      </c>
      <c r="D52" s="41">
        <v>320032.2</v>
      </c>
      <c r="E52" s="41">
        <v>26669.35</v>
      </c>
      <c r="F52" s="43">
        <v>408</v>
      </c>
      <c r="G52" s="45">
        <v>34</v>
      </c>
      <c r="H52" s="43">
        <v>1408</v>
      </c>
      <c r="I52" s="44">
        <v>4.3</v>
      </c>
      <c r="J52" s="44" t="s">
        <v>265</v>
      </c>
      <c r="K52" s="54" t="str">
        <f t="shared" si="4"/>
        <v>https://amazon.com/dp/B07TRN55BC</v>
      </c>
    </row>
    <row r="53" spans="1:11" ht="30" x14ac:dyDescent="0.2">
      <c r="A53" s="17" t="s">
        <v>272</v>
      </c>
      <c r="B53" s="17" t="s">
        <v>273</v>
      </c>
      <c r="C53" s="40">
        <v>319</v>
      </c>
      <c r="D53" s="41">
        <v>99612.12</v>
      </c>
      <c r="E53" s="41">
        <v>8301.01</v>
      </c>
      <c r="F53" s="43">
        <v>312</v>
      </c>
      <c r="G53" s="45">
        <v>26</v>
      </c>
      <c r="H53" s="43">
        <v>1998</v>
      </c>
      <c r="I53" s="44">
        <v>4.3</v>
      </c>
      <c r="J53" s="44" t="s">
        <v>274</v>
      </c>
      <c r="K53" s="54" t="str">
        <f t="shared" si="4"/>
        <v>https://amazon.com/dp/B07DM8DG1B</v>
      </c>
    </row>
    <row r="54" spans="1:11" ht="30" x14ac:dyDescent="0.2">
      <c r="A54" s="17" t="s">
        <v>266</v>
      </c>
      <c r="B54" s="17" t="s">
        <v>267</v>
      </c>
      <c r="C54" s="40">
        <v>862.99</v>
      </c>
      <c r="D54" s="41">
        <v>235195.32</v>
      </c>
      <c r="E54" s="41">
        <v>19599.61</v>
      </c>
      <c r="F54" s="43">
        <v>288</v>
      </c>
      <c r="G54" s="45">
        <v>24</v>
      </c>
      <c r="H54" s="43">
        <v>1408</v>
      </c>
      <c r="I54" s="44">
        <v>4.3</v>
      </c>
      <c r="J54" s="44" t="s">
        <v>268</v>
      </c>
      <c r="K54" s="54" t="str">
        <f t="shared" ref="K54:K60" si="5">HYPERLINK(J54)</f>
        <v>https://amazon.com/dp/B07XDBYQG6</v>
      </c>
    </row>
    <row r="55" spans="1:11" ht="45" x14ac:dyDescent="0.2">
      <c r="A55" s="17" t="s">
        <v>269</v>
      </c>
      <c r="B55" s="17" t="s">
        <v>270</v>
      </c>
      <c r="C55" s="40">
        <v>899</v>
      </c>
      <c r="D55" s="41">
        <v>175291.68</v>
      </c>
      <c r="E55" s="41">
        <v>14607.64</v>
      </c>
      <c r="F55" s="43">
        <v>192</v>
      </c>
      <c r="G55" s="45">
        <v>16</v>
      </c>
      <c r="H55" s="43">
        <v>1407</v>
      </c>
      <c r="I55" s="44">
        <v>4.3</v>
      </c>
      <c r="J55" s="44" t="s">
        <v>271</v>
      </c>
      <c r="K55" s="54" t="str">
        <f t="shared" si="5"/>
        <v>https://amazon.com/dp/B0F2N9K5VC</v>
      </c>
    </row>
    <row r="56" spans="1:11" ht="30" x14ac:dyDescent="0.2">
      <c r="A56" s="17" t="s">
        <v>275</v>
      </c>
      <c r="B56" s="17" t="s">
        <v>276</v>
      </c>
      <c r="C56" s="40">
        <v>519</v>
      </c>
      <c r="D56" s="41">
        <v>92436.479999999996</v>
      </c>
      <c r="E56" s="41">
        <v>7703.04</v>
      </c>
      <c r="F56" s="43">
        <v>192</v>
      </c>
      <c r="G56" s="45">
        <v>16</v>
      </c>
      <c r="H56" s="43">
        <v>36</v>
      </c>
      <c r="I56" s="44">
        <v>4.0999999999999996</v>
      </c>
      <c r="J56" s="44" t="s">
        <v>277</v>
      </c>
      <c r="K56" s="54" t="str">
        <f t="shared" si="5"/>
        <v>https://amazon.com/dp/B081QNTWD6</v>
      </c>
    </row>
    <row r="57" spans="1:11" ht="30" x14ac:dyDescent="0.2">
      <c r="A57" s="17" t="s">
        <v>278</v>
      </c>
      <c r="B57" s="17" t="s">
        <v>279</v>
      </c>
      <c r="C57" s="40">
        <v>209</v>
      </c>
      <c r="D57" s="41">
        <v>30975.360000000001</v>
      </c>
      <c r="E57" s="41">
        <v>2581.2800000000002</v>
      </c>
      <c r="F57" s="43">
        <v>144</v>
      </c>
      <c r="G57" s="45">
        <v>12</v>
      </c>
      <c r="H57" s="43">
        <v>93</v>
      </c>
      <c r="I57" s="44">
        <v>4.0999999999999996</v>
      </c>
      <c r="J57" s="44" t="s">
        <v>280</v>
      </c>
      <c r="K57" s="54" t="str">
        <f t="shared" si="5"/>
        <v>https://amazon.com/dp/B0CBL4BGK8</v>
      </c>
    </row>
    <row r="58" spans="1:11" ht="30" x14ac:dyDescent="0.2">
      <c r="A58" s="17" t="s">
        <v>281</v>
      </c>
      <c r="B58" s="17" t="s">
        <v>282</v>
      </c>
      <c r="C58" s="40">
        <v>217.67</v>
      </c>
      <c r="D58" s="41">
        <v>14583.48</v>
      </c>
      <c r="E58" s="41">
        <v>1215.29</v>
      </c>
      <c r="F58" s="43">
        <v>60</v>
      </c>
      <c r="G58" s="45">
        <v>5</v>
      </c>
      <c r="H58" s="43">
        <v>93</v>
      </c>
      <c r="I58" s="44">
        <v>4.0999999999999996</v>
      </c>
      <c r="J58" s="44" t="s">
        <v>283</v>
      </c>
      <c r="K58" s="54" t="str">
        <f t="shared" si="5"/>
        <v>https://amazon.com/dp/B0CBL4BBP2</v>
      </c>
    </row>
    <row r="59" spans="1:11" ht="30" x14ac:dyDescent="0.2">
      <c r="A59" s="17" t="s">
        <v>287</v>
      </c>
      <c r="B59" s="17" t="s">
        <v>288</v>
      </c>
      <c r="C59" s="40">
        <v>226.33</v>
      </c>
      <c r="D59" s="41">
        <v>1389.36</v>
      </c>
      <c r="E59" s="41">
        <v>115.78</v>
      </c>
      <c r="F59" s="43">
        <v>12</v>
      </c>
      <c r="G59" s="45">
        <v>1</v>
      </c>
      <c r="H59" s="43">
        <v>15</v>
      </c>
      <c r="I59" s="44">
        <v>3.4</v>
      </c>
      <c r="J59" s="44" t="s">
        <v>289</v>
      </c>
      <c r="K59" s="54" t="str">
        <f t="shared" si="5"/>
        <v>https://amazon.com/dp/B08W2K1X74</v>
      </c>
    </row>
    <row r="60" spans="1:11" ht="17" x14ac:dyDescent="0.2">
      <c r="A60" s="17" t="s">
        <v>290</v>
      </c>
      <c r="B60" s="17" t="s">
        <v>291</v>
      </c>
      <c r="C60" s="40">
        <v>28.96</v>
      </c>
      <c r="D60" s="41">
        <v>456.84</v>
      </c>
      <c r="E60" s="41">
        <v>38.07</v>
      </c>
      <c r="F60" s="43">
        <v>12</v>
      </c>
      <c r="G60" s="45">
        <v>1</v>
      </c>
      <c r="H60" s="43">
        <v>1</v>
      </c>
      <c r="I60" s="44">
        <v>5</v>
      </c>
      <c r="J60" s="44" t="s">
        <v>292</v>
      </c>
      <c r="K60" s="54" t="str">
        <f t="shared" si="5"/>
        <v>https://amazon.com/dp/B01N7S4H5H</v>
      </c>
    </row>
    <row r="61" spans="1:11" ht="30" x14ac:dyDescent="0.2">
      <c r="A61" s="17" t="s">
        <v>284</v>
      </c>
      <c r="B61" s="17" t="s">
        <v>285</v>
      </c>
      <c r="C61" s="40">
        <v>211.99</v>
      </c>
      <c r="D61" s="41">
        <v>3698.28</v>
      </c>
      <c r="E61" s="41">
        <v>308.19</v>
      </c>
      <c r="F61" s="43">
        <v>12</v>
      </c>
      <c r="G61" s="45">
        <v>1</v>
      </c>
      <c r="H61" s="43">
        <v>16</v>
      </c>
      <c r="I61" s="44">
        <v>3.1</v>
      </c>
      <c r="J61" s="44" t="s">
        <v>286</v>
      </c>
      <c r="K61" s="54" t="str">
        <f t="shared" ref="K61:K63" si="6">HYPERLINK(J61)</f>
        <v>https://amazon.com/dp/B08W1MP8QX</v>
      </c>
    </row>
    <row r="62" spans="1:11" ht="30" x14ac:dyDescent="0.2">
      <c r="A62" s="17" t="s">
        <v>293</v>
      </c>
      <c r="B62" s="17" t="s">
        <v>294</v>
      </c>
      <c r="C62" s="40">
        <v>27.73</v>
      </c>
      <c r="D62" s="41"/>
      <c r="E62" s="41"/>
      <c r="F62" s="43">
        <v>0</v>
      </c>
      <c r="G62" s="45">
        <v>0</v>
      </c>
      <c r="H62" s="43"/>
      <c r="I62" s="44"/>
      <c r="J62" s="44" t="s">
        <v>295</v>
      </c>
      <c r="K62" s="54" t="str">
        <f t="shared" si="6"/>
        <v>https://amazon.com/dp/B07DH6WQG3</v>
      </c>
    </row>
    <row r="63" spans="1:11" ht="30" x14ac:dyDescent="0.2">
      <c r="A63" s="17" t="s">
        <v>296</v>
      </c>
      <c r="B63" s="17" t="s">
        <v>297</v>
      </c>
      <c r="C63" s="40">
        <v>812.57</v>
      </c>
      <c r="D63" s="41"/>
      <c r="E63" s="41"/>
      <c r="F63" s="43">
        <v>0</v>
      </c>
      <c r="G63" s="45">
        <v>0</v>
      </c>
      <c r="H63" s="43">
        <v>272</v>
      </c>
      <c r="I63" s="44">
        <v>4.4000000000000004</v>
      </c>
      <c r="J63" s="44" t="s">
        <v>298</v>
      </c>
      <c r="K63" s="54" t="str">
        <f t="shared" si="6"/>
        <v>https://amazon.com/dp/B00IZAF3CW</v>
      </c>
    </row>
    <row r="64" spans="1:11" ht="17" x14ac:dyDescent="0.2">
      <c r="A64" s="20" t="s">
        <v>5</v>
      </c>
      <c r="B64" s="20"/>
      <c r="C64" s="56"/>
      <c r="D64" s="56"/>
      <c r="E64" s="56"/>
      <c r="F64" s="101">
        <f>SUM(Flir!F39:F63)</f>
        <v>43584</v>
      </c>
      <c r="G64" s="101">
        <f>SUM(Flir!G39:G63)</f>
        <v>3632</v>
      </c>
      <c r="H64" s="57"/>
      <c r="I64" s="58"/>
      <c r="J64" s="20"/>
      <c r="K64" s="19"/>
    </row>
  </sheetData>
  <mergeCells count="3">
    <mergeCell ref="A1:K5"/>
    <mergeCell ref="A7:K7"/>
    <mergeCell ref="A37:K37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15EFC-1CBE-7E47-9B31-B2430BBF6EF7}">
  <dimension ref="A1:K52"/>
  <sheetViews>
    <sheetView zoomScale="75" workbookViewId="0">
      <selection activeCell="M34" sqref="M34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39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27.6640625" style="18" hidden="1" customWidth="1"/>
    <col min="11" max="11" width="35.6640625" style="18" customWidth="1"/>
    <col min="12" max="16384" width="12.6640625" style="18"/>
  </cols>
  <sheetData>
    <row r="1" spans="1:11" x14ac:dyDescent="0.2">
      <c r="A1" s="117" t="e" vm="2">
        <v>#VALUE!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</row>
    <row r="2" spans="1:11" x14ac:dyDescent="0.2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</row>
    <row r="3" spans="1:11" x14ac:dyDescent="0.2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</row>
    <row r="4" spans="1:11" x14ac:dyDescent="0.2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</row>
    <row r="5" spans="1:11" x14ac:dyDescent="0.2">
      <c r="A5" s="117"/>
      <c r="B5" s="117"/>
      <c r="C5" s="117"/>
      <c r="D5" s="117"/>
      <c r="E5" s="117"/>
      <c r="F5" s="117"/>
      <c r="G5" s="117"/>
      <c r="H5" s="117"/>
      <c r="I5" s="117"/>
      <c r="J5" s="117"/>
      <c r="K5" s="117"/>
    </row>
    <row r="6" spans="1:11" x14ac:dyDescent="0.2">
      <c r="B6" s="36"/>
      <c r="D6" s="36"/>
      <c r="E6" s="37"/>
      <c r="F6" s="37"/>
      <c r="G6" s="37"/>
      <c r="H6" s="38"/>
      <c r="I6" s="36"/>
    </row>
    <row r="7" spans="1:11" x14ac:dyDescent="0.2">
      <c r="A7" s="118" t="s">
        <v>19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60" x14ac:dyDescent="0.2">
      <c r="A9" s="17" t="s">
        <v>48</v>
      </c>
      <c r="B9" s="17" t="s">
        <v>47</v>
      </c>
      <c r="C9" s="40">
        <v>151.05000000000001</v>
      </c>
      <c r="D9" s="41">
        <v>8850585.120000001</v>
      </c>
      <c r="E9" s="42">
        <v>737548.76</v>
      </c>
      <c r="F9" s="43">
        <v>46212</v>
      </c>
      <c r="G9" s="43">
        <v>3851</v>
      </c>
      <c r="H9" s="43">
        <v>289</v>
      </c>
      <c r="I9" s="44">
        <v>4.5</v>
      </c>
      <c r="J9" s="44" t="s">
        <v>54</v>
      </c>
      <c r="K9" s="54" t="str">
        <f>HYPERLINK(J9)</f>
        <v>https://amazon.com/dp/B0F29969G1</v>
      </c>
    </row>
    <row r="10" spans="1:11" ht="45" x14ac:dyDescent="0.2">
      <c r="A10" s="17" t="s">
        <v>56</v>
      </c>
      <c r="B10" s="17" t="s">
        <v>55</v>
      </c>
      <c r="C10" s="40">
        <v>236.55</v>
      </c>
      <c r="D10" s="41">
        <v>3149135.04</v>
      </c>
      <c r="E10" s="42">
        <v>262427.92</v>
      </c>
      <c r="F10" s="43">
        <v>10176</v>
      </c>
      <c r="G10" s="43">
        <v>848</v>
      </c>
      <c r="H10" s="43">
        <v>102</v>
      </c>
      <c r="I10" s="44">
        <v>4.5999999999999996</v>
      </c>
      <c r="J10" s="44" t="s">
        <v>60</v>
      </c>
      <c r="K10" s="54" t="str">
        <f t="shared" ref="K10:K15" si="0">HYPERLINK(J10)</f>
        <v>https://amazon.com/dp/B0F8MZVFBJ</v>
      </c>
    </row>
    <row r="11" spans="1:11" ht="45" x14ac:dyDescent="0.2">
      <c r="A11" s="17" t="s">
        <v>112</v>
      </c>
      <c r="B11" s="17" t="s">
        <v>111</v>
      </c>
      <c r="C11" s="40">
        <v>369</v>
      </c>
      <c r="D11" s="41">
        <v>1570161.36</v>
      </c>
      <c r="E11" s="42">
        <v>130846.78</v>
      </c>
      <c r="F11" s="43">
        <v>4740</v>
      </c>
      <c r="G11" s="43">
        <v>395</v>
      </c>
      <c r="H11" s="43">
        <v>854</v>
      </c>
      <c r="I11" s="44">
        <v>4.5999999999999996</v>
      </c>
      <c r="J11" s="44" t="s">
        <v>115</v>
      </c>
      <c r="K11" s="54" t="str">
        <f t="shared" si="0"/>
        <v>https://amazon.com/dp/B0BRK4SGD2</v>
      </c>
    </row>
    <row r="12" spans="1:11" ht="60" x14ac:dyDescent="0.2">
      <c r="A12" s="17" t="s">
        <v>125</v>
      </c>
      <c r="B12" s="17" t="s">
        <v>124</v>
      </c>
      <c r="C12" s="40">
        <v>298.99</v>
      </c>
      <c r="D12" s="41">
        <v>1194787.8</v>
      </c>
      <c r="E12" s="42">
        <v>99565.65</v>
      </c>
      <c r="F12" s="43">
        <v>3996</v>
      </c>
      <c r="G12" s="43">
        <v>333</v>
      </c>
      <c r="H12" s="43">
        <v>1350</v>
      </c>
      <c r="I12" s="44">
        <v>4.5999999999999996</v>
      </c>
      <c r="J12" s="44" t="s">
        <v>127</v>
      </c>
      <c r="K12" s="54" t="str">
        <f t="shared" si="0"/>
        <v>https://amazon.com/dp/B0B7LMB22Q</v>
      </c>
    </row>
    <row r="13" spans="1:11" ht="45" x14ac:dyDescent="0.2">
      <c r="A13" s="17" t="s">
        <v>133</v>
      </c>
      <c r="B13" s="17" t="s">
        <v>132</v>
      </c>
      <c r="C13" s="40">
        <v>299</v>
      </c>
      <c r="D13" s="41">
        <v>1072997.28</v>
      </c>
      <c r="E13" s="42">
        <v>89416.44</v>
      </c>
      <c r="F13" s="43">
        <v>3720</v>
      </c>
      <c r="G13" s="43">
        <v>310</v>
      </c>
      <c r="H13" s="43">
        <v>715</v>
      </c>
      <c r="I13" s="44">
        <v>4.5999999999999996</v>
      </c>
      <c r="J13" s="44" t="s">
        <v>135</v>
      </c>
      <c r="K13" s="54" t="str">
        <f t="shared" si="0"/>
        <v>https://amazon.com/dp/B0D3DZV19P</v>
      </c>
    </row>
    <row r="14" spans="1:11" ht="45" x14ac:dyDescent="0.2">
      <c r="A14" s="17" t="s">
        <v>144</v>
      </c>
      <c r="B14" s="17" t="s">
        <v>143</v>
      </c>
      <c r="C14" s="40">
        <v>469.99</v>
      </c>
      <c r="D14" s="41">
        <v>1002348.84</v>
      </c>
      <c r="E14" s="42">
        <v>83529.070000000007</v>
      </c>
      <c r="F14" s="43">
        <v>2400</v>
      </c>
      <c r="G14" s="43">
        <v>200</v>
      </c>
      <c r="H14" s="43">
        <v>244</v>
      </c>
      <c r="I14" s="44">
        <v>4.5999999999999996</v>
      </c>
      <c r="J14" s="44" t="s">
        <v>145</v>
      </c>
      <c r="K14" s="54" t="str">
        <f t="shared" si="0"/>
        <v>https://amazon.com/dp/B0BRK5DLR3</v>
      </c>
    </row>
    <row r="15" spans="1:11" ht="45" x14ac:dyDescent="0.2">
      <c r="A15" s="17" t="s">
        <v>147</v>
      </c>
      <c r="B15" s="17" t="s">
        <v>146</v>
      </c>
      <c r="C15" s="40">
        <v>299</v>
      </c>
      <c r="D15" s="41">
        <v>918790.32000000007</v>
      </c>
      <c r="E15" s="42">
        <v>76565.86</v>
      </c>
      <c r="F15" s="43">
        <v>3216</v>
      </c>
      <c r="G15" s="43">
        <v>268</v>
      </c>
      <c r="H15" s="43">
        <v>715</v>
      </c>
      <c r="I15" s="44">
        <v>4.5999999999999996</v>
      </c>
      <c r="J15" s="44" t="s">
        <v>149</v>
      </c>
      <c r="K15" s="54" t="str">
        <f t="shared" si="0"/>
        <v>https://amazon.com/dp/B0BYHP8KM9</v>
      </c>
    </row>
    <row r="16" spans="1:11" ht="45" x14ac:dyDescent="0.2">
      <c r="A16" s="17" t="s">
        <v>189</v>
      </c>
      <c r="B16" s="17" t="s">
        <v>188</v>
      </c>
      <c r="C16" s="40">
        <v>399</v>
      </c>
      <c r="D16" s="41">
        <v>397866</v>
      </c>
      <c r="E16" s="42">
        <v>33155.5</v>
      </c>
      <c r="F16" s="43">
        <v>1152</v>
      </c>
      <c r="G16" s="43">
        <v>96</v>
      </c>
      <c r="H16" s="43">
        <v>244</v>
      </c>
      <c r="I16" s="44">
        <v>4.5999999999999996</v>
      </c>
      <c r="J16" s="44" t="s">
        <v>190</v>
      </c>
      <c r="K16" s="54" t="str">
        <f t="shared" ref="K16:K21" si="1">HYPERLINK(J16)</f>
        <v>https://amazon.com/dp/B0DS5XD9WT</v>
      </c>
    </row>
    <row r="17" spans="1:11" ht="45" x14ac:dyDescent="0.2">
      <c r="A17" s="17" t="s">
        <v>203</v>
      </c>
      <c r="B17" s="17" t="s">
        <v>202</v>
      </c>
      <c r="C17" s="40">
        <v>299</v>
      </c>
      <c r="D17" s="41">
        <v>361854</v>
      </c>
      <c r="E17" s="42">
        <v>30154.5</v>
      </c>
      <c r="F17" s="43">
        <v>1272</v>
      </c>
      <c r="G17" s="43">
        <v>106</v>
      </c>
      <c r="H17" s="43">
        <v>191</v>
      </c>
      <c r="I17" s="44">
        <v>4.4000000000000004</v>
      </c>
      <c r="J17" s="44" t="s">
        <v>205</v>
      </c>
      <c r="K17" s="54" t="str">
        <f t="shared" si="1"/>
        <v>https://amazon.com/dp/B0D46K5CMK</v>
      </c>
    </row>
    <row r="18" spans="1:11" ht="45" x14ac:dyDescent="0.2">
      <c r="A18" s="17" t="s">
        <v>214</v>
      </c>
      <c r="B18" s="17" t="s">
        <v>213</v>
      </c>
      <c r="C18" s="40">
        <v>299</v>
      </c>
      <c r="D18" s="41">
        <v>335655.6</v>
      </c>
      <c r="E18" s="42">
        <v>27971.3</v>
      </c>
      <c r="F18" s="43">
        <v>1128</v>
      </c>
      <c r="G18" s="43">
        <v>94</v>
      </c>
      <c r="H18" s="43">
        <v>1350</v>
      </c>
      <c r="I18" s="44">
        <v>4.5999999999999996</v>
      </c>
      <c r="J18" s="44" t="s">
        <v>215</v>
      </c>
      <c r="K18" s="54" t="str">
        <f t="shared" si="1"/>
        <v>https://amazon.com/dp/B0C23Z42KX</v>
      </c>
    </row>
    <row r="19" spans="1:11" ht="45" x14ac:dyDescent="0.2">
      <c r="A19" s="17" t="s">
        <v>236</v>
      </c>
      <c r="B19" s="17" t="s">
        <v>235</v>
      </c>
      <c r="C19" s="40">
        <v>199</v>
      </c>
      <c r="D19" s="41">
        <v>307838.28000000003</v>
      </c>
      <c r="E19" s="42">
        <v>25653.19</v>
      </c>
      <c r="F19" s="43">
        <v>1548</v>
      </c>
      <c r="G19" s="43">
        <v>129</v>
      </c>
      <c r="H19" s="43">
        <v>854</v>
      </c>
      <c r="I19" s="44">
        <v>4.5999999999999996</v>
      </c>
      <c r="J19" s="44" t="s">
        <v>237</v>
      </c>
      <c r="K19" s="54" t="str">
        <f t="shared" si="1"/>
        <v>https://amazon.com/dp/B0CRHN7HHW</v>
      </c>
    </row>
    <row r="20" spans="1:11" ht="45" x14ac:dyDescent="0.2">
      <c r="A20" s="17" t="s">
        <v>299</v>
      </c>
      <c r="B20" s="17" t="s">
        <v>300</v>
      </c>
      <c r="C20" s="40">
        <v>399</v>
      </c>
      <c r="D20" s="41">
        <v>182266.8</v>
      </c>
      <c r="E20" s="42">
        <v>15188.9</v>
      </c>
      <c r="F20" s="43">
        <v>456</v>
      </c>
      <c r="G20" s="43">
        <v>38</v>
      </c>
      <c r="H20" s="43">
        <v>146</v>
      </c>
      <c r="I20" s="44">
        <v>4.3</v>
      </c>
      <c r="J20" s="44" t="s">
        <v>301</v>
      </c>
      <c r="K20" s="54" t="str">
        <f t="shared" si="1"/>
        <v>https://amazon.com/dp/B0C1RD1Q15</v>
      </c>
    </row>
    <row r="21" spans="1:11" ht="45" x14ac:dyDescent="0.2">
      <c r="A21" s="17" t="s">
        <v>302</v>
      </c>
      <c r="B21" s="17" t="s">
        <v>303</v>
      </c>
      <c r="C21" s="40">
        <v>279</v>
      </c>
      <c r="D21" s="41">
        <v>98243.16</v>
      </c>
      <c r="E21" s="42">
        <v>8186.93</v>
      </c>
      <c r="F21" s="43">
        <v>348</v>
      </c>
      <c r="G21" s="43">
        <v>29</v>
      </c>
      <c r="H21" s="43">
        <v>53</v>
      </c>
      <c r="I21" s="44">
        <v>4.4000000000000004</v>
      </c>
      <c r="J21" s="44" t="s">
        <v>304</v>
      </c>
      <c r="K21" s="54" t="str">
        <f t="shared" si="1"/>
        <v>https://amazon.com/dp/B0CWN47K4V</v>
      </c>
    </row>
    <row r="22" spans="1:11" ht="45" x14ac:dyDescent="0.2">
      <c r="A22" s="17" t="s">
        <v>305</v>
      </c>
      <c r="B22" s="17" t="s">
        <v>306</v>
      </c>
      <c r="C22" s="40">
        <v>339</v>
      </c>
      <c r="D22" s="41">
        <v>45235.92</v>
      </c>
      <c r="E22" s="42">
        <v>3769.66</v>
      </c>
      <c r="F22" s="43">
        <v>132</v>
      </c>
      <c r="G22" s="43">
        <v>11</v>
      </c>
      <c r="H22" s="43"/>
      <c r="I22" s="44"/>
      <c r="J22" s="44" t="s">
        <v>307</v>
      </c>
      <c r="K22" s="54" t="str">
        <f t="shared" ref="K22:K27" si="2">HYPERLINK(J22)</f>
        <v>https://amazon.com/dp/B0F9NXWHKK</v>
      </c>
    </row>
    <row r="23" spans="1:11" ht="45" x14ac:dyDescent="0.2">
      <c r="A23" s="17" t="s">
        <v>308</v>
      </c>
      <c r="B23" s="17" t="s">
        <v>309</v>
      </c>
      <c r="C23" s="40">
        <v>179</v>
      </c>
      <c r="D23" s="41">
        <v>32512.799999999999</v>
      </c>
      <c r="E23" s="42">
        <v>2709.4</v>
      </c>
      <c r="F23" s="43">
        <v>180</v>
      </c>
      <c r="G23" s="43">
        <v>15</v>
      </c>
      <c r="H23" s="43">
        <v>60</v>
      </c>
      <c r="I23" s="44">
        <v>4.5</v>
      </c>
      <c r="J23" s="44" t="s">
        <v>310</v>
      </c>
      <c r="K23" s="54" t="str">
        <f t="shared" si="2"/>
        <v>https://amazon.com/dp/B0BZR5KNT8</v>
      </c>
    </row>
    <row r="24" spans="1:11" ht="17" x14ac:dyDescent="0.2">
      <c r="A24" s="17" t="s">
        <v>311</v>
      </c>
      <c r="B24" s="17" t="s">
        <v>312</v>
      </c>
      <c r="C24" s="40">
        <v>360.34</v>
      </c>
      <c r="D24" s="41">
        <v>9330.5999999999985</v>
      </c>
      <c r="E24" s="42">
        <v>777.55</v>
      </c>
      <c r="F24" s="43">
        <v>24</v>
      </c>
      <c r="G24" s="43">
        <v>2</v>
      </c>
      <c r="H24" s="43">
        <v>40</v>
      </c>
      <c r="I24" s="44">
        <v>3.9</v>
      </c>
      <c r="J24" s="44" t="s">
        <v>313</v>
      </c>
      <c r="K24" s="54" t="str">
        <f t="shared" si="2"/>
        <v>https://amazon.com/dp/B0BZBZDJV2</v>
      </c>
    </row>
    <row r="25" spans="1:11" ht="30" x14ac:dyDescent="0.2">
      <c r="A25" s="17" t="s">
        <v>314</v>
      </c>
      <c r="B25" s="17" t="s">
        <v>315</v>
      </c>
      <c r="C25" s="40">
        <v>226.99</v>
      </c>
      <c r="D25" s="41">
        <v>5371.2000000000007</v>
      </c>
      <c r="E25" s="42">
        <v>447.6</v>
      </c>
      <c r="F25" s="43">
        <v>24</v>
      </c>
      <c r="G25" s="43">
        <v>2</v>
      </c>
      <c r="H25" s="43">
        <v>1</v>
      </c>
      <c r="I25" s="44">
        <v>5</v>
      </c>
      <c r="J25" s="44" t="s">
        <v>316</v>
      </c>
      <c r="K25" s="54" t="str">
        <f t="shared" si="2"/>
        <v>https://amazon.com/dp/B0CFLWQJMN</v>
      </c>
    </row>
    <row r="26" spans="1:11" ht="17" x14ac:dyDescent="0.2">
      <c r="A26" s="17" t="s">
        <v>317</v>
      </c>
      <c r="B26" s="17" t="s">
        <v>318</v>
      </c>
      <c r="C26" s="40">
        <v>239.64</v>
      </c>
      <c r="D26" s="41">
        <v>2742</v>
      </c>
      <c r="E26" s="42">
        <v>228.5</v>
      </c>
      <c r="F26" s="43">
        <v>12</v>
      </c>
      <c r="G26" s="43">
        <v>1</v>
      </c>
      <c r="H26" s="43">
        <v>883</v>
      </c>
      <c r="I26" s="44">
        <v>4.5</v>
      </c>
      <c r="J26" s="44" t="s">
        <v>319</v>
      </c>
      <c r="K26" s="54" t="str">
        <f t="shared" si="2"/>
        <v>https://amazon.com/dp/B0BFCVZC6R</v>
      </c>
    </row>
    <row r="27" spans="1:11" ht="17" x14ac:dyDescent="0.2">
      <c r="A27" s="17" t="s">
        <v>320</v>
      </c>
      <c r="B27" s="17" t="s">
        <v>321</v>
      </c>
      <c r="C27" s="40">
        <v>317.02999999999997</v>
      </c>
      <c r="D27" s="41"/>
      <c r="E27" s="42"/>
      <c r="F27" s="43">
        <v>0</v>
      </c>
      <c r="G27" s="43">
        <v>0</v>
      </c>
      <c r="H27" s="43">
        <v>56</v>
      </c>
      <c r="I27" s="44">
        <v>4.0999999999999996</v>
      </c>
      <c r="J27" s="44" t="s">
        <v>322</v>
      </c>
      <c r="K27" s="54" t="str">
        <f t="shared" si="2"/>
        <v>https://amazon.com/dp/B0D3LHZ7JY</v>
      </c>
    </row>
    <row r="28" spans="1:11" ht="17" x14ac:dyDescent="0.2">
      <c r="A28" s="20" t="s">
        <v>5</v>
      </c>
      <c r="B28" s="20"/>
      <c r="C28" s="55"/>
      <c r="D28" s="56">
        <f>SUM(D9:D27)</f>
        <v>19537722.120000008</v>
      </c>
      <c r="E28" s="56">
        <f>SUM(E9:E27)</f>
        <v>1628143.5099999998</v>
      </c>
      <c r="F28" s="57"/>
      <c r="G28" s="57"/>
      <c r="H28" s="57"/>
      <c r="I28" s="58"/>
      <c r="J28" s="20"/>
      <c r="K28" s="19"/>
    </row>
    <row r="31" spans="1:11" x14ac:dyDescent="0.2">
      <c r="A31" s="118" t="s">
        <v>18</v>
      </c>
      <c r="B31" s="118"/>
      <c r="C31" s="118"/>
      <c r="D31" s="118"/>
      <c r="E31" s="118"/>
      <c r="F31" s="118"/>
      <c r="G31" s="118"/>
      <c r="H31" s="118"/>
      <c r="I31" s="118"/>
      <c r="J31" s="118"/>
      <c r="K31" s="118"/>
    </row>
    <row r="32" spans="1:11" ht="17" x14ac:dyDescent="0.2">
      <c r="A32" s="23" t="s">
        <v>7</v>
      </c>
      <c r="B32" s="24" t="s">
        <v>6</v>
      </c>
      <c r="C32" s="25" t="s">
        <v>12</v>
      </c>
      <c r="D32" s="26" t="s">
        <v>2</v>
      </c>
      <c r="E32" s="24" t="s">
        <v>28</v>
      </c>
      <c r="F32" s="28" t="s">
        <v>14</v>
      </c>
      <c r="G32" s="31" t="s">
        <v>29</v>
      </c>
      <c r="H32" s="28" t="s">
        <v>9</v>
      </c>
      <c r="I32" s="29" t="s">
        <v>13</v>
      </c>
      <c r="J32" s="29" t="s">
        <v>23</v>
      </c>
      <c r="K32" s="30" t="s">
        <v>11</v>
      </c>
    </row>
    <row r="33" spans="1:11" ht="60" x14ac:dyDescent="0.2">
      <c r="A33" s="17" t="s">
        <v>48</v>
      </c>
      <c r="B33" s="17" t="s">
        <v>47</v>
      </c>
      <c r="C33" s="40">
        <v>151.05000000000001</v>
      </c>
      <c r="D33" s="41">
        <v>8850585.120000001</v>
      </c>
      <c r="E33" s="41">
        <v>737548.76</v>
      </c>
      <c r="F33" s="43">
        <v>46212</v>
      </c>
      <c r="G33" s="45">
        <v>3851</v>
      </c>
      <c r="H33" s="43">
        <v>289</v>
      </c>
      <c r="I33" s="44">
        <v>4.5</v>
      </c>
      <c r="J33" s="44" t="s">
        <v>54</v>
      </c>
      <c r="K33" s="54" t="str">
        <f>HYPERLINK(J33)</f>
        <v>https://amazon.com/dp/B0F29969G1</v>
      </c>
    </row>
    <row r="34" spans="1:11" ht="45" x14ac:dyDescent="0.2">
      <c r="A34" s="17" t="s">
        <v>56</v>
      </c>
      <c r="B34" s="17" t="s">
        <v>55</v>
      </c>
      <c r="C34" s="40">
        <v>236.55</v>
      </c>
      <c r="D34" s="41">
        <v>3149135.04</v>
      </c>
      <c r="E34" s="41">
        <v>262427.92</v>
      </c>
      <c r="F34" s="43">
        <v>10176</v>
      </c>
      <c r="G34" s="45">
        <v>848</v>
      </c>
      <c r="H34" s="43">
        <v>102</v>
      </c>
      <c r="I34" s="44">
        <v>4.5999999999999996</v>
      </c>
      <c r="J34" s="44" t="s">
        <v>60</v>
      </c>
      <c r="K34" s="54" t="str">
        <f t="shared" ref="K34:K39" si="3">HYPERLINK(J34)</f>
        <v>https://amazon.com/dp/B0F8MZVFBJ</v>
      </c>
    </row>
    <row r="35" spans="1:11" ht="45" x14ac:dyDescent="0.2">
      <c r="A35" s="17" t="s">
        <v>112</v>
      </c>
      <c r="B35" s="17" t="s">
        <v>111</v>
      </c>
      <c r="C35" s="40">
        <v>369</v>
      </c>
      <c r="D35" s="41">
        <v>1570161.36</v>
      </c>
      <c r="E35" s="41">
        <v>130846.78</v>
      </c>
      <c r="F35" s="43">
        <v>4740</v>
      </c>
      <c r="G35" s="45">
        <v>395</v>
      </c>
      <c r="H35" s="43">
        <v>854</v>
      </c>
      <c r="I35" s="44">
        <v>4.5999999999999996</v>
      </c>
      <c r="J35" s="44" t="s">
        <v>115</v>
      </c>
      <c r="K35" s="54" t="str">
        <f t="shared" si="3"/>
        <v>https://amazon.com/dp/B0BRK4SGD2</v>
      </c>
    </row>
    <row r="36" spans="1:11" ht="60" x14ac:dyDescent="0.2">
      <c r="A36" s="17" t="s">
        <v>125</v>
      </c>
      <c r="B36" s="17" t="s">
        <v>124</v>
      </c>
      <c r="C36" s="40">
        <v>298.99</v>
      </c>
      <c r="D36" s="41">
        <v>1194787.8</v>
      </c>
      <c r="E36" s="41">
        <v>99565.65</v>
      </c>
      <c r="F36" s="43">
        <v>3996</v>
      </c>
      <c r="G36" s="45">
        <v>333</v>
      </c>
      <c r="H36" s="43">
        <v>1350</v>
      </c>
      <c r="I36" s="44">
        <v>4.5999999999999996</v>
      </c>
      <c r="J36" s="44" t="s">
        <v>127</v>
      </c>
      <c r="K36" s="54" t="str">
        <f t="shared" si="3"/>
        <v>https://amazon.com/dp/B0B7LMB22Q</v>
      </c>
    </row>
    <row r="37" spans="1:11" ht="45" x14ac:dyDescent="0.2">
      <c r="A37" s="17" t="s">
        <v>133</v>
      </c>
      <c r="B37" s="17" t="s">
        <v>132</v>
      </c>
      <c r="C37" s="40">
        <v>299</v>
      </c>
      <c r="D37" s="41">
        <v>1072997.28</v>
      </c>
      <c r="E37" s="41">
        <v>89416.44</v>
      </c>
      <c r="F37" s="43">
        <v>3720</v>
      </c>
      <c r="G37" s="45">
        <v>310</v>
      </c>
      <c r="H37" s="43">
        <v>715</v>
      </c>
      <c r="I37" s="44">
        <v>4.5999999999999996</v>
      </c>
      <c r="J37" s="44" t="s">
        <v>135</v>
      </c>
      <c r="K37" s="54" t="str">
        <f t="shared" si="3"/>
        <v>https://amazon.com/dp/B0D3DZV19P</v>
      </c>
    </row>
    <row r="38" spans="1:11" ht="45" x14ac:dyDescent="0.2">
      <c r="A38" s="17" t="s">
        <v>147</v>
      </c>
      <c r="B38" s="17" t="s">
        <v>146</v>
      </c>
      <c r="C38" s="40">
        <v>299</v>
      </c>
      <c r="D38" s="41">
        <v>918790.32000000007</v>
      </c>
      <c r="E38" s="41">
        <v>76565.86</v>
      </c>
      <c r="F38" s="43">
        <v>3216</v>
      </c>
      <c r="G38" s="45">
        <v>268</v>
      </c>
      <c r="H38" s="43">
        <v>715</v>
      </c>
      <c r="I38" s="44">
        <v>4.5999999999999996</v>
      </c>
      <c r="J38" s="44" t="s">
        <v>149</v>
      </c>
      <c r="K38" s="54" t="str">
        <f t="shared" si="3"/>
        <v>https://amazon.com/dp/B0BYHP8KM9</v>
      </c>
    </row>
    <row r="39" spans="1:11" ht="45" x14ac:dyDescent="0.2">
      <c r="A39" s="17" t="s">
        <v>144</v>
      </c>
      <c r="B39" s="17" t="s">
        <v>143</v>
      </c>
      <c r="C39" s="40">
        <v>469.99</v>
      </c>
      <c r="D39" s="41">
        <v>1002348.84</v>
      </c>
      <c r="E39" s="41">
        <v>83529.070000000007</v>
      </c>
      <c r="F39" s="43">
        <v>2400</v>
      </c>
      <c r="G39" s="45">
        <v>200</v>
      </c>
      <c r="H39" s="43">
        <v>244</v>
      </c>
      <c r="I39" s="44">
        <v>4.5999999999999996</v>
      </c>
      <c r="J39" s="44" t="s">
        <v>145</v>
      </c>
      <c r="K39" s="54" t="str">
        <f t="shared" si="3"/>
        <v>https://amazon.com/dp/B0BRK5DLR3</v>
      </c>
    </row>
    <row r="40" spans="1:11" ht="45" x14ac:dyDescent="0.2">
      <c r="A40" s="17" t="s">
        <v>236</v>
      </c>
      <c r="B40" s="17" t="s">
        <v>235</v>
      </c>
      <c r="C40" s="40">
        <v>199</v>
      </c>
      <c r="D40" s="41">
        <v>307838.28000000003</v>
      </c>
      <c r="E40" s="41">
        <v>25653.19</v>
      </c>
      <c r="F40" s="43">
        <v>1548</v>
      </c>
      <c r="G40" s="45">
        <v>129</v>
      </c>
      <c r="H40" s="43">
        <v>854</v>
      </c>
      <c r="I40" s="44">
        <v>4.5999999999999996</v>
      </c>
      <c r="J40" s="44" t="s">
        <v>237</v>
      </c>
      <c r="K40" s="54" t="str">
        <f t="shared" ref="K40:K45" si="4">HYPERLINK(J40)</f>
        <v>https://amazon.com/dp/B0CRHN7HHW</v>
      </c>
    </row>
    <row r="41" spans="1:11" ht="45" x14ac:dyDescent="0.2">
      <c r="A41" s="17" t="s">
        <v>203</v>
      </c>
      <c r="B41" s="17" t="s">
        <v>202</v>
      </c>
      <c r="C41" s="40">
        <v>299</v>
      </c>
      <c r="D41" s="41">
        <v>361854</v>
      </c>
      <c r="E41" s="41">
        <v>30154.5</v>
      </c>
      <c r="F41" s="43">
        <v>1272</v>
      </c>
      <c r="G41" s="45">
        <v>106</v>
      </c>
      <c r="H41" s="43">
        <v>191</v>
      </c>
      <c r="I41" s="44">
        <v>4.4000000000000004</v>
      </c>
      <c r="J41" s="44" t="s">
        <v>205</v>
      </c>
      <c r="K41" s="54" t="str">
        <f t="shared" si="4"/>
        <v>https://amazon.com/dp/B0D46K5CMK</v>
      </c>
    </row>
    <row r="42" spans="1:11" ht="45" x14ac:dyDescent="0.2">
      <c r="A42" s="17" t="s">
        <v>189</v>
      </c>
      <c r="B42" s="17" t="s">
        <v>188</v>
      </c>
      <c r="C42" s="40">
        <v>399</v>
      </c>
      <c r="D42" s="41">
        <v>397866</v>
      </c>
      <c r="E42" s="41">
        <v>33155.5</v>
      </c>
      <c r="F42" s="43">
        <v>1152</v>
      </c>
      <c r="G42" s="45">
        <v>96</v>
      </c>
      <c r="H42" s="43">
        <v>244</v>
      </c>
      <c r="I42" s="44">
        <v>4.5999999999999996</v>
      </c>
      <c r="J42" s="44" t="s">
        <v>190</v>
      </c>
      <c r="K42" s="54" t="str">
        <f t="shared" si="4"/>
        <v>https://amazon.com/dp/B0DS5XD9WT</v>
      </c>
    </row>
    <row r="43" spans="1:11" ht="45" x14ac:dyDescent="0.2">
      <c r="A43" s="17" t="s">
        <v>214</v>
      </c>
      <c r="B43" s="17" t="s">
        <v>213</v>
      </c>
      <c r="C43" s="40">
        <v>299</v>
      </c>
      <c r="D43" s="41">
        <v>335655.6</v>
      </c>
      <c r="E43" s="41">
        <v>27971.3</v>
      </c>
      <c r="F43" s="43">
        <v>1128</v>
      </c>
      <c r="G43" s="45">
        <v>94</v>
      </c>
      <c r="H43" s="43">
        <v>1350</v>
      </c>
      <c r="I43" s="44">
        <v>4.5999999999999996</v>
      </c>
      <c r="J43" s="44" t="s">
        <v>215</v>
      </c>
      <c r="K43" s="54" t="str">
        <f t="shared" si="4"/>
        <v>https://amazon.com/dp/B0C23Z42KX</v>
      </c>
    </row>
    <row r="44" spans="1:11" ht="45" x14ac:dyDescent="0.2">
      <c r="A44" s="17" t="s">
        <v>299</v>
      </c>
      <c r="B44" s="17" t="s">
        <v>300</v>
      </c>
      <c r="C44" s="40">
        <v>399</v>
      </c>
      <c r="D44" s="41">
        <v>182266.8</v>
      </c>
      <c r="E44" s="41">
        <v>15188.9</v>
      </c>
      <c r="F44" s="43">
        <v>456</v>
      </c>
      <c r="G44" s="45">
        <v>38</v>
      </c>
      <c r="H44" s="43">
        <v>146</v>
      </c>
      <c r="I44" s="44">
        <v>4.3</v>
      </c>
      <c r="J44" s="44" t="s">
        <v>301</v>
      </c>
      <c r="K44" s="54" t="str">
        <f t="shared" si="4"/>
        <v>https://amazon.com/dp/B0C1RD1Q15</v>
      </c>
    </row>
    <row r="45" spans="1:11" ht="45" x14ac:dyDescent="0.2">
      <c r="A45" s="17" t="s">
        <v>302</v>
      </c>
      <c r="B45" s="17" t="s">
        <v>303</v>
      </c>
      <c r="C45" s="40">
        <v>279</v>
      </c>
      <c r="D45" s="41">
        <v>98243.16</v>
      </c>
      <c r="E45" s="41">
        <v>8186.93</v>
      </c>
      <c r="F45" s="43">
        <v>348</v>
      </c>
      <c r="G45" s="45">
        <v>29</v>
      </c>
      <c r="H45" s="43">
        <v>53</v>
      </c>
      <c r="I45" s="44">
        <v>4.4000000000000004</v>
      </c>
      <c r="J45" s="44" t="s">
        <v>304</v>
      </c>
      <c r="K45" s="54" t="str">
        <f t="shared" si="4"/>
        <v>https://amazon.com/dp/B0CWN47K4V</v>
      </c>
    </row>
    <row r="46" spans="1:11" ht="45" x14ac:dyDescent="0.2">
      <c r="A46" s="17" t="s">
        <v>308</v>
      </c>
      <c r="B46" s="17" t="s">
        <v>309</v>
      </c>
      <c r="C46" s="40">
        <v>179</v>
      </c>
      <c r="D46" s="41">
        <v>32512.799999999999</v>
      </c>
      <c r="E46" s="41">
        <v>2709.4</v>
      </c>
      <c r="F46" s="43">
        <v>180</v>
      </c>
      <c r="G46" s="45">
        <v>15</v>
      </c>
      <c r="H46" s="43">
        <v>60</v>
      </c>
      <c r="I46" s="44">
        <v>4.5</v>
      </c>
      <c r="J46" s="44" t="s">
        <v>310</v>
      </c>
      <c r="K46" s="54" t="str">
        <f t="shared" ref="K46:K50" si="5">HYPERLINK(J46)</f>
        <v>https://amazon.com/dp/B0BZR5KNT8</v>
      </c>
    </row>
    <row r="47" spans="1:11" ht="45" x14ac:dyDescent="0.2">
      <c r="A47" s="17" t="s">
        <v>305</v>
      </c>
      <c r="B47" s="17" t="s">
        <v>306</v>
      </c>
      <c r="C47" s="40">
        <v>339</v>
      </c>
      <c r="D47" s="41">
        <v>45235.92</v>
      </c>
      <c r="E47" s="41">
        <v>3769.66</v>
      </c>
      <c r="F47" s="43">
        <v>132</v>
      </c>
      <c r="G47" s="45">
        <v>11</v>
      </c>
      <c r="H47" s="43"/>
      <c r="I47" s="44"/>
      <c r="J47" s="44" t="s">
        <v>307</v>
      </c>
      <c r="K47" s="54" t="str">
        <f t="shared" si="5"/>
        <v>https://amazon.com/dp/B0F9NXWHKK</v>
      </c>
    </row>
    <row r="48" spans="1:11" ht="17" x14ac:dyDescent="0.2">
      <c r="A48" s="17" t="s">
        <v>311</v>
      </c>
      <c r="B48" s="17" t="s">
        <v>312</v>
      </c>
      <c r="C48" s="40">
        <v>360.34</v>
      </c>
      <c r="D48" s="41">
        <v>9330.5999999999985</v>
      </c>
      <c r="E48" s="41">
        <v>777.55</v>
      </c>
      <c r="F48" s="43">
        <v>24</v>
      </c>
      <c r="G48" s="45">
        <v>2</v>
      </c>
      <c r="H48" s="43">
        <v>40</v>
      </c>
      <c r="I48" s="44">
        <v>3.9</v>
      </c>
      <c r="J48" s="44" t="s">
        <v>313</v>
      </c>
      <c r="K48" s="54" t="str">
        <f t="shared" si="5"/>
        <v>https://amazon.com/dp/B0BZBZDJV2</v>
      </c>
    </row>
    <row r="49" spans="1:11" ht="30" x14ac:dyDescent="0.2">
      <c r="A49" s="17" t="s">
        <v>314</v>
      </c>
      <c r="B49" s="17" t="s">
        <v>315</v>
      </c>
      <c r="C49" s="40">
        <v>226.99</v>
      </c>
      <c r="D49" s="41">
        <v>5371.2000000000007</v>
      </c>
      <c r="E49" s="41">
        <v>447.6</v>
      </c>
      <c r="F49" s="43">
        <v>24</v>
      </c>
      <c r="G49" s="45">
        <v>2</v>
      </c>
      <c r="H49" s="43">
        <v>1</v>
      </c>
      <c r="I49" s="44">
        <v>5</v>
      </c>
      <c r="J49" s="44" t="s">
        <v>316</v>
      </c>
      <c r="K49" s="54" t="str">
        <f t="shared" si="5"/>
        <v>https://amazon.com/dp/B0CFLWQJMN</v>
      </c>
    </row>
    <row r="50" spans="1:11" ht="17" x14ac:dyDescent="0.2">
      <c r="A50" s="17" t="s">
        <v>317</v>
      </c>
      <c r="B50" s="17" t="s">
        <v>318</v>
      </c>
      <c r="C50" s="40">
        <v>239.64</v>
      </c>
      <c r="D50" s="41">
        <v>2742</v>
      </c>
      <c r="E50" s="41">
        <v>228.5</v>
      </c>
      <c r="F50" s="43">
        <v>12</v>
      </c>
      <c r="G50" s="45">
        <v>1</v>
      </c>
      <c r="H50" s="43">
        <v>883</v>
      </c>
      <c r="I50" s="44">
        <v>4.5</v>
      </c>
      <c r="J50" s="44" t="s">
        <v>319</v>
      </c>
      <c r="K50" s="54" t="str">
        <f t="shared" si="5"/>
        <v>https://amazon.com/dp/B0BFCVZC6R</v>
      </c>
    </row>
    <row r="51" spans="1:11" ht="17" x14ac:dyDescent="0.2">
      <c r="A51" s="17" t="s">
        <v>320</v>
      </c>
      <c r="B51" s="17" t="s">
        <v>321</v>
      </c>
      <c r="C51" s="40">
        <v>317.02999999999997</v>
      </c>
      <c r="D51" s="41"/>
      <c r="E51" s="41"/>
      <c r="F51" s="43">
        <v>0</v>
      </c>
      <c r="G51" s="45">
        <v>0</v>
      </c>
      <c r="H51" s="43">
        <v>56</v>
      </c>
      <c r="I51" s="44">
        <v>4.0999999999999996</v>
      </c>
      <c r="J51" s="44" t="s">
        <v>322</v>
      </c>
      <c r="K51" s="54" t="str">
        <f t="shared" ref="K51" si="6">HYPERLINK(J51)</f>
        <v>https://amazon.com/dp/B0D3LHZ7JY</v>
      </c>
    </row>
    <row r="52" spans="1:11" ht="17" x14ac:dyDescent="0.2">
      <c r="A52" s="20" t="s">
        <v>5</v>
      </c>
      <c r="B52" s="20"/>
      <c r="C52" s="56"/>
      <c r="D52" s="56"/>
      <c r="E52" s="56"/>
      <c r="F52" s="57">
        <f>SUM(Topdon!F33:F51)</f>
        <v>80736</v>
      </c>
      <c r="G52" s="57">
        <f>SUM(Topdon!G33:G51)</f>
        <v>6728</v>
      </c>
      <c r="H52" s="57"/>
      <c r="I52" s="58"/>
      <c r="J52" s="20"/>
      <c r="K52" s="19"/>
    </row>
  </sheetData>
  <mergeCells count="3">
    <mergeCell ref="A1:K5"/>
    <mergeCell ref="A7:K7"/>
    <mergeCell ref="A31:K3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BC15-3245-42E0-A13D-CCB8E16AC336}">
  <sheetPr codeName="Sheet19"/>
  <dimension ref="A1:K36"/>
  <sheetViews>
    <sheetView tabSelected="1" topLeftCell="E1" workbookViewId="0">
      <selection activeCell="K9" sqref="K9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18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28.1640625" style="18" hidden="1" customWidth="1"/>
    <col min="11" max="11" width="35.6640625" style="18" customWidth="1"/>
    <col min="12" max="16384" width="12.6640625" style="18"/>
  </cols>
  <sheetData>
    <row r="1" spans="1:11" x14ac:dyDescent="0.2">
      <c r="A1" s="119" t="e" vm="3">
        <v>#VALUE!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 spans="1:11" x14ac:dyDescent="0.2">
      <c r="A2" s="119"/>
      <c r="B2" s="119"/>
      <c r="C2" s="119"/>
      <c r="D2" s="119"/>
      <c r="E2" s="119"/>
      <c r="F2" s="119"/>
      <c r="G2" s="119"/>
      <c r="H2" s="119"/>
      <c r="I2" s="119"/>
      <c r="J2" s="119"/>
      <c r="K2" s="119"/>
    </row>
    <row r="3" spans="1:11" x14ac:dyDescent="0.2">
      <c r="A3" s="119"/>
      <c r="B3" s="119"/>
      <c r="C3" s="119"/>
      <c r="D3" s="119"/>
      <c r="E3" s="119"/>
      <c r="F3" s="119"/>
      <c r="G3" s="119"/>
      <c r="H3" s="119"/>
      <c r="I3" s="119"/>
      <c r="J3" s="119"/>
      <c r="K3" s="119"/>
    </row>
    <row r="4" spans="1:11" x14ac:dyDescent="0.2">
      <c r="A4" s="119"/>
      <c r="B4" s="119"/>
      <c r="C4" s="119"/>
      <c r="D4" s="119"/>
      <c r="E4" s="119"/>
      <c r="F4" s="119"/>
      <c r="G4" s="119"/>
      <c r="H4" s="119"/>
      <c r="I4" s="119"/>
      <c r="J4" s="119"/>
      <c r="K4" s="119"/>
    </row>
    <row r="5" spans="1:11" x14ac:dyDescent="0.2">
      <c r="A5" s="119"/>
      <c r="B5" s="119"/>
      <c r="C5" s="119"/>
      <c r="D5" s="119"/>
      <c r="E5" s="119"/>
      <c r="F5" s="119"/>
      <c r="G5" s="119"/>
      <c r="H5" s="119"/>
      <c r="I5" s="119"/>
      <c r="J5" s="119"/>
      <c r="K5" s="119"/>
    </row>
    <row r="6" spans="1:11" x14ac:dyDescent="0.2">
      <c r="A6" s="16"/>
      <c r="B6" s="16"/>
      <c r="C6" s="32"/>
      <c r="D6" s="33"/>
      <c r="E6" s="33"/>
      <c r="F6" s="33"/>
      <c r="G6" s="33"/>
      <c r="H6" s="34"/>
      <c r="I6" s="35"/>
    </row>
    <row r="7" spans="1:11" x14ac:dyDescent="0.2">
      <c r="A7" s="118" t="s">
        <v>15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45" x14ac:dyDescent="0.2">
      <c r="A9" s="17" t="s">
        <v>77</v>
      </c>
      <c r="B9" s="17" t="s">
        <v>76</v>
      </c>
      <c r="C9" s="40">
        <v>239.99</v>
      </c>
      <c r="D9" s="41">
        <v>2460110.7599999998</v>
      </c>
      <c r="E9" s="42">
        <v>205009.23</v>
      </c>
      <c r="F9" s="43">
        <v>10656</v>
      </c>
      <c r="G9" s="43">
        <v>888</v>
      </c>
      <c r="H9" s="43">
        <v>440</v>
      </c>
      <c r="I9" s="44">
        <v>4.5</v>
      </c>
      <c r="J9" s="44" t="s">
        <v>81</v>
      </c>
      <c r="K9" s="54" t="str">
        <f>HYPERLINK(J9)</f>
        <v>https://amazon.com/dp/B0CXNYMG1M</v>
      </c>
    </row>
    <row r="10" spans="1:11" ht="45" x14ac:dyDescent="0.2">
      <c r="A10" s="17" t="s">
        <v>83</v>
      </c>
      <c r="B10" s="17" t="s">
        <v>82</v>
      </c>
      <c r="C10" s="40">
        <v>339</v>
      </c>
      <c r="D10" s="41">
        <v>2408419.44</v>
      </c>
      <c r="E10" s="42">
        <v>200701.62</v>
      </c>
      <c r="F10" s="43">
        <v>7236</v>
      </c>
      <c r="G10" s="43">
        <v>603</v>
      </c>
      <c r="H10" s="43">
        <v>159</v>
      </c>
      <c r="I10" s="44">
        <v>4.8</v>
      </c>
      <c r="J10" s="44" t="s">
        <v>86</v>
      </c>
      <c r="K10" s="54" t="str">
        <f t="shared" ref="K10:K16" si="0">HYPERLINK(J10)</f>
        <v>https://amazon.com/dp/B0D8WC31Y9</v>
      </c>
    </row>
    <row r="11" spans="1:11" ht="45" x14ac:dyDescent="0.2">
      <c r="A11" s="17" t="s">
        <v>92</v>
      </c>
      <c r="B11" s="17" t="s">
        <v>91</v>
      </c>
      <c r="C11" s="40">
        <v>199.99</v>
      </c>
      <c r="D11" s="41">
        <v>2283227.16</v>
      </c>
      <c r="E11" s="42">
        <v>190268.93</v>
      </c>
      <c r="F11" s="43">
        <v>11352</v>
      </c>
      <c r="G11" s="43">
        <v>946</v>
      </c>
      <c r="H11" s="43">
        <v>858</v>
      </c>
      <c r="I11" s="44">
        <v>4.5</v>
      </c>
      <c r="J11" s="44" t="s">
        <v>93</v>
      </c>
      <c r="K11" s="54" t="str">
        <f t="shared" si="0"/>
        <v>https://amazon.com/dp/B0CWS4BVCX</v>
      </c>
    </row>
    <row r="12" spans="1:11" ht="45" x14ac:dyDescent="0.2">
      <c r="A12" s="17" t="s">
        <v>100</v>
      </c>
      <c r="B12" s="17" t="s">
        <v>99</v>
      </c>
      <c r="C12" s="40">
        <v>219.99</v>
      </c>
      <c r="D12" s="41">
        <v>1985329.08</v>
      </c>
      <c r="E12" s="42">
        <v>165444.09</v>
      </c>
      <c r="F12" s="43">
        <v>9060</v>
      </c>
      <c r="G12" s="43">
        <v>755</v>
      </c>
      <c r="H12" s="43">
        <v>858</v>
      </c>
      <c r="I12" s="44">
        <v>4.5</v>
      </c>
      <c r="J12" s="44" t="s">
        <v>101</v>
      </c>
      <c r="K12" s="54" t="str">
        <f t="shared" si="0"/>
        <v>https://amazon.com/dp/B0CYCKHTVW</v>
      </c>
    </row>
    <row r="13" spans="1:11" ht="45" x14ac:dyDescent="0.2">
      <c r="A13" s="17" t="s">
        <v>207</v>
      </c>
      <c r="B13" s="17" t="s">
        <v>206</v>
      </c>
      <c r="C13" s="40">
        <v>459</v>
      </c>
      <c r="D13" s="41">
        <v>359590.2</v>
      </c>
      <c r="E13" s="42">
        <v>29965.85</v>
      </c>
      <c r="F13" s="43">
        <v>780</v>
      </c>
      <c r="G13" s="43">
        <v>65</v>
      </c>
      <c r="H13" s="43">
        <v>36</v>
      </c>
      <c r="I13" s="44">
        <v>4.5999999999999996</v>
      </c>
      <c r="J13" s="44" t="s">
        <v>209</v>
      </c>
      <c r="K13" s="54" t="str">
        <f t="shared" si="0"/>
        <v>https://amazon.com/dp/B0DCZ8CRCS</v>
      </c>
    </row>
    <row r="14" spans="1:11" ht="45" x14ac:dyDescent="0.2">
      <c r="A14" s="17" t="s">
        <v>323</v>
      </c>
      <c r="B14" s="17" t="s">
        <v>324</v>
      </c>
      <c r="C14" s="40">
        <v>439</v>
      </c>
      <c r="D14" s="41">
        <v>324441.24</v>
      </c>
      <c r="E14" s="42">
        <v>27036.77</v>
      </c>
      <c r="F14" s="43">
        <v>744</v>
      </c>
      <c r="G14" s="43">
        <v>62</v>
      </c>
      <c r="H14" s="43">
        <v>60</v>
      </c>
      <c r="I14" s="44">
        <v>4.4000000000000004</v>
      </c>
      <c r="J14" s="44" t="s">
        <v>325</v>
      </c>
      <c r="K14" s="54" t="str">
        <f t="shared" si="0"/>
        <v>https://amazon.com/dp/B0D8W7MQGR</v>
      </c>
    </row>
    <row r="15" spans="1:11" ht="45" x14ac:dyDescent="0.2">
      <c r="A15" s="17" t="s">
        <v>326</v>
      </c>
      <c r="B15" s="17" t="s">
        <v>327</v>
      </c>
      <c r="C15" s="40">
        <v>299.99</v>
      </c>
      <c r="D15" s="41">
        <v>88525.56</v>
      </c>
      <c r="E15" s="42">
        <v>7377.13</v>
      </c>
      <c r="F15" s="43">
        <v>300</v>
      </c>
      <c r="G15" s="43">
        <v>25</v>
      </c>
      <c r="H15" s="43">
        <v>95</v>
      </c>
      <c r="I15" s="44">
        <v>4.5</v>
      </c>
      <c r="J15" s="44" t="s">
        <v>328</v>
      </c>
      <c r="K15" s="54" t="str">
        <f t="shared" si="0"/>
        <v>https://amazon.com/dp/B0CXNVV89D</v>
      </c>
    </row>
    <row r="16" spans="1:11" ht="45" x14ac:dyDescent="0.2">
      <c r="A16" s="17" t="s">
        <v>329</v>
      </c>
      <c r="B16" s="17" t="s">
        <v>330</v>
      </c>
      <c r="C16" s="40">
        <v>199</v>
      </c>
      <c r="D16" s="41">
        <v>67023.959999999992</v>
      </c>
      <c r="E16" s="42">
        <v>5585.33</v>
      </c>
      <c r="F16" s="43">
        <v>336</v>
      </c>
      <c r="G16" s="43">
        <v>28</v>
      </c>
      <c r="H16" s="43">
        <v>45</v>
      </c>
      <c r="I16" s="44">
        <v>4.3</v>
      </c>
      <c r="J16" s="44" t="s">
        <v>331</v>
      </c>
      <c r="K16" s="54" t="str">
        <f t="shared" si="0"/>
        <v>https://amazon.com/dp/B0DT759N6K</v>
      </c>
    </row>
    <row r="17" spans="1:11" ht="60" x14ac:dyDescent="0.2">
      <c r="A17" s="17" t="s">
        <v>332</v>
      </c>
      <c r="B17" s="17" t="s">
        <v>333</v>
      </c>
      <c r="C17" s="40">
        <v>109.99</v>
      </c>
      <c r="D17" s="41">
        <v>50909.04</v>
      </c>
      <c r="E17" s="42">
        <v>4242.42</v>
      </c>
      <c r="F17" s="43">
        <v>468</v>
      </c>
      <c r="G17" s="43">
        <v>39</v>
      </c>
      <c r="H17" s="43">
        <v>88</v>
      </c>
      <c r="I17" s="44">
        <v>3.4</v>
      </c>
      <c r="J17" s="44" t="s">
        <v>334</v>
      </c>
      <c r="K17" s="54" t="str">
        <f t="shared" ref="K17" si="1">HYPERLINK(J17)</f>
        <v>https://amazon.com/dp/B0DK3D9TFL</v>
      </c>
    </row>
    <row r="18" spans="1:11" ht="45" x14ac:dyDescent="0.2">
      <c r="A18" s="17" t="s">
        <v>335</v>
      </c>
      <c r="B18" s="17" t="s">
        <v>336</v>
      </c>
      <c r="C18" s="40">
        <v>119</v>
      </c>
      <c r="D18" s="41">
        <v>36666.480000000003</v>
      </c>
      <c r="E18" s="42">
        <v>3055.54</v>
      </c>
      <c r="F18" s="43">
        <v>312</v>
      </c>
      <c r="G18" s="43">
        <v>26</v>
      </c>
      <c r="H18" s="43">
        <v>67</v>
      </c>
      <c r="I18" s="44">
        <v>4.0999999999999996</v>
      </c>
      <c r="J18" s="44" t="s">
        <v>337</v>
      </c>
      <c r="K18" s="54" t="str">
        <f t="shared" ref="K18:K19" si="2">HYPERLINK(J18)</f>
        <v>https://amazon.com/dp/B0DT6H42MY</v>
      </c>
    </row>
    <row r="19" spans="1:11" ht="45" x14ac:dyDescent="0.2">
      <c r="A19" s="17" t="s">
        <v>338</v>
      </c>
      <c r="B19" s="17" t="s">
        <v>339</v>
      </c>
      <c r="C19" s="40">
        <v>249</v>
      </c>
      <c r="D19" s="41">
        <v>12611.28</v>
      </c>
      <c r="E19" s="42">
        <v>1050.94</v>
      </c>
      <c r="F19" s="43">
        <v>48</v>
      </c>
      <c r="G19" s="43">
        <v>4</v>
      </c>
      <c r="H19" s="43">
        <v>19</v>
      </c>
      <c r="I19" s="44">
        <v>4.9000000000000004</v>
      </c>
      <c r="J19" s="44" t="s">
        <v>340</v>
      </c>
      <c r="K19" s="54" t="str">
        <f t="shared" si="2"/>
        <v>https://amazon.com/dp/B0D961JM3J</v>
      </c>
    </row>
    <row r="20" spans="1:11" ht="17" x14ac:dyDescent="0.2">
      <c r="A20" s="20" t="s">
        <v>5</v>
      </c>
      <c r="B20" s="20"/>
      <c r="C20" s="55"/>
      <c r="D20" s="56">
        <f>SUM(D9:D19)</f>
        <v>10076854.199999999</v>
      </c>
      <c r="E20" s="56">
        <f>SUM(E9:E19)</f>
        <v>839737.85</v>
      </c>
      <c r="F20" s="57"/>
      <c r="G20" s="57"/>
      <c r="H20" s="57"/>
      <c r="I20" s="58"/>
      <c r="J20" s="20"/>
    </row>
    <row r="21" spans="1:11" x14ac:dyDescent="0.2">
      <c r="A21" s="17"/>
      <c r="B21" s="17"/>
      <c r="C21" s="41"/>
      <c r="D21" s="41"/>
      <c r="E21" s="43"/>
      <c r="F21" s="43"/>
      <c r="G21" s="43"/>
      <c r="H21" s="44"/>
      <c r="I21" s="17"/>
    </row>
    <row r="22" spans="1:11" x14ac:dyDescent="0.2">
      <c r="A22" s="17"/>
      <c r="B22" s="17"/>
      <c r="C22" s="41"/>
      <c r="D22" s="41"/>
      <c r="E22" s="43"/>
      <c r="F22" s="43"/>
      <c r="G22" s="43"/>
      <c r="H22" s="44"/>
      <c r="I22" s="17"/>
    </row>
    <row r="23" spans="1:11" x14ac:dyDescent="0.2">
      <c r="A23" s="118" t="s">
        <v>18</v>
      </c>
      <c r="B23" s="118"/>
      <c r="C23" s="118"/>
      <c r="D23" s="118"/>
      <c r="E23" s="118"/>
      <c r="F23" s="118"/>
      <c r="G23" s="118"/>
      <c r="H23" s="118"/>
      <c r="I23" s="118"/>
      <c r="J23" s="118"/>
      <c r="K23" s="118"/>
    </row>
    <row r="24" spans="1:11" ht="17" x14ac:dyDescent="0.2">
      <c r="A24" s="23" t="s">
        <v>7</v>
      </c>
      <c r="B24" s="24" t="s">
        <v>6</v>
      </c>
      <c r="C24" s="25" t="s">
        <v>12</v>
      </c>
      <c r="D24" s="26" t="s">
        <v>2</v>
      </c>
      <c r="E24" s="24" t="s">
        <v>28</v>
      </c>
      <c r="F24" s="28" t="s">
        <v>14</v>
      </c>
      <c r="G24" s="31" t="s">
        <v>29</v>
      </c>
      <c r="H24" s="28" t="s">
        <v>9</v>
      </c>
      <c r="I24" s="29" t="s">
        <v>13</v>
      </c>
      <c r="J24" s="29" t="s">
        <v>23</v>
      </c>
      <c r="K24" s="30" t="s">
        <v>11</v>
      </c>
    </row>
    <row r="25" spans="1:11" ht="45" x14ac:dyDescent="0.2">
      <c r="A25" s="17" t="s">
        <v>92</v>
      </c>
      <c r="B25" s="17" t="s">
        <v>91</v>
      </c>
      <c r="C25" s="40">
        <v>199.99</v>
      </c>
      <c r="D25" s="41">
        <v>2283227.16</v>
      </c>
      <c r="E25" s="41">
        <v>190268.93</v>
      </c>
      <c r="F25" s="43">
        <v>11352</v>
      </c>
      <c r="G25" s="45">
        <v>946</v>
      </c>
      <c r="H25" s="43">
        <v>858</v>
      </c>
      <c r="I25" s="44">
        <v>4.5</v>
      </c>
      <c r="J25" s="44" t="s">
        <v>93</v>
      </c>
      <c r="K25" s="21" t="str">
        <f>HYPERLINK(J25)</f>
        <v>https://amazon.com/dp/B0CWS4BVCX</v>
      </c>
    </row>
    <row r="26" spans="1:11" ht="45" x14ac:dyDescent="0.2">
      <c r="A26" s="17" t="s">
        <v>77</v>
      </c>
      <c r="B26" s="17" t="s">
        <v>76</v>
      </c>
      <c r="C26" s="40">
        <v>239.99</v>
      </c>
      <c r="D26" s="41">
        <v>2460110.7599999998</v>
      </c>
      <c r="E26" s="41">
        <v>205009.23</v>
      </c>
      <c r="F26" s="43">
        <v>10656</v>
      </c>
      <c r="G26" s="45">
        <v>888</v>
      </c>
      <c r="H26" s="43">
        <v>440</v>
      </c>
      <c r="I26" s="44">
        <v>4.5</v>
      </c>
      <c r="J26" s="44" t="s">
        <v>81</v>
      </c>
      <c r="K26" s="21" t="str">
        <f t="shared" ref="K26:K30" si="3">HYPERLINK(J26)</f>
        <v>https://amazon.com/dp/B0CXNYMG1M</v>
      </c>
    </row>
    <row r="27" spans="1:11" ht="45" x14ac:dyDescent="0.2">
      <c r="A27" s="17" t="s">
        <v>100</v>
      </c>
      <c r="B27" s="17" t="s">
        <v>99</v>
      </c>
      <c r="C27" s="40">
        <v>219.99</v>
      </c>
      <c r="D27" s="41">
        <v>1985329.08</v>
      </c>
      <c r="E27" s="41">
        <v>165444.09</v>
      </c>
      <c r="F27" s="43">
        <v>9060</v>
      </c>
      <c r="G27" s="45">
        <v>755</v>
      </c>
      <c r="H27" s="43">
        <v>858</v>
      </c>
      <c r="I27" s="44">
        <v>4.5</v>
      </c>
      <c r="J27" s="44" t="s">
        <v>101</v>
      </c>
      <c r="K27" s="21" t="str">
        <f t="shared" si="3"/>
        <v>https://amazon.com/dp/B0CYCKHTVW</v>
      </c>
    </row>
    <row r="28" spans="1:11" ht="45" x14ac:dyDescent="0.2">
      <c r="A28" s="17" t="s">
        <v>83</v>
      </c>
      <c r="B28" s="17" t="s">
        <v>82</v>
      </c>
      <c r="C28" s="40">
        <v>339</v>
      </c>
      <c r="D28" s="41">
        <v>2408419.44</v>
      </c>
      <c r="E28" s="41">
        <v>200701.62</v>
      </c>
      <c r="F28" s="43">
        <v>7236</v>
      </c>
      <c r="G28" s="45">
        <v>603</v>
      </c>
      <c r="H28" s="43">
        <v>159</v>
      </c>
      <c r="I28" s="44">
        <v>4.8</v>
      </c>
      <c r="J28" s="44" t="s">
        <v>86</v>
      </c>
      <c r="K28" s="21" t="str">
        <f t="shared" si="3"/>
        <v>https://amazon.com/dp/B0D8WC31Y9</v>
      </c>
    </row>
    <row r="29" spans="1:11" ht="45" x14ac:dyDescent="0.2">
      <c r="A29" s="17" t="s">
        <v>207</v>
      </c>
      <c r="B29" s="17" t="s">
        <v>206</v>
      </c>
      <c r="C29" s="40">
        <v>459</v>
      </c>
      <c r="D29" s="41">
        <v>359590.2</v>
      </c>
      <c r="E29" s="41">
        <v>29965.85</v>
      </c>
      <c r="F29" s="43">
        <v>780</v>
      </c>
      <c r="G29" s="45">
        <v>65</v>
      </c>
      <c r="H29" s="43">
        <v>36</v>
      </c>
      <c r="I29" s="44">
        <v>4.5999999999999996</v>
      </c>
      <c r="J29" s="44" t="s">
        <v>209</v>
      </c>
      <c r="K29" s="21" t="str">
        <f t="shared" si="3"/>
        <v>https://amazon.com/dp/B0DCZ8CRCS</v>
      </c>
    </row>
    <row r="30" spans="1:11" ht="45" x14ac:dyDescent="0.2">
      <c r="A30" s="17" t="s">
        <v>323</v>
      </c>
      <c r="B30" s="17" t="s">
        <v>324</v>
      </c>
      <c r="C30" s="40">
        <v>439</v>
      </c>
      <c r="D30" s="41">
        <v>324441.24</v>
      </c>
      <c r="E30" s="41">
        <v>27036.77</v>
      </c>
      <c r="F30" s="43">
        <v>744</v>
      </c>
      <c r="G30" s="45">
        <v>62</v>
      </c>
      <c r="H30" s="43">
        <v>60</v>
      </c>
      <c r="I30" s="44">
        <v>4.4000000000000004</v>
      </c>
      <c r="J30" s="44" t="s">
        <v>325</v>
      </c>
      <c r="K30" s="21" t="str">
        <f t="shared" si="3"/>
        <v>https://amazon.com/dp/B0D8W7MQGR</v>
      </c>
    </row>
    <row r="31" spans="1:11" ht="60" x14ac:dyDescent="0.2">
      <c r="A31" s="17" t="s">
        <v>332</v>
      </c>
      <c r="B31" s="17" t="s">
        <v>333</v>
      </c>
      <c r="C31" s="40">
        <v>109.99</v>
      </c>
      <c r="D31" s="41">
        <v>50909.04</v>
      </c>
      <c r="E31" s="41">
        <v>4242.42</v>
      </c>
      <c r="F31" s="43">
        <v>468</v>
      </c>
      <c r="G31" s="45">
        <v>39</v>
      </c>
      <c r="H31" s="43">
        <v>88</v>
      </c>
      <c r="I31" s="44">
        <v>3.4</v>
      </c>
      <c r="J31" s="44" t="s">
        <v>334</v>
      </c>
      <c r="K31" s="100" t="str">
        <f t="shared" ref="K31" si="4">HYPERLINK(J31)</f>
        <v>https://amazon.com/dp/B0DK3D9TFL</v>
      </c>
    </row>
    <row r="32" spans="1:11" ht="45" x14ac:dyDescent="0.2">
      <c r="A32" s="17" t="s">
        <v>329</v>
      </c>
      <c r="B32" s="17" t="s">
        <v>330</v>
      </c>
      <c r="C32" s="40">
        <v>199</v>
      </c>
      <c r="D32" s="41">
        <v>67023.959999999992</v>
      </c>
      <c r="E32" s="41">
        <v>5585.33</v>
      </c>
      <c r="F32" s="43">
        <v>336</v>
      </c>
      <c r="G32" s="45">
        <v>28</v>
      </c>
      <c r="H32" s="43">
        <v>45</v>
      </c>
      <c r="I32" s="44">
        <v>4.3</v>
      </c>
      <c r="J32" s="44" t="s">
        <v>331</v>
      </c>
      <c r="K32" s="21" t="str">
        <f t="shared" ref="K32:K35" si="5">HYPERLINK(J32)</f>
        <v>https://amazon.com/dp/B0DT759N6K</v>
      </c>
    </row>
    <row r="33" spans="1:11" ht="45" x14ac:dyDescent="0.2">
      <c r="A33" s="17" t="s">
        <v>335</v>
      </c>
      <c r="B33" s="17" t="s">
        <v>336</v>
      </c>
      <c r="C33" s="40">
        <v>119</v>
      </c>
      <c r="D33" s="41">
        <v>36666.480000000003</v>
      </c>
      <c r="E33" s="41">
        <v>3055.54</v>
      </c>
      <c r="F33" s="43">
        <v>312</v>
      </c>
      <c r="G33" s="45">
        <v>26</v>
      </c>
      <c r="H33" s="43">
        <v>67</v>
      </c>
      <c r="I33" s="44">
        <v>4.0999999999999996</v>
      </c>
      <c r="J33" s="44" t="s">
        <v>337</v>
      </c>
      <c r="K33" s="21" t="str">
        <f t="shared" si="5"/>
        <v>https://amazon.com/dp/B0DT6H42MY</v>
      </c>
    </row>
    <row r="34" spans="1:11" ht="45" x14ac:dyDescent="0.2">
      <c r="A34" s="17" t="s">
        <v>326</v>
      </c>
      <c r="B34" s="17" t="s">
        <v>327</v>
      </c>
      <c r="C34" s="40">
        <v>299.99</v>
      </c>
      <c r="D34" s="41">
        <v>88525.56</v>
      </c>
      <c r="E34" s="41">
        <v>7377.13</v>
      </c>
      <c r="F34" s="43">
        <v>300</v>
      </c>
      <c r="G34" s="45">
        <v>25</v>
      </c>
      <c r="H34" s="43">
        <v>95</v>
      </c>
      <c r="I34" s="44">
        <v>4.5</v>
      </c>
      <c r="J34" s="44" t="s">
        <v>328</v>
      </c>
      <c r="K34" s="21" t="str">
        <f t="shared" si="5"/>
        <v>https://amazon.com/dp/B0CXNVV89D</v>
      </c>
    </row>
    <row r="35" spans="1:11" ht="45" x14ac:dyDescent="0.2">
      <c r="A35" s="17" t="s">
        <v>338</v>
      </c>
      <c r="B35" s="17" t="s">
        <v>339</v>
      </c>
      <c r="C35" s="40">
        <v>249</v>
      </c>
      <c r="D35" s="41">
        <v>12611.28</v>
      </c>
      <c r="E35" s="41">
        <v>1050.94</v>
      </c>
      <c r="F35" s="43">
        <v>48</v>
      </c>
      <c r="G35" s="45">
        <v>4</v>
      </c>
      <c r="H35" s="43">
        <v>19</v>
      </c>
      <c r="I35" s="44">
        <v>4.9000000000000004</v>
      </c>
      <c r="J35" s="44" t="s">
        <v>340</v>
      </c>
      <c r="K35" s="21" t="str">
        <f t="shared" si="5"/>
        <v>https://amazon.com/dp/B0D961JM3J</v>
      </c>
    </row>
    <row r="36" spans="1:11" ht="17" x14ac:dyDescent="0.2">
      <c r="A36" s="20" t="s">
        <v>5</v>
      </c>
      <c r="B36" s="20"/>
      <c r="C36" s="56"/>
      <c r="D36" s="56"/>
      <c r="E36" s="56"/>
      <c r="F36" s="57">
        <f>SUM(Table43[Estimated 12mo Units])</f>
        <v>41292</v>
      </c>
      <c r="G36" s="57">
        <f>SUM(Table43[Monthly Units])</f>
        <v>3441</v>
      </c>
      <c r="H36" s="57"/>
      <c r="I36" s="58"/>
      <c r="J36" s="20"/>
    </row>
  </sheetData>
  <mergeCells count="3">
    <mergeCell ref="A23:K23"/>
    <mergeCell ref="A7:K7"/>
    <mergeCell ref="A1:K5"/>
  </mergeCells>
  <hyperlinks>
    <hyperlink ref="K25" r:id="rId1" display="https://amazon.com/dp/B07S7H86Z1" xr:uid="{B50781AB-6A1B-4FD5-A4FE-B01CC9AE1E6C}"/>
  </hyperlinks>
  <pageMargins left="0.7" right="0.7" top="0.75" bottom="0.75" header="0.3" footer="0.3"/>
  <pageSetup paperSize="9" orientation="portrait" horizontalDpi="0" verticalDpi="0"/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6EF8-81A7-4E70-856D-5188FB94CB51}">
  <dimension ref="A1:K48"/>
  <sheetViews>
    <sheetView workbookViewId="0">
      <selection activeCell="M10" sqref="M10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18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28.1640625" style="18" hidden="1" customWidth="1"/>
    <col min="11" max="11" width="35.6640625" style="18" customWidth="1"/>
    <col min="12" max="16384" width="12.6640625" style="18"/>
  </cols>
  <sheetData>
    <row r="1" spans="1:11" x14ac:dyDescent="0.2">
      <c r="A1" s="119" t="e" vm="4">
        <v>#VALUE!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 spans="1:11" x14ac:dyDescent="0.2">
      <c r="A2" s="119"/>
      <c r="B2" s="119"/>
      <c r="C2" s="119"/>
      <c r="D2" s="119"/>
      <c r="E2" s="119"/>
      <c r="F2" s="119"/>
      <c r="G2" s="119"/>
      <c r="H2" s="119"/>
      <c r="I2" s="119"/>
      <c r="J2" s="119"/>
      <c r="K2" s="119"/>
    </row>
    <row r="3" spans="1:11" x14ac:dyDescent="0.2">
      <c r="A3" s="119"/>
      <c r="B3" s="119"/>
      <c r="C3" s="119"/>
      <c r="D3" s="119"/>
      <c r="E3" s="119"/>
      <c r="F3" s="119"/>
      <c r="G3" s="119"/>
      <c r="H3" s="119"/>
      <c r="I3" s="119"/>
      <c r="J3" s="119"/>
      <c r="K3" s="119"/>
    </row>
    <row r="4" spans="1:11" x14ac:dyDescent="0.2">
      <c r="A4" s="119"/>
      <c r="B4" s="119"/>
      <c r="C4" s="119"/>
      <c r="D4" s="119"/>
      <c r="E4" s="119"/>
      <c r="F4" s="119"/>
      <c r="G4" s="119"/>
      <c r="H4" s="119"/>
      <c r="I4" s="119"/>
      <c r="J4" s="119"/>
      <c r="K4" s="119"/>
    </row>
    <row r="5" spans="1:11" x14ac:dyDescent="0.2">
      <c r="A5" s="119"/>
      <c r="B5" s="119"/>
      <c r="C5" s="119"/>
      <c r="D5" s="119"/>
      <c r="E5" s="119"/>
      <c r="F5" s="119"/>
      <c r="G5" s="119"/>
      <c r="H5" s="119"/>
      <c r="I5" s="119"/>
      <c r="J5" s="119"/>
      <c r="K5" s="119"/>
    </row>
    <row r="6" spans="1:11" x14ac:dyDescent="0.2">
      <c r="A6" s="16"/>
      <c r="B6" s="16"/>
      <c r="C6" s="32"/>
      <c r="D6" s="33"/>
      <c r="E6" s="33"/>
      <c r="F6" s="33"/>
      <c r="G6" s="33"/>
      <c r="H6" s="34"/>
      <c r="I6" s="35"/>
    </row>
    <row r="7" spans="1:11" x14ac:dyDescent="0.2">
      <c r="A7" s="118" t="s">
        <v>15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45" x14ac:dyDescent="0.2">
      <c r="A9" s="17" t="s">
        <v>71</v>
      </c>
      <c r="B9" s="17" t="s">
        <v>70</v>
      </c>
      <c r="C9" s="40">
        <v>359</v>
      </c>
      <c r="D9" s="41">
        <v>2522528.16</v>
      </c>
      <c r="E9" s="42">
        <v>210210.68</v>
      </c>
      <c r="F9" s="43">
        <v>6612</v>
      </c>
      <c r="G9" s="43">
        <v>551</v>
      </c>
      <c r="H9" s="43">
        <v>92</v>
      </c>
      <c r="I9" s="44">
        <v>4.2</v>
      </c>
      <c r="J9" s="44" t="s">
        <v>75</v>
      </c>
      <c r="K9" s="54" t="str">
        <f t="shared" ref="K9" si="0">HYPERLINK(J9)</f>
        <v>https://amazon.com/dp/B0F5461RX3</v>
      </c>
    </row>
    <row r="10" spans="1:11" ht="45" x14ac:dyDescent="0.2">
      <c r="A10" s="17" t="s">
        <v>157</v>
      </c>
      <c r="B10" s="17" t="s">
        <v>156</v>
      </c>
      <c r="C10" s="40">
        <v>139</v>
      </c>
      <c r="D10" s="41">
        <v>825922.08</v>
      </c>
      <c r="E10" s="42">
        <v>68826.84</v>
      </c>
      <c r="F10" s="43">
        <v>5940</v>
      </c>
      <c r="G10" s="43">
        <v>495</v>
      </c>
      <c r="H10" s="43">
        <v>27</v>
      </c>
      <c r="I10" s="44">
        <v>4.3</v>
      </c>
      <c r="J10" s="44" t="s">
        <v>158</v>
      </c>
      <c r="K10" s="54" t="str">
        <f t="shared" ref="K10" si="1">HYPERLINK(J10)</f>
        <v>https://amazon.com/dp/B0FMRX6PF9</v>
      </c>
    </row>
    <row r="11" spans="1:11" ht="45" x14ac:dyDescent="0.2">
      <c r="A11" s="17" t="s">
        <v>160</v>
      </c>
      <c r="B11" s="17" t="s">
        <v>159</v>
      </c>
      <c r="C11" s="40">
        <v>139</v>
      </c>
      <c r="D11" s="41">
        <v>816549.24</v>
      </c>
      <c r="E11" s="42">
        <v>68045.77</v>
      </c>
      <c r="F11" s="43">
        <v>5856</v>
      </c>
      <c r="G11" s="43">
        <v>488</v>
      </c>
      <c r="H11" s="43">
        <v>52</v>
      </c>
      <c r="I11" s="44">
        <v>4.4000000000000004</v>
      </c>
      <c r="J11" s="44" t="s">
        <v>161</v>
      </c>
      <c r="K11" s="54" t="str">
        <f t="shared" ref="K11:K17" si="2">HYPERLINK(J11)</f>
        <v>https://amazon.com/dp/B0FLK4V7Z6</v>
      </c>
    </row>
    <row r="12" spans="1:11" ht="45" x14ac:dyDescent="0.2">
      <c r="A12" s="17" t="s">
        <v>163</v>
      </c>
      <c r="B12" s="17" t="s">
        <v>162</v>
      </c>
      <c r="C12" s="40">
        <v>349</v>
      </c>
      <c r="D12" s="41">
        <v>786605.64</v>
      </c>
      <c r="E12" s="42">
        <v>65550.47</v>
      </c>
      <c r="F12" s="43">
        <v>2712</v>
      </c>
      <c r="G12" s="43">
        <v>226</v>
      </c>
      <c r="H12" s="43">
        <v>56</v>
      </c>
      <c r="I12" s="44">
        <v>4.2</v>
      </c>
      <c r="J12" s="44" t="s">
        <v>164</v>
      </c>
      <c r="K12" s="54" t="str">
        <f t="shared" si="2"/>
        <v>https://amazon.com/dp/B0FF51GX97</v>
      </c>
    </row>
    <row r="13" spans="1:11" ht="45" x14ac:dyDescent="0.2">
      <c r="A13" s="17" t="s">
        <v>166</v>
      </c>
      <c r="B13" s="17" t="s">
        <v>165</v>
      </c>
      <c r="C13" s="40">
        <v>359</v>
      </c>
      <c r="D13" s="41">
        <v>695691.96</v>
      </c>
      <c r="E13" s="42">
        <v>57974.33</v>
      </c>
      <c r="F13" s="43">
        <v>1812</v>
      </c>
      <c r="G13" s="43">
        <v>151</v>
      </c>
      <c r="H13" s="43">
        <v>21</v>
      </c>
      <c r="I13" s="44">
        <v>4.4000000000000004</v>
      </c>
      <c r="J13" s="44" t="s">
        <v>167</v>
      </c>
      <c r="K13" s="54" t="str">
        <f t="shared" si="2"/>
        <v>https://amazon.com/dp/B0FJ2BXRJ1</v>
      </c>
    </row>
    <row r="14" spans="1:11" ht="45" x14ac:dyDescent="0.2">
      <c r="A14" s="17" t="s">
        <v>192</v>
      </c>
      <c r="B14" s="17" t="s">
        <v>191</v>
      </c>
      <c r="C14" s="40">
        <v>339</v>
      </c>
      <c r="D14" s="41">
        <v>396961.2</v>
      </c>
      <c r="E14" s="42">
        <v>33080.1</v>
      </c>
      <c r="F14" s="43">
        <v>1260</v>
      </c>
      <c r="G14" s="43">
        <v>105</v>
      </c>
      <c r="H14" s="43">
        <v>10</v>
      </c>
      <c r="I14" s="44">
        <v>4.8</v>
      </c>
      <c r="J14" s="44" t="s">
        <v>193</v>
      </c>
      <c r="K14" s="54" t="str">
        <f t="shared" si="2"/>
        <v>https://amazon.com/dp/B0FNCDQWJR</v>
      </c>
    </row>
    <row r="15" spans="1:11" ht="45" x14ac:dyDescent="0.2">
      <c r="A15" s="17" t="s">
        <v>211</v>
      </c>
      <c r="B15" s="17" t="s">
        <v>210</v>
      </c>
      <c r="C15" s="40">
        <v>569</v>
      </c>
      <c r="D15" s="41">
        <v>351156.84</v>
      </c>
      <c r="E15" s="42">
        <v>29263.07</v>
      </c>
      <c r="F15" s="43">
        <v>588</v>
      </c>
      <c r="G15" s="43">
        <v>49</v>
      </c>
      <c r="H15" s="43">
        <v>89</v>
      </c>
      <c r="I15" s="44">
        <v>4.2</v>
      </c>
      <c r="J15" s="44" t="s">
        <v>212</v>
      </c>
      <c r="K15" s="54" t="str">
        <f t="shared" si="2"/>
        <v>https://amazon.com/dp/B0F544MKM1</v>
      </c>
    </row>
    <row r="16" spans="1:11" ht="45" x14ac:dyDescent="0.2">
      <c r="A16" s="17" t="s">
        <v>239</v>
      </c>
      <c r="B16" s="17" t="s">
        <v>238</v>
      </c>
      <c r="C16" s="40">
        <v>189.04</v>
      </c>
      <c r="D16" s="41">
        <v>228743.76</v>
      </c>
      <c r="E16" s="42">
        <v>19061.98</v>
      </c>
      <c r="F16" s="43">
        <v>1188</v>
      </c>
      <c r="G16" s="43">
        <v>99</v>
      </c>
      <c r="H16" s="43">
        <v>35</v>
      </c>
      <c r="I16" s="44">
        <v>4.2</v>
      </c>
      <c r="J16" s="44" t="s">
        <v>240</v>
      </c>
      <c r="K16" s="54" t="str">
        <f t="shared" si="2"/>
        <v>https://amazon.com/dp/B0FHH4ZRP7</v>
      </c>
    </row>
    <row r="17" spans="1:11" ht="45" x14ac:dyDescent="0.2">
      <c r="A17" s="17" t="s">
        <v>341</v>
      </c>
      <c r="B17" s="17" t="s">
        <v>342</v>
      </c>
      <c r="C17" s="40">
        <v>249</v>
      </c>
      <c r="D17" s="41">
        <v>170750.16</v>
      </c>
      <c r="E17" s="42">
        <v>14229.18</v>
      </c>
      <c r="F17" s="43">
        <v>684</v>
      </c>
      <c r="G17" s="43">
        <v>57</v>
      </c>
      <c r="H17" s="43">
        <v>78</v>
      </c>
      <c r="I17" s="44">
        <v>4.4000000000000004</v>
      </c>
      <c r="J17" s="44" t="s">
        <v>343</v>
      </c>
      <c r="K17" s="54" t="str">
        <f t="shared" si="2"/>
        <v>https://amazon.com/dp/B0DHGSH174</v>
      </c>
    </row>
    <row r="18" spans="1:11" ht="45" x14ac:dyDescent="0.2">
      <c r="A18" s="17" t="s">
        <v>344</v>
      </c>
      <c r="B18" s="17" t="s">
        <v>345</v>
      </c>
      <c r="C18" s="40">
        <v>249</v>
      </c>
      <c r="D18" s="41">
        <v>130950.48</v>
      </c>
      <c r="E18" s="42">
        <v>10912.54</v>
      </c>
      <c r="F18" s="43">
        <v>516</v>
      </c>
      <c r="G18" s="43">
        <v>43</v>
      </c>
      <c r="H18" s="43">
        <v>78</v>
      </c>
      <c r="I18" s="44">
        <v>4.4000000000000004</v>
      </c>
      <c r="J18" s="44" t="s">
        <v>346</v>
      </c>
      <c r="K18" s="99" t="str">
        <f t="shared" ref="K18:K24" si="3">HYPERLINK(J18)</f>
        <v>https://amazon.com/dp/B0DYDZXCMC</v>
      </c>
    </row>
    <row r="19" spans="1:11" ht="45" x14ac:dyDescent="0.2">
      <c r="A19" s="17" t="s">
        <v>347</v>
      </c>
      <c r="B19" s="17" t="s">
        <v>348</v>
      </c>
      <c r="C19" s="40">
        <v>399</v>
      </c>
      <c r="D19" s="41">
        <v>112794</v>
      </c>
      <c r="E19" s="42">
        <v>9399.5</v>
      </c>
      <c r="F19" s="43">
        <v>288</v>
      </c>
      <c r="G19" s="43">
        <v>24</v>
      </c>
      <c r="H19" s="43">
        <v>9</v>
      </c>
      <c r="I19" s="44">
        <v>4.7</v>
      </c>
      <c r="J19" s="44" t="s">
        <v>349</v>
      </c>
      <c r="K19" s="99" t="str">
        <f t="shared" si="3"/>
        <v>https://amazon.com/dp/B0FKT2SS6P</v>
      </c>
    </row>
    <row r="20" spans="1:11" ht="45" x14ac:dyDescent="0.2">
      <c r="A20" s="17" t="s">
        <v>350</v>
      </c>
      <c r="B20" s="17" t="s">
        <v>351</v>
      </c>
      <c r="C20" s="40">
        <v>569</v>
      </c>
      <c r="D20" s="41">
        <v>108658.56</v>
      </c>
      <c r="E20" s="42">
        <v>9054.8799999999992</v>
      </c>
      <c r="F20" s="43">
        <v>180</v>
      </c>
      <c r="G20" s="43">
        <v>15</v>
      </c>
      <c r="H20" s="43">
        <v>22</v>
      </c>
      <c r="I20" s="44">
        <v>4.2</v>
      </c>
      <c r="J20" s="44" t="s">
        <v>352</v>
      </c>
      <c r="K20" s="99" t="str">
        <f t="shared" si="3"/>
        <v>https://amazon.com/dp/B0FM2GCHVD</v>
      </c>
    </row>
    <row r="21" spans="1:11" ht="45" x14ac:dyDescent="0.2">
      <c r="A21" s="17" t="s">
        <v>353</v>
      </c>
      <c r="B21" s="17" t="s">
        <v>354</v>
      </c>
      <c r="C21" s="40">
        <v>399</v>
      </c>
      <c r="D21" s="41">
        <v>53817.120000000003</v>
      </c>
      <c r="E21" s="42">
        <v>4484.76</v>
      </c>
      <c r="F21" s="43">
        <v>144</v>
      </c>
      <c r="G21" s="43">
        <v>12</v>
      </c>
      <c r="H21" s="43">
        <v>6</v>
      </c>
      <c r="I21" s="44">
        <v>4.7</v>
      </c>
      <c r="J21" s="44" t="s">
        <v>355</v>
      </c>
      <c r="K21" s="99" t="str">
        <f t="shared" si="3"/>
        <v>https://amazon.com/dp/B0FJBPK3Q7</v>
      </c>
    </row>
    <row r="22" spans="1:11" ht="30" x14ac:dyDescent="0.2">
      <c r="A22" s="17" t="s">
        <v>356</v>
      </c>
      <c r="B22" s="17" t="s">
        <v>357</v>
      </c>
      <c r="C22" s="40">
        <v>699</v>
      </c>
      <c r="D22" s="41">
        <v>36157.32</v>
      </c>
      <c r="E22" s="42">
        <v>3013.11</v>
      </c>
      <c r="F22" s="43">
        <v>60</v>
      </c>
      <c r="G22" s="43">
        <v>5</v>
      </c>
      <c r="H22" s="43">
        <v>6</v>
      </c>
      <c r="I22" s="44">
        <v>4.7</v>
      </c>
      <c r="J22" s="44" t="s">
        <v>358</v>
      </c>
      <c r="K22" s="99" t="str">
        <f t="shared" si="3"/>
        <v>https://amazon.com/dp/B0DW8KSZ9R</v>
      </c>
    </row>
    <row r="23" spans="1:11" ht="45" x14ac:dyDescent="0.2">
      <c r="A23" s="17" t="s">
        <v>359</v>
      </c>
      <c r="B23" s="17" t="s">
        <v>360</v>
      </c>
      <c r="C23" s="40">
        <v>219</v>
      </c>
      <c r="D23" s="41">
        <v>31063.8</v>
      </c>
      <c r="E23" s="42">
        <v>2588.65</v>
      </c>
      <c r="F23" s="43">
        <v>156</v>
      </c>
      <c r="G23" s="43">
        <v>13</v>
      </c>
      <c r="H23" s="43">
        <v>21</v>
      </c>
      <c r="I23" s="44">
        <v>4.3</v>
      </c>
      <c r="J23" s="44" t="s">
        <v>361</v>
      </c>
      <c r="K23" s="99" t="str">
        <f t="shared" si="3"/>
        <v>https://amazon.com/dp/B0FNC6XG6X</v>
      </c>
    </row>
    <row r="24" spans="1:11" ht="45" x14ac:dyDescent="0.2">
      <c r="A24" s="17" t="s">
        <v>362</v>
      </c>
      <c r="B24" s="17" t="s">
        <v>363</v>
      </c>
      <c r="C24" s="40">
        <v>299</v>
      </c>
      <c r="D24" s="41"/>
      <c r="E24" s="42"/>
      <c r="F24" s="43">
        <v>0</v>
      </c>
      <c r="G24" s="43">
        <v>0</v>
      </c>
      <c r="H24" s="43">
        <v>19</v>
      </c>
      <c r="I24" s="44">
        <v>4</v>
      </c>
      <c r="J24" s="44" t="s">
        <v>364</v>
      </c>
      <c r="K24" s="99" t="str">
        <f t="shared" si="3"/>
        <v>https://amazon.com/dp/B0DRNLL1XJ</v>
      </c>
    </row>
    <row r="25" spans="1:11" ht="45" x14ac:dyDescent="0.2">
      <c r="A25" s="17" t="s">
        <v>365</v>
      </c>
      <c r="B25" s="17" t="s">
        <v>366</v>
      </c>
      <c r="C25" s="40">
        <v>269</v>
      </c>
      <c r="D25" s="41"/>
      <c r="E25" s="42"/>
      <c r="F25" s="43">
        <v>0</v>
      </c>
      <c r="G25" s="43">
        <v>0</v>
      </c>
      <c r="H25" s="43"/>
      <c r="I25" s="44"/>
      <c r="J25" s="44" t="s">
        <v>367</v>
      </c>
      <c r="K25" s="99" t="str">
        <f t="shared" ref="K25" si="4">HYPERLINK(J25)</f>
        <v>https://amazon.com/dp/B0FMDY9FJG</v>
      </c>
    </row>
    <row r="26" spans="1:11" ht="17" x14ac:dyDescent="0.2">
      <c r="A26" s="20" t="s">
        <v>5</v>
      </c>
      <c r="B26" s="20"/>
      <c r="C26" s="55"/>
      <c r="D26" s="56">
        <f>SUM(D9:D25)</f>
        <v>7268350.3200000003</v>
      </c>
      <c r="E26" s="56">
        <f>SUM(E9:E25)</f>
        <v>605695.8600000001</v>
      </c>
      <c r="F26" s="57"/>
      <c r="G26" s="57"/>
      <c r="H26" s="57"/>
      <c r="I26" s="58"/>
      <c r="J26" s="20"/>
    </row>
    <row r="27" spans="1:11" x14ac:dyDescent="0.2">
      <c r="A27" s="17"/>
      <c r="B27" s="17"/>
      <c r="C27" s="41"/>
      <c r="D27" s="41"/>
      <c r="E27" s="43"/>
      <c r="F27" s="43"/>
      <c r="G27" s="43"/>
      <c r="H27" s="44"/>
      <c r="I27" s="17"/>
    </row>
    <row r="28" spans="1:11" x14ac:dyDescent="0.2">
      <c r="A28" s="17"/>
      <c r="B28" s="17"/>
      <c r="C28" s="41"/>
      <c r="D28" s="41"/>
      <c r="E28" s="43"/>
      <c r="F28" s="43"/>
      <c r="G28" s="43"/>
      <c r="H28" s="44"/>
      <c r="I28" s="17"/>
    </row>
    <row r="29" spans="1:11" x14ac:dyDescent="0.2">
      <c r="A29" s="118" t="s">
        <v>18</v>
      </c>
      <c r="B29" s="118"/>
      <c r="C29" s="118"/>
      <c r="D29" s="118"/>
      <c r="E29" s="118"/>
      <c r="F29" s="118"/>
      <c r="G29" s="118"/>
      <c r="H29" s="118"/>
      <c r="I29" s="118"/>
      <c r="J29" s="118"/>
      <c r="K29" s="118"/>
    </row>
    <row r="30" spans="1:11" ht="17" x14ac:dyDescent="0.2">
      <c r="A30" s="23" t="s">
        <v>7</v>
      </c>
      <c r="B30" s="24" t="s">
        <v>6</v>
      </c>
      <c r="C30" s="25" t="s">
        <v>12</v>
      </c>
      <c r="D30" s="26" t="s">
        <v>2</v>
      </c>
      <c r="E30" s="24" t="s">
        <v>28</v>
      </c>
      <c r="F30" s="28" t="s">
        <v>14</v>
      </c>
      <c r="G30" s="31" t="s">
        <v>29</v>
      </c>
      <c r="H30" s="28" t="s">
        <v>9</v>
      </c>
      <c r="I30" s="29" t="s">
        <v>13</v>
      </c>
      <c r="J30" s="29" t="s">
        <v>23</v>
      </c>
      <c r="K30" s="30" t="s">
        <v>11</v>
      </c>
    </row>
    <row r="31" spans="1:11" ht="45" x14ac:dyDescent="0.2">
      <c r="A31" s="17" t="s">
        <v>71</v>
      </c>
      <c r="B31" s="17" t="s">
        <v>70</v>
      </c>
      <c r="C31" s="40">
        <v>359</v>
      </c>
      <c r="D31" s="41">
        <v>2522528.16</v>
      </c>
      <c r="E31" s="41">
        <v>210210.68</v>
      </c>
      <c r="F31" s="43">
        <v>6612</v>
      </c>
      <c r="G31" s="45">
        <v>551</v>
      </c>
      <c r="H31" s="43">
        <v>92</v>
      </c>
      <c r="I31" s="44">
        <v>4.2</v>
      </c>
      <c r="J31" s="44" t="s">
        <v>75</v>
      </c>
      <c r="K31" s="21" t="str">
        <f>HYPERLINK(J31)</f>
        <v>https://amazon.com/dp/B0F5461RX3</v>
      </c>
    </row>
    <row r="32" spans="1:11" ht="45" x14ac:dyDescent="0.2">
      <c r="A32" s="17" t="s">
        <v>157</v>
      </c>
      <c r="B32" s="17" t="s">
        <v>156</v>
      </c>
      <c r="C32" s="40">
        <v>139</v>
      </c>
      <c r="D32" s="41">
        <v>825922.08</v>
      </c>
      <c r="E32" s="41">
        <v>68826.84</v>
      </c>
      <c r="F32" s="43">
        <v>5940</v>
      </c>
      <c r="G32" s="45">
        <v>495</v>
      </c>
      <c r="H32" s="43">
        <v>27</v>
      </c>
      <c r="I32" s="44">
        <v>4.3</v>
      </c>
      <c r="J32" s="44" t="s">
        <v>158</v>
      </c>
      <c r="K32" s="21" t="str">
        <f t="shared" ref="K32" si="5">HYPERLINK(J32)</f>
        <v>https://amazon.com/dp/B0FMRX6PF9</v>
      </c>
    </row>
    <row r="33" spans="1:11" ht="45" x14ac:dyDescent="0.2">
      <c r="A33" s="17" t="s">
        <v>160</v>
      </c>
      <c r="B33" s="17" t="s">
        <v>159</v>
      </c>
      <c r="C33" s="40">
        <v>139</v>
      </c>
      <c r="D33" s="41">
        <v>816549.24</v>
      </c>
      <c r="E33" s="41">
        <v>68045.77</v>
      </c>
      <c r="F33" s="43">
        <v>5856</v>
      </c>
      <c r="G33" s="45">
        <v>488</v>
      </c>
      <c r="H33" s="43">
        <v>52</v>
      </c>
      <c r="I33" s="44">
        <v>4.4000000000000004</v>
      </c>
      <c r="J33" s="44" t="s">
        <v>161</v>
      </c>
      <c r="K33" s="100" t="str">
        <f t="shared" ref="K33:K47" si="6">HYPERLINK(J33)</f>
        <v>https://amazon.com/dp/B0FLK4V7Z6</v>
      </c>
    </row>
    <row r="34" spans="1:11" ht="45" x14ac:dyDescent="0.2">
      <c r="A34" s="17" t="s">
        <v>163</v>
      </c>
      <c r="B34" s="17" t="s">
        <v>162</v>
      </c>
      <c r="C34" s="40">
        <v>349</v>
      </c>
      <c r="D34" s="41">
        <v>786605.64</v>
      </c>
      <c r="E34" s="41">
        <v>65550.47</v>
      </c>
      <c r="F34" s="43">
        <v>2712</v>
      </c>
      <c r="G34" s="45">
        <v>226</v>
      </c>
      <c r="H34" s="43">
        <v>56</v>
      </c>
      <c r="I34" s="44">
        <v>4.2</v>
      </c>
      <c r="J34" s="44" t="s">
        <v>164</v>
      </c>
      <c r="K34" s="21" t="str">
        <f t="shared" ref="K34:K39" si="7">HYPERLINK(J34)</f>
        <v>https://amazon.com/dp/B0FF51GX97</v>
      </c>
    </row>
    <row r="35" spans="1:11" ht="45" x14ac:dyDescent="0.2">
      <c r="A35" s="17" t="s">
        <v>166</v>
      </c>
      <c r="B35" s="17" t="s">
        <v>165</v>
      </c>
      <c r="C35" s="40">
        <v>359</v>
      </c>
      <c r="D35" s="41">
        <v>695691.96</v>
      </c>
      <c r="E35" s="41">
        <v>57974.33</v>
      </c>
      <c r="F35" s="43">
        <v>1812</v>
      </c>
      <c r="G35" s="45">
        <v>151</v>
      </c>
      <c r="H35" s="43">
        <v>21</v>
      </c>
      <c r="I35" s="44">
        <v>4.4000000000000004</v>
      </c>
      <c r="J35" s="44" t="s">
        <v>167</v>
      </c>
      <c r="K35" s="21" t="str">
        <f t="shared" si="7"/>
        <v>https://amazon.com/dp/B0FJ2BXRJ1</v>
      </c>
    </row>
    <row r="36" spans="1:11" ht="45" x14ac:dyDescent="0.2">
      <c r="A36" s="17" t="s">
        <v>192</v>
      </c>
      <c r="B36" s="17" t="s">
        <v>191</v>
      </c>
      <c r="C36" s="40">
        <v>339</v>
      </c>
      <c r="D36" s="41">
        <v>396961.2</v>
      </c>
      <c r="E36" s="41">
        <v>33080.1</v>
      </c>
      <c r="F36" s="43">
        <v>1260</v>
      </c>
      <c r="G36" s="45">
        <v>105</v>
      </c>
      <c r="H36" s="43">
        <v>10</v>
      </c>
      <c r="I36" s="44">
        <v>4.8</v>
      </c>
      <c r="J36" s="44" t="s">
        <v>193</v>
      </c>
      <c r="K36" s="21" t="str">
        <f t="shared" si="7"/>
        <v>https://amazon.com/dp/B0FNCDQWJR</v>
      </c>
    </row>
    <row r="37" spans="1:11" ht="45" x14ac:dyDescent="0.2">
      <c r="A37" s="17" t="s">
        <v>239</v>
      </c>
      <c r="B37" s="17" t="s">
        <v>238</v>
      </c>
      <c r="C37" s="40">
        <v>189.04</v>
      </c>
      <c r="D37" s="41">
        <v>228743.76</v>
      </c>
      <c r="E37" s="41">
        <v>19061.98</v>
      </c>
      <c r="F37" s="43">
        <v>1188</v>
      </c>
      <c r="G37" s="45">
        <v>99</v>
      </c>
      <c r="H37" s="43">
        <v>35</v>
      </c>
      <c r="I37" s="44">
        <v>4.2</v>
      </c>
      <c r="J37" s="44" t="s">
        <v>240</v>
      </c>
      <c r="K37" s="21" t="str">
        <f t="shared" si="7"/>
        <v>https://amazon.com/dp/B0FHH4ZRP7</v>
      </c>
    </row>
    <row r="38" spans="1:11" ht="45" x14ac:dyDescent="0.2">
      <c r="A38" s="17" t="s">
        <v>341</v>
      </c>
      <c r="B38" s="17" t="s">
        <v>342</v>
      </c>
      <c r="C38" s="40">
        <v>249</v>
      </c>
      <c r="D38" s="41">
        <v>170750.16</v>
      </c>
      <c r="E38" s="41">
        <v>14229.18</v>
      </c>
      <c r="F38" s="43">
        <v>684</v>
      </c>
      <c r="G38" s="45">
        <v>57</v>
      </c>
      <c r="H38" s="43">
        <v>78</v>
      </c>
      <c r="I38" s="44">
        <v>4.4000000000000004</v>
      </c>
      <c r="J38" s="44" t="s">
        <v>343</v>
      </c>
      <c r="K38" s="21" t="str">
        <f t="shared" si="7"/>
        <v>https://amazon.com/dp/B0DHGSH174</v>
      </c>
    </row>
    <row r="39" spans="1:11" ht="45" x14ac:dyDescent="0.2">
      <c r="A39" s="17" t="s">
        <v>211</v>
      </c>
      <c r="B39" s="17" t="s">
        <v>210</v>
      </c>
      <c r="C39" s="40">
        <v>569</v>
      </c>
      <c r="D39" s="41">
        <v>351156.84</v>
      </c>
      <c r="E39" s="41">
        <v>29263.07</v>
      </c>
      <c r="F39" s="43">
        <v>588</v>
      </c>
      <c r="G39" s="45">
        <v>49</v>
      </c>
      <c r="H39" s="43">
        <v>89</v>
      </c>
      <c r="I39" s="44">
        <v>4.2</v>
      </c>
      <c r="J39" s="44" t="s">
        <v>212</v>
      </c>
      <c r="K39" s="21" t="str">
        <f t="shared" si="7"/>
        <v>https://amazon.com/dp/B0F544MKM1</v>
      </c>
    </row>
    <row r="40" spans="1:11" ht="45" x14ac:dyDescent="0.2">
      <c r="A40" s="17" t="s">
        <v>344</v>
      </c>
      <c r="B40" s="17" t="s">
        <v>345</v>
      </c>
      <c r="C40" s="40">
        <v>249</v>
      </c>
      <c r="D40" s="41">
        <v>130950.48</v>
      </c>
      <c r="E40" s="41">
        <v>10912.54</v>
      </c>
      <c r="F40" s="43">
        <v>516</v>
      </c>
      <c r="G40" s="45">
        <v>43</v>
      </c>
      <c r="H40" s="43">
        <v>78</v>
      </c>
      <c r="I40" s="44">
        <v>4.4000000000000004</v>
      </c>
      <c r="J40" s="44" t="s">
        <v>346</v>
      </c>
      <c r="K40" s="100" t="str">
        <f t="shared" si="6"/>
        <v>https://amazon.com/dp/B0DYDZXCMC</v>
      </c>
    </row>
    <row r="41" spans="1:11" ht="45" x14ac:dyDescent="0.2">
      <c r="A41" s="17" t="s">
        <v>347</v>
      </c>
      <c r="B41" s="17" t="s">
        <v>348</v>
      </c>
      <c r="C41" s="40">
        <v>399</v>
      </c>
      <c r="D41" s="41">
        <v>112794</v>
      </c>
      <c r="E41" s="41">
        <v>9399.5</v>
      </c>
      <c r="F41" s="43">
        <v>288</v>
      </c>
      <c r="G41" s="45">
        <v>24</v>
      </c>
      <c r="H41" s="43">
        <v>9</v>
      </c>
      <c r="I41" s="44">
        <v>4.7</v>
      </c>
      <c r="J41" s="44" t="s">
        <v>349</v>
      </c>
      <c r="K41" s="100" t="str">
        <f t="shared" si="6"/>
        <v>https://amazon.com/dp/B0FKT2SS6P</v>
      </c>
    </row>
    <row r="42" spans="1:11" ht="45" x14ac:dyDescent="0.2">
      <c r="A42" s="17" t="s">
        <v>350</v>
      </c>
      <c r="B42" s="17" t="s">
        <v>351</v>
      </c>
      <c r="C42" s="40">
        <v>569</v>
      </c>
      <c r="D42" s="41">
        <v>108658.56</v>
      </c>
      <c r="E42" s="41">
        <v>9054.8799999999992</v>
      </c>
      <c r="F42" s="43">
        <v>180</v>
      </c>
      <c r="G42" s="45">
        <v>15</v>
      </c>
      <c r="H42" s="43">
        <v>22</v>
      </c>
      <c r="I42" s="44">
        <v>4.2</v>
      </c>
      <c r="J42" s="44" t="s">
        <v>352</v>
      </c>
      <c r="K42" s="100" t="str">
        <f t="shared" si="6"/>
        <v>https://amazon.com/dp/B0FM2GCHVD</v>
      </c>
    </row>
    <row r="43" spans="1:11" ht="45" x14ac:dyDescent="0.2">
      <c r="A43" s="17" t="s">
        <v>359</v>
      </c>
      <c r="B43" s="17" t="s">
        <v>360</v>
      </c>
      <c r="C43" s="40">
        <v>219</v>
      </c>
      <c r="D43" s="41">
        <v>31063.8</v>
      </c>
      <c r="E43" s="41">
        <v>2588.65</v>
      </c>
      <c r="F43" s="43">
        <v>156</v>
      </c>
      <c r="G43" s="45">
        <v>13</v>
      </c>
      <c r="H43" s="43">
        <v>21</v>
      </c>
      <c r="I43" s="44">
        <v>4.3</v>
      </c>
      <c r="J43" s="44" t="s">
        <v>361</v>
      </c>
      <c r="K43" s="100" t="str">
        <f t="shared" si="6"/>
        <v>https://amazon.com/dp/B0FNC6XG6X</v>
      </c>
    </row>
    <row r="44" spans="1:11" ht="45" x14ac:dyDescent="0.2">
      <c r="A44" s="17" t="s">
        <v>353</v>
      </c>
      <c r="B44" s="17" t="s">
        <v>354</v>
      </c>
      <c r="C44" s="40">
        <v>399</v>
      </c>
      <c r="D44" s="41">
        <v>53817.120000000003</v>
      </c>
      <c r="E44" s="41">
        <v>4484.76</v>
      </c>
      <c r="F44" s="43">
        <v>144</v>
      </c>
      <c r="G44" s="45">
        <v>12</v>
      </c>
      <c r="H44" s="43">
        <v>6</v>
      </c>
      <c r="I44" s="44">
        <v>4.7</v>
      </c>
      <c r="J44" s="44" t="s">
        <v>355</v>
      </c>
      <c r="K44" s="100" t="str">
        <f t="shared" si="6"/>
        <v>https://amazon.com/dp/B0FJBPK3Q7</v>
      </c>
    </row>
    <row r="45" spans="1:11" ht="30" x14ac:dyDescent="0.2">
      <c r="A45" s="17" t="s">
        <v>356</v>
      </c>
      <c r="B45" s="17" t="s">
        <v>357</v>
      </c>
      <c r="C45" s="40">
        <v>699</v>
      </c>
      <c r="D45" s="41">
        <v>36157.32</v>
      </c>
      <c r="E45" s="41">
        <v>3013.11</v>
      </c>
      <c r="F45" s="43">
        <v>60</v>
      </c>
      <c r="G45" s="45">
        <v>5</v>
      </c>
      <c r="H45" s="43">
        <v>6</v>
      </c>
      <c r="I45" s="44">
        <v>4.7</v>
      </c>
      <c r="J45" s="44" t="s">
        <v>358</v>
      </c>
      <c r="K45" s="100" t="str">
        <f t="shared" si="6"/>
        <v>https://amazon.com/dp/B0DW8KSZ9R</v>
      </c>
    </row>
    <row r="46" spans="1:11" ht="45" x14ac:dyDescent="0.2">
      <c r="A46" s="17" t="s">
        <v>365</v>
      </c>
      <c r="B46" s="17" t="s">
        <v>366</v>
      </c>
      <c r="C46" s="40">
        <v>269</v>
      </c>
      <c r="D46" s="41"/>
      <c r="E46" s="41"/>
      <c r="F46" s="43">
        <v>0</v>
      </c>
      <c r="G46" s="45">
        <v>0</v>
      </c>
      <c r="H46" s="43"/>
      <c r="I46" s="44"/>
      <c r="J46" s="44" t="s">
        <v>367</v>
      </c>
      <c r="K46" s="100" t="str">
        <f t="shared" si="6"/>
        <v>https://amazon.com/dp/B0FMDY9FJG</v>
      </c>
    </row>
    <row r="47" spans="1:11" ht="45" x14ac:dyDescent="0.2">
      <c r="A47" s="17" t="s">
        <v>362</v>
      </c>
      <c r="B47" s="17" t="s">
        <v>363</v>
      </c>
      <c r="C47" s="40">
        <v>299</v>
      </c>
      <c r="D47" s="41"/>
      <c r="E47" s="41"/>
      <c r="F47" s="43">
        <v>0</v>
      </c>
      <c r="G47" s="45">
        <v>0</v>
      </c>
      <c r="H47" s="43">
        <v>19</v>
      </c>
      <c r="I47" s="44">
        <v>4</v>
      </c>
      <c r="J47" s="44" t="s">
        <v>364</v>
      </c>
      <c r="K47" s="100" t="str">
        <f t="shared" si="6"/>
        <v>https://amazon.com/dp/B0DRNLL1XJ</v>
      </c>
    </row>
    <row r="48" spans="1:11" ht="17" x14ac:dyDescent="0.2">
      <c r="A48" s="20" t="s">
        <v>5</v>
      </c>
      <c r="B48" s="20"/>
      <c r="C48" s="56"/>
      <c r="D48" s="56"/>
      <c r="E48" s="56"/>
      <c r="F48" s="57">
        <f>SUM(Table4316[Estimated 12mo Units])</f>
        <v>27996</v>
      </c>
      <c r="G48" s="57">
        <f>SUM(Table4316[Monthly Units])</f>
        <v>2333</v>
      </c>
      <c r="H48" s="57"/>
      <c r="I48" s="58"/>
      <c r="J48" s="20"/>
    </row>
  </sheetData>
  <mergeCells count="3">
    <mergeCell ref="A1:K5"/>
    <mergeCell ref="A7:K7"/>
    <mergeCell ref="A29:K29"/>
  </mergeCells>
  <hyperlinks>
    <hyperlink ref="K31" r:id="rId1" display="https://amazon.com/dp/B07S7H86Z1" xr:uid="{24A42D11-B4CF-4ABC-9EF1-99ED994D9EBD}"/>
    <hyperlink ref="K32" r:id="rId2" display="https://amazon.com/dp/B07S7H86Z1" xr:uid="{AED6CD60-1FEF-4238-9622-75D6413A695D}"/>
  </hyperlinks>
  <pageMargins left="0.7" right="0.7" top="0.75" bottom="0.75" header="0.3" footer="0.3"/>
  <tableParts count="2"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52103-5E36-4761-B254-C1AE393FE207}">
  <dimension ref="A1:K20"/>
  <sheetViews>
    <sheetView zoomScaleNormal="100" workbookViewId="0">
      <selection activeCell="G24" sqref="G24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39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27.33203125" style="18" hidden="1" customWidth="1"/>
    <col min="11" max="11" width="35.6640625" style="18" customWidth="1"/>
    <col min="12" max="16384" width="12.6640625" style="18"/>
  </cols>
  <sheetData>
    <row r="1" spans="1:11" x14ac:dyDescent="0.2">
      <c r="A1" s="117" t="e" vm="5">
        <v>#VALUE!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</row>
    <row r="2" spans="1:11" x14ac:dyDescent="0.2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</row>
    <row r="3" spans="1:11" x14ac:dyDescent="0.2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</row>
    <row r="4" spans="1:11" x14ac:dyDescent="0.2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</row>
    <row r="5" spans="1:11" x14ac:dyDescent="0.2">
      <c r="A5" s="117"/>
      <c r="B5" s="117"/>
      <c r="C5" s="117"/>
      <c r="D5" s="117"/>
      <c r="E5" s="117"/>
      <c r="F5" s="117"/>
      <c r="G5" s="117"/>
      <c r="H5" s="117"/>
      <c r="I5" s="117"/>
      <c r="J5" s="117"/>
      <c r="K5" s="117"/>
    </row>
    <row r="6" spans="1:11" x14ac:dyDescent="0.2">
      <c r="B6" s="36"/>
      <c r="D6" s="36"/>
      <c r="E6" s="37"/>
      <c r="F6" s="37"/>
      <c r="G6" s="37"/>
      <c r="H6" s="38"/>
      <c r="I6" s="36"/>
    </row>
    <row r="7" spans="1:11" x14ac:dyDescent="0.2">
      <c r="A7" s="118" t="s">
        <v>19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45" x14ac:dyDescent="0.2">
      <c r="A9" s="17" t="s">
        <v>88</v>
      </c>
      <c r="B9" s="17" t="s">
        <v>87</v>
      </c>
      <c r="C9" s="40">
        <v>199.99</v>
      </c>
      <c r="D9" s="41">
        <v>2293372.56</v>
      </c>
      <c r="E9" s="42">
        <v>191114.38</v>
      </c>
      <c r="F9" s="43">
        <v>15084</v>
      </c>
      <c r="G9" s="43">
        <v>1257</v>
      </c>
      <c r="H9" s="43">
        <v>250</v>
      </c>
      <c r="I9" s="44">
        <v>4.5</v>
      </c>
      <c r="J9" s="44" t="s">
        <v>90</v>
      </c>
      <c r="K9" s="54" t="str">
        <f>HYPERLINK(J9)</f>
        <v>https://amazon.com/dp/B0DTJW83YG</v>
      </c>
    </row>
    <row r="10" spans="1:11" ht="45" x14ac:dyDescent="0.2">
      <c r="A10" s="17" t="s">
        <v>242</v>
      </c>
      <c r="B10" s="17" t="s">
        <v>241</v>
      </c>
      <c r="C10" s="40">
        <v>259</v>
      </c>
      <c r="D10" s="41">
        <v>307115.52000000002</v>
      </c>
      <c r="E10" s="42">
        <v>25592.959999999999</v>
      </c>
      <c r="F10" s="43">
        <v>1188</v>
      </c>
      <c r="G10" s="43">
        <v>99</v>
      </c>
      <c r="H10" s="43">
        <v>28</v>
      </c>
      <c r="I10" s="44">
        <v>4.7</v>
      </c>
      <c r="J10" s="44" t="s">
        <v>243</v>
      </c>
      <c r="K10" s="54" t="str">
        <f t="shared" ref="K10:K11" si="0">HYPERLINK(J10)</f>
        <v>https://amazon.com/dp/B0FRFM3T8D</v>
      </c>
    </row>
    <row r="11" spans="1:11" ht="45" x14ac:dyDescent="0.2">
      <c r="A11" s="17" t="s">
        <v>368</v>
      </c>
      <c r="B11" s="17" t="s">
        <v>369</v>
      </c>
      <c r="C11" s="40">
        <v>269.94</v>
      </c>
      <c r="D11" s="41">
        <v>10399.799999999999</v>
      </c>
      <c r="E11" s="42">
        <v>866.65</v>
      </c>
      <c r="F11" s="43">
        <v>36</v>
      </c>
      <c r="G11" s="43">
        <v>3</v>
      </c>
      <c r="H11" s="43">
        <v>38</v>
      </c>
      <c r="I11" s="44">
        <v>4.3</v>
      </c>
      <c r="J11" s="44" t="s">
        <v>370</v>
      </c>
      <c r="K11" s="54" t="str">
        <f t="shared" si="0"/>
        <v>https://amazon.com/dp/B0DKDSKNDL</v>
      </c>
    </row>
    <row r="12" spans="1:11" ht="17" x14ac:dyDescent="0.2">
      <c r="A12" s="20" t="s">
        <v>5</v>
      </c>
      <c r="B12" s="20"/>
      <c r="C12" s="55"/>
      <c r="D12" s="56">
        <f>SUM(D9:D11)</f>
        <v>2610887.88</v>
      </c>
      <c r="E12" s="56">
        <f>SUM(E9:E11)</f>
        <v>217573.99</v>
      </c>
      <c r="F12" s="57"/>
      <c r="G12" s="57"/>
      <c r="H12" s="57"/>
      <c r="I12" s="58"/>
      <c r="J12" s="20"/>
      <c r="K12" s="19"/>
    </row>
    <row r="15" spans="1:11" x14ac:dyDescent="0.2">
      <c r="A15" s="118" t="s">
        <v>18</v>
      </c>
      <c r="B15" s="118"/>
      <c r="C15" s="118"/>
      <c r="D15" s="118"/>
      <c r="E15" s="118"/>
      <c r="F15" s="118"/>
      <c r="G15" s="118"/>
      <c r="H15" s="118"/>
      <c r="I15" s="118"/>
      <c r="J15" s="118"/>
      <c r="K15" s="118"/>
    </row>
    <row r="16" spans="1:11" ht="17" x14ac:dyDescent="0.2">
      <c r="A16" s="23" t="s">
        <v>7</v>
      </c>
      <c r="B16" s="24" t="s">
        <v>6</v>
      </c>
      <c r="C16" s="25" t="s">
        <v>12</v>
      </c>
      <c r="D16" s="26" t="s">
        <v>2</v>
      </c>
      <c r="E16" s="24" t="s">
        <v>28</v>
      </c>
      <c r="F16" s="28" t="s">
        <v>14</v>
      </c>
      <c r="G16" s="31" t="s">
        <v>29</v>
      </c>
      <c r="H16" s="28" t="s">
        <v>9</v>
      </c>
      <c r="I16" s="29" t="s">
        <v>13</v>
      </c>
      <c r="J16" s="29" t="s">
        <v>23</v>
      </c>
      <c r="K16" s="30" t="s">
        <v>11</v>
      </c>
    </row>
    <row r="17" spans="1:11" ht="45" x14ac:dyDescent="0.2">
      <c r="A17" s="17" t="s">
        <v>88</v>
      </c>
      <c r="B17" s="17" t="s">
        <v>87</v>
      </c>
      <c r="C17" s="40">
        <v>199.99</v>
      </c>
      <c r="D17" s="41">
        <v>2293372.56</v>
      </c>
      <c r="E17" s="41">
        <v>191114.38</v>
      </c>
      <c r="F17" s="43">
        <v>15084</v>
      </c>
      <c r="G17" s="45">
        <v>1257</v>
      </c>
      <c r="H17" s="43">
        <v>250</v>
      </c>
      <c r="I17" s="44">
        <v>4.5</v>
      </c>
      <c r="J17" s="44" t="s">
        <v>90</v>
      </c>
      <c r="K17" s="54" t="str">
        <f>HYPERLINK(J17)</f>
        <v>https://amazon.com/dp/B0DTJW83YG</v>
      </c>
    </row>
    <row r="18" spans="1:11" ht="45" x14ac:dyDescent="0.2">
      <c r="A18" s="17" t="s">
        <v>242</v>
      </c>
      <c r="B18" s="17" t="s">
        <v>241</v>
      </c>
      <c r="C18" s="40">
        <v>259</v>
      </c>
      <c r="D18" s="41">
        <v>307115.52000000002</v>
      </c>
      <c r="E18" s="41">
        <v>25592.959999999999</v>
      </c>
      <c r="F18" s="43">
        <v>1188</v>
      </c>
      <c r="G18" s="45">
        <v>99</v>
      </c>
      <c r="H18" s="43">
        <v>28</v>
      </c>
      <c r="I18" s="44">
        <v>4.7</v>
      </c>
      <c r="J18" s="44" t="s">
        <v>243</v>
      </c>
      <c r="K18" s="54" t="str">
        <f t="shared" ref="K18:K19" si="1">HYPERLINK(J18)</f>
        <v>https://amazon.com/dp/B0FRFM3T8D</v>
      </c>
    </row>
    <row r="19" spans="1:11" ht="45" x14ac:dyDescent="0.2">
      <c r="A19" s="17" t="s">
        <v>368</v>
      </c>
      <c r="B19" s="17" t="s">
        <v>369</v>
      </c>
      <c r="C19" s="40">
        <v>269.94</v>
      </c>
      <c r="D19" s="41">
        <v>10399.799999999999</v>
      </c>
      <c r="E19" s="41">
        <v>866.65</v>
      </c>
      <c r="F19" s="43">
        <v>36</v>
      </c>
      <c r="G19" s="45">
        <v>3</v>
      </c>
      <c r="H19" s="43">
        <v>38</v>
      </c>
      <c r="I19" s="44">
        <v>4.3</v>
      </c>
      <c r="J19" s="44" t="s">
        <v>370</v>
      </c>
      <c r="K19" s="54" t="str">
        <f t="shared" si="1"/>
        <v>https://amazon.com/dp/B0DKDSKNDL</v>
      </c>
    </row>
    <row r="20" spans="1:11" ht="17" x14ac:dyDescent="0.2">
      <c r="A20" s="20" t="s">
        <v>5</v>
      </c>
      <c r="B20" s="20"/>
      <c r="C20" s="56"/>
      <c r="D20" s="56"/>
      <c r="E20" s="56"/>
      <c r="F20" s="57">
        <f>SUM(AMPBANK!F17:F19)</f>
        <v>16308</v>
      </c>
      <c r="G20" s="57">
        <f>SUM(AMPBANK!G17:G19)</f>
        <v>1359</v>
      </c>
      <c r="H20" s="57"/>
      <c r="I20" s="58"/>
      <c r="J20" s="20"/>
      <c r="K20" s="19"/>
    </row>
  </sheetData>
  <mergeCells count="3">
    <mergeCell ref="A1:K5"/>
    <mergeCell ref="A7:K7"/>
    <mergeCell ref="A15:K15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50D-95D4-7D45-BCDA-8066485CAA5C}">
  <sheetPr codeName="Sheet5"/>
  <dimension ref="A1:K26"/>
  <sheetViews>
    <sheetView workbookViewId="0">
      <selection activeCell="I31" sqref="I31"/>
    </sheetView>
  </sheetViews>
  <sheetFormatPr baseColWidth="10" defaultColWidth="11.1640625" defaultRowHeight="16" x14ac:dyDescent="0.2"/>
  <cols>
    <col min="1" max="1" width="50.6640625" style="18" customWidth="1"/>
    <col min="2" max="2" width="12.6640625" style="18" customWidth="1"/>
    <col min="3" max="3" width="10.83203125" style="18" bestFit="1" customWidth="1"/>
    <col min="4" max="4" width="24.83203125" style="18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32.83203125" style="18" hidden="1" customWidth="1"/>
    <col min="11" max="11" width="35.6640625" style="18" customWidth="1"/>
    <col min="12" max="12" width="12.6640625" style="18" customWidth="1"/>
    <col min="13" max="16384" width="11.1640625" style="18"/>
  </cols>
  <sheetData>
    <row r="1" spans="1:11" ht="15.75" customHeight="1" x14ac:dyDescent="0.2">
      <c r="A1" s="120" t="e" vm="6">
        <v>#VALUE!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</row>
    <row r="2" spans="1:11" ht="15.75" customHeight="1" x14ac:dyDescent="0.2">
      <c r="A2" s="120"/>
      <c r="B2" s="120"/>
      <c r="C2" s="120"/>
      <c r="D2" s="120"/>
      <c r="E2" s="120"/>
      <c r="F2" s="120"/>
      <c r="G2" s="120"/>
      <c r="H2" s="120"/>
      <c r="I2" s="120"/>
      <c r="J2" s="120"/>
      <c r="K2" s="120"/>
    </row>
    <row r="3" spans="1:11" ht="15.75" customHeight="1" x14ac:dyDescent="0.2">
      <c r="A3" s="120"/>
      <c r="B3" s="120"/>
      <c r="C3" s="120"/>
      <c r="D3" s="120"/>
      <c r="E3" s="120"/>
      <c r="F3" s="120"/>
      <c r="G3" s="120"/>
      <c r="H3" s="120"/>
      <c r="I3" s="120"/>
      <c r="J3" s="120"/>
      <c r="K3" s="120"/>
    </row>
    <row r="4" spans="1:11" ht="15.75" customHeight="1" x14ac:dyDescent="0.2">
      <c r="A4" s="120"/>
      <c r="B4" s="120"/>
      <c r="C4" s="120"/>
      <c r="D4" s="120"/>
      <c r="E4" s="120"/>
      <c r="F4" s="120"/>
      <c r="G4" s="120"/>
      <c r="H4" s="120"/>
      <c r="I4" s="120"/>
      <c r="J4" s="120"/>
      <c r="K4" s="120"/>
    </row>
    <row r="5" spans="1:11" ht="15.75" customHeight="1" x14ac:dyDescent="0.2">
      <c r="A5" s="120"/>
      <c r="B5" s="120"/>
      <c r="C5" s="120"/>
      <c r="D5" s="120"/>
      <c r="E5" s="120"/>
      <c r="F5" s="120"/>
      <c r="G5" s="120"/>
      <c r="H5" s="120"/>
      <c r="I5" s="120"/>
      <c r="J5" s="120"/>
      <c r="K5" s="120"/>
    </row>
    <row r="6" spans="1:11" x14ac:dyDescent="0.2">
      <c r="A6" s="16"/>
      <c r="B6" s="16"/>
      <c r="C6" s="32"/>
      <c r="D6" s="33"/>
      <c r="E6" s="33"/>
      <c r="F6" s="33"/>
      <c r="G6" s="33"/>
      <c r="H6" s="34"/>
      <c r="I6" s="35"/>
    </row>
    <row r="7" spans="1:11" x14ac:dyDescent="0.2">
      <c r="A7" s="118" t="s">
        <v>15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7" t="s">
        <v>28</v>
      </c>
      <c r="F8" s="28" t="s">
        <v>14</v>
      </c>
      <c r="G8" s="28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30" x14ac:dyDescent="0.2">
      <c r="A9" s="17" t="s">
        <v>182</v>
      </c>
      <c r="B9" s="17" t="s">
        <v>181</v>
      </c>
      <c r="C9" s="40">
        <v>361.77</v>
      </c>
      <c r="D9" s="41">
        <v>440175.24</v>
      </c>
      <c r="E9" s="42">
        <v>36681.269999999997</v>
      </c>
      <c r="F9" s="43">
        <v>1032</v>
      </c>
      <c r="G9" s="43">
        <v>86</v>
      </c>
      <c r="H9" s="43">
        <v>39</v>
      </c>
      <c r="I9" s="44">
        <v>4.4000000000000004</v>
      </c>
      <c r="J9" s="79" t="s">
        <v>184</v>
      </c>
      <c r="K9" s="21" t="str">
        <f>HYPERLINK(J9)</f>
        <v>https://amazon.com/dp/B0C9H54GLX</v>
      </c>
    </row>
    <row r="10" spans="1:11" ht="17" x14ac:dyDescent="0.2">
      <c r="A10" s="17" t="s">
        <v>195</v>
      </c>
      <c r="B10" s="17" t="s">
        <v>194</v>
      </c>
      <c r="C10" s="40">
        <v>925</v>
      </c>
      <c r="D10" s="41">
        <v>391460.52</v>
      </c>
      <c r="E10" s="42">
        <v>32621.71</v>
      </c>
      <c r="F10" s="43">
        <v>420</v>
      </c>
      <c r="G10" s="43">
        <v>35</v>
      </c>
      <c r="H10" s="43">
        <v>23</v>
      </c>
      <c r="I10" s="44">
        <v>4.0999999999999996</v>
      </c>
      <c r="J10" s="105" t="s">
        <v>197</v>
      </c>
      <c r="K10" s="21" t="str">
        <f t="shared" ref="K10:K14" si="0">HYPERLINK(J10)</f>
        <v>https://amazon.com/dp/B09BNZTLQ7</v>
      </c>
    </row>
    <row r="11" spans="1:11" ht="30" x14ac:dyDescent="0.2">
      <c r="A11" s="17" t="s">
        <v>371</v>
      </c>
      <c r="B11" s="17" t="s">
        <v>372</v>
      </c>
      <c r="C11" s="40">
        <v>519.99</v>
      </c>
      <c r="D11" s="41">
        <v>136293.35999999999</v>
      </c>
      <c r="E11" s="42">
        <v>11357.78</v>
      </c>
      <c r="F11" s="43">
        <v>264</v>
      </c>
      <c r="G11" s="43">
        <v>22</v>
      </c>
      <c r="H11" s="43">
        <v>38</v>
      </c>
      <c r="I11" s="44">
        <v>4.4000000000000004</v>
      </c>
      <c r="J11" s="105" t="s">
        <v>373</v>
      </c>
      <c r="K11" s="21" t="str">
        <f t="shared" si="0"/>
        <v>https://amazon.com/dp/B0FVDS8JX5</v>
      </c>
    </row>
    <row r="12" spans="1:11" ht="30" x14ac:dyDescent="0.2">
      <c r="A12" s="17" t="s">
        <v>374</v>
      </c>
      <c r="B12" s="17" t="s">
        <v>375</v>
      </c>
      <c r="C12" s="40">
        <v>366.96</v>
      </c>
      <c r="D12" s="41">
        <v>60313.2</v>
      </c>
      <c r="E12" s="42">
        <v>5026.1000000000004</v>
      </c>
      <c r="F12" s="43">
        <v>144</v>
      </c>
      <c r="G12" s="43">
        <v>12</v>
      </c>
      <c r="H12" s="43">
        <v>39</v>
      </c>
      <c r="I12" s="44">
        <v>4.4000000000000004</v>
      </c>
      <c r="J12" s="105" t="s">
        <v>376</v>
      </c>
      <c r="K12" s="21" t="str">
        <f t="shared" si="0"/>
        <v>https://amazon.com/dp/B0CYT1553Q</v>
      </c>
    </row>
    <row r="13" spans="1:11" ht="30" x14ac:dyDescent="0.2">
      <c r="A13" s="17" t="s">
        <v>377</v>
      </c>
      <c r="B13" s="17" t="s">
        <v>378</v>
      </c>
      <c r="C13" s="40">
        <v>557.99</v>
      </c>
      <c r="D13" s="41"/>
      <c r="E13" s="42"/>
      <c r="F13" s="43">
        <v>0</v>
      </c>
      <c r="G13" s="43">
        <v>0</v>
      </c>
      <c r="H13" s="43">
        <v>0</v>
      </c>
      <c r="I13" s="44"/>
      <c r="J13" s="105" t="s">
        <v>379</v>
      </c>
      <c r="K13" s="21" t="str">
        <f t="shared" si="0"/>
        <v>https://amazon.com/dp/B00HFQ1YD4</v>
      </c>
    </row>
    <row r="14" spans="1:11" ht="17" x14ac:dyDescent="0.2">
      <c r="A14" s="17" t="s">
        <v>380</v>
      </c>
      <c r="B14" s="17" t="s">
        <v>381</v>
      </c>
      <c r="C14" s="40">
        <v>40.81</v>
      </c>
      <c r="D14" s="41"/>
      <c r="E14" s="42"/>
      <c r="F14" s="43">
        <v>0</v>
      </c>
      <c r="G14" s="43">
        <v>0</v>
      </c>
      <c r="H14" s="43">
        <v>1</v>
      </c>
      <c r="I14" s="44">
        <v>1</v>
      </c>
      <c r="J14" s="105" t="s">
        <v>382</v>
      </c>
      <c r="K14" s="21" t="str">
        <f t="shared" si="0"/>
        <v>https://amazon.com/dp/B00AQKHNXQ</v>
      </c>
    </row>
    <row r="15" spans="1:11" ht="17" x14ac:dyDescent="0.2">
      <c r="A15" s="20" t="s">
        <v>5</v>
      </c>
      <c r="B15" s="19"/>
      <c r="C15" s="19"/>
      <c r="D15" s="39">
        <f>SUM(D9:D14)</f>
        <v>1028242.32</v>
      </c>
      <c r="E15" s="39">
        <f>SUM(E9:E14)</f>
        <v>85686.86</v>
      </c>
      <c r="H15" s="46"/>
      <c r="I15" s="22"/>
    </row>
    <row r="18" spans="1:11" x14ac:dyDescent="0.2">
      <c r="A18" s="118" t="s">
        <v>18</v>
      </c>
      <c r="B18" s="118"/>
      <c r="C18" s="118"/>
      <c r="D18" s="118"/>
      <c r="E18" s="118"/>
      <c r="F18" s="118"/>
      <c r="G18" s="118"/>
      <c r="H18" s="118"/>
      <c r="I18" s="118"/>
      <c r="J18" s="118"/>
      <c r="K18" s="118"/>
    </row>
    <row r="19" spans="1:11" ht="17" x14ac:dyDescent="0.2">
      <c r="A19" s="23" t="s">
        <v>7</v>
      </c>
      <c r="B19" s="24" t="s">
        <v>6</v>
      </c>
      <c r="C19" s="25" t="s">
        <v>12</v>
      </c>
      <c r="D19" s="26" t="s">
        <v>2</v>
      </c>
      <c r="E19" s="24" t="s">
        <v>28</v>
      </c>
      <c r="F19" s="28" t="s">
        <v>14</v>
      </c>
      <c r="G19" s="31" t="s">
        <v>29</v>
      </c>
      <c r="H19" s="28" t="s">
        <v>9</v>
      </c>
      <c r="I19" s="29" t="s">
        <v>13</v>
      </c>
      <c r="J19" s="29" t="s">
        <v>23</v>
      </c>
      <c r="K19" s="30" t="s">
        <v>11</v>
      </c>
    </row>
    <row r="20" spans="1:11" ht="30" x14ac:dyDescent="0.2">
      <c r="A20" s="17" t="s">
        <v>182</v>
      </c>
      <c r="B20" s="17" t="s">
        <v>181</v>
      </c>
      <c r="C20" s="40">
        <v>361.77</v>
      </c>
      <c r="D20" s="41">
        <v>440175.24</v>
      </c>
      <c r="E20" s="41">
        <v>36681.269999999997</v>
      </c>
      <c r="F20" s="43">
        <v>1032</v>
      </c>
      <c r="G20" s="45">
        <v>86</v>
      </c>
      <c r="H20" s="43">
        <v>39</v>
      </c>
      <c r="I20" s="44">
        <v>4.4000000000000004</v>
      </c>
      <c r="J20" s="44" t="s">
        <v>184</v>
      </c>
      <c r="K20" s="21" t="str">
        <f>HYPERLINK(J20)</f>
        <v>https://amazon.com/dp/B0C9H54GLX</v>
      </c>
    </row>
    <row r="21" spans="1:11" ht="17" x14ac:dyDescent="0.2">
      <c r="A21" s="17" t="s">
        <v>195</v>
      </c>
      <c r="B21" s="17" t="s">
        <v>194</v>
      </c>
      <c r="C21" s="40">
        <v>925</v>
      </c>
      <c r="D21" s="41">
        <v>391460.52</v>
      </c>
      <c r="E21" s="41">
        <v>32621.71</v>
      </c>
      <c r="F21" s="43">
        <v>420</v>
      </c>
      <c r="G21" s="45">
        <v>35</v>
      </c>
      <c r="H21" s="43">
        <v>23</v>
      </c>
      <c r="I21" s="44">
        <v>4.0999999999999996</v>
      </c>
      <c r="J21" s="44" t="s">
        <v>197</v>
      </c>
      <c r="K21" s="21" t="str">
        <f t="shared" ref="K21:K24" si="1">HYPERLINK(J21)</f>
        <v>https://amazon.com/dp/B09BNZTLQ7</v>
      </c>
    </row>
    <row r="22" spans="1:11" ht="30" x14ac:dyDescent="0.2">
      <c r="A22" s="17" t="s">
        <v>371</v>
      </c>
      <c r="B22" s="17" t="s">
        <v>372</v>
      </c>
      <c r="C22" s="40">
        <v>519.99</v>
      </c>
      <c r="D22" s="41">
        <v>136293.35999999999</v>
      </c>
      <c r="E22" s="41">
        <v>11357.78</v>
      </c>
      <c r="F22" s="43">
        <v>264</v>
      </c>
      <c r="G22" s="45">
        <v>22</v>
      </c>
      <c r="H22" s="43">
        <v>38</v>
      </c>
      <c r="I22" s="44">
        <v>4.4000000000000004</v>
      </c>
      <c r="J22" s="44" t="s">
        <v>373</v>
      </c>
      <c r="K22" s="21" t="str">
        <f t="shared" si="1"/>
        <v>https://amazon.com/dp/B0FVDS8JX5</v>
      </c>
    </row>
    <row r="23" spans="1:11" ht="30" x14ac:dyDescent="0.2">
      <c r="A23" s="17" t="s">
        <v>374</v>
      </c>
      <c r="B23" s="17" t="s">
        <v>375</v>
      </c>
      <c r="C23" s="40">
        <v>366.96</v>
      </c>
      <c r="D23" s="41">
        <v>60313.2</v>
      </c>
      <c r="E23" s="41">
        <v>5026.1000000000004</v>
      </c>
      <c r="F23" s="43">
        <v>144</v>
      </c>
      <c r="G23" s="45">
        <v>12</v>
      </c>
      <c r="H23" s="43">
        <v>39</v>
      </c>
      <c r="I23" s="44">
        <v>4.4000000000000004</v>
      </c>
      <c r="J23" s="44" t="s">
        <v>376</v>
      </c>
      <c r="K23" s="21" t="str">
        <f t="shared" si="1"/>
        <v>https://amazon.com/dp/B0CYT1553Q</v>
      </c>
    </row>
    <row r="24" spans="1:11" ht="30" x14ac:dyDescent="0.2">
      <c r="A24" s="17" t="s">
        <v>377</v>
      </c>
      <c r="B24" s="17" t="s">
        <v>378</v>
      </c>
      <c r="C24" s="40">
        <v>557.99</v>
      </c>
      <c r="D24" s="41"/>
      <c r="E24" s="41"/>
      <c r="F24" s="43">
        <v>0</v>
      </c>
      <c r="G24" s="45">
        <v>0</v>
      </c>
      <c r="H24" s="43">
        <v>0</v>
      </c>
      <c r="I24" s="44"/>
      <c r="J24" s="44" t="s">
        <v>379</v>
      </c>
      <c r="K24" s="21" t="str">
        <f t="shared" si="1"/>
        <v>https://amazon.com/dp/B00HFQ1YD4</v>
      </c>
    </row>
    <row r="25" spans="1:11" ht="17" x14ac:dyDescent="0.2">
      <c r="A25" s="17" t="s">
        <v>380</v>
      </c>
      <c r="B25" s="17" t="s">
        <v>381</v>
      </c>
      <c r="C25" s="40">
        <v>40.81</v>
      </c>
      <c r="D25" s="41"/>
      <c r="E25" s="41"/>
      <c r="F25" s="43">
        <v>0</v>
      </c>
      <c r="G25" s="45">
        <v>0</v>
      </c>
      <c r="H25" s="43">
        <v>1</v>
      </c>
      <c r="I25" s="44">
        <v>1</v>
      </c>
      <c r="J25" s="44" t="s">
        <v>382</v>
      </c>
      <c r="K25" s="21" t="str">
        <f t="shared" ref="K25" si="2">HYPERLINK(J25)</f>
        <v>https://amazon.com/dp/B00AQKHNXQ</v>
      </c>
    </row>
    <row r="26" spans="1:11" ht="17" x14ac:dyDescent="0.2">
      <c r="A26" s="20" t="s">
        <v>5</v>
      </c>
      <c r="B26" s="19"/>
      <c r="C26" s="19"/>
      <c r="D26" s="19"/>
      <c r="E26" s="19"/>
      <c r="F26" s="46">
        <f>SUM(Fluke!F20:F25)</f>
        <v>1860</v>
      </c>
      <c r="G26" s="46">
        <f>SUM(Fluke!G20:G25)</f>
        <v>155</v>
      </c>
      <c r="H26" s="46"/>
      <c r="I26" s="22"/>
    </row>
  </sheetData>
  <sortState xmlns:xlrd2="http://schemas.microsoft.com/office/spreadsheetml/2017/richdata2" ref="A20:J25">
    <sortCondition ref="F20:F25"/>
  </sortState>
  <mergeCells count="3">
    <mergeCell ref="A7:K7"/>
    <mergeCell ref="A1:K5"/>
    <mergeCell ref="A18:K18"/>
  </mergeCells>
  <hyperlinks>
    <hyperlink ref="K9" r:id="rId1" display="https://amazon.com/dp/B07S7H86Z1" xr:uid="{470E4773-E0EA-4A90-8373-A1F3B3558E2B}"/>
    <hyperlink ref="K20" r:id="rId2" display="https://amazon.com/dp/B07S7H86Z1" xr:uid="{00F4B7D9-0047-4E8B-B805-C520E1AB584D}"/>
    <hyperlink ref="J9" r:id="rId3" display="https://amazon.com/dp/B0CFF8Z1NF" xr:uid="{73947A20-74C8-47D5-B435-A6C1CBEB8558}"/>
  </hyperlinks>
  <pageMargins left="0.7" right="0.7" top="0.75" bottom="0.75" header="0.3" footer="0.3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8B25-22B6-4514-BF27-278B540B9960}">
  <dimension ref="A1:K34"/>
  <sheetViews>
    <sheetView zoomScale="69" workbookViewId="0">
      <selection activeCell="N12" sqref="N12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18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3" style="18" bestFit="1" customWidth="1"/>
    <col min="10" max="10" width="28" style="18" hidden="1" customWidth="1"/>
    <col min="11" max="11" width="35.6640625" style="18" customWidth="1"/>
    <col min="12" max="16384" width="12.6640625" style="18"/>
  </cols>
  <sheetData>
    <row r="1" spans="1:11" x14ac:dyDescent="0.2">
      <c r="A1" s="119" t="e" vm="7">
        <v>#VALUE!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 spans="1:11" x14ac:dyDescent="0.2">
      <c r="A2" s="119"/>
      <c r="B2" s="119"/>
      <c r="C2" s="119"/>
      <c r="D2" s="119"/>
      <c r="E2" s="119"/>
      <c r="F2" s="119"/>
      <c r="G2" s="119"/>
      <c r="H2" s="119"/>
      <c r="I2" s="119"/>
      <c r="J2" s="119"/>
      <c r="K2" s="119"/>
    </row>
    <row r="3" spans="1:11" x14ac:dyDescent="0.2">
      <c r="A3" s="119"/>
      <c r="B3" s="119"/>
      <c r="C3" s="119"/>
      <c r="D3" s="119"/>
      <c r="E3" s="119"/>
      <c r="F3" s="119"/>
      <c r="G3" s="119"/>
      <c r="H3" s="119"/>
      <c r="I3" s="119"/>
      <c r="J3" s="119"/>
      <c r="K3" s="119"/>
    </row>
    <row r="4" spans="1:11" x14ac:dyDescent="0.2">
      <c r="A4" s="119"/>
      <c r="B4" s="119"/>
      <c r="C4" s="119"/>
      <c r="D4" s="119"/>
      <c r="E4" s="119"/>
      <c r="F4" s="119"/>
      <c r="G4" s="119"/>
      <c r="H4" s="119"/>
      <c r="I4" s="119"/>
      <c r="J4" s="119"/>
      <c r="K4" s="119"/>
    </row>
    <row r="5" spans="1:11" x14ac:dyDescent="0.2">
      <c r="A5" s="119"/>
      <c r="B5" s="119"/>
      <c r="C5" s="119"/>
      <c r="D5" s="119"/>
      <c r="E5" s="119"/>
      <c r="F5" s="119"/>
      <c r="G5" s="119"/>
      <c r="H5" s="119"/>
      <c r="I5" s="119"/>
      <c r="J5" s="119"/>
      <c r="K5" s="119"/>
    </row>
    <row r="6" spans="1:11" x14ac:dyDescent="0.2">
      <c r="A6" s="16"/>
      <c r="B6" s="16"/>
      <c r="C6" s="32"/>
      <c r="D6" s="33"/>
      <c r="E6" s="33"/>
      <c r="F6" s="33"/>
      <c r="G6" s="33"/>
      <c r="H6" s="34"/>
      <c r="I6" s="35"/>
    </row>
    <row r="7" spans="1:11" x14ac:dyDescent="0.2">
      <c r="A7" s="118" t="s">
        <v>15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45" x14ac:dyDescent="0.2">
      <c r="A9" s="17" t="s">
        <v>137</v>
      </c>
      <c r="B9" s="17" t="s">
        <v>136</v>
      </c>
      <c r="C9" s="40">
        <v>219.99</v>
      </c>
      <c r="D9" s="41">
        <v>1035061.8</v>
      </c>
      <c r="E9" s="42">
        <v>86255.15</v>
      </c>
      <c r="F9" s="43">
        <v>6420</v>
      </c>
      <c r="G9" s="43">
        <v>535</v>
      </c>
      <c r="H9" s="43">
        <v>284</v>
      </c>
      <c r="I9" s="44">
        <v>4.3</v>
      </c>
      <c r="J9" s="44" t="s">
        <v>139</v>
      </c>
      <c r="K9" s="54" t="str">
        <f t="shared" ref="K9" si="0">HYPERLINK(J9)</f>
        <v>https://amazon.com/dp/B0D8QC83BV</v>
      </c>
    </row>
    <row r="10" spans="1:11" ht="60" x14ac:dyDescent="0.2">
      <c r="A10" s="17" t="s">
        <v>383</v>
      </c>
      <c r="B10" s="17" t="s">
        <v>384</v>
      </c>
      <c r="C10" s="40">
        <v>349.99</v>
      </c>
      <c r="D10" s="41">
        <v>195553.2</v>
      </c>
      <c r="E10" s="42">
        <v>16296.1</v>
      </c>
      <c r="F10" s="43">
        <v>672</v>
      </c>
      <c r="G10" s="43">
        <v>56</v>
      </c>
      <c r="H10" s="43">
        <v>4</v>
      </c>
      <c r="I10" s="44">
        <v>4.7</v>
      </c>
      <c r="J10" s="44" t="s">
        <v>385</v>
      </c>
      <c r="K10" s="99" t="str">
        <f t="shared" ref="K10:K12" si="1">HYPERLINK(J10)</f>
        <v>https://amazon.com/dp/B0FF1NPKYW</v>
      </c>
    </row>
    <row r="11" spans="1:11" ht="45" x14ac:dyDescent="0.2">
      <c r="A11" s="17" t="s">
        <v>386</v>
      </c>
      <c r="B11" s="17" t="s">
        <v>387</v>
      </c>
      <c r="C11" s="40">
        <v>309.99</v>
      </c>
      <c r="D11" s="41">
        <v>90748.44</v>
      </c>
      <c r="E11" s="42">
        <v>7562.37</v>
      </c>
      <c r="F11" s="43">
        <v>336</v>
      </c>
      <c r="G11" s="43">
        <v>28</v>
      </c>
      <c r="H11" s="43">
        <v>2</v>
      </c>
      <c r="I11" s="44">
        <v>5</v>
      </c>
      <c r="J11" s="44" t="s">
        <v>388</v>
      </c>
      <c r="K11" s="99" t="str">
        <f t="shared" si="1"/>
        <v>https://amazon.com/dp/B0DP42DGX1</v>
      </c>
    </row>
    <row r="12" spans="1:11" ht="45" x14ac:dyDescent="0.2">
      <c r="A12" s="17" t="s">
        <v>389</v>
      </c>
      <c r="B12" s="17" t="s">
        <v>390</v>
      </c>
      <c r="C12" s="40">
        <v>299.99</v>
      </c>
      <c r="D12" s="41">
        <v>32369.16</v>
      </c>
      <c r="E12" s="42">
        <v>2697.43</v>
      </c>
      <c r="F12" s="43">
        <v>108</v>
      </c>
      <c r="G12" s="43">
        <v>9</v>
      </c>
      <c r="H12" s="43">
        <v>100</v>
      </c>
      <c r="I12" s="44">
        <v>4.3</v>
      </c>
      <c r="J12" s="44" t="s">
        <v>391</v>
      </c>
      <c r="K12" s="99" t="str">
        <f t="shared" si="1"/>
        <v>https://amazon.com/dp/B0D8Q9YG9F</v>
      </c>
    </row>
    <row r="13" spans="1:11" ht="45" x14ac:dyDescent="0.2">
      <c r="A13" s="17" t="s">
        <v>392</v>
      </c>
      <c r="B13" s="17" t="s">
        <v>393</v>
      </c>
      <c r="C13" s="40">
        <v>239.99</v>
      </c>
      <c r="D13" s="41">
        <v>30137.279999999999</v>
      </c>
      <c r="E13" s="42">
        <v>2511.44</v>
      </c>
      <c r="F13" s="43">
        <v>120</v>
      </c>
      <c r="G13" s="43">
        <v>10</v>
      </c>
      <c r="H13" s="43">
        <v>84</v>
      </c>
      <c r="I13" s="44">
        <v>4</v>
      </c>
      <c r="J13" s="44" t="s">
        <v>394</v>
      </c>
      <c r="K13" s="99" t="str">
        <f t="shared" ref="K13:K14" si="2">HYPERLINK(J13)</f>
        <v>https://amazon.com/dp/B0DJ6RSRQ6</v>
      </c>
    </row>
    <row r="14" spans="1:11" ht="45" x14ac:dyDescent="0.2">
      <c r="A14" s="17" t="s">
        <v>395</v>
      </c>
      <c r="B14" s="17" t="s">
        <v>396</v>
      </c>
      <c r="C14" s="40">
        <v>399.99</v>
      </c>
      <c r="D14" s="41">
        <v>23223.24</v>
      </c>
      <c r="E14" s="42">
        <v>1935.27</v>
      </c>
      <c r="F14" s="43">
        <v>60</v>
      </c>
      <c r="G14" s="43">
        <v>5</v>
      </c>
      <c r="H14" s="43">
        <v>32</v>
      </c>
      <c r="I14" s="44">
        <v>3.6</v>
      </c>
      <c r="J14" s="44" t="s">
        <v>397</v>
      </c>
      <c r="K14" s="99" t="str">
        <f t="shared" si="2"/>
        <v>https://amazon.com/dp/B0BJTTG7DD</v>
      </c>
    </row>
    <row r="15" spans="1:11" ht="60" x14ac:dyDescent="0.2">
      <c r="A15" s="17" t="s">
        <v>398</v>
      </c>
      <c r="B15" s="17" t="s">
        <v>399</v>
      </c>
      <c r="C15" s="40">
        <v>249.99</v>
      </c>
      <c r="D15" s="41">
        <v>8741.0399999999991</v>
      </c>
      <c r="E15" s="42">
        <v>728.42</v>
      </c>
      <c r="F15" s="43">
        <v>36</v>
      </c>
      <c r="G15" s="43">
        <v>3</v>
      </c>
      <c r="H15" s="43">
        <v>9</v>
      </c>
      <c r="I15" s="44">
        <v>4</v>
      </c>
      <c r="J15" s="44" t="s">
        <v>400</v>
      </c>
      <c r="K15" s="54" t="str">
        <f t="shared" ref="K15:K17" si="3">HYPERLINK(J15)</f>
        <v>https://amazon.com/dp/B0DP8GS9HH</v>
      </c>
    </row>
    <row r="16" spans="1:11" ht="45" x14ac:dyDescent="0.2">
      <c r="A16" s="17" t="s">
        <v>401</v>
      </c>
      <c r="B16" s="17" t="s">
        <v>402</v>
      </c>
      <c r="C16" s="40">
        <v>199</v>
      </c>
      <c r="D16" s="41">
        <v>2469.36</v>
      </c>
      <c r="E16" s="42">
        <v>205.78</v>
      </c>
      <c r="F16" s="43">
        <v>12</v>
      </c>
      <c r="G16" s="43">
        <v>1</v>
      </c>
      <c r="H16" s="43">
        <v>6</v>
      </c>
      <c r="I16" s="44">
        <v>2.8</v>
      </c>
      <c r="J16" s="44" t="s">
        <v>403</v>
      </c>
      <c r="K16" s="54" t="str">
        <f t="shared" si="3"/>
        <v>https://amazon.com/dp/B0CC5JD3LL</v>
      </c>
    </row>
    <row r="17" spans="1:11" ht="45" x14ac:dyDescent="0.2">
      <c r="A17" s="17" t="s">
        <v>404</v>
      </c>
      <c r="B17" s="17" t="s">
        <v>405</v>
      </c>
      <c r="C17" s="40">
        <v>199</v>
      </c>
      <c r="D17" s="41">
        <v>1677.6</v>
      </c>
      <c r="E17" s="42">
        <v>139.80000000000001</v>
      </c>
      <c r="F17" s="43">
        <v>12</v>
      </c>
      <c r="G17" s="43">
        <v>1</v>
      </c>
      <c r="H17" s="43">
        <v>25</v>
      </c>
      <c r="I17" s="44">
        <v>4.7</v>
      </c>
      <c r="J17" s="44" t="s">
        <v>406</v>
      </c>
      <c r="K17" s="54" t="str">
        <f t="shared" si="3"/>
        <v>https://amazon.com/dp/B0DPHLYSJD</v>
      </c>
    </row>
    <row r="18" spans="1:11" ht="45" x14ac:dyDescent="0.2">
      <c r="A18" s="17" t="s">
        <v>407</v>
      </c>
      <c r="B18" s="17" t="s">
        <v>408</v>
      </c>
      <c r="C18" s="40">
        <v>599</v>
      </c>
      <c r="D18" s="41"/>
      <c r="E18" s="42"/>
      <c r="F18" s="43">
        <v>0</v>
      </c>
      <c r="G18" s="43">
        <v>0</v>
      </c>
      <c r="H18" s="43">
        <v>3</v>
      </c>
      <c r="I18" s="44">
        <v>5</v>
      </c>
      <c r="J18" s="44" t="s">
        <v>409</v>
      </c>
      <c r="K18" s="54" t="str">
        <f>HYPERLINK(J18)</f>
        <v>https://amazon.com/dp/B0FR97YXCP</v>
      </c>
    </row>
    <row r="19" spans="1:11" ht="17" x14ac:dyDescent="0.2">
      <c r="A19" s="20" t="s">
        <v>5</v>
      </c>
      <c r="B19" s="20"/>
      <c r="C19" s="55"/>
      <c r="D19" s="104">
        <f>SUM(D9:D18)</f>
        <v>1419981.12</v>
      </c>
      <c r="E19" s="104">
        <f>SUM(E9:E18)</f>
        <v>118331.76</v>
      </c>
      <c r="F19" s="57"/>
      <c r="G19" s="57"/>
      <c r="H19" s="57"/>
      <c r="I19" s="58"/>
      <c r="J19" s="20"/>
    </row>
    <row r="20" spans="1:11" x14ac:dyDescent="0.2">
      <c r="A20" s="17"/>
      <c r="B20" s="17"/>
      <c r="C20" s="41"/>
      <c r="D20" s="41"/>
      <c r="E20" s="43"/>
      <c r="F20" s="43"/>
      <c r="G20" s="43"/>
      <c r="H20" s="44"/>
      <c r="I20" s="17"/>
    </row>
    <row r="21" spans="1:11" x14ac:dyDescent="0.2">
      <c r="A21" s="17"/>
      <c r="B21" s="17"/>
      <c r="C21" s="41"/>
      <c r="D21" s="41"/>
      <c r="E21" s="43"/>
      <c r="F21" s="43"/>
      <c r="G21" s="43"/>
      <c r="H21" s="44"/>
      <c r="I21" s="17"/>
    </row>
    <row r="22" spans="1:11" x14ac:dyDescent="0.2">
      <c r="A22" s="118" t="s">
        <v>18</v>
      </c>
      <c r="B22" s="118"/>
      <c r="C22" s="118"/>
      <c r="D22" s="118"/>
      <c r="E22" s="118"/>
      <c r="F22" s="118"/>
      <c r="G22" s="118"/>
      <c r="H22" s="118"/>
      <c r="I22" s="118"/>
      <c r="J22" s="118"/>
      <c r="K22" s="118"/>
    </row>
    <row r="23" spans="1:11" ht="17" x14ac:dyDescent="0.2">
      <c r="A23" s="23" t="s">
        <v>7</v>
      </c>
      <c r="B23" s="24" t="s">
        <v>6</v>
      </c>
      <c r="C23" s="25" t="s">
        <v>12</v>
      </c>
      <c r="D23" s="26" t="s">
        <v>2</v>
      </c>
      <c r="E23" s="24" t="s">
        <v>28</v>
      </c>
      <c r="F23" s="28" t="s">
        <v>14</v>
      </c>
      <c r="G23" s="31" t="s">
        <v>29</v>
      </c>
      <c r="H23" s="28" t="s">
        <v>9</v>
      </c>
      <c r="I23" s="29" t="s">
        <v>13</v>
      </c>
      <c r="J23" s="29" t="s">
        <v>23</v>
      </c>
      <c r="K23" s="30" t="s">
        <v>11</v>
      </c>
    </row>
    <row r="24" spans="1:11" ht="45" x14ac:dyDescent="0.2">
      <c r="A24" s="17" t="s">
        <v>137</v>
      </c>
      <c r="B24" s="17" t="s">
        <v>136</v>
      </c>
      <c r="C24" s="40">
        <v>219.99</v>
      </c>
      <c r="D24" s="41">
        <v>1035061.8</v>
      </c>
      <c r="E24" s="41">
        <v>86255.15</v>
      </c>
      <c r="F24" s="43">
        <v>6420</v>
      </c>
      <c r="G24" s="45">
        <v>535</v>
      </c>
      <c r="H24" s="43">
        <v>284</v>
      </c>
      <c r="I24" s="44">
        <v>4.3</v>
      </c>
      <c r="J24" s="44" t="s">
        <v>139</v>
      </c>
      <c r="K24" s="21" t="str">
        <f>HYPERLINK(J24)</f>
        <v>https://amazon.com/dp/B0D8QC83BV</v>
      </c>
    </row>
    <row r="25" spans="1:11" ht="60" x14ac:dyDescent="0.2">
      <c r="A25" s="17" t="s">
        <v>383</v>
      </c>
      <c r="B25" s="17" t="s">
        <v>384</v>
      </c>
      <c r="C25" s="40">
        <v>349.99</v>
      </c>
      <c r="D25" s="41">
        <v>195553.2</v>
      </c>
      <c r="E25" s="41">
        <v>16296.1</v>
      </c>
      <c r="F25" s="43">
        <v>672</v>
      </c>
      <c r="G25" s="45">
        <v>56</v>
      </c>
      <c r="H25" s="43">
        <v>4</v>
      </c>
      <c r="I25" s="44">
        <v>4.7</v>
      </c>
      <c r="J25" s="44" t="s">
        <v>385</v>
      </c>
      <c r="K25" s="21" t="str">
        <f t="shared" ref="K25:K27" si="4">HYPERLINK(J25)</f>
        <v>https://amazon.com/dp/B0FF1NPKYW</v>
      </c>
    </row>
    <row r="26" spans="1:11" ht="45" x14ac:dyDescent="0.2">
      <c r="A26" s="17" t="s">
        <v>386</v>
      </c>
      <c r="B26" s="17" t="s">
        <v>387</v>
      </c>
      <c r="C26" s="40">
        <v>309.99</v>
      </c>
      <c r="D26" s="41">
        <v>90748.44</v>
      </c>
      <c r="E26" s="41">
        <v>7562.37</v>
      </c>
      <c r="F26" s="43">
        <v>336</v>
      </c>
      <c r="G26" s="45">
        <v>28</v>
      </c>
      <c r="H26" s="43">
        <v>2</v>
      </c>
      <c r="I26" s="44">
        <v>5</v>
      </c>
      <c r="J26" s="44" t="s">
        <v>388</v>
      </c>
      <c r="K26" s="21" t="str">
        <f t="shared" si="4"/>
        <v>https://amazon.com/dp/B0DP42DGX1</v>
      </c>
    </row>
    <row r="27" spans="1:11" ht="45" x14ac:dyDescent="0.2">
      <c r="A27" s="17" t="s">
        <v>392</v>
      </c>
      <c r="B27" s="17" t="s">
        <v>393</v>
      </c>
      <c r="C27" s="40">
        <v>239.99</v>
      </c>
      <c r="D27" s="41">
        <v>30137.279999999999</v>
      </c>
      <c r="E27" s="41">
        <v>2511.44</v>
      </c>
      <c r="F27" s="43">
        <v>120</v>
      </c>
      <c r="G27" s="45">
        <v>10</v>
      </c>
      <c r="H27" s="43">
        <v>84</v>
      </c>
      <c r="I27" s="44">
        <v>4</v>
      </c>
      <c r="J27" s="44" t="s">
        <v>394</v>
      </c>
      <c r="K27" s="21" t="str">
        <f t="shared" si="4"/>
        <v>https://amazon.com/dp/B0DJ6RSRQ6</v>
      </c>
    </row>
    <row r="28" spans="1:11" ht="45" x14ac:dyDescent="0.2">
      <c r="A28" s="17" t="s">
        <v>389</v>
      </c>
      <c r="B28" s="17" t="s">
        <v>390</v>
      </c>
      <c r="C28" s="40">
        <v>299.99</v>
      </c>
      <c r="D28" s="41">
        <v>32369.16</v>
      </c>
      <c r="E28" s="41">
        <v>2697.43</v>
      </c>
      <c r="F28" s="43">
        <v>108</v>
      </c>
      <c r="G28" s="45">
        <v>9</v>
      </c>
      <c r="H28" s="43">
        <v>100</v>
      </c>
      <c r="I28" s="44">
        <v>4.3</v>
      </c>
      <c r="J28" s="44" t="s">
        <v>391</v>
      </c>
      <c r="K28" s="21" t="str">
        <f t="shared" ref="K28" si="5">HYPERLINK(J28)</f>
        <v>https://amazon.com/dp/B0D8Q9YG9F</v>
      </c>
    </row>
    <row r="29" spans="1:11" ht="45" x14ac:dyDescent="0.2">
      <c r="A29" s="17" t="s">
        <v>395</v>
      </c>
      <c r="B29" s="17" t="s">
        <v>396</v>
      </c>
      <c r="C29" s="40">
        <v>399.99</v>
      </c>
      <c r="D29" s="41">
        <v>23223.24</v>
      </c>
      <c r="E29" s="41">
        <v>1935.27</v>
      </c>
      <c r="F29" s="43">
        <v>60</v>
      </c>
      <c r="G29" s="45">
        <v>5</v>
      </c>
      <c r="H29" s="43">
        <v>32</v>
      </c>
      <c r="I29" s="44">
        <v>3.6</v>
      </c>
      <c r="J29" s="44" t="s">
        <v>397</v>
      </c>
      <c r="K29" s="21" t="str">
        <f>HYPERLINK(J29)</f>
        <v>https://amazon.com/dp/B0BJTTG7DD</v>
      </c>
    </row>
    <row r="30" spans="1:11" ht="60" x14ac:dyDescent="0.2">
      <c r="A30" s="17" t="s">
        <v>398</v>
      </c>
      <c r="B30" s="17" t="s">
        <v>399</v>
      </c>
      <c r="C30" s="40">
        <v>249.99</v>
      </c>
      <c r="D30" s="41">
        <v>8741.0399999999991</v>
      </c>
      <c r="E30" s="41">
        <v>728.42</v>
      </c>
      <c r="F30" s="43">
        <v>36</v>
      </c>
      <c r="G30" s="45">
        <v>3</v>
      </c>
      <c r="H30" s="43">
        <v>9</v>
      </c>
      <c r="I30" s="44">
        <v>4</v>
      </c>
      <c r="J30" s="44" t="s">
        <v>400</v>
      </c>
      <c r="K30" s="21" t="str">
        <f t="shared" ref="K30:K32" si="6">HYPERLINK(J30)</f>
        <v>https://amazon.com/dp/B0DP8GS9HH</v>
      </c>
    </row>
    <row r="31" spans="1:11" ht="45" x14ac:dyDescent="0.2">
      <c r="A31" s="17" t="s">
        <v>401</v>
      </c>
      <c r="B31" s="17" t="s">
        <v>402</v>
      </c>
      <c r="C31" s="40">
        <v>199</v>
      </c>
      <c r="D31" s="41">
        <v>2469.36</v>
      </c>
      <c r="E31" s="41">
        <v>205.78</v>
      </c>
      <c r="F31" s="43">
        <v>12</v>
      </c>
      <c r="G31" s="45">
        <v>1</v>
      </c>
      <c r="H31" s="43">
        <v>6</v>
      </c>
      <c r="I31" s="44">
        <v>2.8</v>
      </c>
      <c r="J31" s="44" t="s">
        <v>403</v>
      </c>
      <c r="K31" s="21" t="str">
        <f t="shared" si="6"/>
        <v>https://amazon.com/dp/B0CC5JD3LL</v>
      </c>
    </row>
    <row r="32" spans="1:11" ht="45" x14ac:dyDescent="0.2">
      <c r="A32" s="17" t="s">
        <v>404</v>
      </c>
      <c r="B32" s="17" t="s">
        <v>405</v>
      </c>
      <c r="C32" s="40">
        <v>199</v>
      </c>
      <c r="D32" s="41">
        <v>1677.6</v>
      </c>
      <c r="E32" s="41">
        <v>139.80000000000001</v>
      </c>
      <c r="F32" s="43">
        <v>12</v>
      </c>
      <c r="G32" s="45">
        <v>1</v>
      </c>
      <c r="H32" s="43">
        <v>25</v>
      </c>
      <c r="I32" s="44">
        <v>4.7</v>
      </c>
      <c r="J32" s="44" t="s">
        <v>406</v>
      </c>
      <c r="K32" s="21" t="str">
        <f t="shared" si="6"/>
        <v>https://amazon.com/dp/B0DPHLYSJD</v>
      </c>
    </row>
    <row r="33" spans="1:11" ht="45" x14ac:dyDescent="0.2">
      <c r="A33" s="17" t="s">
        <v>407</v>
      </c>
      <c r="B33" s="17" t="s">
        <v>408</v>
      </c>
      <c r="C33" s="40">
        <v>599</v>
      </c>
      <c r="D33" s="41"/>
      <c r="E33" s="41"/>
      <c r="F33" s="43">
        <v>0</v>
      </c>
      <c r="G33" s="45">
        <v>0</v>
      </c>
      <c r="H33" s="43">
        <v>3</v>
      </c>
      <c r="I33" s="44">
        <v>5</v>
      </c>
      <c r="J33" s="44" t="s">
        <v>409</v>
      </c>
      <c r="K33" s="21" t="str">
        <f>HYPERLINK(J33)</f>
        <v>https://amazon.com/dp/B0FR97YXCP</v>
      </c>
    </row>
    <row r="34" spans="1:11" ht="17" x14ac:dyDescent="0.2">
      <c r="A34" s="20" t="s">
        <v>5</v>
      </c>
      <c r="B34" s="20"/>
      <c r="C34" s="56"/>
      <c r="D34" s="56"/>
      <c r="E34" s="56"/>
      <c r="F34" s="57">
        <f>SUM(Table431618[Estimated 12mo Units])</f>
        <v>7776</v>
      </c>
      <c r="G34" s="57">
        <f>SUM(Table431618[Monthly Units])</f>
        <v>648</v>
      </c>
      <c r="H34" s="57"/>
      <c r="I34" s="58"/>
      <c r="J34" s="20"/>
    </row>
  </sheetData>
  <mergeCells count="3">
    <mergeCell ref="A1:K5"/>
    <mergeCell ref="A7:K7"/>
    <mergeCell ref="A22:K22"/>
  </mergeCells>
  <phoneticPr fontId="17" type="noConversion"/>
  <hyperlinks>
    <hyperlink ref="K24" r:id="rId1" display="https://amazon.com/dp/B07S7H86Z1" xr:uid="{65FFA087-492B-416B-A331-41A1790E1C9E}"/>
    <hyperlink ref="K28" r:id="rId2" display="https://amazon.com/dp/B07S7H86Z1" xr:uid="{B9C121D8-E5CF-4E76-9682-43FC40AFC3E9}"/>
  </hyperlinks>
  <pageMargins left="0.7" right="0.7" top="0.75" bottom="0.75" header="0.3" footer="0.3"/>
  <tableParts count="2"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A1E91-8784-40E5-BD41-FAFC4A1B10B9}">
  <dimension ref="A1:K16"/>
  <sheetViews>
    <sheetView topLeftCell="C1" workbookViewId="0">
      <selection activeCell="K25" sqref="K25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18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27.83203125" style="18" hidden="1" customWidth="1"/>
    <col min="11" max="11" width="35.6640625" style="18" customWidth="1"/>
    <col min="12" max="16384" width="12.6640625" style="18"/>
  </cols>
  <sheetData>
    <row r="1" spans="1:11" x14ac:dyDescent="0.2">
      <c r="A1" s="119" t="e" vm="8">
        <v>#VALUE!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 spans="1:11" x14ac:dyDescent="0.2">
      <c r="A2" s="119"/>
      <c r="B2" s="119"/>
      <c r="C2" s="119"/>
      <c r="D2" s="119"/>
      <c r="E2" s="119"/>
      <c r="F2" s="119"/>
      <c r="G2" s="119"/>
      <c r="H2" s="119"/>
      <c r="I2" s="119"/>
      <c r="J2" s="119"/>
      <c r="K2" s="119"/>
    </row>
    <row r="3" spans="1:11" x14ac:dyDescent="0.2">
      <c r="A3" s="119"/>
      <c r="B3" s="119"/>
      <c r="C3" s="119"/>
      <c r="D3" s="119"/>
      <c r="E3" s="119"/>
      <c r="F3" s="119"/>
      <c r="G3" s="119"/>
      <c r="H3" s="119"/>
      <c r="I3" s="119"/>
      <c r="J3" s="119"/>
      <c r="K3" s="119"/>
    </row>
    <row r="4" spans="1:11" x14ac:dyDescent="0.2">
      <c r="A4" s="119"/>
      <c r="B4" s="119"/>
      <c r="C4" s="119"/>
      <c r="D4" s="119"/>
      <c r="E4" s="119"/>
      <c r="F4" s="119"/>
      <c r="G4" s="119"/>
      <c r="H4" s="119"/>
      <c r="I4" s="119"/>
      <c r="J4" s="119"/>
      <c r="K4" s="119"/>
    </row>
    <row r="5" spans="1:11" x14ac:dyDescent="0.2">
      <c r="A5" s="119"/>
      <c r="B5" s="119"/>
      <c r="C5" s="119"/>
      <c r="D5" s="119"/>
      <c r="E5" s="119"/>
      <c r="F5" s="119"/>
      <c r="G5" s="119"/>
      <c r="H5" s="119"/>
      <c r="I5" s="119"/>
      <c r="J5" s="119"/>
      <c r="K5" s="119"/>
    </row>
    <row r="6" spans="1:11" x14ac:dyDescent="0.2">
      <c r="A6" s="16"/>
      <c r="B6" s="16"/>
      <c r="C6" s="32"/>
      <c r="D6" s="33"/>
      <c r="E6" s="33"/>
      <c r="F6" s="33"/>
      <c r="G6" s="33"/>
      <c r="H6" s="34"/>
      <c r="I6" s="35"/>
    </row>
    <row r="7" spans="1:11" x14ac:dyDescent="0.2">
      <c r="A7" s="118" t="s">
        <v>15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45" x14ac:dyDescent="0.2">
      <c r="A9" s="17" t="s">
        <v>117</v>
      </c>
      <c r="B9" s="17" t="s">
        <v>116</v>
      </c>
      <c r="C9" s="40">
        <v>139.99</v>
      </c>
      <c r="D9" s="41">
        <v>1299228.6000000001</v>
      </c>
      <c r="E9" s="42">
        <v>108269.05</v>
      </c>
      <c r="F9" s="43">
        <v>10860</v>
      </c>
      <c r="G9" s="43">
        <v>905</v>
      </c>
      <c r="H9" s="43">
        <v>45</v>
      </c>
      <c r="I9" s="44">
        <v>4.2</v>
      </c>
      <c r="J9" s="44" t="s">
        <v>120</v>
      </c>
      <c r="K9" s="54" t="str">
        <f t="shared" ref="K9" si="0">HYPERLINK(J9)</f>
        <v>https://amazon.com/dp/B0F8VQ7R3R</v>
      </c>
    </row>
    <row r="10" spans="1:11" ht="17" x14ac:dyDescent="0.2">
      <c r="A10" s="20" t="s">
        <v>5</v>
      </c>
      <c r="B10" s="20"/>
      <c r="C10" s="55"/>
      <c r="D10" s="56">
        <f>SUM(D9:D9)</f>
        <v>1299228.6000000001</v>
      </c>
      <c r="E10" s="56">
        <f>SUM(E9:E9)</f>
        <v>108269.05</v>
      </c>
      <c r="F10" s="57"/>
      <c r="G10" s="57"/>
      <c r="H10" s="57"/>
      <c r="I10" s="58"/>
      <c r="J10" s="20"/>
    </row>
    <row r="11" spans="1:11" x14ac:dyDescent="0.2">
      <c r="A11" s="17"/>
      <c r="B11" s="17"/>
      <c r="C11" s="41"/>
      <c r="D11" s="41"/>
      <c r="E11" s="43"/>
      <c r="F11" s="43"/>
      <c r="G11" s="43"/>
      <c r="H11" s="44"/>
      <c r="I11" s="17"/>
    </row>
    <row r="12" spans="1:11" x14ac:dyDescent="0.2">
      <c r="A12" s="17"/>
      <c r="B12" s="17"/>
      <c r="C12" s="41"/>
      <c r="D12" s="41"/>
      <c r="E12" s="43"/>
      <c r="F12" s="43"/>
      <c r="G12" s="43"/>
      <c r="H12" s="44"/>
      <c r="I12" s="17"/>
    </row>
    <row r="13" spans="1:11" x14ac:dyDescent="0.2">
      <c r="A13" s="118" t="s">
        <v>18</v>
      </c>
      <c r="B13" s="118"/>
      <c r="C13" s="118"/>
      <c r="D13" s="118"/>
      <c r="E13" s="118"/>
      <c r="F13" s="118"/>
      <c r="G13" s="118"/>
      <c r="H13" s="118"/>
      <c r="I13" s="118"/>
      <c r="J13" s="118"/>
      <c r="K13" s="118"/>
    </row>
    <row r="14" spans="1:11" ht="17" x14ac:dyDescent="0.2">
      <c r="A14" s="23" t="s">
        <v>7</v>
      </c>
      <c r="B14" s="24" t="s">
        <v>6</v>
      </c>
      <c r="C14" s="25" t="s">
        <v>12</v>
      </c>
      <c r="D14" s="26" t="s">
        <v>2</v>
      </c>
      <c r="E14" s="24" t="s">
        <v>28</v>
      </c>
      <c r="F14" s="28" t="s">
        <v>14</v>
      </c>
      <c r="G14" s="31" t="s">
        <v>29</v>
      </c>
      <c r="H14" s="28" t="s">
        <v>9</v>
      </c>
      <c r="I14" s="29" t="s">
        <v>13</v>
      </c>
      <c r="J14" s="29" t="s">
        <v>23</v>
      </c>
      <c r="K14" s="30" t="s">
        <v>11</v>
      </c>
    </row>
    <row r="15" spans="1:11" ht="45" x14ac:dyDescent="0.2">
      <c r="A15" s="17" t="s">
        <v>117</v>
      </c>
      <c r="B15" s="17" t="s">
        <v>116</v>
      </c>
      <c r="C15" s="40">
        <v>139.99</v>
      </c>
      <c r="D15" s="41">
        <v>1299228.6000000001</v>
      </c>
      <c r="E15" s="41">
        <v>108269.05</v>
      </c>
      <c r="F15" s="43">
        <v>10860</v>
      </c>
      <c r="G15" s="45">
        <v>905</v>
      </c>
      <c r="H15" s="43">
        <v>45</v>
      </c>
      <c r="I15" s="44">
        <v>4.2</v>
      </c>
      <c r="J15" s="44" t="s">
        <v>120</v>
      </c>
      <c r="K15" s="21" t="str">
        <f>HYPERLINK(J15)</f>
        <v>https://amazon.com/dp/B0F8VQ7R3R</v>
      </c>
    </row>
    <row r="16" spans="1:11" ht="17" x14ac:dyDescent="0.2">
      <c r="A16" s="20" t="s">
        <v>5</v>
      </c>
      <c r="B16" s="20"/>
      <c r="C16" s="56"/>
      <c r="D16" s="56"/>
      <c r="E16" s="56"/>
      <c r="F16" s="57">
        <f>SUM(Table43161821[Estimated 12mo Units])</f>
        <v>10860</v>
      </c>
      <c r="G16" s="57">
        <f>SUM(Table43161821[Monthly Units])</f>
        <v>905</v>
      </c>
      <c r="H16" s="57"/>
      <c r="I16" s="58"/>
      <c r="J16" s="20"/>
    </row>
  </sheetData>
  <mergeCells count="3">
    <mergeCell ref="A1:K5"/>
    <mergeCell ref="A7:K7"/>
    <mergeCell ref="A13:K13"/>
  </mergeCells>
  <hyperlinks>
    <hyperlink ref="K15" r:id="rId1" display="https://amazon.com/dp/B07S7H86Z1" xr:uid="{0B8ECF52-9DCE-4E06-9004-C4E201B62453}"/>
  </hyperlinks>
  <pageMargins left="0.7" right="0.7" top="0.75" bottom="0.75" header="0.3" footer="0.3"/>
  <tableParts count="2"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EF7D-BAF7-4B60-BB4F-0FD036B37D07}">
  <dimension ref="A1:K26"/>
  <sheetViews>
    <sheetView workbookViewId="0">
      <selection activeCell="N10" sqref="N10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39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27.5" style="18" hidden="1" customWidth="1"/>
    <col min="11" max="11" width="35.6640625" style="18" customWidth="1"/>
    <col min="12" max="16384" width="12.6640625" style="18"/>
  </cols>
  <sheetData>
    <row r="1" spans="1:11" x14ac:dyDescent="0.2">
      <c r="A1" s="117" t="e" vm="9">
        <v>#VALUE!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</row>
    <row r="2" spans="1:11" x14ac:dyDescent="0.2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</row>
    <row r="3" spans="1:11" x14ac:dyDescent="0.2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</row>
    <row r="4" spans="1:11" x14ac:dyDescent="0.2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</row>
    <row r="5" spans="1:11" x14ac:dyDescent="0.2">
      <c r="A5" s="117"/>
      <c r="B5" s="117"/>
      <c r="C5" s="117"/>
      <c r="D5" s="117"/>
      <c r="E5" s="117"/>
      <c r="F5" s="117"/>
      <c r="G5" s="117"/>
      <c r="H5" s="117"/>
      <c r="I5" s="117"/>
      <c r="J5" s="117"/>
      <c r="K5" s="117"/>
    </row>
    <row r="6" spans="1:11" x14ac:dyDescent="0.2">
      <c r="B6" s="36"/>
      <c r="D6" s="36"/>
      <c r="E6" s="37"/>
      <c r="F6" s="37"/>
      <c r="G6" s="37"/>
      <c r="H6" s="38"/>
      <c r="I6" s="36"/>
    </row>
    <row r="7" spans="1:11" x14ac:dyDescent="0.2">
      <c r="A7" s="118" t="s">
        <v>19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45" x14ac:dyDescent="0.2">
      <c r="A9" s="17" t="s">
        <v>411</v>
      </c>
      <c r="B9" s="17" t="s">
        <v>410</v>
      </c>
      <c r="C9" s="40">
        <v>399</v>
      </c>
      <c r="D9" s="41">
        <v>312627.84000000003</v>
      </c>
      <c r="E9" s="42">
        <v>26052.32</v>
      </c>
      <c r="F9" s="43">
        <v>780</v>
      </c>
      <c r="G9" s="43">
        <v>65</v>
      </c>
      <c r="H9" s="43">
        <v>457</v>
      </c>
      <c r="I9" s="44">
        <v>4.3</v>
      </c>
      <c r="J9" s="44" t="s">
        <v>412</v>
      </c>
      <c r="K9" s="54" t="str">
        <f>HYPERLINK(J9)</f>
        <v>https://amazon.com/dp/B09FTFHTPR</v>
      </c>
    </row>
    <row r="10" spans="1:11" ht="45" x14ac:dyDescent="0.2">
      <c r="A10" s="17" t="s">
        <v>413</v>
      </c>
      <c r="B10" s="17" t="s">
        <v>414</v>
      </c>
      <c r="C10" s="40">
        <v>549</v>
      </c>
      <c r="D10" s="41">
        <v>229539.6</v>
      </c>
      <c r="E10" s="42">
        <v>19128.3</v>
      </c>
      <c r="F10" s="43">
        <v>420</v>
      </c>
      <c r="G10" s="43">
        <v>35</v>
      </c>
      <c r="H10" s="43">
        <v>181</v>
      </c>
      <c r="I10" s="44">
        <v>4</v>
      </c>
      <c r="J10" s="44" t="s">
        <v>415</v>
      </c>
      <c r="K10" s="54" t="str">
        <f>HYPERLINK(J10)</f>
        <v>https://amazon.com/dp/B09FT8HJKF</v>
      </c>
    </row>
    <row r="11" spans="1:11" ht="45" x14ac:dyDescent="0.2">
      <c r="A11" s="17" t="s">
        <v>416</v>
      </c>
      <c r="B11" s="17" t="s">
        <v>417</v>
      </c>
      <c r="C11" s="40">
        <v>499</v>
      </c>
      <c r="D11" s="41">
        <v>167820.84</v>
      </c>
      <c r="E11" s="42">
        <v>13985.07</v>
      </c>
      <c r="F11" s="43">
        <v>336</v>
      </c>
      <c r="G11" s="43">
        <v>28</v>
      </c>
      <c r="H11" s="43">
        <v>59</v>
      </c>
      <c r="I11" s="44">
        <v>4.3</v>
      </c>
      <c r="J11" s="44" t="s">
        <v>418</v>
      </c>
      <c r="K11" s="54" t="str">
        <f t="shared" ref="K11:K13" si="0">HYPERLINK(J11)</f>
        <v>https://amazon.com/dp/B0CL6JNF2X</v>
      </c>
    </row>
    <row r="12" spans="1:11" ht="45" x14ac:dyDescent="0.2">
      <c r="A12" s="17" t="s">
        <v>419</v>
      </c>
      <c r="B12" s="17" t="s">
        <v>420</v>
      </c>
      <c r="C12" s="40">
        <v>299</v>
      </c>
      <c r="D12" s="41">
        <v>111279.36</v>
      </c>
      <c r="E12" s="42">
        <v>9273.2800000000007</v>
      </c>
      <c r="F12" s="43">
        <v>372</v>
      </c>
      <c r="G12" s="43">
        <v>31</v>
      </c>
      <c r="H12" s="43">
        <v>363</v>
      </c>
      <c r="I12" s="44">
        <v>4.5</v>
      </c>
      <c r="J12" s="44" t="s">
        <v>421</v>
      </c>
      <c r="K12" s="54" t="str">
        <f t="shared" si="0"/>
        <v>https://amazon.com/dp/B08X6KHMRS</v>
      </c>
    </row>
    <row r="13" spans="1:11" ht="45" x14ac:dyDescent="0.2">
      <c r="A13" s="17" t="s">
        <v>422</v>
      </c>
      <c r="B13" s="17" t="s">
        <v>423</v>
      </c>
      <c r="C13" s="40">
        <v>359</v>
      </c>
      <c r="D13" s="41">
        <v>75483.959999999992</v>
      </c>
      <c r="E13" s="42">
        <v>6290.33</v>
      </c>
      <c r="F13" s="43">
        <v>216</v>
      </c>
      <c r="G13" s="43">
        <v>18</v>
      </c>
      <c r="H13" s="43">
        <v>209</v>
      </c>
      <c r="I13" s="44">
        <v>4.5</v>
      </c>
      <c r="J13" s="44" t="s">
        <v>424</v>
      </c>
      <c r="K13" s="54" t="str">
        <f t="shared" si="0"/>
        <v>https://amazon.com/dp/B0CCDXCMYW</v>
      </c>
    </row>
    <row r="14" spans="1:11" ht="45" x14ac:dyDescent="0.2">
      <c r="A14" s="17" t="s">
        <v>425</v>
      </c>
      <c r="B14" s="17" t="s">
        <v>426</v>
      </c>
      <c r="C14" s="40">
        <v>299</v>
      </c>
      <c r="D14" s="41">
        <v>48863.28</v>
      </c>
      <c r="E14" s="42">
        <v>4071.94</v>
      </c>
      <c r="F14" s="43">
        <v>168</v>
      </c>
      <c r="G14" s="43">
        <v>14</v>
      </c>
      <c r="H14" s="43">
        <v>234</v>
      </c>
      <c r="I14" s="44">
        <v>4.3</v>
      </c>
      <c r="J14" s="44" t="s">
        <v>427</v>
      </c>
      <c r="K14" s="54" t="str">
        <f>HYPERLINK(J14)</f>
        <v>https://amazon.com/dp/B08Z7HSBZ6</v>
      </c>
    </row>
    <row r="15" spans="1:11" ht="17" x14ac:dyDescent="0.2">
      <c r="A15" s="20" t="s">
        <v>5</v>
      </c>
      <c r="B15" s="20"/>
      <c r="C15" s="55"/>
      <c r="D15" s="56">
        <f>SUM(D9:D14)</f>
        <v>945614.88</v>
      </c>
      <c r="E15" s="56">
        <f>SUM(E9:E14)</f>
        <v>78801.240000000005</v>
      </c>
      <c r="F15" s="57"/>
      <c r="G15" s="57"/>
      <c r="H15" s="57"/>
      <c r="I15" s="58"/>
      <c r="J15" s="20"/>
      <c r="K15" s="19"/>
    </row>
    <row r="18" spans="1:11" x14ac:dyDescent="0.2">
      <c r="A18" s="118" t="s">
        <v>18</v>
      </c>
      <c r="B18" s="118"/>
      <c r="C18" s="118"/>
      <c r="D18" s="118"/>
      <c r="E18" s="118"/>
      <c r="F18" s="118"/>
      <c r="G18" s="118"/>
      <c r="H18" s="118"/>
      <c r="I18" s="118"/>
      <c r="J18" s="118"/>
      <c r="K18" s="118"/>
    </row>
    <row r="19" spans="1:11" ht="17" x14ac:dyDescent="0.2">
      <c r="A19" s="23" t="s">
        <v>7</v>
      </c>
      <c r="B19" s="24" t="s">
        <v>6</v>
      </c>
      <c r="C19" s="25" t="s">
        <v>12</v>
      </c>
      <c r="D19" s="26" t="s">
        <v>2</v>
      </c>
      <c r="E19" s="24" t="s">
        <v>28</v>
      </c>
      <c r="F19" s="28" t="s">
        <v>14</v>
      </c>
      <c r="G19" s="31" t="s">
        <v>29</v>
      </c>
      <c r="H19" s="28" t="s">
        <v>9</v>
      </c>
      <c r="I19" s="29" t="s">
        <v>13</v>
      </c>
      <c r="J19" s="29" t="s">
        <v>23</v>
      </c>
      <c r="K19" s="30" t="s">
        <v>11</v>
      </c>
    </row>
    <row r="20" spans="1:11" ht="45" x14ac:dyDescent="0.2">
      <c r="A20" s="17" t="s">
        <v>411</v>
      </c>
      <c r="B20" s="17" t="s">
        <v>410</v>
      </c>
      <c r="C20" s="40">
        <v>399</v>
      </c>
      <c r="D20" s="41">
        <v>312627.84000000003</v>
      </c>
      <c r="E20" s="41">
        <v>26052.32</v>
      </c>
      <c r="F20" s="43">
        <v>780</v>
      </c>
      <c r="G20" s="45">
        <v>65</v>
      </c>
      <c r="H20" s="43">
        <v>457</v>
      </c>
      <c r="I20" s="44">
        <v>4.3</v>
      </c>
      <c r="J20" s="44" t="s">
        <v>412</v>
      </c>
      <c r="K20" s="54" t="str">
        <f t="shared" ref="K20:K25" si="1">HYPERLINK(J20)</f>
        <v>https://amazon.com/dp/B09FTFHTPR</v>
      </c>
    </row>
    <row r="21" spans="1:11" ht="45" x14ac:dyDescent="0.2">
      <c r="A21" s="17" t="s">
        <v>413</v>
      </c>
      <c r="B21" s="17" t="s">
        <v>414</v>
      </c>
      <c r="C21" s="40">
        <v>549</v>
      </c>
      <c r="D21" s="41">
        <v>229539.6</v>
      </c>
      <c r="E21" s="41">
        <v>19128.3</v>
      </c>
      <c r="F21" s="43">
        <v>420</v>
      </c>
      <c r="G21" s="45">
        <v>35</v>
      </c>
      <c r="H21" s="43">
        <v>181</v>
      </c>
      <c r="I21" s="44">
        <v>4</v>
      </c>
      <c r="J21" s="44" t="s">
        <v>415</v>
      </c>
      <c r="K21" s="54" t="str">
        <f t="shared" si="1"/>
        <v>https://amazon.com/dp/B09FT8HJKF</v>
      </c>
    </row>
    <row r="22" spans="1:11" ht="45" x14ac:dyDescent="0.2">
      <c r="A22" s="17" t="s">
        <v>419</v>
      </c>
      <c r="B22" s="17" t="s">
        <v>420</v>
      </c>
      <c r="C22" s="40">
        <v>299</v>
      </c>
      <c r="D22" s="41">
        <v>111279.36</v>
      </c>
      <c r="E22" s="41">
        <v>9273.2800000000007</v>
      </c>
      <c r="F22" s="43">
        <v>372</v>
      </c>
      <c r="G22" s="45">
        <v>31</v>
      </c>
      <c r="H22" s="43">
        <v>363</v>
      </c>
      <c r="I22" s="44">
        <v>4.5</v>
      </c>
      <c r="J22" s="44" t="s">
        <v>421</v>
      </c>
      <c r="K22" s="54" t="str">
        <f t="shared" si="1"/>
        <v>https://amazon.com/dp/B08X6KHMRS</v>
      </c>
    </row>
    <row r="23" spans="1:11" s="19" customFormat="1" ht="45" x14ac:dyDescent="0.2">
      <c r="A23" s="17" t="s">
        <v>416</v>
      </c>
      <c r="B23" s="17" t="s">
        <v>417</v>
      </c>
      <c r="C23" s="40">
        <v>499</v>
      </c>
      <c r="D23" s="41">
        <v>167820.84</v>
      </c>
      <c r="E23" s="41">
        <v>13985.07</v>
      </c>
      <c r="F23" s="43">
        <v>336</v>
      </c>
      <c r="G23" s="45">
        <v>28</v>
      </c>
      <c r="H23" s="43">
        <v>59</v>
      </c>
      <c r="I23" s="44">
        <v>4.3</v>
      </c>
      <c r="J23" s="44" t="s">
        <v>418</v>
      </c>
      <c r="K23" s="54" t="str">
        <f t="shared" si="1"/>
        <v>https://amazon.com/dp/B0CL6JNF2X</v>
      </c>
    </row>
    <row r="24" spans="1:11" ht="45" x14ac:dyDescent="0.2">
      <c r="A24" s="17" t="s">
        <v>422</v>
      </c>
      <c r="B24" s="17" t="s">
        <v>423</v>
      </c>
      <c r="C24" s="40">
        <v>359</v>
      </c>
      <c r="D24" s="41">
        <v>75483.959999999992</v>
      </c>
      <c r="E24" s="41">
        <v>6290.33</v>
      </c>
      <c r="F24" s="43">
        <v>216</v>
      </c>
      <c r="G24" s="45">
        <v>18</v>
      </c>
      <c r="H24" s="43">
        <v>209</v>
      </c>
      <c r="I24" s="44">
        <v>4.5</v>
      </c>
      <c r="J24" s="44" t="s">
        <v>424</v>
      </c>
      <c r="K24" s="54" t="str">
        <f t="shared" si="1"/>
        <v>https://amazon.com/dp/B0CCDXCMYW</v>
      </c>
    </row>
    <row r="25" spans="1:11" ht="45" x14ac:dyDescent="0.2">
      <c r="A25" s="17" t="s">
        <v>425</v>
      </c>
      <c r="B25" s="17" t="s">
        <v>426</v>
      </c>
      <c r="C25" s="40">
        <v>299</v>
      </c>
      <c r="D25" s="41">
        <v>48863.28</v>
      </c>
      <c r="E25" s="41">
        <v>4071.94</v>
      </c>
      <c r="F25" s="43">
        <v>168</v>
      </c>
      <c r="G25" s="45">
        <v>14</v>
      </c>
      <c r="H25" s="43">
        <v>234</v>
      </c>
      <c r="I25" s="44">
        <v>4.3</v>
      </c>
      <c r="J25" s="44" t="s">
        <v>427</v>
      </c>
      <c r="K25" s="54" t="str">
        <f t="shared" si="1"/>
        <v>https://amazon.com/dp/B08Z7HSBZ6</v>
      </c>
    </row>
    <row r="26" spans="1:11" ht="17" x14ac:dyDescent="0.2">
      <c r="A26" s="20" t="s">
        <v>5</v>
      </c>
      <c r="B26" s="20"/>
      <c r="C26" s="56"/>
      <c r="D26" s="56"/>
      <c r="E26" s="56"/>
      <c r="F26" s="101">
        <f>SUM(HIKMICRO!F20:F25)</f>
        <v>2292</v>
      </c>
      <c r="G26" s="101">
        <f>SUM(HIKMICRO!G20:G25)</f>
        <v>191</v>
      </c>
      <c r="H26" s="57"/>
      <c r="I26" s="58"/>
      <c r="J26" s="20"/>
      <c r="K26" s="19"/>
    </row>
  </sheetData>
  <mergeCells count="3">
    <mergeCell ref="A1:K5"/>
    <mergeCell ref="A7:K7"/>
    <mergeCell ref="A18:K18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B2671-D7E5-D64A-B558-6E3FEAF49CBE}">
  <dimension ref="A1:K32"/>
  <sheetViews>
    <sheetView workbookViewId="0">
      <selection activeCell="M9" sqref="M9"/>
    </sheetView>
  </sheetViews>
  <sheetFormatPr baseColWidth="10" defaultColWidth="12.6640625" defaultRowHeight="16" x14ac:dyDescent="0.2"/>
  <cols>
    <col min="1" max="1" width="50.6640625" style="18" customWidth="1"/>
    <col min="2" max="2" width="12.6640625" style="18" customWidth="1"/>
    <col min="3" max="3" width="10.83203125" style="39" bestFit="1" customWidth="1"/>
    <col min="4" max="4" width="24.83203125" style="39" bestFit="1" customWidth="1"/>
    <col min="5" max="5" width="17.6640625" style="46" bestFit="1" customWidth="1"/>
    <col min="6" max="6" width="21.6640625" style="46" bestFit="1" customWidth="1"/>
    <col min="7" max="7" width="19.1640625" style="46" bestFit="1" customWidth="1"/>
    <col min="8" max="8" width="13.5" style="22" bestFit="1" customWidth="1"/>
    <col min="9" max="9" width="12.6640625" style="18" bestFit="1" customWidth="1"/>
    <col min="10" max="10" width="27.5" style="18" hidden="1" customWidth="1"/>
    <col min="11" max="11" width="35.6640625" style="18" customWidth="1"/>
    <col min="12" max="16384" width="12.6640625" style="18"/>
  </cols>
  <sheetData>
    <row r="1" spans="1:11" x14ac:dyDescent="0.2">
      <c r="A1" s="117" t="e" vm="10">
        <v>#VALUE!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</row>
    <row r="2" spans="1:11" x14ac:dyDescent="0.2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</row>
    <row r="3" spans="1:11" x14ac:dyDescent="0.2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</row>
    <row r="4" spans="1:11" x14ac:dyDescent="0.2">
      <c r="A4" s="117"/>
      <c r="B4" s="117"/>
      <c r="C4" s="117"/>
      <c r="D4" s="117"/>
      <c r="E4" s="117"/>
      <c r="F4" s="117"/>
      <c r="G4" s="117"/>
      <c r="H4" s="117"/>
      <c r="I4" s="117"/>
      <c r="J4" s="117"/>
      <c r="K4" s="117"/>
    </row>
    <row r="5" spans="1:11" x14ac:dyDescent="0.2">
      <c r="A5" s="117"/>
      <c r="B5" s="117"/>
      <c r="C5" s="117"/>
      <c r="D5" s="117"/>
      <c r="E5" s="117"/>
      <c r="F5" s="117"/>
      <c r="G5" s="117"/>
      <c r="H5" s="117"/>
      <c r="I5" s="117"/>
      <c r="J5" s="117"/>
      <c r="K5" s="117"/>
    </row>
    <row r="6" spans="1:11" x14ac:dyDescent="0.2">
      <c r="B6" s="36"/>
      <c r="D6" s="36"/>
      <c r="E6" s="37"/>
      <c r="F6" s="37"/>
      <c r="G6" s="37"/>
      <c r="H6" s="38"/>
      <c r="I6" s="36"/>
    </row>
    <row r="7" spans="1:11" x14ac:dyDescent="0.2">
      <c r="A7" s="118" t="s">
        <v>19</v>
      </c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1" ht="17" x14ac:dyDescent="0.2">
      <c r="A8" s="23" t="s">
        <v>7</v>
      </c>
      <c r="B8" s="24" t="s">
        <v>6</v>
      </c>
      <c r="C8" s="25" t="s">
        <v>12</v>
      </c>
      <c r="D8" s="26" t="s">
        <v>2</v>
      </c>
      <c r="E8" s="24" t="s">
        <v>28</v>
      </c>
      <c r="F8" s="28" t="s">
        <v>14</v>
      </c>
      <c r="G8" s="31" t="s">
        <v>29</v>
      </c>
      <c r="H8" s="28" t="s">
        <v>9</v>
      </c>
      <c r="I8" s="29" t="s">
        <v>13</v>
      </c>
      <c r="J8" s="29" t="s">
        <v>23</v>
      </c>
      <c r="K8" s="30" t="s">
        <v>11</v>
      </c>
    </row>
    <row r="9" spans="1:11" ht="45" x14ac:dyDescent="0.2">
      <c r="A9" s="17" t="s">
        <v>199</v>
      </c>
      <c r="B9" s="17" t="s">
        <v>198</v>
      </c>
      <c r="C9" s="40">
        <v>369</v>
      </c>
      <c r="D9" s="41">
        <v>363850.56</v>
      </c>
      <c r="E9" s="42">
        <v>30320.880000000001</v>
      </c>
      <c r="F9" s="43">
        <v>984</v>
      </c>
      <c r="G9" s="43">
        <v>82</v>
      </c>
      <c r="H9" s="43">
        <v>212</v>
      </c>
      <c r="I9" s="44">
        <v>4.3</v>
      </c>
      <c r="J9" s="44" t="s">
        <v>201</v>
      </c>
      <c r="K9" s="54" t="str">
        <f>HYPERLINK(J9)</f>
        <v>https://amazon.com/dp/B0CNXP8JBV</v>
      </c>
    </row>
    <row r="10" spans="1:11" ht="60" x14ac:dyDescent="0.2">
      <c r="A10" s="17" t="s">
        <v>217</v>
      </c>
      <c r="B10" s="17" t="s">
        <v>216</v>
      </c>
      <c r="C10" s="40">
        <v>109</v>
      </c>
      <c r="D10" s="41">
        <v>323402.76</v>
      </c>
      <c r="E10" s="42">
        <v>26950.23</v>
      </c>
      <c r="F10" s="43">
        <v>2964</v>
      </c>
      <c r="G10" s="43">
        <v>247</v>
      </c>
      <c r="H10" s="43">
        <v>323</v>
      </c>
      <c r="I10" s="44">
        <v>4</v>
      </c>
      <c r="J10" s="44" t="s">
        <v>219</v>
      </c>
      <c r="K10" s="54" t="str">
        <f>HYPERLINK(J10)</f>
        <v>https://amazon.com/dp/B0DX1PQCZR</v>
      </c>
    </row>
    <row r="11" spans="1:11" ht="45" x14ac:dyDescent="0.2">
      <c r="A11" s="17" t="s">
        <v>428</v>
      </c>
      <c r="B11" s="17" t="s">
        <v>429</v>
      </c>
      <c r="C11" s="40">
        <v>218</v>
      </c>
      <c r="D11" s="41">
        <v>178659.36</v>
      </c>
      <c r="E11" s="42">
        <v>14888.28</v>
      </c>
      <c r="F11" s="43">
        <v>840</v>
      </c>
      <c r="G11" s="43">
        <v>70</v>
      </c>
      <c r="H11" s="43">
        <v>284</v>
      </c>
      <c r="I11" s="44">
        <v>4.4000000000000004</v>
      </c>
      <c r="J11" s="44" t="s">
        <v>430</v>
      </c>
      <c r="K11" s="54" t="str">
        <f t="shared" ref="K11:K13" si="0">HYPERLINK(J11)</f>
        <v>https://amazon.com/dp/B0C1ZTWYTR</v>
      </c>
    </row>
    <row r="12" spans="1:11" ht="30" x14ac:dyDescent="0.2">
      <c r="A12" s="17" t="s">
        <v>431</v>
      </c>
      <c r="B12" s="17" t="s">
        <v>432</v>
      </c>
      <c r="C12" s="40">
        <v>942</v>
      </c>
      <c r="D12" s="41"/>
      <c r="E12" s="42"/>
      <c r="F12" s="43">
        <v>0</v>
      </c>
      <c r="G12" s="43">
        <v>0</v>
      </c>
      <c r="H12" s="43"/>
      <c r="I12" s="44"/>
      <c r="J12" s="44" t="s">
        <v>433</v>
      </c>
      <c r="K12" s="54" t="str">
        <f t="shared" si="0"/>
        <v>https://amazon.com/dp/B0BVHMK83G</v>
      </c>
    </row>
    <row r="13" spans="1:11" ht="45" x14ac:dyDescent="0.2">
      <c r="A13" s="17" t="s">
        <v>434</v>
      </c>
      <c r="B13" s="17" t="s">
        <v>435</v>
      </c>
      <c r="C13" s="40">
        <v>199</v>
      </c>
      <c r="D13" s="41"/>
      <c r="E13" s="42"/>
      <c r="F13" s="43">
        <v>0</v>
      </c>
      <c r="G13" s="43">
        <v>0</v>
      </c>
      <c r="H13" s="43"/>
      <c r="I13" s="44"/>
      <c r="J13" s="44" t="s">
        <v>436</v>
      </c>
      <c r="K13" s="54" t="str">
        <f t="shared" si="0"/>
        <v>https://amazon.com/dp/B0CPSNT331</v>
      </c>
    </row>
    <row r="14" spans="1:11" ht="45" x14ac:dyDescent="0.2">
      <c r="A14" s="17" t="s">
        <v>437</v>
      </c>
      <c r="B14" s="17" t="s">
        <v>438</v>
      </c>
      <c r="C14" s="40">
        <v>499</v>
      </c>
      <c r="D14" s="41"/>
      <c r="E14" s="42"/>
      <c r="F14" s="43">
        <v>0</v>
      </c>
      <c r="G14" s="43">
        <v>0</v>
      </c>
      <c r="H14" s="43"/>
      <c r="I14" s="44"/>
      <c r="J14" s="44" t="s">
        <v>439</v>
      </c>
      <c r="K14" s="54" t="str">
        <f>HYPERLINK(J14)</f>
        <v>https://amazon.com/dp/B0CWD3YT1R</v>
      </c>
    </row>
    <row r="15" spans="1:11" ht="45" x14ac:dyDescent="0.2">
      <c r="A15" s="17" t="s">
        <v>440</v>
      </c>
      <c r="B15" s="17" t="s">
        <v>441</v>
      </c>
      <c r="C15" s="40">
        <v>399</v>
      </c>
      <c r="D15" s="41"/>
      <c r="E15" s="42"/>
      <c r="F15" s="43">
        <v>0</v>
      </c>
      <c r="G15" s="43">
        <v>0</v>
      </c>
      <c r="H15" s="43"/>
      <c r="I15" s="44"/>
      <c r="J15" s="44" t="s">
        <v>442</v>
      </c>
      <c r="K15" s="54" t="str">
        <f t="shared" ref="K15:K17" si="1">HYPERLINK(J15)</f>
        <v>https://amazon.com/dp/B0CWCS7WF9</v>
      </c>
    </row>
    <row r="16" spans="1:11" ht="45" x14ac:dyDescent="0.2">
      <c r="A16" s="17" t="s">
        <v>443</v>
      </c>
      <c r="B16" s="17" t="s">
        <v>444</v>
      </c>
      <c r="C16" s="40">
        <v>149.99</v>
      </c>
      <c r="D16" s="41"/>
      <c r="E16" s="42"/>
      <c r="F16" s="43">
        <v>0</v>
      </c>
      <c r="G16" s="43">
        <v>0</v>
      </c>
      <c r="H16" s="43"/>
      <c r="I16" s="44"/>
      <c r="J16" s="44" t="s">
        <v>445</v>
      </c>
      <c r="K16" s="54" t="str">
        <f t="shared" si="1"/>
        <v>https://amazon.com/dp/B0CH4QR2JD</v>
      </c>
    </row>
    <row r="17" spans="1:11" ht="45" x14ac:dyDescent="0.2">
      <c r="A17" s="17" t="s">
        <v>446</v>
      </c>
      <c r="B17" s="17" t="s">
        <v>447</v>
      </c>
      <c r="C17" s="40">
        <v>299</v>
      </c>
      <c r="D17" s="41"/>
      <c r="E17" s="42"/>
      <c r="F17" s="43">
        <v>0</v>
      </c>
      <c r="G17" s="43">
        <v>0</v>
      </c>
      <c r="H17" s="43">
        <v>313</v>
      </c>
      <c r="I17" s="44">
        <v>4</v>
      </c>
      <c r="J17" s="44" t="s">
        <v>448</v>
      </c>
      <c r="K17" s="54" t="str">
        <f t="shared" si="1"/>
        <v>https://amazon.com/dp/B0FX46JB43</v>
      </c>
    </row>
    <row r="18" spans="1:11" ht="17" x14ac:dyDescent="0.2">
      <c r="A18" s="20" t="s">
        <v>5</v>
      </c>
      <c r="B18" s="20"/>
      <c r="C18" s="55"/>
      <c r="D18" s="104">
        <f>SUM(D9:D17)</f>
        <v>865912.68</v>
      </c>
      <c r="E18" s="104">
        <f>SUM(E9:E17)</f>
        <v>72159.39</v>
      </c>
      <c r="F18" s="57"/>
      <c r="G18" s="57"/>
      <c r="H18" s="57"/>
      <c r="I18" s="58"/>
      <c r="J18" s="20"/>
      <c r="K18" s="19"/>
    </row>
    <row r="21" spans="1:11" x14ac:dyDescent="0.2">
      <c r="A21" s="118" t="s">
        <v>18</v>
      </c>
      <c r="B21" s="118"/>
      <c r="C21" s="118"/>
      <c r="D21" s="118"/>
      <c r="E21" s="118"/>
      <c r="F21" s="118"/>
      <c r="G21" s="118"/>
      <c r="H21" s="118"/>
      <c r="I21" s="118"/>
      <c r="J21" s="118"/>
      <c r="K21" s="118"/>
    </row>
    <row r="22" spans="1:11" ht="17" x14ac:dyDescent="0.2">
      <c r="A22" s="23" t="s">
        <v>7</v>
      </c>
      <c r="B22" s="24" t="s">
        <v>6</v>
      </c>
      <c r="C22" s="25" t="s">
        <v>12</v>
      </c>
      <c r="D22" s="26" t="s">
        <v>2</v>
      </c>
      <c r="E22" s="24" t="s">
        <v>28</v>
      </c>
      <c r="F22" s="28" t="s">
        <v>14</v>
      </c>
      <c r="G22" s="31" t="s">
        <v>29</v>
      </c>
      <c r="H22" s="28" t="s">
        <v>9</v>
      </c>
      <c r="I22" s="29" t="s">
        <v>13</v>
      </c>
      <c r="J22" s="29" t="s">
        <v>23</v>
      </c>
      <c r="K22" s="30" t="s">
        <v>11</v>
      </c>
    </row>
    <row r="23" spans="1:11" s="19" customFormat="1" ht="60" x14ac:dyDescent="0.2">
      <c r="A23" s="17" t="s">
        <v>217</v>
      </c>
      <c r="B23" s="17" t="s">
        <v>216</v>
      </c>
      <c r="C23" s="40">
        <v>109</v>
      </c>
      <c r="D23" s="41">
        <v>323402.76</v>
      </c>
      <c r="E23" s="41">
        <v>26950.23</v>
      </c>
      <c r="F23" s="43">
        <v>2964</v>
      </c>
      <c r="G23" s="45">
        <v>247</v>
      </c>
      <c r="H23" s="43">
        <v>323</v>
      </c>
      <c r="I23" s="44">
        <v>4</v>
      </c>
      <c r="J23" s="44" t="s">
        <v>219</v>
      </c>
      <c r="K23" s="54" t="str">
        <f t="shared" ref="K23:K28" si="2">HYPERLINK(J23)</f>
        <v>https://amazon.com/dp/B0DX1PQCZR</v>
      </c>
    </row>
    <row r="24" spans="1:11" ht="45" x14ac:dyDescent="0.2">
      <c r="A24" s="17" t="s">
        <v>199</v>
      </c>
      <c r="B24" s="17" t="s">
        <v>198</v>
      </c>
      <c r="C24" s="40">
        <v>369</v>
      </c>
      <c r="D24" s="41">
        <v>363850.56</v>
      </c>
      <c r="E24" s="41">
        <v>30320.880000000001</v>
      </c>
      <c r="F24" s="43">
        <v>984</v>
      </c>
      <c r="G24" s="45">
        <v>82</v>
      </c>
      <c r="H24" s="43">
        <v>212</v>
      </c>
      <c r="I24" s="44">
        <v>4.3</v>
      </c>
      <c r="J24" s="44" t="s">
        <v>201</v>
      </c>
      <c r="K24" s="54" t="str">
        <f t="shared" si="2"/>
        <v>https://amazon.com/dp/B0CNXP8JBV</v>
      </c>
    </row>
    <row r="25" spans="1:11" ht="45" x14ac:dyDescent="0.2">
      <c r="A25" s="17" t="s">
        <v>428</v>
      </c>
      <c r="B25" s="17" t="s">
        <v>429</v>
      </c>
      <c r="C25" s="40">
        <v>218</v>
      </c>
      <c r="D25" s="41">
        <v>178659.36</v>
      </c>
      <c r="E25" s="41">
        <v>14888.28</v>
      </c>
      <c r="F25" s="43">
        <v>840</v>
      </c>
      <c r="G25" s="45">
        <v>70</v>
      </c>
      <c r="H25" s="43">
        <v>284</v>
      </c>
      <c r="I25" s="44">
        <v>4.4000000000000004</v>
      </c>
      <c r="J25" s="44" t="s">
        <v>430</v>
      </c>
      <c r="K25" s="54" t="str">
        <f t="shared" si="2"/>
        <v>https://amazon.com/dp/B0C1ZTWYTR</v>
      </c>
    </row>
    <row r="26" spans="1:11" ht="30" x14ac:dyDescent="0.2">
      <c r="A26" s="17" t="s">
        <v>431</v>
      </c>
      <c r="B26" s="17" t="s">
        <v>432</v>
      </c>
      <c r="C26" s="40">
        <v>942</v>
      </c>
      <c r="D26" s="41"/>
      <c r="E26" s="41"/>
      <c r="F26" s="43">
        <v>0</v>
      </c>
      <c r="G26" s="45">
        <v>0</v>
      </c>
      <c r="H26" s="43"/>
      <c r="I26" s="44"/>
      <c r="J26" s="44" t="s">
        <v>433</v>
      </c>
      <c r="K26" s="54" t="str">
        <f t="shared" si="2"/>
        <v>https://amazon.com/dp/B0BVHMK83G</v>
      </c>
    </row>
    <row r="27" spans="1:11" ht="45" x14ac:dyDescent="0.2">
      <c r="A27" s="17" t="s">
        <v>434</v>
      </c>
      <c r="B27" s="17" t="s">
        <v>435</v>
      </c>
      <c r="C27" s="40">
        <v>199</v>
      </c>
      <c r="D27" s="41"/>
      <c r="E27" s="41"/>
      <c r="F27" s="43">
        <v>0</v>
      </c>
      <c r="G27" s="45">
        <v>0</v>
      </c>
      <c r="H27" s="43"/>
      <c r="I27" s="44"/>
      <c r="J27" s="44" t="s">
        <v>436</v>
      </c>
      <c r="K27" s="54" t="str">
        <f t="shared" si="2"/>
        <v>https://amazon.com/dp/B0CPSNT331</v>
      </c>
    </row>
    <row r="28" spans="1:11" ht="45" x14ac:dyDescent="0.2">
      <c r="A28" s="17" t="s">
        <v>437</v>
      </c>
      <c r="B28" s="17" t="s">
        <v>438</v>
      </c>
      <c r="C28" s="40">
        <v>499</v>
      </c>
      <c r="D28" s="41"/>
      <c r="E28" s="41"/>
      <c r="F28" s="43">
        <v>0</v>
      </c>
      <c r="G28" s="45">
        <v>0</v>
      </c>
      <c r="H28" s="43"/>
      <c r="I28" s="44"/>
      <c r="J28" s="44" t="s">
        <v>439</v>
      </c>
      <c r="K28" s="54" t="str">
        <f t="shared" si="2"/>
        <v>https://amazon.com/dp/B0CWD3YT1R</v>
      </c>
    </row>
    <row r="29" spans="1:11" ht="45" x14ac:dyDescent="0.2">
      <c r="A29" s="17" t="s">
        <v>440</v>
      </c>
      <c r="B29" s="17" t="s">
        <v>441</v>
      </c>
      <c r="C29" s="40">
        <v>399</v>
      </c>
      <c r="D29" s="41"/>
      <c r="E29" s="41"/>
      <c r="F29" s="43">
        <v>0</v>
      </c>
      <c r="G29" s="45">
        <v>0</v>
      </c>
      <c r="H29" s="43"/>
      <c r="I29" s="44"/>
      <c r="J29" s="44" t="s">
        <v>442</v>
      </c>
      <c r="K29" s="54" t="str">
        <f t="shared" ref="K29:K31" si="3">HYPERLINK(J29)</f>
        <v>https://amazon.com/dp/B0CWCS7WF9</v>
      </c>
    </row>
    <row r="30" spans="1:11" ht="45" x14ac:dyDescent="0.2">
      <c r="A30" s="17" t="s">
        <v>443</v>
      </c>
      <c r="B30" s="17" t="s">
        <v>444</v>
      </c>
      <c r="C30" s="40">
        <v>149.99</v>
      </c>
      <c r="D30" s="41"/>
      <c r="E30" s="41"/>
      <c r="F30" s="43">
        <v>0</v>
      </c>
      <c r="G30" s="45">
        <v>0</v>
      </c>
      <c r="H30" s="43"/>
      <c r="I30" s="44"/>
      <c r="J30" s="44" t="s">
        <v>445</v>
      </c>
      <c r="K30" s="54" t="str">
        <f t="shared" si="3"/>
        <v>https://amazon.com/dp/B0CH4QR2JD</v>
      </c>
    </row>
    <row r="31" spans="1:11" ht="45" x14ac:dyDescent="0.2">
      <c r="A31" s="17" t="s">
        <v>446</v>
      </c>
      <c r="B31" s="17" t="s">
        <v>447</v>
      </c>
      <c r="C31" s="40">
        <v>299</v>
      </c>
      <c r="D31" s="41"/>
      <c r="E31" s="41"/>
      <c r="F31" s="43">
        <v>0</v>
      </c>
      <c r="G31" s="45">
        <v>0</v>
      </c>
      <c r="H31" s="43">
        <v>313</v>
      </c>
      <c r="I31" s="44">
        <v>4</v>
      </c>
      <c r="J31" s="44" t="s">
        <v>448</v>
      </c>
      <c r="K31" s="54" t="str">
        <f t="shared" si="3"/>
        <v>https://amazon.com/dp/B0FX46JB43</v>
      </c>
    </row>
    <row r="32" spans="1:11" ht="17" x14ac:dyDescent="0.2">
      <c r="A32" s="20" t="s">
        <v>5</v>
      </c>
      <c r="B32" s="20"/>
      <c r="C32" s="56"/>
      <c r="D32" s="56"/>
      <c r="E32" s="56"/>
      <c r="F32" s="101">
        <f>SUM(GOYOJO!F23:F31)</f>
        <v>4788</v>
      </c>
      <c r="G32" s="101">
        <f>SUM(GOYOJO!G23:G31)</f>
        <v>399</v>
      </c>
      <c r="H32" s="57"/>
      <c r="I32" s="58"/>
      <c r="J32" s="20"/>
      <c r="K32" s="19"/>
    </row>
  </sheetData>
  <mergeCells count="3">
    <mergeCell ref="A1:K5"/>
    <mergeCell ref="A7:K7"/>
    <mergeCell ref="A21:K2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Summary</vt:lpstr>
      <vt:lpstr>Top 50</vt:lpstr>
      <vt:lpstr>Top 50 Type Summary</vt:lpstr>
      <vt:lpstr>Top50 Basic Resolution Summary </vt:lpstr>
      <vt:lpstr>Top 50 Super Resolutio Summary </vt:lpstr>
      <vt:lpstr>Top50 Laser Summary  </vt:lpstr>
      <vt:lpstr>Top50 Wi-Fi Summary </vt:lpstr>
      <vt:lpstr>Top50 Visual Camera Summary  </vt:lpstr>
      <vt:lpstr>Top50 Display Summary </vt:lpstr>
      <vt:lpstr>Flir</vt:lpstr>
      <vt:lpstr>Topdon</vt:lpstr>
      <vt:lpstr>HSFTools</vt:lpstr>
      <vt:lpstr>Thermal Master</vt:lpstr>
      <vt:lpstr>AMPBANK</vt:lpstr>
      <vt:lpstr>Fluke</vt:lpstr>
      <vt:lpstr>Mileseey</vt:lpstr>
      <vt:lpstr>FlagFront</vt:lpstr>
      <vt:lpstr>HIKMICRO</vt:lpstr>
      <vt:lpstr>GOYOJO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Katrina Bruce</dc:creator>
  <cp:lastModifiedBy>Ginny Chen</cp:lastModifiedBy>
  <dcterms:created xsi:type="dcterms:W3CDTF">2023-02-23T16:09:11Z</dcterms:created>
  <dcterms:modified xsi:type="dcterms:W3CDTF">2026-01-14T02:06:34Z</dcterms:modified>
</cp:coreProperties>
</file>