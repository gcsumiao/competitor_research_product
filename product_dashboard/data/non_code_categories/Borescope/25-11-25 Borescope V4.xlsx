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charts/chart18.xml" ContentType="application/vnd.openxmlformats-officedocument.drawingml.chart+xml"/>
  <Override PartName="/xl/charts/chart19.xml" ContentType="application/vnd.openxmlformats-officedocument.drawingml.chart+xml"/>
  <Override PartName="/xl/charts/style14.xml" ContentType="application/vnd.ms-office.chartstyle+xml"/>
  <Override PartName="/xl/charts/colors14.xml" ContentType="application/vnd.ms-office.chartcolorstyle+xml"/>
  <Override PartName="/xl/charts/chart20.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harts/chart21.xml" ContentType="application/vnd.openxmlformats-officedocument.drawingml.chart+xml"/>
  <Override PartName="/xl/charts/style16.xml" ContentType="application/vnd.ms-office.chartstyle+xml"/>
  <Override PartName="/xl/charts/colors16.xml" ContentType="application/vnd.ms-office.chartcolorstyle+xml"/>
  <Override PartName="/xl/charts/chart22.xml" ContentType="application/vnd.openxmlformats-officedocument.drawingml.chart+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charts/chart24.xml" ContentType="application/vnd.openxmlformats-officedocument.drawingml.chart+xml"/>
  <Override PartName="/xl/charts/style18.xml" ContentType="application/vnd.ms-office.chartstyle+xml"/>
  <Override PartName="/xl/charts/colors18.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defaultThemeVersion="166925"/>
  <mc:AlternateContent xmlns:mc="http://schemas.openxmlformats.org/markup-compatibility/2006">
    <mc:Choice Requires="x15">
      <x15ac:absPath xmlns:x15ac="http://schemas.microsoft.com/office/spreadsheetml/2010/11/ac" url="/Users/sumiaoc/Desktop/DMM_h10/Borescope/"/>
    </mc:Choice>
  </mc:AlternateContent>
  <xr:revisionPtr revIDLastSave="0" documentId="13_ncr:1_{9F804D0D-75DE-334F-BFA2-6488E38B1C04}" xr6:coauthVersionLast="47" xr6:coauthVersionMax="47" xr10:uidLastSave="{00000000-0000-0000-0000-000000000000}"/>
  <bookViews>
    <workbookView xWindow="-15820" yWindow="-20060" windowWidth="27620" windowHeight="20260" tabRatio="854" xr2:uid="{88780F21-2775-2C46-B27D-FDE06F102A9A}"/>
  </bookViews>
  <sheets>
    <sheet name="Summary" sheetId="1" r:id="rId1"/>
    <sheet name="Top 50" sheetId="3" r:id="rId2"/>
    <sheet name="Top 50 Type Summary" sheetId="48" r:id="rId3"/>
    <sheet name="Top50 2or4way Summary " sheetId="51" r:id="rId4"/>
    <sheet name="Top 50 Display Summary " sheetId="52" r:id="rId5"/>
    <sheet name="Top50 Lensdiameter Summary  " sheetId="53" r:id="rId6"/>
    <sheet name="Top50 Lens count Summary " sheetId="54" r:id="rId7"/>
    <sheet name="Top50 Cable length Summary  " sheetId="55" r:id="rId8"/>
    <sheet name="Teslong" sheetId="45" r:id="rId9"/>
    <sheet name="DEPSTECH" sheetId="43" r:id="rId10"/>
    <sheet name="KINPTHY" sheetId="44" r:id="rId11"/>
    <sheet name="Acoath" sheetId="49" r:id="rId12"/>
    <sheet name="DAXIONGMAO" sheetId="25" r:id="rId13"/>
    <sheet name="DZXtoz" sheetId="42" r:id="rId14"/>
    <sheet name="RALCAM" sheetId="40" r:id="rId15"/>
    <sheet name="ANYSUN" sheetId="41" r:id="rId16"/>
    <sheet name="VEVOR" sheetId="5" r:id="rId17"/>
    <sheet name="SANYIPACE" sheetId="50" r:id="rId18"/>
  </sheets>
  <definedNames>
    <definedName name="_xlnm._FilterDatabase" localSheetId="0" hidden="1">Summary!$A$3:$I$12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6" i="40" l="1"/>
  <c r="K37" i="40"/>
  <c r="K38" i="40"/>
  <c r="K39" i="40"/>
  <c r="K40" i="40"/>
  <c r="K41" i="40"/>
  <c r="K42" i="40"/>
  <c r="K43" i="40"/>
  <c r="K44" i="40"/>
  <c r="K45" i="40"/>
  <c r="K46" i="40"/>
  <c r="K47" i="40"/>
  <c r="K48" i="40"/>
  <c r="K49" i="40"/>
  <c r="K50" i="40"/>
  <c r="K51" i="40"/>
  <c r="K52" i="40"/>
  <c r="K53" i="40"/>
  <c r="K54" i="40"/>
  <c r="K55" i="40"/>
  <c r="K10" i="40"/>
  <c r="K11" i="40"/>
  <c r="K12" i="40"/>
  <c r="K13" i="40"/>
  <c r="K14" i="40"/>
  <c r="K15" i="40"/>
  <c r="K16" i="40"/>
  <c r="K17" i="40"/>
  <c r="K18" i="40"/>
  <c r="K19" i="40"/>
  <c r="K20" i="40"/>
  <c r="K21" i="40"/>
  <c r="K22" i="40"/>
  <c r="K23" i="40"/>
  <c r="K24" i="40"/>
  <c r="K104" i="50"/>
  <c r="K105" i="50"/>
  <c r="G106" i="50"/>
  <c r="F106" i="50"/>
  <c r="K64" i="50"/>
  <c r="K65" i="50"/>
  <c r="K66" i="50"/>
  <c r="K67" i="50"/>
  <c r="K68" i="50"/>
  <c r="K69" i="50"/>
  <c r="K70" i="50"/>
  <c r="K71" i="50"/>
  <c r="K72" i="50"/>
  <c r="K73" i="50"/>
  <c r="K74" i="50"/>
  <c r="K75" i="50"/>
  <c r="K76" i="50"/>
  <c r="K77" i="50"/>
  <c r="K78" i="50"/>
  <c r="K79" i="50"/>
  <c r="K80" i="50"/>
  <c r="K81" i="50"/>
  <c r="K82" i="50"/>
  <c r="K61" i="50"/>
  <c r="K62" i="50"/>
  <c r="K63" i="50"/>
  <c r="K83" i="50"/>
  <c r="K84" i="50"/>
  <c r="K85" i="50"/>
  <c r="K86" i="50"/>
  <c r="K87" i="50"/>
  <c r="K88" i="50"/>
  <c r="K89" i="50"/>
  <c r="K90" i="50"/>
  <c r="K91" i="50"/>
  <c r="K92" i="50"/>
  <c r="K93" i="50"/>
  <c r="K94" i="50"/>
  <c r="K95" i="50"/>
  <c r="K96" i="50"/>
  <c r="K97" i="50"/>
  <c r="K98" i="50"/>
  <c r="K99" i="50"/>
  <c r="K100" i="50"/>
  <c r="K101" i="50"/>
  <c r="K10" i="50"/>
  <c r="K11" i="50"/>
  <c r="K12" i="50"/>
  <c r="K13" i="50"/>
  <c r="K14" i="50"/>
  <c r="K15" i="50"/>
  <c r="K16" i="50"/>
  <c r="K17" i="50"/>
  <c r="K18" i="50"/>
  <c r="K19" i="50"/>
  <c r="K20" i="50"/>
  <c r="K21" i="50"/>
  <c r="K22" i="50"/>
  <c r="K23" i="50"/>
  <c r="K24" i="50"/>
  <c r="K25" i="50"/>
  <c r="K26" i="50"/>
  <c r="K27" i="50"/>
  <c r="K28" i="50"/>
  <c r="K29" i="50"/>
  <c r="K30" i="50"/>
  <c r="K31" i="50"/>
  <c r="K32" i="50"/>
  <c r="K33" i="50"/>
  <c r="K34" i="50"/>
  <c r="K35" i="50"/>
  <c r="K36" i="50"/>
  <c r="K37" i="50"/>
  <c r="K38" i="50"/>
  <c r="K39" i="50"/>
  <c r="K40" i="50"/>
  <c r="K41" i="50"/>
  <c r="K42" i="50"/>
  <c r="K43" i="50"/>
  <c r="K44" i="50"/>
  <c r="K45" i="50"/>
  <c r="K46" i="50"/>
  <c r="K47" i="50"/>
  <c r="K48" i="50"/>
  <c r="K49" i="50"/>
  <c r="K50" i="50"/>
  <c r="K51" i="50"/>
  <c r="K52" i="50"/>
  <c r="K53" i="50"/>
  <c r="K54" i="50"/>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42" i="5"/>
  <c r="K43" i="5"/>
  <c r="D44" i="5"/>
  <c r="E44"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112" i="41"/>
  <c r="K113" i="41"/>
  <c r="K114" i="41"/>
  <c r="K115" i="41"/>
  <c r="K116" i="41"/>
  <c r="K117" i="41"/>
  <c r="K118" i="41"/>
  <c r="K119" i="41"/>
  <c r="K120" i="41"/>
  <c r="K121" i="41"/>
  <c r="K122" i="41"/>
  <c r="K123" i="41"/>
  <c r="K124" i="41"/>
  <c r="K125" i="41"/>
  <c r="K126" i="41"/>
  <c r="K127" i="41"/>
  <c r="K128" i="41"/>
  <c r="K129" i="41"/>
  <c r="K130" i="41"/>
  <c r="K131" i="41"/>
  <c r="K132" i="41"/>
  <c r="K133" i="41"/>
  <c r="K134" i="41"/>
  <c r="K135" i="41"/>
  <c r="K136" i="41"/>
  <c r="K137" i="41"/>
  <c r="K138" i="41"/>
  <c r="K139" i="41"/>
  <c r="K140" i="41"/>
  <c r="K141" i="41"/>
  <c r="K142" i="41"/>
  <c r="K143" i="41"/>
  <c r="K144" i="41"/>
  <c r="K145" i="41"/>
  <c r="K146" i="41"/>
  <c r="K147" i="41"/>
  <c r="K148" i="41"/>
  <c r="K149" i="41"/>
  <c r="K150" i="41"/>
  <c r="K151" i="41"/>
  <c r="K152" i="41"/>
  <c r="K153" i="41"/>
  <c r="K154" i="41"/>
  <c r="K155" i="41"/>
  <c r="K156" i="41"/>
  <c r="K157" i="41"/>
  <c r="K158" i="41"/>
  <c r="K159" i="41"/>
  <c r="K160" i="41"/>
  <c r="K161" i="41"/>
  <c r="K162" i="41"/>
  <c r="K163" i="41"/>
  <c r="K164" i="41"/>
  <c r="K165" i="41"/>
  <c r="K166" i="41"/>
  <c r="K167" i="41"/>
  <c r="K168" i="41"/>
  <c r="K169" i="41"/>
  <c r="K170" i="41"/>
  <c r="K171" i="41"/>
  <c r="K172" i="41"/>
  <c r="K173" i="41"/>
  <c r="K174" i="41"/>
  <c r="K175" i="41"/>
  <c r="K176" i="41"/>
  <c r="K177" i="41"/>
  <c r="K178" i="41"/>
  <c r="K179" i="41"/>
  <c r="K180" i="41"/>
  <c r="K181" i="41"/>
  <c r="K182" i="41"/>
  <c r="K183" i="41"/>
  <c r="K184" i="41"/>
  <c r="K185" i="41"/>
  <c r="K186" i="41"/>
  <c r="K187" i="41"/>
  <c r="K188" i="41"/>
  <c r="K189" i="41"/>
  <c r="K190" i="41"/>
  <c r="K191" i="41"/>
  <c r="K192" i="41"/>
  <c r="K193" i="41"/>
  <c r="K194" i="41"/>
  <c r="K195" i="41"/>
  <c r="K196" i="41"/>
  <c r="K197" i="41"/>
  <c r="K198" i="41"/>
  <c r="K199" i="41"/>
  <c r="K200" i="41"/>
  <c r="K201" i="41"/>
  <c r="K202" i="41"/>
  <c r="K203" i="41"/>
  <c r="K204" i="41"/>
  <c r="K10" i="41"/>
  <c r="K11" i="41"/>
  <c r="K12" i="41"/>
  <c r="K13" i="41"/>
  <c r="K14" i="41"/>
  <c r="K15" i="41"/>
  <c r="K16" i="41"/>
  <c r="K17" i="41"/>
  <c r="K18" i="41"/>
  <c r="K19" i="41"/>
  <c r="K20" i="41"/>
  <c r="K21" i="41"/>
  <c r="K22" i="41"/>
  <c r="K23" i="41"/>
  <c r="K24" i="41"/>
  <c r="K25" i="41"/>
  <c r="K26" i="41"/>
  <c r="K27" i="41"/>
  <c r="K28" i="41"/>
  <c r="K29" i="41"/>
  <c r="K30" i="41"/>
  <c r="K31" i="41"/>
  <c r="K32" i="41"/>
  <c r="K33" i="41"/>
  <c r="K34" i="41"/>
  <c r="K35" i="41"/>
  <c r="K36" i="41"/>
  <c r="K37" i="41"/>
  <c r="K38" i="41"/>
  <c r="K39" i="41"/>
  <c r="K40" i="41"/>
  <c r="K41" i="41"/>
  <c r="K42" i="41"/>
  <c r="K43" i="41"/>
  <c r="K44" i="41"/>
  <c r="K45" i="41"/>
  <c r="K46" i="41"/>
  <c r="K47" i="41"/>
  <c r="K48" i="41"/>
  <c r="K49" i="41"/>
  <c r="K50" i="41"/>
  <c r="K51" i="41"/>
  <c r="K52" i="41"/>
  <c r="K53" i="41"/>
  <c r="K54" i="41"/>
  <c r="K55" i="41"/>
  <c r="K56" i="41"/>
  <c r="K57" i="41"/>
  <c r="K58" i="41"/>
  <c r="K59" i="41"/>
  <c r="K60" i="41"/>
  <c r="K61" i="41"/>
  <c r="K62" i="41"/>
  <c r="K63" i="41"/>
  <c r="K64" i="41"/>
  <c r="K65" i="41"/>
  <c r="K66" i="41"/>
  <c r="K67" i="41"/>
  <c r="K68" i="41"/>
  <c r="K69" i="41"/>
  <c r="K70" i="41"/>
  <c r="K71" i="41"/>
  <c r="K72" i="41"/>
  <c r="K73" i="41"/>
  <c r="K74" i="41"/>
  <c r="K75" i="41"/>
  <c r="K76" i="41"/>
  <c r="K77" i="41"/>
  <c r="K78" i="41"/>
  <c r="K79" i="41"/>
  <c r="K80" i="41"/>
  <c r="K81" i="41"/>
  <c r="K82" i="41"/>
  <c r="K83" i="41"/>
  <c r="K84" i="41"/>
  <c r="K85" i="41"/>
  <c r="K86" i="41"/>
  <c r="K87" i="41"/>
  <c r="K88" i="41"/>
  <c r="K89" i="41"/>
  <c r="K90" i="41"/>
  <c r="K91" i="41"/>
  <c r="K92" i="41"/>
  <c r="K93" i="41"/>
  <c r="K94" i="41"/>
  <c r="K95" i="41"/>
  <c r="K96" i="41"/>
  <c r="K97" i="41"/>
  <c r="K98" i="41"/>
  <c r="K99" i="41"/>
  <c r="K100" i="41"/>
  <c r="K101" i="41"/>
  <c r="K102" i="41"/>
  <c r="K103" i="41"/>
  <c r="K104" i="41"/>
  <c r="K105" i="41"/>
  <c r="G56" i="40"/>
  <c r="F56" i="40"/>
  <c r="K26" i="40"/>
  <c r="K27" i="40"/>
  <c r="K28" i="40"/>
  <c r="K102" i="50"/>
  <c r="F84" i="5"/>
  <c r="G84" i="5"/>
  <c r="K41" i="5"/>
  <c r="F208" i="41"/>
  <c r="G208" i="41"/>
  <c r="E106" i="41"/>
  <c r="D106" i="41"/>
  <c r="K21" i="49"/>
  <c r="K22" i="49"/>
  <c r="K23" i="49"/>
  <c r="K24" i="49"/>
  <c r="K25" i="49"/>
  <c r="K10" i="49"/>
  <c r="K11" i="49"/>
  <c r="K12" i="49"/>
  <c r="K13" i="49"/>
  <c r="K14" i="49"/>
  <c r="K20" i="42"/>
  <c r="K21" i="42"/>
  <c r="K22" i="42"/>
  <c r="K23" i="42"/>
  <c r="K10" i="42"/>
  <c r="K11" i="42"/>
  <c r="K12" i="42"/>
  <c r="K24" i="25"/>
  <c r="K25" i="25"/>
  <c r="K26" i="25"/>
  <c r="K27" i="25"/>
  <c r="K11" i="25"/>
  <c r="K12" i="25"/>
  <c r="K13" i="25"/>
  <c r="K14" i="25"/>
  <c r="K15" i="25"/>
  <c r="K50" i="43"/>
  <c r="K51" i="43"/>
  <c r="K52" i="43"/>
  <c r="K53" i="43"/>
  <c r="K54" i="43"/>
  <c r="K55" i="43"/>
  <c r="K11" i="43"/>
  <c r="K12" i="43"/>
  <c r="K13" i="43"/>
  <c r="K14" i="43"/>
  <c r="K15" i="43"/>
  <c r="K16" i="43"/>
  <c r="K17" i="43"/>
  <c r="K10" i="44"/>
  <c r="K11" i="44"/>
  <c r="K12" i="44"/>
  <c r="K13" i="44"/>
  <c r="K14" i="44"/>
  <c r="E15" i="44"/>
  <c r="D15" i="44"/>
  <c r="K79" i="45"/>
  <c r="K80" i="45"/>
  <c r="K81" i="45"/>
  <c r="K82" i="45"/>
  <c r="K83" i="45"/>
  <c r="K84" i="45"/>
  <c r="K85" i="45"/>
  <c r="K86" i="45"/>
  <c r="K87" i="45"/>
  <c r="K12" i="45"/>
  <c r="K13" i="45"/>
  <c r="K14" i="45"/>
  <c r="K15" i="45"/>
  <c r="K16" i="45"/>
  <c r="K17" i="45"/>
  <c r="K18" i="45"/>
  <c r="K19" i="45"/>
  <c r="K20" i="45"/>
  <c r="K21" i="45"/>
  <c r="K22" i="45"/>
  <c r="K23" i="45"/>
  <c r="K24" i="45"/>
  <c r="K25" i="45"/>
  <c r="K26" i="45"/>
  <c r="K27" i="45"/>
  <c r="K28" i="45"/>
  <c r="K29" i="45"/>
  <c r="K30" i="45"/>
  <c r="K31" i="45"/>
  <c r="K32" i="45"/>
  <c r="K103" i="50"/>
  <c r="K60" i="50"/>
  <c r="E55" i="50"/>
  <c r="D55" i="50"/>
  <c r="K9" i="50"/>
  <c r="F27" i="49"/>
  <c r="G27" i="49"/>
  <c r="K26" i="49"/>
  <c r="K20" i="49"/>
  <c r="E15" i="49"/>
  <c r="D15" i="49"/>
  <c r="K9" i="49"/>
  <c r="K205" i="41"/>
  <c r="K206" i="41"/>
  <c r="K207" i="41"/>
  <c r="K25" i="40"/>
  <c r="K29" i="40"/>
  <c r="K76" i="45"/>
  <c r="K77" i="45"/>
  <c r="K78" i="45"/>
  <c r="K88" i="45"/>
  <c r="K89" i="45"/>
  <c r="K90" i="45"/>
  <c r="K91" i="45"/>
  <c r="K92" i="45"/>
  <c r="K93" i="45"/>
  <c r="K94" i="45"/>
  <c r="K95" i="45"/>
  <c r="K96" i="45"/>
  <c r="K97" i="45"/>
  <c r="K98" i="45"/>
  <c r="K99" i="45"/>
  <c r="K100" i="45"/>
  <c r="K101" i="45"/>
  <c r="K102" i="45"/>
  <c r="K103" i="45"/>
  <c r="K104" i="45"/>
  <c r="K105" i="45"/>
  <c r="K106" i="45"/>
  <c r="K107" i="45"/>
  <c r="K108" i="45"/>
  <c r="K109" i="45"/>
  <c r="K110" i="45"/>
  <c r="K111" i="45"/>
  <c r="K112" i="45"/>
  <c r="K113" i="45"/>
  <c r="K114" i="45"/>
  <c r="K115" i="45"/>
  <c r="K116" i="45"/>
  <c r="K117" i="45"/>
  <c r="K118" i="45"/>
  <c r="K119" i="45"/>
  <c r="K120" i="45"/>
  <c r="K121" i="45"/>
  <c r="K122" i="45"/>
  <c r="K123" i="45"/>
  <c r="K124" i="45"/>
  <c r="K125" i="45"/>
  <c r="K126" i="45"/>
  <c r="K127" i="45"/>
  <c r="K128" i="45"/>
  <c r="K129" i="45"/>
  <c r="K130" i="45"/>
  <c r="K131" i="45"/>
  <c r="K132" i="45"/>
  <c r="K133" i="45"/>
  <c r="K134" i="45"/>
  <c r="K135" i="45"/>
  <c r="K33" i="45"/>
  <c r="K34" i="45"/>
  <c r="K35" i="45"/>
  <c r="K36" i="45"/>
  <c r="K37" i="45"/>
  <c r="K38" i="45"/>
  <c r="K39" i="45"/>
  <c r="K40" i="45"/>
  <c r="K41" i="45"/>
  <c r="K42" i="45"/>
  <c r="K43" i="45"/>
  <c r="K44" i="45"/>
  <c r="K45" i="45"/>
  <c r="K46" i="45"/>
  <c r="K47" i="45"/>
  <c r="K48" i="45"/>
  <c r="K49" i="45"/>
  <c r="K50" i="45"/>
  <c r="K51" i="45"/>
  <c r="K52" i="45"/>
  <c r="K53" i="45"/>
  <c r="K54" i="45"/>
  <c r="K55" i="45"/>
  <c r="K56" i="45"/>
  <c r="K57" i="45"/>
  <c r="K58" i="45"/>
  <c r="K59" i="45"/>
  <c r="K60" i="45"/>
  <c r="K61" i="45"/>
  <c r="K62" i="45"/>
  <c r="K63" i="45"/>
  <c r="K64" i="45"/>
  <c r="K65" i="45"/>
  <c r="K66" i="45"/>
  <c r="K67" i="45"/>
  <c r="K68" i="45"/>
  <c r="K69" i="45"/>
  <c r="E70" i="45"/>
  <c r="D70" i="45"/>
  <c r="K11" i="45"/>
  <c r="K21" i="44"/>
  <c r="K22" i="44"/>
  <c r="K23" i="44"/>
  <c r="K13" i="42"/>
  <c r="K49" i="43"/>
  <c r="K56" i="43"/>
  <c r="K57" i="43"/>
  <c r="K58" i="43"/>
  <c r="K59" i="43"/>
  <c r="K60" i="43"/>
  <c r="K61" i="43"/>
  <c r="K62" i="43"/>
  <c r="K63" i="43"/>
  <c r="K64" i="43"/>
  <c r="K65" i="43"/>
  <c r="K66" i="43"/>
  <c r="K67" i="43"/>
  <c r="K68" i="43"/>
  <c r="K69" i="43"/>
  <c r="K70" i="43"/>
  <c r="K71" i="43"/>
  <c r="K72" i="43"/>
  <c r="K73" i="43"/>
  <c r="K74" i="43"/>
  <c r="K75" i="43"/>
  <c r="K76" i="43"/>
  <c r="K18" i="43"/>
  <c r="K19" i="43"/>
  <c r="K20" i="43"/>
  <c r="K21" i="43"/>
  <c r="K22" i="43"/>
  <c r="K23" i="43"/>
  <c r="K24" i="43"/>
  <c r="K25" i="43"/>
  <c r="K26" i="43"/>
  <c r="K27" i="43"/>
  <c r="K28" i="43"/>
  <c r="K29" i="43"/>
  <c r="K30" i="43"/>
  <c r="K31" i="43"/>
  <c r="K23" i="25"/>
  <c r="K28" i="25"/>
  <c r="K29" i="25"/>
  <c r="K10" i="45" l="1"/>
  <c r="K38" i="5"/>
  <c r="K39" i="5"/>
  <c r="K40" i="5"/>
  <c r="E42" i="43"/>
  <c r="D42" i="43"/>
  <c r="K10" i="43"/>
  <c r="K32" i="43"/>
  <c r="K33" i="43"/>
  <c r="K34" i="43"/>
  <c r="K35" i="43"/>
  <c r="K36" i="43"/>
  <c r="K37" i="43"/>
  <c r="K38" i="43"/>
  <c r="K39" i="43"/>
  <c r="K40" i="43"/>
  <c r="K41" i="43"/>
  <c r="D17" i="25"/>
  <c r="E17" i="25"/>
  <c r="K10" i="25"/>
  <c r="K16" i="25"/>
  <c r="G24" i="42"/>
  <c r="F24" i="42"/>
  <c r="E14" i="42"/>
  <c r="D14" i="42"/>
  <c r="G136" i="45"/>
  <c r="F136" i="45"/>
  <c r="K75" i="45"/>
  <c r="K9" i="45"/>
  <c r="G26" i="44"/>
  <c r="F26" i="44"/>
  <c r="K25" i="44"/>
  <c r="K24" i="44"/>
  <c r="K20" i="44"/>
  <c r="K9" i="44"/>
  <c r="K79" i="43"/>
  <c r="G80" i="43"/>
  <c r="F80" i="43"/>
  <c r="K78" i="43"/>
  <c r="K77" i="43"/>
  <c r="K48" i="43"/>
  <c r="K47" i="43"/>
  <c r="K9" i="43"/>
  <c r="K19" i="42"/>
  <c r="K9" i="42"/>
  <c r="E30" i="40"/>
  <c r="D30" i="40"/>
  <c r="K111" i="41" l="1"/>
  <c r="K9" i="41"/>
  <c r="K35" i="40"/>
  <c r="K49" i="5"/>
  <c r="G30" i="25"/>
  <c r="F30" i="25"/>
  <c r="K22" i="25"/>
  <c r="K9" i="40" l="1"/>
  <c r="K9" i="5" l="1"/>
  <c r="K9" i="25"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<sst xmlns="http://schemas.openxmlformats.org/spreadsheetml/2006/main" count="3445" uniqueCount="1177">
  <si>
    <t>Brand</t>
  </si>
  <si>
    <t># of Listings</t>
  </si>
  <si>
    <t>Estimated 12mo Revenue</t>
  </si>
  <si>
    <t>Avg Rating</t>
  </si>
  <si>
    <t>Total</t>
  </si>
  <si>
    <t>ASIN</t>
  </si>
  <si>
    <t>Product Name</t>
  </si>
  <si>
    <t>Price</t>
  </si>
  <si>
    <t># of Reviews</t>
  </si>
  <si>
    <t>Avg. Rating</t>
  </si>
  <si>
    <t>Link</t>
  </si>
  <si>
    <t>Avg Price</t>
  </si>
  <si>
    <t xml:space="preserve">Tool Rating </t>
  </si>
  <si>
    <t>Estimated 12mo Units</t>
  </si>
  <si>
    <t>Rank by Revenue</t>
  </si>
  <si>
    <t>Est. Monthly Units Sold</t>
  </si>
  <si>
    <t>Est. Monthly Retail Rev</t>
  </si>
  <si>
    <t>Rank by Units</t>
  </si>
  <si>
    <t xml:space="preserve">Rank by Revenue </t>
  </si>
  <si>
    <t>Reviews</t>
  </si>
  <si>
    <t>Monthly Summary - Units</t>
  </si>
  <si>
    <t>Price Per Unit</t>
  </si>
  <si>
    <t>Column1</t>
  </si>
  <si>
    <t>Column2</t>
  </si>
  <si>
    <t>Ranking</t>
  </si>
  <si>
    <t>Monthly Rev Market Share %</t>
  </si>
  <si>
    <t>Monthly Unit Market Share %</t>
  </si>
  <si>
    <t>Monthly Rev</t>
  </si>
  <si>
    <t>Monthly Units</t>
  </si>
  <si>
    <t xml:space="preserve">Monthly Summaries- Revenue </t>
  </si>
  <si>
    <t>Rank By Monthly Revenue - ONLY</t>
  </si>
  <si>
    <t>Rank By Monthly Units - ONLY</t>
  </si>
  <si>
    <t>Market Total</t>
  </si>
  <si>
    <t>teslong</t>
  </si>
  <si>
    <t>depstech</t>
  </si>
  <si>
    <t>dxztoz</t>
  </si>
  <si>
    <t>daxiongmao</t>
  </si>
  <si>
    <t>winwend</t>
  </si>
  <si>
    <t>ujoyok</t>
  </si>
  <si>
    <t>acoath</t>
  </si>
  <si>
    <t>pancellent</t>
  </si>
  <si>
    <t>B0CJY5C9QX</t>
  </si>
  <si>
    <t>Teslong Two-Way Articulating Borescope with Light, Industrial Endoscope Inspection Camera with Articulated Probe, Flexible Mechanic Fiber Optic Snake Scope Cam for Wall Automotive Engine Inspect-5FT</t>
  </si>
  <si>
    <t>https://amazon.com/dp/B0CJY5C9QX</t>
  </si>
  <si>
    <t>B0B28HRSBP</t>
  </si>
  <si>
    <t>https://amazon.com/dp/B0B28HRSBP</t>
  </si>
  <si>
    <t>B0928Q3T42</t>
  </si>
  <si>
    <t>https://amazon.com/dp/B0928Q3T42</t>
  </si>
  <si>
    <t>B0BS1CFFH8</t>
  </si>
  <si>
    <t>https://amazon.com/dp/B0BS1CFFH8</t>
  </si>
  <si>
    <t>B0DFHL8YN5</t>
  </si>
  <si>
    <t>Two-Way Articulating Borescope with Light, UJOYOK Industrial Endoscope with Snake Scope Camera, Borescope Inspection Camera with Light for Automotive &amp; Aircraft Mechanics, 5.5FT</t>
  </si>
  <si>
    <t>https://amazon.com/dp/B0DFHL8YN5</t>
  </si>
  <si>
    <t>B0CP538LN1</t>
  </si>
  <si>
    <t>WINWEND Endoscope Camera with Light - IP67 Waterproof Borescope Camera with 8 Adjustable LED Lights | 4.3" LCD Screen Borescope | HD 1080P Inspection Cameras with 16.5ft Semi-Rigid Cord Tools for Men</t>
  </si>
  <si>
    <t>https://amazon.com/dp/B0CP538LN1</t>
  </si>
  <si>
    <t>B0C3R381FC</t>
  </si>
  <si>
    <t>https://amazon.com/dp/B0C3R381FC</t>
  </si>
  <si>
    <t>B07TV2BFVR</t>
  </si>
  <si>
    <t>Teslong Inspection Camera, Dual Lens Borescope Camera with Light, NTS300 5" IPS Industrial Endoscope, 1080P Waterproof Flexible Mechanic Fiber Optic Snake Scope Cam for Wall Automotive Engine (16.5FT)</t>
  </si>
  <si>
    <t>https://amazon.com/dp/B07TV2BFVR</t>
  </si>
  <si>
    <t>B0CT2CX59S</t>
  </si>
  <si>
    <t>https://amazon.com/dp/B0CT2CX59S</t>
  </si>
  <si>
    <t>B0CJY6SWBN</t>
  </si>
  <si>
    <t>https://amazon.com/dp/B0CJY6SWBN</t>
  </si>
  <si>
    <t>B0BXSMSS7M</t>
  </si>
  <si>
    <t>https://amazon.com/dp/B0BXSMSS7M</t>
  </si>
  <si>
    <t>B08NJ8627V</t>
  </si>
  <si>
    <t>DEPSTECH Dual Lens Wireless Endoscope, 1080P Scope Snake Camera with 7 LED Lights,0.31In Lens Video HD Inspection Camera,IP67 Waterproof Borescope,16.5FT Cable for Android &amp; iOS Phone or Tablet-Yellow</t>
  </si>
  <si>
    <t>https://amazon.com/dp/B08NJ8627V</t>
  </si>
  <si>
    <t>B0DBZ6Q4YH</t>
  </si>
  <si>
    <t>DEPSTECH 210° Two-Way Articulating Borescope, 0.24in Ultra-Slim Endoscope Camera with Lights, 4.5” IPS Screen, 5ft Waterproof Flexible Snake Tube, Industrial Inspection Camera for Automotive Mechanics</t>
  </si>
  <si>
    <t>https://amazon.com/dp/B0DBZ6Q4YH</t>
  </si>
  <si>
    <t>B0DGFBCH38</t>
  </si>
  <si>
    <t>Acoath Endoscope Camera with Light, Dual-Lens 1920P HD Borescope with 8 Adjustable LED Lights, IP67 Waterproof Boroscope Inspection Tools, 16.4ft Semi-Rigid Snake Camera for iOS &amp; Android</t>
  </si>
  <si>
    <t>https://amazon.com/dp/B0DGFBCH38</t>
  </si>
  <si>
    <t>B0CL4KT182</t>
  </si>
  <si>
    <t>https://amazon.com/dp/B0CL4KT182</t>
  </si>
  <si>
    <t>B0C2P7TP2V</t>
  </si>
  <si>
    <t>lightswim</t>
  </si>
  <si>
    <t>https://amazon.com/dp/B0C2P7TP2V</t>
  </si>
  <si>
    <t>B0CG46T9ZF</t>
  </si>
  <si>
    <t>matrixcamp</t>
  </si>
  <si>
    <t>https://amazon.com/dp/B0CG46T9ZF</t>
  </si>
  <si>
    <t>B07TTQF24F</t>
  </si>
  <si>
    <t>Teslong Rifle Borescope, Bore Camera Gun Cleaning Camera - Fits .20 Caliber &amp; Larger-Hunting Shooting Firearms Visual Barrel Inspection Tool w/3 Right-Angle Mirrors and Carrying Case(45inch-Flexible)</t>
  </si>
  <si>
    <t>https://amazon.com/dp/B07TTQF24F</t>
  </si>
  <si>
    <t>B0CKQH4VZY</t>
  </si>
  <si>
    <t>[Dual-Lens] Borescope,Endoscope Camera with Light,1920P Inspection Camera with 8+1 Adjustable LED Lights, 16.5ft Semi-Rigid Cable Snake Endoscope for iPhone, iPad, Samsung</t>
  </si>
  <si>
    <t>fulljion</t>
  </si>
  <si>
    <t>https://amazon.com/dp/B0CKQH4VZY</t>
  </si>
  <si>
    <t>B0CW65T636</t>
  </si>
  <si>
    <t>Endoscope Camera with Light - 4.3" LCD Screen Inspection Cameras,IP67 Waterproof Borescope with 8 Adjustable LED Lights,HD 1080P Endoscope Camera 16.5ft Semi-Rigid Cord,gifts for men tools and gadgets</t>
  </si>
  <si>
    <t>https://amazon.com/dp/B0CW65T636</t>
  </si>
  <si>
    <t>B0BYF9J7V9</t>
  </si>
  <si>
    <t>https://amazon.com/dp/B0BYF9J7V9</t>
  </si>
  <si>
    <t>B0CC27QRQ6</t>
  </si>
  <si>
    <t>1920P Snake Inspection Borescope, Pancellent Type C Endoscope, Scope Camera with 8 LED Lights for Android and iOS Smartphone, iPhone, iPad, Samsung (16.5 FT/5M)</t>
  </si>
  <si>
    <t>https://amazon.com/dp/B0CC27QRQ6</t>
  </si>
  <si>
    <t>B0DD351NSB</t>
  </si>
  <si>
    <t>https://amazon.com/dp/B0DD351NSB</t>
  </si>
  <si>
    <t>B0DD47VS7S</t>
  </si>
  <si>
    <t>https://amazon.com/dp/B0DD47VS7S</t>
  </si>
  <si>
    <t>elecshion</t>
  </si>
  <si>
    <t>B0BVML78W1</t>
  </si>
  <si>
    <t>DEPSTECH Endoscope, 7'' IPS Screen Borescope Camera with Light, Triple-Lens Inspection Camera with Sound Recording, 1080P HD 7.9 mm Snake Camera, 16.5ft Gooseneck Camera for Automotive Wall Pipe HVAC</t>
  </si>
  <si>
    <t>https://amazon.com/dp/B0BVML78W1</t>
  </si>
  <si>
    <t>B08519F2W9</t>
  </si>
  <si>
    <t>Teslong Inspection Camera, Dual Lens Borescope Camera with Light, NTS300 5" IPS Industrial Endoscope, 1080P Waterproof Flexible Mechanic Fiber Optic Snake Scope Cam for Wall Automotive Engine (3.3FT)</t>
  </si>
  <si>
    <t>https://amazon.com/dp/B08519F2W9</t>
  </si>
  <si>
    <t>B0CT5L1H9B</t>
  </si>
  <si>
    <t>https://amazon.com/dp/B0CT5L1H9B</t>
  </si>
  <si>
    <t>B0CJ8TBWG8</t>
  </si>
  <si>
    <t>https://amazon.com/dp/B0CJ8TBWG8</t>
  </si>
  <si>
    <t>B0DGFC3D9H</t>
  </si>
  <si>
    <t>https://amazon.com/dp/B0DGFC3D9H</t>
  </si>
  <si>
    <t>kinpthy</t>
  </si>
  <si>
    <t>B0C4V5LWWL</t>
  </si>
  <si>
    <t>https://amazon.com/dp/B0C4V5LWWL</t>
  </si>
  <si>
    <t>B0C9JR3N4W</t>
  </si>
  <si>
    <t>https://amazon.com/dp/B0C9JR3N4W</t>
  </si>
  <si>
    <t>B0CW67ZYP1</t>
  </si>
  <si>
    <t>https://amazon.com/dp/B0CW67ZYP1</t>
  </si>
  <si>
    <t>B0BYHMRHG1</t>
  </si>
  <si>
    <t>https://amazon.com/dp/B0BYHMRHG1</t>
  </si>
  <si>
    <t>Endoscope Camera with Light, 5" IPS Screen Borescope,1920P HD Inspection Camera with Lights, IP67 Waterproof Flexible Cable for Automotive/Home/Wall/Pipe/Car (16.5FT)</t>
  </si>
  <si>
    <t>B0C2P62QN5</t>
  </si>
  <si>
    <t>https://amazon.com/dp/B0C2P62QN5</t>
  </si>
  <si>
    <t>B0CMTX8ZM6</t>
  </si>
  <si>
    <t>https://amazon.com/dp/B0CMTX8ZM6</t>
  </si>
  <si>
    <t>DEPSTECH Dual Lens Industrial Endoscope, 1080P Digital Borescope Inspection Camera, 7.9mm IP67 Waterproof, Sewer Camera with 4.3" LCD Screen, 7 LED Lights, 16.5FT Semi-Rigid Cable, 32GB Card - Orange</t>
  </si>
  <si>
    <t>B09DKKJGS7</t>
  </si>
  <si>
    <t>https://amazon.com/dp/B09DKKJGS7</t>
  </si>
  <si>
    <t>B0CF9C3QQF</t>
  </si>
  <si>
    <t>https://amazon.com/dp/B0CF9C3QQF</t>
  </si>
  <si>
    <t>B0CT3HBT4Y</t>
  </si>
  <si>
    <t>https://amazon.com/dp/B0CT3HBT4Y</t>
  </si>
  <si>
    <t>DEPSTECH Original Endoscope Case, Wireless Borescope Carrying Bag WiFi &amp; USB Scope Cameras, Upgraded Large-Capacity Hardshell Case, Compatible with 4.3" Inspection Camera DS300, Black</t>
  </si>
  <si>
    <t>B076D86Z7S</t>
  </si>
  <si>
    <t>https://amazon.com/dp/B076D86Z7S</t>
  </si>
  <si>
    <t>DEPSTECH Endoscope Camera with Light, 1080P HD Borescope Inspection Camera with 2X Zoom, IP67 Waterproof Plumbing Snake Camera, 16.5ft Semi-Rigid Cable, 2.4'' IPS Screen Scope Camera Gadgets for Men</t>
  </si>
  <si>
    <t>B0CJM3HDR1</t>
  </si>
  <si>
    <t>https://amazon.com/dp/B0CJM3HDR1</t>
  </si>
  <si>
    <t>B0BF64PP4F</t>
  </si>
  <si>
    <t>https://amazon.com/dp/B0BF64PP4F</t>
  </si>
  <si>
    <t>Teslong Inspection Camera, Dual Lens Borescope Camera with Light, NTS300 5" IPS Industrial Endoscope, 1080P Waterproof Flexible Mechanic Fiber Optic Snake Scope Cam for Wall Automotive Engine (10FT)</t>
  </si>
  <si>
    <t>B08519V6GW</t>
  </si>
  <si>
    <t>https://amazon.com/dp/B08519V6GW</t>
  </si>
  <si>
    <t>5mm Dual Lens Inspection Camera, Teslong Borescope with LED Light, HD Industrial Endoscope, 5" IPS Screen, Waterproof Video Scope Camera, Flexible Cable for Home/Automotive/Pipe/Car/Wall(5FT)</t>
  </si>
  <si>
    <t>B09Y1F2MPB</t>
  </si>
  <si>
    <t>https://amazon.com/dp/B09Y1F2MPB</t>
  </si>
  <si>
    <t>B0DK965BZP</t>
  </si>
  <si>
    <t>https://amazon.com/dp/B0DK965BZP</t>
  </si>
  <si>
    <t>B086X1XGN1</t>
  </si>
  <si>
    <t>https://amazon.com/dp/B086X1XGN1</t>
  </si>
  <si>
    <t>50ft Sewer Camera, Teslong 1080P Drain Plumbing Snake Inspection Camera with Light, 50 ft Flexible Borescope Endoscope Duct Fiber Optic Scope Cam</t>
  </si>
  <si>
    <t>B08QCMT89N</t>
  </si>
  <si>
    <t>https://amazon.com/dp/B08QCMT89N</t>
  </si>
  <si>
    <t>B0BG27Q1JS</t>
  </si>
  <si>
    <t>https://amazon.com/dp/B0BG27Q1JS</t>
  </si>
  <si>
    <t>Triple Lens Borescope Inspection Camera, Teslong Professional Endoscope with Light, Digital Video Scope Camera, 5" IPS Screen, Waterproof Flexible Cable for Automotive/Home/Wall/Pipe/Car (5FT)</t>
  </si>
  <si>
    <t>B09NBRQ4ST</t>
  </si>
  <si>
    <t>https://amazon.com/dp/B09NBRQ4ST</t>
  </si>
  <si>
    <t>Dual Lens Endoscope Camera with Light, Teslong 4.5" HD Snake Borescope Inspection Camera, 0.2inch Automotive Scope Camera with Flexible Cable, Industrial Fiber Optic for Engine Mechanic(5FT)</t>
  </si>
  <si>
    <t>B09YGNWL44</t>
  </si>
  <si>
    <t>https://amazon.com/dp/B09YGNWL44</t>
  </si>
  <si>
    <t>Teslong Rifle Borescope with 5" Monitor, Bore Inspection Camera Visual Gun Cleaning System-Fits .20 Caliber &amp; Larger- w/45-inch Flexible Probe, 5-inch IPS Screen, Right Angle Mirror &amp; Carrying Case</t>
  </si>
  <si>
    <t>B095HN3VQZ</t>
  </si>
  <si>
    <t>https://amazon.com/dp/B095HN3VQZ</t>
  </si>
  <si>
    <t>Borescope Camera with Light, Teslong USB C Snake Endoscope Inspection Camera with 8 LEDs, Flexible Waterproof Drain Fiber Optic Scope Cam Compatible with iPhone 15, Android Phone (10FT)</t>
  </si>
  <si>
    <t>B0C9L75QQ9</t>
  </si>
  <si>
    <t>https://amazon.com/dp/B0C9L75QQ9</t>
  </si>
  <si>
    <t>Teslong 50FT Sewer Camera, Dual Lens Borescope with Light, 4.3" HD Drain Plumbing Endoscope Inspection Camera, Home Waterproof Flexible in Wall Cam Pipe Tools, Snake Scope for Air Duct HVAC</t>
  </si>
  <si>
    <t>B0DH24P6NY</t>
  </si>
  <si>
    <t>https://amazon.com/dp/B0DH24P6NY</t>
  </si>
  <si>
    <t>Triple Lens Borescope Inspection Camera, Teslong Professional Endoscope with Light, Digital Video Scope Camera, 5" IPS Screen, Waterproof Flexible Cable for Automotive/Home/Wall/Pipe/Car (10FT)</t>
  </si>
  <si>
    <t>B0CNPWHCQG</t>
  </si>
  <si>
    <t>https://amazon.com/dp/B0CNPWHCQG</t>
  </si>
  <si>
    <t>5MP Auto-Focus Endoscope, Teslong 3rd Generation USB Borescope with 5.0 Megapixel Inspection Camera, 16.5ft Waterproof Semi-Rigid Cable &amp; Adjustable Led Lights Probe for Android Phone Windows MacBook</t>
  </si>
  <si>
    <t>B07HVT2XZL</t>
  </si>
  <si>
    <t>https://amazon.com/dp/B07HVT2XZL</t>
  </si>
  <si>
    <t>B0DH1ZGT5X</t>
  </si>
  <si>
    <t>https://amazon.com/dp/B0DH1ZGT5X</t>
  </si>
  <si>
    <t>B0DGGM7X88</t>
  </si>
  <si>
    <t>https://amazon.com/dp/B0DGGM7X88</t>
  </si>
  <si>
    <t>Triple Lens Borescope Inspection Camera, Teslong Professional Endoscope with Light, Digital Video Scope Camera, 5" IPS Screen, Waterproof Flexible Cable for Automotive/Home/Wall/Pipe/Car (16.5FT)</t>
  </si>
  <si>
    <t>B07Q86XGN2</t>
  </si>
  <si>
    <t>https://amazon.com/dp/B07Q86XGN2</t>
  </si>
  <si>
    <t>Teslong Telescopic Camera with Light, USB-C Borescope with 5FT Telescopic Pole, for HVAC Systems, Wall, Chimney, Automotive and Pipe Inspections, Compatible with iPhone 15/16 and Android</t>
  </si>
  <si>
    <t>B0DL621NQ2</t>
  </si>
  <si>
    <t>https://amazon.com/dp/B0DL621NQ2</t>
  </si>
  <si>
    <t>Teslong 2.0MP HD AF Auto Focus Borescope, 16.5ft Flexible Endoscope with Adjustable Lights, USB-C Inspection Camera for Plumbing, Automotive, Wall, for iPhone 15/16 &amp; Android, Long Focus &amp; Autofocus</t>
  </si>
  <si>
    <t>B0DL8LJTWM</t>
  </si>
  <si>
    <t>https://amazon.com/dp/B0DL8LJTWM</t>
  </si>
  <si>
    <t>5mm Dual Lens Inspection Camera, Teslong Borescope with LED Light, HD Industrial Endoscope, 5" IPS Screen, Waterproof Video Scope Camera, Flexible Cable for Home/Automotive/Pipe/Car/Wall(16.5FT)</t>
  </si>
  <si>
    <t>B08PTVBGBQ</t>
  </si>
  <si>
    <t>https://amazon.com/dp/B08PTVBGBQ</t>
  </si>
  <si>
    <t>B0DH1MDYG9</t>
  </si>
  <si>
    <t>https://amazon.com/dp/B0DH1MDYG9</t>
  </si>
  <si>
    <t>Dual Lens Endoscope with Light, Teslong USB-C Borescope Inspection Camera with 8+1 LED Light, Flexible Waterproof Fiber Optic Camera Snake Scope Compatible with iPhone 15, Android Phone(16.5FT)</t>
  </si>
  <si>
    <t>B0CL4MJ6NK</t>
  </si>
  <si>
    <t>https://amazon.com/dp/B0CL4MJ6NK</t>
  </si>
  <si>
    <t>16.5FT Triple Lens Probe, 7.9mm/0.3inch Diameter Semi-Rigid Cable Compatible with MS450 Inspection Camera</t>
  </si>
  <si>
    <t>B09P4WNYBB</t>
  </si>
  <si>
    <t>https://amazon.com/dp/B09P4WNYBB</t>
  </si>
  <si>
    <t>Teslong Mirrors Set of Rifle Borescope, Only Applies to NTG200H Barrel Bore Scope.</t>
  </si>
  <si>
    <t>B0CX4C3QXK</t>
  </si>
  <si>
    <t>https://amazon.com/dp/B0CX4C3QXK</t>
  </si>
  <si>
    <t>Type</t>
  </si>
  <si>
    <t>Handheld</t>
  </si>
  <si>
    <t>Landscape</t>
  </si>
  <si>
    <t>USB</t>
  </si>
  <si>
    <t>Wireless</t>
  </si>
  <si>
    <t>Quantity/Mo</t>
  </si>
  <si>
    <t>Qty by %</t>
  </si>
  <si>
    <t>Revenue/Mo</t>
  </si>
  <si>
    <t>Revenue by %</t>
  </si>
  <si>
    <t>Top 50 By Revenue Summary</t>
  </si>
  <si>
    <t>Top 50 By Unit Summary</t>
  </si>
  <si>
    <t>Articulation</t>
  </si>
  <si>
    <t>DXZtoz Two-Way Articulating Borescope, Industrial Endoscope with 0.33in Articulated Snake Camera, Video Inspection Scope with Light for Automotive Aircraft Mechanics- 5.5FT</t>
  </si>
  <si>
    <t>Endoscope Camera with Light,1920P HD Borescope Tools with 8 Adjustable LED Lights, Endoscope with Semi-Rigid Snake Camera, IP67 Waterproof Inspection Borescope for iOS and Android-16.4ft Dual-Lens</t>
  </si>
  <si>
    <t>B0DT4H7QQM</t>
  </si>
  <si>
    <t>Teslong Two-Way Articulating Borescope, 5.5mm Slim Probe, 5.0'' Industrial Endoscope with Light, 5FT Flexible Snake Scope for Automotive, HVAC &amp; Mechanics</t>
  </si>
  <si>
    <t>https://amazon.com/dp/B0DT4H7QQM</t>
  </si>
  <si>
    <t>B0C3B32Q9Z</t>
  </si>
  <si>
    <t>DXZtoz Dual-Lens Articulating Borescope, Engine Endoscope with 0.33in Two-Way Articulated Snake Camera, 5'' Dual Screen, 1080P Inspection Camera with Light for Automotive Home Mechanics-5FT</t>
  </si>
  <si>
    <t>https://amazon.com/dp/B0C3B32Q9Z</t>
  </si>
  <si>
    <t>Triple Lens Endoscope Camera with Light with 50FT Semi-Rigid Cable, DEPSTECH 5" IPS Screen Sewer Inspection Camera, 1080P Industrial Borescope, Split Screen, Waterproof Drain Pipe Tool, Carrying Case</t>
  </si>
  <si>
    <t>Articulating Borescope with Dual Lens Endoscope Camera, Teslong Two-Way Articulated Industrial Inspection Camera with LED Light, Flexible Mechanic Fiber Optic Snake Scope Cam for Wall Automotive-5FT</t>
  </si>
  <si>
    <t>DEPSTECH Dual Lens Industrial Endoscope, 1080P Digital Borescope Inspection Camera, 7.9mm IP67 Waterproof Sewer Camera with 4.3" LCD Screen, 7 LED Lights, 16.5FT Semi-Rigid Cable, 32GB Card-Black</t>
  </si>
  <si>
    <t>B0CMCSGPJC</t>
  </si>
  <si>
    <t>[Dual-Lens] Endoscope Camera with Light, 1920P HD Borescope with 8+1 Adjustable LED Lights, IP67 Waterproof 16.5FT Semi-Rigid Snake Cord Inspection Camera for iPhone, iPad and Android Phone (Type C)</t>
  </si>
  <si>
    <t>https://amazon.com/dp/B0CMCSGPJC</t>
  </si>
  <si>
    <t>B0DD6YVBHD</t>
  </si>
  <si>
    <t>DEPSTECH 50ft Sewer Camera, 1080P HD Triple Lens Borescope, 5" IPS Screen Endoscope with Light, IP67 Waterproof Plumbing Drain Pipe Snake Inspection Camera with 32G Card, Carry Case</t>
  </si>
  <si>
    <t>https://amazon.com/dp/B0DD6YVBHD</t>
  </si>
  <si>
    <t>B0CHW4FLS7</t>
  </si>
  <si>
    <t>Articulating Borescope with Dual Lens Endoscope, Teslong 5-inch IPS Automotive Inspection Camera with Two-Way Articulation Tip, 6+1 LED Lights, Mechanics Fiber Optic Scope-Dia. 0.25 inch &amp; L 5.0 feet</t>
  </si>
  <si>
    <t>https://amazon.com/dp/B0CHW4FLS7</t>
  </si>
  <si>
    <t>Endoscope Camera with Light, 1080P HD Borescope with 8 Adjustable Lights, 4.3" Endoscope with 16.4ft Semi-Rigid Snake Camera, IP67 Waterproof Borescopese for Sewer, Cool Gadgets &amp; Tools for Men</t>
  </si>
  <si>
    <t>B0F1CXQ3YS</t>
  </si>
  <si>
    <t>Endoscope Borescope Camera with Light, 4.3" IPS 1920P HD Inspection Camera, 7.9mm IP67 Waterproof with 8 Adjustable LEDs, 16.5FT Semi-Rigid Snake Cable for Sewer, Automotive Engine, Pipe, HVAC</t>
  </si>
  <si>
    <t>aukonvee</t>
  </si>
  <si>
    <t>https://amazon.com/dp/B0F1CXQ3YS</t>
  </si>
  <si>
    <t>Endoscope Camera with Light,1920P HD Borescope Tools with 8 Adjustable LED Lights, Endoscope with Semi-Rigid Snake Camera, Inspection Borescope for iOS and Android-16.4ft Single Lens</t>
  </si>
  <si>
    <t>B0DT16R78W</t>
  </si>
  <si>
    <t>DEPSTECH Dual Lens Two-Way Articulating Borescope Camera with Light, 4.5" Screen and 5FT Flexible Snake Scope Industrial Endoscope, Inspection Video Camera Tool for Wall, Engine, Auto, Mechanics</t>
  </si>
  <si>
    <t>https://amazon.com/dp/B0DT16R78W</t>
  </si>
  <si>
    <t>Endoscope Camera with Light, Borescope Camera with 4.3" IPS Screen, 1920P HD with 8 LED Lights, 16.4FT Semi-Rigid Cord Bore Scope, Gadgets for Men &amp; Tools for Men</t>
  </si>
  <si>
    <t>B0F62WJY8N</t>
  </si>
  <si>
    <t>DEPSTECH Dual Lens Articulating Endoscope Camera with Lights, 4.5" Screen Two-Way Industrial Borescope, Flexible Snake Scope, Video Inspection Camera Tool for Wall Engine Auto Mechanics - 10FT</t>
  </si>
  <si>
    <t>https://amazon.com/dp/B0F62WJY8N</t>
  </si>
  <si>
    <t>B0FC2HS5GZ</t>
  </si>
  <si>
    <t>Endoscope with Light, 1920P HD Borescope with 8 Adjustable LED Lights, 16.4FT Semi-Rigid Snake Camera, IP67 Waterproof Inspection Tool for iPhone &amp; Android - Dual Lens</t>
  </si>
  <si>
    <t>papiblu</t>
  </si>
  <si>
    <t>https://amazon.com/dp/B0FC2HS5GZ</t>
  </si>
  <si>
    <t>B0DT98YB3X</t>
  </si>
  <si>
    <t>Two-Way Articulating Borescope Camera with Light: Industrial Endoscope Inspection Snake Camera - Flexible Bore Scope Cam with 0.33in Articulated Probe for Mechanic Automotive Engine Wall - 5.5FT</t>
  </si>
  <si>
    <t>wanawong k</t>
  </si>
  <si>
    <t>https://amazon.com/dp/B0DT98YB3X</t>
  </si>
  <si>
    <t>B09ZV7KJHL</t>
  </si>
  <si>
    <t>Two-Way Articulating Borescope with Light, Teslong 5-inch IPS Endoscope Inspection Camera with Articulation Head, Automotive Mechanics Fiber Optic Scope-0.33inch</t>
  </si>
  <si>
    <t>https://amazon.com/dp/B09ZV7KJHL</t>
  </si>
  <si>
    <t>B0D7PYRRKD</t>
  </si>
  <si>
    <t>Teslong 3.9mm 4-Way Articulating Borescope with Light, 6'' IPS Endoscope Inspection Camera with 360 Articulated Probe, Flexible Automotive Mechanics Gadgets Fiber Optic Scope Cam (0.15inch-5FT)</t>
  </si>
  <si>
    <t>https://amazon.com/dp/B0D7PYRRKD</t>
  </si>
  <si>
    <t>Teslong Endoscope Borescope with Light, Snake Inspection Camera for Automotive Engine, Waterproof Fiber Optic Camera for Mechanics - Ideal for Wall, Vent, Wire Video Scope (16.5FT)</t>
  </si>
  <si>
    <t>B0B71PT47Q</t>
  </si>
  <si>
    <t>DXZtoz 10FT Articulating Borescope, Inspection Camera with 0.33in Two-Way Steering Snake Camera, Waterproof 1080P Endoscope with Light for Mechanics Electriction Wall Pipe Inspection</t>
  </si>
  <si>
    <t>https://amazon.com/dp/B0B71PT47Q</t>
  </si>
  <si>
    <t>B0DWSKVF5H</t>
  </si>
  <si>
    <t>Endoscope Camera with Light: 5" Dual-Lens Inspection Borescope Camera for Sewer - 16.4ft Waterproof Industrial Endoscope - Flexible Snake Bore Scope for Plumbing Automotive</t>
  </si>
  <si>
    <t>tgjor</t>
  </si>
  <si>
    <t>https://amazon.com/dp/B0DWSKVF5H</t>
  </si>
  <si>
    <t>anysun</t>
  </si>
  <si>
    <t>Endoscope Camera with Light,1920P HD Borescope Tools with 8 Adjustable LED Lights, Endoscope with Semi-Rigid Snake Camera, IP67 Waterproof Inspection Borescope for iOS and Android-32.8ft Single Lens</t>
  </si>
  <si>
    <t>B0C1GFBTDC</t>
  </si>
  <si>
    <t>USB C Endoscope Camera with Light, Teslong Type-C Snake Borescope Camera with 8 LED Lights, 10FT Flexible Waterproof Inspection Cam, Fiber Optic Scope Compatible with iPhone 15/16, Android Phone</t>
  </si>
  <si>
    <t>https://amazon.com/dp/B0C1GFBTDC</t>
  </si>
  <si>
    <t>B0DTHZDGYD</t>
  </si>
  <si>
    <t>Teslong 360 Articulating Borescope with Light, 5'' Monitor Industrial Inspection Camera with 4-Way Joystick Articulation, HD Endoscope Camera for Automotive, Pipes, and Mechanics (0.24inch-5FT)</t>
  </si>
  <si>
    <t>https://amazon.com/dp/B0DTHZDGYD</t>
  </si>
  <si>
    <t>B0DYDXH1NQ</t>
  </si>
  <si>
    <t>Teslong Dual Lens Endoscope with Light, Mechanic Borescope Inspection Camera, Fiber Optic Scope, Flexible Snake Probe for Automotive, HVAC, Wall &amp; Home Inspections (16.5FT)</t>
  </si>
  <si>
    <t>https://amazon.com/dp/B0DYDXH1NQ</t>
  </si>
  <si>
    <t>B0F13BKB4P</t>
  </si>
  <si>
    <t>Dual-Lens Borescope with Light, Endoscope Camera with Light with 4.3" IPS Screen,1920P HD with 8 LED Lights,16.4ft Semi-Rigid Cable and Back LED Light,IP67 Waterproof Borescope, Cool Gadgets for Men</t>
  </si>
  <si>
    <t>ferdiiz</t>
  </si>
  <si>
    <t>https://amazon.com/dp/B0F13BKB4P</t>
  </si>
  <si>
    <t>16.4ft Endoscope Camera with Light for iPhone and Android, 1920P HD IP67 Waterproof Borescope with 8 Adjustable LED Lights, Semi-Rigid Snake Camera, 7.9mm Black</t>
  </si>
  <si>
    <t>B0F5Q2YXY5</t>
  </si>
  <si>
    <t>Borescope Camera with Light, 1080P HD Endoscope with 8 Adjustable LEDs, 4.3" Inspection Camera with 16.4ft Semi-Rigid Cable, 8mm IP67 Waterproof Lens-Father's Day Gift&amp;Cool Gadgets for Men</t>
  </si>
  <si>
    <t>ilihome</t>
  </si>
  <si>
    <t>https://amazon.com/dp/B0F5Q2YXY5</t>
  </si>
  <si>
    <t>Industrial HD Digital Borescope, Lightswim 1080P 4.3" IPS Endoscope Inspection Camera with Handheld IP67 Waterproof Snake Sewer with 8 LED Lights 16.5ft Semi-Rigid Cable</t>
  </si>
  <si>
    <t>B0DGFBJYG2</t>
  </si>
  <si>
    <t>Acoath Endoscope Camera with Light, Dual-Lens 1920P HD Borescope with 8 Adjustable LED Lights, IP67 Waterproof Boroscope Inspection Tools, 9.8ft Semi-Rigid Snake Camera for iOS &amp; Android</t>
  </si>
  <si>
    <t>https://amazon.com/dp/B0DGFBJYG2</t>
  </si>
  <si>
    <t>Teslong 50FT USB-C Borescope Camera with Light, Only Compatible with iPhone 15/16 Android Phones, 50 ft Flexible Waterproof Endoscope for DIY Pipe Inspection with Drain Snake</t>
  </si>
  <si>
    <t>Acoath Endoscope Camera with Light, Dual-Lens 1920P HD Borescope with 8 Adjustable LED Lights, IP67 Waterproof Boroscope Inspection Tools, 33ft Semi-Rigid Snake Camera for iOS &amp; Android</t>
  </si>
  <si>
    <t>B0F9X12NH3</t>
  </si>
  <si>
    <t>Endoscope Camera with Light, Handheld Borescope with 4.3" IPS Screen, 1080P HD Inspection Camera with 8 Adjustable LED Lights, IP67 Waterproof, 16.5FT Semi-Rigid Cord for Automotive, Sewer, HVAC, Pipe</t>
  </si>
  <si>
    <t>https://amazon.com/dp/B0F9X12NH3</t>
  </si>
  <si>
    <t>B0FJ2CFSHR</t>
  </si>
  <si>
    <t>Endoscope Camera with Light,1920P HD Borescope Tools with 8 Adjustable LED Lights, Endoscope with Semi-Rigid Snake Camera, Inspection Borescope for iOS and Android-16.4ft Single Lens(Yellow)</t>
  </si>
  <si>
    <t>https://amazon.com/dp/B0FJ2CFSHR</t>
  </si>
  <si>
    <t>B0FJ29BJZ7</t>
  </si>
  <si>
    <t>Endoscope Camera with Light,1920P HD Borescope Tools with 8 Adjustable LED Lights, Endoscope with Semi-Rigid Snake Camera, Inspection Borescope for iOS and Android-16.4ft Single Lens(Blue)</t>
  </si>
  <si>
    <t>https://amazon.com/dp/B0FJ29BJZ7</t>
  </si>
  <si>
    <t>Acoath</t>
  </si>
  <si>
    <t>AukonVee</t>
  </si>
  <si>
    <t>DEPSTECH</t>
  </si>
  <si>
    <t>DXZtoz</t>
  </si>
  <si>
    <t>Daxiongmao</t>
  </si>
  <si>
    <t>Elecshion</t>
  </si>
  <si>
    <t>Kinpthy</t>
  </si>
  <si>
    <t>PAPIBLU</t>
  </si>
  <si>
    <t>Ralcam</t>
  </si>
  <si>
    <t>Sanyipace</t>
  </si>
  <si>
    <t>Teslong</t>
  </si>
  <si>
    <t>VEVOR</t>
  </si>
  <si>
    <t>WINWEND</t>
  </si>
  <si>
    <t>Endoscope Camera with Light, 1080P HD Borescope with 8 Adjustable Lights, 4.3" Endoscope with Semi-Rigid Snake Camera, IP67 Waterproof Borescopese for Sewer, Cool Gadgets &amp; Tools for Men</t>
  </si>
  <si>
    <t>B0FCRFV5TX</t>
  </si>
  <si>
    <t>https://amazon.com/dp/B0FCRFV5TX</t>
  </si>
  <si>
    <t>Endoscope Camera with Light, 1080P HD Borescope with 8 Adjustable Lights, 4.3" Endoscope with 33 ft Semi-Rigid Snake Camera, IP67 Waterproof Borescopese for Sewer, Cool Gadgets &amp; Tools for Men</t>
  </si>
  <si>
    <t>B0CJC65Q9P</t>
  </si>
  <si>
    <t>https://amazon.com/dp/B0CJC65Q9P</t>
  </si>
  <si>
    <t>Endoscope Camera with Light, Borescope Camera with 4.3" IPS Screen, 1920P HD with 8 LED Lights, 50 FT Semi-Rigid Cord Bore Scope, IP67 Waterproof Endoscope for Sewer, Tools for Men</t>
  </si>
  <si>
    <t>Borescope Camera with Lights, Industrial Endoscope Inspection Camera with Articulated Probe, Flexible Mechanic Fiber Optic Snake Scope Cam for Wall Automotive Engine Inspect-5.0 FT</t>
  </si>
  <si>
    <t>Endoscope Camera with Light, 5-inch Dual Lens 1920P HD Borescope, 7.9mm Camera with 9 LEDs, 16.5ft Semi-Rigid Cable, IP67 Waterproof - for Sewer/Drain Pipe, Automotive Inspection, Tools &amp; Cool Gadgets</t>
  </si>
  <si>
    <t>B0CJC8KTBM</t>
  </si>
  <si>
    <t>https://amazon.com/dp/B0CJC8KTBM</t>
  </si>
  <si>
    <t>DEPSTECH Articulating Borescope Camera with Light, 5" IPS HD Screen, Industrial Endoscope Inspection Camera with Two-Way Articulated Probe, 0.24'' Flexible Snake Scope for Wall Automotive Engine - 5FT</t>
  </si>
  <si>
    <t>B0FD3NRZ5S</t>
  </si>
  <si>
    <t>https://amazon.com/dp/B0FD3NRZ5S</t>
  </si>
  <si>
    <t>Dual-Lens Endoscope Camera with Light, DEPSTECH 1080P HD Borescope with 5" IPS Screen, 16.5FT Flexible Sewer Plumbing Snake Camera, Cool Gadgets for Men, Women</t>
  </si>
  <si>
    <t>DEPSTECH Inspection Endoscope Camera with Lights: 1080P Triple Lens Snake Camera with 5" Screen and 16.5FT Flexible Cable, Waterproof Industrial Borescope Tool for Auto, Wall, Sewer, Pipe, Mechanics</t>
  </si>
  <si>
    <t>B0FKM8K5QX</t>
  </si>
  <si>
    <t>https://amazon.com/dp/B0FKM8K5QX</t>
  </si>
  <si>
    <t>DEPSTECH 7'' IPS Endoscope Camera with Lights, 1080P Triple-Lens Digital Borescope Tool, Inspection Camera with Split Screen, Sound Recording, 16.5ft IP67 Waterproof Snake Cable, 180° Rotation View</t>
  </si>
  <si>
    <t>Two-Way Articulating Borescope Camera with Light, DEPSTECH Industrial Endoscope with Articulated Probe, Flexible Mechanic Snake Inspection Camera for Wall Automotive Engine Inspect-5FT</t>
  </si>
  <si>
    <t>B0DPX48VZB</t>
  </si>
  <si>
    <t>https://amazon.com/dp/B0DPX48VZB</t>
  </si>
  <si>
    <t>50FT Triple Lens Sewer Camera, DEPSTECH Borescope with 5" IPS Screen, 1080P Endoscope with Light, Flexible Snake Inspection for Wall, Plumbing, Automotive Engine Inspect</t>
  </si>
  <si>
    <t>50FT Sewer Inspection Camera, DEPSTECH 1080P Dual Lens Endoscope with Lights, 5" IPS Screen Borescope Tool, Split Screen, IP67 Waterproof, 7.9mm Snake Scope Drain Camera for Wall Drain Pipe Automotive</t>
  </si>
  <si>
    <t>DEPSTECH 5.5mm Industrial Endoscope, 1080P Digital Borescope Inspection Camera with 4.3" Screen, IP67 Waterproof Snake Camera with Lights,16.5FT Semi-Rigid Cable, 32GB Card &amp;Photo Capture,Helpful Tool</t>
  </si>
  <si>
    <t>B094XGX6GQ</t>
  </si>
  <si>
    <t>https://amazon.com/dp/B094XGX6GQ</t>
  </si>
  <si>
    <t>DEPSTECH Upgraded 5'' IPS Endoscope Camera with Light, 1080P HD Borescope for Sewer Inspection, Waterproof Drain Pipe Plumbing Camera, Cool Tech Gadgets for Men</t>
  </si>
  <si>
    <t>Triple Lens Borescope Tool, DEPSTECH 5" IPS Screen Endoscope Camera with Lights, 1080P Sewer Inspection Camera &amp; Split Screen, 180° Rotation, IP67 Snake Cable, Gadget for Automotive Mechanical Repair</t>
  </si>
  <si>
    <t>B0BL7RK5JJ</t>
  </si>
  <si>
    <t>https://amazon.com/dp/B0BL7RK5JJ</t>
  </si>
  <si>
    <t>DEPSTECH Industrial Borescope Tool &amp; 5" IPS Screen, 1080P Dual Lens Endoscope Camera with Lights, Split Screen, IP67 Waterproof Sewer Inspection Camera, 16.5ft Semi-Rigid Snake Cable, Mechanic Gadget</t>
  </si>
  <si>
    <t>B0BFGP4MWB</t>
  </si>
  <si>
    <t>https://amazon.com/dp/B0BFGP4MWB</t>
  </si>
  <si>
    <t>DEPSTECH Dual Lens Endoscope, HD Borescope Inspection Camera with Light, 4.3'' IPS Screen, IP67 Waterproof, 16.5ft Semi-Rigid Snake Camera Cable for Car Wall Drain Pipe</t>
  </si>
  <si>
    <t>DEPSTECH Triple Lens Borescope, 5'' IPS Display Endoscope with Light, Audio Record, 1080P HD Inspection Camera for Automotive Plumbing HVAC, IP67 Sewer Camera, 16.5ft Cable, 32G Card &amp; Case</t>
  </si>
  <si>
    <t>DEPSTECH 5" IPS Screen Borescope with Light, Split Screen View, 1080P HD Sewer Inspection Camera, 16.5FT Plumbing Snake for Home, Automotive</t>
  </si>
  <si>
    <t>DEPSTECH Triple Lens Endoscope with Light, 1080P Handheld Borescope Inspection Camera, Waterproof Snake Camera, 10FT Flexible Automotive Plumbing Tool for iPhone &amp; Android</t>
  </si>
  <si>
    <t>B0CCS1KR5X</t>
  </si>
  <si>
    <t>https://amazon.com/dp/B0CCS1KR5X</t>
  </si>
  <si>
    <t>DEPSTECH 5.5mm Industrial Endoscope, 1080P Digital Borescope Inspection Camera with 4.3" Screen, IP67 Waterproof Snake Camera with Lights,16.5FT Semi-Rigid Cable, 32GB Card &amp;Photo Capture (Orange)</t>
  </si>
  <si>
    <t>B095K8XHY2</t>
  </si>
  <si>
    <t>https://amazon.com/dp/B095K8XHY2</t>
  </si>
  <si>
    <t>Dual Lens Articulating Borescope, DEPSTECH Endoscope Camera with Light, Articulated Probe, Flexible Snake Inspection Camera for Wall, Automotive Engine Inspect-4.92FT</t>
  </si>
  <si>
    <t>B0CXSTNWTW</t>
  </si>
  <si>
    <t>https://amazon.com/dp/B0CXSTNWTW</t>
  </si>
  <si>
    <t>DEPSTECH Hardshell Case for DS300 and DS320 Endoscopes, Fits 4.3'' Screen Borescopes, Wi-Fi, and USB Endoscopes, Sturdy and Lightweight Borescope Carry Case</t>
  </si>
  <si>
    <t>B0CKZ1G66F</t>
  </si>
  <si>
    <t>https://amazon.com/dp/B0CKZ1G66F</t>
  </si>
  <si>
    <t>DEPSTECH 50FT Sewer Inspection Camera with 1080P Dual Lens, Led Light, 5" IPS Screen, Split Screen, IP67 Waterproof Endoscope, 7.9mm Borescope Probe</t>
  </si>
  <si>
    <t>B0CHMT32JF</t>
  </si>
  <si>
    <t>https://amazon.com/dp/B0CHMT32JF</t>
  </si>
  <si>
    <t>DEPSTECH Dual Lens Borescope Camera with Light, Two-Way Articulating Borescope, 5" IPS Dual View Endoscope with 0.33in Slim Probe, 1080P Waterproof Inspection Camera for Wall Auto Engine Inspect-5FT</t>
  </si>
  <si>
    <t>B0FQC32XV7</t>
  </si>
  <si>
    <t>https://amazon.com/dp/B0FQC32XV7</t>
  </si>
  <si>
    <t>DEPSTECH DS700SE Triple Lens Endoscope Camera with Lights: 7'' IPS Screen and 16.5FT Flexible Cable Inspection Snake Camera, Industrial Borescope with Video and Sound Recording for Auto, Sewer, Pipe</t>
  </si>
  <si>
    <t>B0FS68V4ZV</t>
  </si>
  <si>
    <t>https://amazon.com/dp/B0FS68V4ZV</t>
  </si>
  <si>
    <t>DEPSTECH Endoscope With Light, FHD Borescope Inspection Camera, Bluart 3.0 Tech, 7mm Slim Probe, 16.4ft Semi-Rigid Cable, IP67 Waterproof Snake Camera for IOS Smartphone, Cool Gadget for Men</t>
  </si>
  <si>
    <t>B0CT8MDJQD</t>
  </si>
  <si>
    <t>https://amazon.com/dp/B0CT8MDJQD</t>
  </si>
  <si>
    <t>DXZtoz Dual-Lens Articulating Borescope, 6.5mm Slim Probe, Two-Way 210°Rotate Industrial Endoscope, 5'' Dual Screen Inspection Camera with Light for Aircraft Automotive Mechanic Electrician-5FT</t>
  </si>
  <si>
    <t>B0DNFL72B5</t>
  </si>
  <si>
    <t>https://amazon.com/dp/B0DNFL72B5</t>
  </si>
  <si>
    <t>DXZtoz 3.9mm Articulating Borescope, Professional Industrial Endoscope Inspection Camera with Super Thin Articulated Camera, Flexible Fiber Optic Scope with Light, Cool Gadgets for Men- 3.3FT</t>
  </si>
  <si>
    <t>Endoscope 4-Piece Accessories Hook Magnet Side View Mirror Set, 8-Piece Accessories, Suitable for Kinpthy W400 W400-B Series</t>
  </si>
  <si>
    <t>B0DBDJ3FK2</t>
  </si>
  <si>
    <t>https://amazon.com/dp/B0DBDJ3FK2</t>
  </si>
  <si>
    <t>Teslong 3.9mm Two-Way Articulating Borescope with Light, 5-inch IPS Endoscope Inspection Camera with Articulated Probe, Flexible Automotive Mechanics Gadgets Fiber Optic Scope Cam-0.15inch</t>
  </si>
  <si>
    <t>B0CLG4LHWP</t>
  </si>
  <si>
    <t>https://amazon.com/dp/B0CLG4LHWP</t>
  </si>
  <si>
    <t>Teslong Dual Lens 360 Articulating Borescope with Light, 5'' Monitor Industrial Inspection Camera with 4-Way Joystick Articulation, HD Endoscope Camera for Automotive and Mechanics (0.24inch-5FT)</t>
  </si>
  <si>
    <t>B0FFGZC3WX</t>
  </si>
  <si>
    <t>https://amazon.com/dp/B0FFGZC3WX</t>
  </si>
  <si>
    <t>Teslong Rifle Borescope for Phone &amp; PC, USB C Bore Scope Camera with Lights &amp; Mirror Set, Fits .20 Caliber &amp; Larger, Flexible Gun Cleaning Camera, Compatible with iPhone 15/16 &amp; USB-C Android Devices</t>
  </si>
  <si>
    <t>B0DRP8LPF8</t>
  </si>
  <si>
    <t>https://amazon.com/dp/B0DRP8LPF8</t>
  </si>
  <si>
    <t>Dual Lens Endoscope with 5" Monitor, Teslong NTS500 Industrial Waterproof Borescope Inspection Camera with 0.21in Front &amp; Side-View Double Lens with 9.8FT Probe, 5-Inch IPS LCD Screen &amp; Case</t>
  </si>
  <si>
    <t>B07SQ4FLYX</t>
  </si>
  <si>
    <t>https://amazon.com/dp/B07SQ4FLYX</t>
  </si>
  <si>
    <t>Teslong Two-Way Articulating Borescope with Light, USB-C Endoscope Inspection Camera with 5FT Semi-Rigid Probe, Flexible Snake Scope for Home Repair, Automotive, Compatible with iPhone 15/16 &amp; Android</t>
  </si>
  <si>
    <t>B0F2H49C2D</t>
  </si>
  <si>
    <t>https://amazon.com/dp/B0F2H49C2D</t>
  </si>
  <si>
    <t>Dual Lens Endoscope Camera with Light, Teslong 4.5" HD Snake Borescope Inspection Camera, Automotive Scope Cam with Flexible Cable, Home Waterproof Fiber Optic for Sewer Drain Pipe (16.5FT)</t>
  </si>
  <si>
    <t>Triple Lens Borescope with 7" IPS Screen, Teslong 1080P HD Industrial Endoscope Inspection Camera with Light, 16.5FT Flexible Automotive Mechanic Scope Tool, Waterproof Pipe Snake Camera in Wall Cam</t>
  </si>
  <si>
    <t>B0C4H7RJY7</t>
  </si>
  <si>
    <t>https://amazon.com/dp/B0C4H7RJY7</t>
  </si>
  <si>
    <t>Teslong Rigid Rifle Borescope, 0.2inch Rod Digital Gun Barrel Bore Scope Gun Cleaning Camera-Fits .20 Caliber &amp; Larger Hunting Shooting Firearms, 26inch Long Insertion Tube &amp; 4.5inch 1080P HD Screen</t>
  </si>
  <si>
    <t>B08D9GDQD5</t>
  </si>
  <si>
    <t>https://amazon.com/dp/B08D9GDQD5</t>
  </si>
  <si>
    <t>Teslong Rifle Borescope for Phone &amp; PC, USB C Gun Bore Scope Cleaning Camera with Lights &amp; Mirror Set, Fits .20 Caliber &amp; Larger, Rigid Probe, Compatible with iPhone 15/16 &amp; USB-C Android Devices</t>
  </si>
  <si>
    <t>B0DRP5MDLL</t>
  </si>
  <si>
    <t>https://amazon.com/dp/B0DRP5MDLL</t>
  </si>
  <si>
    <t>Teslong Endoscope Replacement Cable with Light, Dual Lens Inspection Camera 5.5mm/0.21inch Waterproof Probe Compatible with NTS500, NTS300(3.3FT)</t>
  </si>
  <si>
    <t>B08QCCZHC6</t>
  </si>
  <si>
    <t>https://amazon.com/dp/B08QCCZHC6</t>
  </si>
  <si>
    <t>Teslong Autofocus Articulating Borescope, 5-inch IPS Endoscope Inspection Camera with Two-Way Articulation Auto Focus Probe, Industrial Fiber Optic Scope for Automotive Mechanics (0.24inch-5FT)</t>
  </si>
  <si>
    <t>B0D97DVVN3</t>
  </si>
  <si>
    <t>https://amazon.com/dp/B0D97DVVN3</t>
  </si>
  <si>
    <t>Teslong Rigid Rifle Borescope with 5" Monitor, Bore Inspection Camera Visual Gun Cleaning System-Fits .20 Caliber &amp; Larger-w/26-inch Long Insertion Tube, 5-inch IPS Screen, Right Angle Mirror</t>
  </si>
  <si>
    <t>B095HLSYJ6</t>
  </si>
  <si>
    <t>https://amazon.com/dp/B095HLSYJ6</t>
  </si>
  <si>
    <t>Dual Lens Endoscope Camera with Light, Teslong 4.3" HD Snake Borescope Inspection Camera, Automotive Scope Cam with Flexible Cable, Home Waterproof Fiber Optic for Sewer Drain Pipe (3.3FT)</t>
  </si>
  <si>
    <t>Dual Lens Endoscope with Light, Teslong USB-C Borescope Inspection Camera with 8+1 LED Lights, Flexible Waterproof Fiber Optic Snake Camera Scope Compatible with iPhone 15, Android Phone(10FT)</t>
  </si>
  <si>
    <t>B0CF1VCDBD</t>
  </si>
  <si>
    <t>https://amazon.com/dp/B0CF1VCDBD</t>
  </si>
  <si>
    <t>Dual Lens Endoscope Camera with Light, Teslong 4.3" HD Snake Borescope Inspection Camera, Automotive Scope Cam with Flexible Cable, Home Waterproof Fiber Optic for Sewer Drain Pipe (16.5FT)</t>
  </si>
  <si>
    <t>Teslong Telescopic Camera with Light, 4.5" IPS Screen Endoscope Inspection Camera with 5FT Telescoping Pole, IP67 Waterproof Flexible Borescope for Home Ceiling, Wall, Chimney, Automotive &amp; HVAC</t>
  </si>
  <si>
    <t>Teslong 50FT USB-C Borescope Inspection Camera with Light, Flexible Waterproof Endoscope Snake Cable, Compatible Only with iPhone 15/16, USB-C iPads &amp; Android Phones for DIY Pipe &amp; Drain Inspection</t>
  </si>
  <si>
    <t>B0FNMZP57S</t>
  </si>
  <si>
    <t>https://amazon.com/dp/B0FNMZP57S</t>
  </si>
  <si>
    <t>Teslong Ultra-Thin 3.9mm Industrial Endoscope with Lights, 6" IPS Screen Hnadle Borescope Automotive Mechanic Inspection Camera with 6000mAh Battery, 5FT Flexible Waterproof Gooseneck Probe</t>
  </si>
  <si>
    <t>B0DRNW1YY9</t>
  </si>
  <si>
    <t>https://amazon.com/dp/B0DRNW1YY9</t>
  </si>
  <si>
    <t>Dual Lens Endoscope Camera with Light, Teslong 4.5" HD Snake Borescope Inspection Camera, Automotive Scope with Flexible Cable, Home Waterproof Fiber Optic for Sewer Drain Pipe (10FT)</t>
  </si>
  <si>
    <t>5FT Dual Lens Probe, 5mm/0.2inch Diameter Semi-Rigid Cable Compatible with MS450 Inspection Camera</t>
  </si>
  <si>
    <t>B0BTNSJ4PZ</t>
  </si>
  <si>
    <t>https://amazon.com/dp/B0BTNSJ4PZ</t>
  </si>
  <si>
    <t>Teslong Endoscope Replacement Cable with Light, Single Lens Inspection Camera 3.9mm/0.15inch Waterproof Probe Compatible with NTS500, NTS300(3.3FT)</t>
  </si>
  <si>
    <t>B0DBHT4HVX</t>
  </si>
  <si>
    <t>https://amazon.com/dp/B0DBHT4HVX</t>
  </si>
  <si>
    <t>Teslong Endoscope Replacement Cable with Light, Triple Lens Inspection Camera 7.9mm/0.3inch Waterproof Probe Compatible with NTS500, NTS300(16.5FT)</t>
  </si>
  <si>
    <t>B09WMFVTWJ</t>
  </si>
  <si>
    <t>https://amazon.com/dp/B09WMFVTWJ</t>
  </si>
  <si>
    <t>Dual Lens Endoscope with Light, Teslong USB-C Inspection Camera with 8+1 LED Lights, Flexible Waterproof Fiber Optic Snake Scope Compatible with iPhone 15, Android(16.5FT)</t>
  </si>
  <si>
    <t>B0DYH3JJL5</t>
  </si>
  <si>
    <t>https://amazon.com/dp/B0DYH3JJL5</t>
  </si>
  <si>
    <t>Teslong Articulating Borescope, Autofocus 5-inch IPS Industrial Endoscope Inspection Camera with Two-Way Articulation Auto Focus Probe, Fiber Optic Scope for Automotive Mechanics (0.33inch-5FT)</t>
  </si>
  <si>
    <t>B0D9JFTZX5</t>
  </si>
  <si>
    <t>https://amazon.com/dp/B0D9JFTZX5</t>
  </si>
  <si>
    <t>Teslong Endoscope Replacement Cable with Light, Dual Lens Inspection Camera 5.5mm/0.21inch Waterproof Probe Compatible with NTS500, NTS300(10FT)</t>
  </si>
  <si>
    <t>B08QCN6B9G</t>
  </si>
  <si>
    <t>https://amazon.com/dp/B08QCN6B9G</t>
  </si>
  <si>
    <t>Teslong Endoscope Replacement Cable with Light, Single Lens Inspection Camera 5.5mm/0.21inch Waterproof Probe Compatible with NTS500, NTS300(3.3FT)</t>
  </si>
  <si>
    <t>B08QCP8YFM</t>
  </si>
  <si>
    <t>https://amazon.com/dp/B08QCP8YFM</t>
  </si>
  <si>
    <t>Teslong USB-C Adapter Cable for NTG100 Rifle Borescope – Compatible with iPhone 15/16 and Android Devices</t>
  </si>
  <si>
    <t>B0F2SD9VBX</t>
  </si>
  <si>
    <t>https://amazon.com/dp/B0F2SD9VBX</t>
  </si>
  <si>
    <t>Teslong Endoscope Replacement Cable with Light, Dual Lens Inspection Camera 8mm/0.31inch Waterproof Probe Compatible with NTS500, NTS300(16.5FT)</t>
  </si>
  <si>
    <t>B08QCCLCKW</t>
  </si>
  <si>
    <t>https://amazon.com/dp/B08QCCLCKW</t>
  </si>
  <si>
    <t>Teslong Endoscope Replacement Cable with Light, Single Lens Inspection Camera 5.5mm/0.21inch Waterproof Probe Compatible with NTS500, NTS300(10FT)</t>
  </si>
  <si>
    <t>B08QCZQMJ4</t>
  </si>
  <si>
    <t>https://amazon.com/dp/B08QCZQMJ4</t>
  </si>
  <si>
    <t>10FT Single Lens Probe, 3.9mm/0.15inch Diameter Semi-Rigid Cable Compatible with MS450 Inspection Camera</t>
  </si>
  <si>
    <t>B0D9JGJG5R</t>
  </si>
  <si>
    <t>https://amazon.com/dp/B0D9JGJG5R</t>
  </si>
  <si>
    <t>Acoath Borescope Endoscope Camera with Light, Dual-Lens 1080P HD Industrial Inspection Camera with 8 LED Lights, 16.5Ft Semi-Rigid Snake Cable, 5" IPS Screen, 32GB Card, IP67 Waterproof Sewer Tools</t>
  </si>
  <si>
    <t>B0DRSCP6DN</t>
  </si>
  <si>
    <t>https://amazon.com/dp/B0DRSCP6DN</t>
  </si>
  <si>
    <t>Acoath Borescope Endoscope Camera with Light, Dual-Lens 1080P HD Industrial Inspection Camera with 8 LED Lights, 33Ft Semi-Rigid Snake Cable, 5" IPS Screen, 32GB Card, IP67 Waterproof Sewer Tools</t>
  </si>
  <si>
    <t>B0DRSBKCW3</t>
  </si>
  <si>
    <t>https://amazon.com/dp/B0DRSBKCW3</t>
  </si>
  <si>
    <t>Acoath Borescope Endoscope Camera with Light, Dual-Lens 1080P HD Industrial Inspection Camera with 8 LED Lights, 9.8Ft Semi-Rigid Snake Cable, 5"IPS Screen, 32GB Card, IP67 Waterproof Sewer Tools</t>
  </si>
  <si>
    <t>B0DRSF5Q5Z</t>
  </si>
  <si>
    <t>https://amazon.com/dp/B0DRSF5Q5Z</t>
  </si>
  <si>
    <t>Display</t>
  </si>
  <si>
    <t>Lens diameter</t>
  </si>
  <si>
    <t>Cable length</t>
  </si>
  <si>
    <t>Lens count</t>
  </si>
  <si>
    <t>2/4-way</t>
  </si>
  <si>
    <t>2-way</t>
  </si>
  <si>
    <t>4.5"</t>
  </si>
  <si>
    <t>4.3"</t>
  </si>
  <si>
    <t>8mm</t>
  </si>
  <si>
    <t>Single</t>
  </si>
  <si>
    <t>5ft</t>
  </si>
  <si>
    <t>4-way</t>
  </si>
  <si>
    <t>8.5mm</t>
  </si>
  <si>
    <t>5.5ft</t>
  </si>
  <si>
    <t>10ft</t>
  </si>
  <si>
    <t>Dual</t>
  </si>
  <si>
    <t>5.0"</t>
  </si>
  <si>
    <t>5.5mm</t>
  </si>
  <si>
    <t>6.0"</t>
  </si>
  <si>
    <t>Triple</t>
  </si>
  <si>
    <t>50ft</t>
  </si>
  <si>
    <t>16.5ft</t>
  </si>
  <si>
    <t>6.5mm</t>
  </si>
  <si>
    <t>No camera</t>
  </si>
  <si>
    <t>App</t>
  </si>
  <si>
    <t>3.9mm</t>
  </si>
  <si>
    <t>32.8ft</t>
  </si>
  <si>
    <t>Outlier</t>
  </si>
  <si>
    <t>B0DPHJSPBY</t>
  </si>
  <si>
    <t>FOXWELL 2-Way Articulating Borescope Camera with Light, 0.24in Industrial Endoscope Inspection Camera with Articulated Snake Cameras, HD Video Scope for Automotive Engine HVAC Inspection - 5.25FT</t>
  </si>
  <si>
    <t>foxwell</t>
  </si>
  <si>
    <t>6.2mm</t>
  </si>
  <si>
    <t>5.25ft</t>
  </si>
  <si>
    <t>https://amazon.com/dp/B0DPHJSPBY</t>
  </si>
  <si>
    <t>B0D9M3Q7FK</t>
  </si>
  <si>
    <t>Two-Way Articulating Borescope Camera with Light, KAIWEETS 0.33in Industrial Endoscope Camera with Light, 5FT Flexible Snake Inspection Scope for Automotive and Aircraft Mechanics</t>
  </si>
  <si>
    <t>kaiweets</t>
  </si>
  <si>
    <t>https://amazon.com/dp/B0D9M3Q7FK</t>
  </si>
  <si>
    <t>B0CM3FBXJT</t>
  </si>
  <si>
    <t>VEVOR Sewer Inspection Camera, 300 ft/91.5 m, 9" Pipeline Camera w/DVR &amp; 512Hz Locator, IP68 Waterproof, 12 LEDs, 16 GB SD Card for Sewer, Drain &amp; Duct Pipe Plumbing</t>
  </si>
  <si>
    <t>vevor</t>
  </si>
  <si>
    <t>Sewer camera</t>
  </si>
  <si>
    <t>9.0"</t>
  </si>
  <si>
    <t>23mm</t>
  </si>
  <si>
    <t>300ft</t>
  </si>
  <si>
    <t>https://amazon.com/dp/B0CM3FBXJT</t>
  </si>
  <si>
    <t>6mm</t>
  </si>
  <si>
    <t>B0D54NQWZH</t>
  </si>
  <si>
    <t>Klein Tools ET17 Utility Borescope with 5.5 mm 9.8-Foot Waterproof Gooseneck Snake, LEDs, 4.3-Inch LCD, Attachments, Endoscope Inspection Camera</t>
  </si>
  <si>
    <t>klein tools</t>
  </si>
  <si>
    <t>9.8ft</t>
  </si>
  <si>
    <t>https://amazon.com/dp/B0D54NQWZH</t>
  </si>
  <si>
    <t>B0DT45G8F3</t>
  </si>
  <si>
    <t>Epicmate Triple Lens Sewer Inspection Camera-Endoscope Camera with Light 50 ft, 5" IPS Sewer Snake Camera with Lights 1080P Industrial Borescope, IP67 Waterproof Plumbing Pipe Snake Camera(32G Card)</t>
  </si>
  <si>
    <t>bestisan</t>
  </si>
  <si>
    <t>Portrait</t>
  </si>
  <si>
    <t>https://amazon.com/dp/B0DT45G8F3</t>
  </si>
  <si>
    <t>B0FBX2NSHL</t>
  </si>
  <si>
    <t>gogolux Two-Way Articulating Borescope Camera with Light, 1920P HD Articulating Endoscope with Semi-Rigid Snake Camera, IP67 Waterproof Inspection, Gifts/Tools Bore Scope for Men for iPhone</t>
  </si>
  <si>
    <t>gogolux</t>
  </si>
  <si>
    <t>5.6ft</t>
  </si>
  <si>
    <t>https://amazon.com/dp/B0FBX2NSHL</t>
  </si>
  <si>
    <t>B0C9GR791B</t>
  </si>
  <si>
    <t>VEVOR Articulating Borescope Camera with Light, Two-Way Articulated Endoscope Inspection Camera with 6.4mm Tiny Lens, 5" IPS 1080P HD Screen, 8X Zoom, 8 LED Light Snake Cameras for Auto, Plumbing</t>
  </si>
  <si>
    <t>6.4mm</t>
  </si>
  <si>
    <t>https://amazon.com/dp/B0C9GR791B</t>
  </si>
  <si>
    <t>B0DSW1DKTZ</t>
  </si>
  <si>
    <t>Ralcam 360° Articulating Borescope Dual Lens, 5'' Joystick 4 Ways Industrial Endoscope Camera with Light, 6.5mm Slim Probe, 5.0FT Semi-Rigid Snake Inspection Camera for Automotive Mechanics</t>
  </si>
  <si>
    <t>ralcam</t>
  </si>
  <si>
    <t>https://amazon.com/dp/B0DSW1DKTZ</t>
  </si>
  <si>
    <t>B0DLDS8N7D</t>
  </si>
  <si>
    <t>Klein Tools ET19 Wi-Fi Pro Borescope with Dual-Lens, 5.5 mm 9.8-Foot Armored Waterproof Gooseneck Snake, LEDs, 4.3-Inch LCD, Endoscope Inspection</t>
  </si>
  <si>
    <t>https://amazon.com/dp/B0DLDS8N7D</t>
  </si>
  <si>
    <t>B0C64RBKJL</t>
  </si>
  <si>
    <t>Ralcam 360° Articulating Borescope, 6.2mm/0.24in Slim Probe, Joystick 4 Ways Endoscope Inspection Camera with Light, 3.3 FT Flexible Snake Tube for Automotive, HVAC, Mechanics</t>
  </si>
  <si>
    <t>https://amazon.com/dp/B0C64RBKJL</t>
  </si>
  <si>
    <t>B0DWSNQWJ1</t>
  </si>
  <si>
    <t>Endoscope Camera with Light: 4.3" Inspection Borescope Camera for Sewer - 16.4ft Waterproof Industrial Endoscope - Flexible Snake Bore Scope for Plumbing Automotive</t>
  </si>
  <si>
    <t>https://amazon.com/dp/B0DWSNQWJ1</t>
  </si>
  <si>
    <t>B0DH1XWTKK</t>
  </si>
  <si>
    <t>Endoscope Camera with Light: Dual Lens Industrial Endoscope Borescope - 1080P HD Borescope Camera with Light- 16.4FT Flexible Waterproof Inspection Bore Scope for Plumbing Automotive Sewer</t>
  </si>
  <si>
    <t>https://amazon.com/dp/B0DH1XWTKK</t>
  </si>
  <si>
    <t>B0DNJJYG53</t>
  </si>
  <si>
    <t>Endoscope Camera with Light, Pancellent 1920P Inspection Snake, HD Color Display, Waterproof Industrial Borescope with 8 Adjustable LED,16.5ft Semi-Rigid Cable Sewer Camera (Getting Start Level)</t>
  </si>
  <si>
    <t>2.4"</t>
  </si>
  <si>
    <t>https://amazon.com/dp/B0DNJJYG53</t>
  </si>
  <si>
    <t>B0F2PQTT1G</t>
  </si>
  <si>
    <t>1920P HD 10FT Endoscope with Light, Borescope with 8 Adjustable LED Lights, USB Type C, Inspection Camera with Semi-Rigid Snake Cable for Android and iOS Smartphones, iPhone, iPad. KEEMIKA</t>
  </si>
  <si>
    <t>keemika</t>
  </si>
  <si>
    <t>https://amazon.com/dp/B0F2PQTT1G</t>
  </si>
  <si>
    <t>33ft</t>
  </si>
  <si>
    <t>B0FMY9WR1H</t>
  </si>
  <si>
    <t>Vorth Endoscope Camera with Light, 1920P HD Borescope with 8 LED Lights, 16.5 FT Semi-Rigid Snake Inspection Camera, IP67 Waterproof Drain Pipe Borescope Mens Tool for iOS and Android</t>
  </si>
  <si>
    <t>vorth</t>
  </si>
  <si>
    <t>https://amazon.com/dp/B0FMY9WR1H</t>
  </si>
  <si>
    <t>B0DXKXXNLJ</t>
  </si>
  <si>
    <t>3.9mm Endoscope Camera with Light NIDAGE 1920P HD Industrial Borescope Inspection Camera with 4.3" IPS Screen, 5FT Semi-Rigid Cable, IP67 Waterproof Snake Cam for Car Engine Aircraft Mechanic Tools</t>
  </si>
  <si>
    <t>nidage</t>
  </si>
  <si>
    <t>https://amazon.com/dp/B0DXKXXNLJ</t>
  </si>
  <si>
    <t>B0C2P7KP5D</t>
  </si>
  <si>
    <t>1920P Endoscope Snake Inspection Camera, Lightswim Type C Borescope, Scope Camera with 8 LED Lights for Android and iOS Smartphone, iPhone, iPad, Samsung (16.5 FT/5M)</t>
  </si>
  <si>
    <t>https://amazon.com/dp/B0C2P7KP5D</t>
  </si>
  <si>
    <t>B0BV98JZ22</t>
  </si>
  <si>
    <t>SKYBASIC Industrial Endoscope Borescope Camera with Light, 4.3'' HD Digital Handheld Waterproof Sewer Tools Snake Inspection Camera with 8 LED Lights 16.5FT Semi-Rigid Cable, Gadgets for Men</t>
  </si>
  <si>
    <t>skybasic</t>
  </si>
  <si>
    <t>https://amazon.com/dp/B0BV98JZ22</t>
  </si>
  <si>
    <t>B0DNCQ3HYR</t>
  </si>
  <si>
    <t>CTEOUNPT Endoscope Camera with Light, 1920P HD Borescope Inspection Camera with 8 Adjustable LEDs, IP67 Waterproof Semi-Rigid 16.4ft Snake Cable for Android, iPhone, and iPad(Single Lens)</t>
  </si>
  <si>
    <t>cteounpt</t>
  </si>
  <si>
    <t>https://amazon.com/dp/B0DNCQ3HYR</t>
  </si>
  <si>
    <t>B0DSFQV89R</t>
  </si>
  <si>
    <t>https://amazon.com/dp/B0DSFQV89R</t>
  </si>
  <si>
    <t>Anysun 9'' Sewer Camera Self Leveling, Length Marker, 5100mAh, IPS Screen, HD 1080P with DVR - 32GB, IP68 Sewer Pipe Cam, Sewer Scope Pipe Drain Plumbing Inspection Cameras Borescope Snake (100Ft/30M)</t>
  </si>
  <si>
    <t>B0FK294Z6X</t>
  </si>
  <si>
    <t>https://amazon.com/dp/B0FK294Z6X</t>
  </si>
  <si>
    <t>Anysun Sewer Camera with 512hz sonde, Self Leveling Sewer Inspection Camera 100ft with 7MM Cable and Meter Marker, 9'' Monitor and DVR, 12 Adjustable Lights(32GB Card)</t>
  </si>
  <si>
    <t>B0CYSS11DP</t>
  </si>
  <si>
    <t>https://amazon.com/dp/B0CYSS11DP</t>
  </si>
  <si>
    <t>Anysun 100ft Pipe Video Inspection Camera with 512Hz Sonde and Receiver, Waterproof Drain Plumbing Camera Snake with 7' LCD Monitor DVR Recorder (8GB SD Card Included)</t>
  </si>
  <si>
    <t>B093SVJZRZ</t>
  </si>
  <si>
    <t>https://amazon.com/dp/B093SVJZRZ</t>
  </si>
  <si>
    <t>Anysun Sewer Camera Self-Leveling, Distance Counter, 7MM Diameter Cable, Microphone/DVR, 100FT/30M Sewer Pipe Inspection Camera with 9'' HD 1080P IPS Screen, Plumbing Camera IP68 Waterproof -32GB Card</t>
  </si>
  <si>
    <t>B0D7HQ7MQQ</t>
  </si>
  <si>
    <t>https://amazon.com/dp/B0D7HQ7MQQ</t>
  </si>
  <si>
    <t>Anysun Self Leveling Sewer Inspection Camera with Distance Counter, 7MM Thicker Cable, 100Ft with 9'' 1080P Screen &amp; DVR, IP68 Waterproof Drain Pipe Camera Borescope with Light, 32GB Card</t>
  </si>
  <si>
    <t>B0D5M7WTV8</t>
  </si>
  <si>
    <t>https://amazon.com/dp/B0D5M7WTV8</t>
  </si>
  <si>
    <t>Sewer Camera with Locator, Anysun 165ft Pipe Video Inspection Camera with 512Hz Sonde and Receiver, 7” LCD Monitor DVR Recorder, IP68 Waterproof (8GB SD Card Included)</t>
  </si>
  <si>
    <t>B093SXC6X7</t>
  </si>
  <si>
    <t>https://amazon.com/dp/B093SXC6X7</t>
  </si>
  <si>
    <t>Anysun Sewer Camera Self Leveling with Distance Counter, 7MM Thicker Cable, 165Ft/50M Pipe Inspection Camera with 9'' 1080P IPS Screen, Video Drain Camera IP68 Industrial Borescope Snake, 32GB Card</t>
  </si>
  <si>
    <t>B0D5M8F5Z3</t>
  </si>
  <si>
    <t>https://amazon.com/dp/B0D5M8F5Z3</t>
  </si>
  <si>
    <t>Anysun Self-Leveling Sewer Camera with Distance Counter, 0.28in/7mm Diameter 165ft Cable, 9'' 1080P IPS Screen, Pipe Inspection Camera with DVR Recording-32GB</t>
  </si>
  <si>
    <t>B0DWS2LD48</t>
  </si>
  <si>
    <t>https://amazon.com/dp/B0DWS2LD48</t>
  </si>
  <si>
    <t>Anysun Sewer Camera with 512hz Sonde 150ft, Self Leveling Sewer Inspection Camera with Distance Counter, 7MM Diameter Cable with Trolley and Wheels, 9" HD Monitor with DVR Drain Pipe Camera(32GB Card)</t>
  </si>
  <si>
    <t>B0DNW97B3J</t>
  </si>
  <si>
    <t>https://amazon.com/dp/B0DNW97B3J</t>
  </si>
  <si>
    <t>Anysun Self Leveling Sewer Camera 150ft with Distance Counter, Drain Pipe Camera with 9'' 1080P IPS Monitor, Video Recorder with MIC, 7MM Cable with 12 Lights(32GB Card)</t>
  </si>
  <si>
    <t>B0DJ7H7Q3J</t>
  </si>
  <si>
    <t>https://amazon.com/dp/B0DJ7H7Q3J</t>
  </si>
  <si>
    <t>Anysun Self Leveling Sewer Camera 512Hz with Distance Counter, MIC, 7MM Thicker Cable, 100Ft Pipe Inspection Cameras with 9'' 1080P Screen, Video Drain Cam IP68 Industrial Borescope Snake, 32GB Card</t>
  </si>
  <si>
    <t>B0FFMQ54P9</t>
  </si>
  <si>
    <t>https://amazon.com/dp/B0FFMQ54P9</t>
  </si>
  <si>
    <t>Anysun Sewer Inspection Camera - 100ft with 7" Monitor, DVR, 16GB Card, 12 Lights, Plumbing Pipe Camera for Plumber &amp; Homeowner</t>
  </si>
  <si>
    <t>B0C3D9GLTK</t>
  </si>
  <si>
    <t>https://amazon.com/dp/B0C3D9GLTK</t>
  </si>
  <si>
    <t>Sewer Camera Self Leveling, Anysun Sewer Inspection Camera 100ft with 9'' Monitor and DVR Recorder with 32GB Card, Meter Marker, 12 Adjustable Lights</t>
  </si>
  <si>
    <t>B0CLLJSCJ9</t>
  </si>
  <si>
    <t>https://amazon.com/dp/B0CLLJSCJ9</t>
  </si>
  <si>
    <t>Anysun Sewer Camera with 512hz sonde, Self Leveling Sewer Inspection Camera 150ft with 7MM Cable and Meter Marker, 9'' Monitor and DVR, 12 Adjustable Lights(32GB Card)</t>
  </si>
  <si>
    <t>B0CYSTX8HK</t>
  </si>
  <si>
    <t>https://amazon.com/dp/B0CYSTX8HK</t>
  </si>
  <si>
    <t>Anysun Sewer Inspection Camera with Locator, 165ft Pipe Camera with 512Hz Sonde Transmitter and Receiver, IP68 Waterproof Industrial Plumbing Endoscope Drain Snake Cam with 7" LCD Monitor</t>
  </si>
  <si>
    <t>B09441WDJ9</t>
  </si>
  <si>
    <t>https://amazon.com/dp/B09441WDJ9</t>
  </si>
  <si>
    <t>Anysun Sewer Camera Self-Leveling, Distance Counter, 7MM Diameter Cable, Microphone/DVR, 300FT/91.5M Sewer Pipe Inspection Camera with 9'' HD 1080P IPS Screen, Plumbing Camera IP68 Waterproof -32GB</t>
  </si>
  <si>
    <t>B0D7HRSBK7</t>
  </si>
  <si>
    <t>https://amazon.com/dp/B0D7HRSBK7</t>
  </si>
  <si>
    <t>Anysun Sewer Camera with Locator, Distance Counter, Self-Leveling Pipe Inspection Camera 100FT 0.28in/7mm Diameter Cable, 9'' 1080P IPS Screen Plumbing Cam with DVR Recording-32GB</t>
  </si>
  <si>
    <t>B0D72PXLG7</t>
  </si>
  <si>
    <t>https://amazon.com/dp/B0D72PXLG7</t>
  </si>
  <si>
    <t>Anysun Sewer Camera with Locator, Self Leveling Sewer Inspection Camera 165ft with Meter Marker, 9'' Monitor and DVR Recorder, 512hz Locator for Plumber, Homeowner(16GB Card)</t>
  </si>
  <si>
    <t>B0CRL4S23X</t>
  </si>
  <si>
    <t>https://amazon.com/dp/B0CRL4S23X</t>
  </si>
  <si>
    <t>Anysun Sewer Camera with Locator, Self-Leveling, Distance Counter, 100ft Pipe Inspection Camera, DVR Recorder, 9'' 1080P IPS Monitor, IP68 Waterproof, Black</t>
  </si>
  <si>
    <t>B0DGCZ99ZM</t>
  </si>
  <si>
    <t>https://amazon.com/dp/B0DGCZ99ZM</t>
  </si>
  <si>
    <t>ANYSUN Sewer Camera's Accessories Camera with 512hz Sonde</t>
  </si>
  <si>
    <t>B09HTJP92P</t>
  </si>
  <si>
    <t>https://amazon.com/dp/B09HTJP92P</t>
  </si>
  <si>
    <t>Anysun Sewer Camera with Locator, Self Leveling Sewer Inspection Camera 100ft with Distance Counter, 9'' 1080P IPS Monitor and Video Recorder with MIC, 7MM Cable with 12 Lights(32GB Card)</t>
  </si>
  <si>
    <t>B0DJ7J5NMH</t>
  </si>
  <si>
    <t>https://amazon.com/dp/B0DJ7J5NMH</t>
  </si>
  <si>
    <t>Self-Leveling Sewer Camera 100FT, Anysun 9" HD Screen Pipe Borescope Drain Inspection with 12pcs LED Light, DVR Recorder with 32GB Card, IP68 Waterproof Plumbing Cam, 7mm Cable with Meter Marks</t>
  </si>
  <si>
    <t>B0BJKTWZBV</t>
  </si>
  <si>
    <t>https://amazon.com/dp/B0BJKTWZBV</t>
  </si>
  <si>
    <t>Anysun Self Leveling Sewer Camera 512Hz with Distance Counter, MIC, 7MM Thicker Cable, 165Ft Pipe Inspection Cameras with 9'' 1080P Screen, Video Drain Cam IP68 Industrial Borescope Snake, 32GB Card</t>
  </si>
  <si>
    <t>B0FFML9DVK</t>
  </si>
  <si>
    <t>https://amazon.com/dp/B0FFML9DVK</t>
  </si>
  <si>
    <t>Anysun Sewer Camera - 1080P HD Drain Snake with 9" IPS Monitor and 100ft Cable, IP68 Waterproof Pipe Inspection Camera with DVR Recording and 16GB Memory Card</t>
  </si>
  <si>
    <t>B0BJ733KVW</t>
  </si>
  <si>
    <t>https://amazon.com/dp/B0BJ733KVW</t>
  </si>
  <si>
    <t>Anysun Sewer Camera Self-Leveling, 512Hz Transmitter, Distance Counter, 7MM Diameter Cable, Microphone/DVR, 165FT/50M Pipe Inspection Camera, 9'' HD 1080P IPS Screen Plumbing Camera IP68-32GB</t>
  </si>
  <si>
    <t>B0D736PNX1</t>
  </si>
  <si>
    <t>https://amazon.com/dp/B0D736PNX1</t>
  </si>
  <si>
    <t>Anysun Self-Leveling Sewer Camera with Locator, 9'' IPS Monitor, 100ft Cable, IP68 Waterproof Pipe Inspection Camera, DVR Recording Function, 16GB Memory Card</t>
  </si>
  <si>
    <t>B0BTYF8KX6</t>
  </si>
  <si>
    <t>https://amazon.com/dp/B0BTYF8KX6</t>
  </si>
  <si>
    <t>Anysun Sewer Inspection Camera with 512Hz Sonde, Self-Leveling, 100ft Distance, 1080P Monitor, IP68 Plumbing Endoscope</t>
  </si>
  <si>
    <t>B0BRYYQ9TV</t>
  </si>
  <si>
    <t>https://amazon.com/dp/B0BRYYQ9TV</t>
  </si>
  <si>
    <t>Sewer Camera Self Leveling, Anysun Sewer Inspection Camera 150ft with 9'' Monitor and DVR Recorder with 32GB Card, Meter Marker, 12 Adjustable Lights</t>
  </si>
  <si>
    <t>B0DDXDMTPR</t>
  </si>
  <si>
    <t>https://amazon.com/dp/B0DDXDMTPR</t>
  </si>
  <si>
    <t>Anysun Self-Leveling Sewer Inspection Camera - 100ft, 9" Monitor &amp; DVR, 12 Lights, Plumbing Pipe Camera for Plumbers &amp; Homeowners (16GB Card)</t>
  </si>
  <si>
    <t>B0CWLBH81V</t>
  </si>
  <si>
    <t>https://amazon.com/dp/B0CWLBH81V</t>
  </si>
  <si>
    <t>Anysun Self-Leveling Sewer Camera with 512Hz Sonde Transmitter, 1080P HD Drain Camera with 9'' IPS Monitor and 165ft Cable,IP68 Waterproof Pipe Inspection Camera with DVR and 16GB Memory Card</t>
  </si>
  <si>
    <t>B0C188GCNS</t>
  </si>
  <si>
    <t>https://amazon.com/dp/B0C188GCNS</t>
  </si>
  <si>
    <t>Sewer Camera 65FT, Can Connect External Monitor, Zoom in and Out, IP68 Waterproof, 12 pcs Adjustable Light, Plumbing Snake Cam with DVR Pipe Video Inspection, for Sewer Line, Drain, Duct, Plumbing</t>
  </si>
  <si>
    <t>B0B4SDBMPX</t>
  </si>
  <si>
    <t>https://amazon.com/dp/B0B4SDBMPX</t>
  </si>
  <si>
    <t>Anysun Sewer Camera with Locator, Self Leveling, Distance Counter, 512Hz Pipe Inspection Camera with DVR Recorder, Waterproof IP68 Plumbing Camera, Industrial Drain Camera w 7" HD Color Screen(100Ft)</t>
  </si>
  <si>
    <t>B0C22ZS2FC</t>
  </si>
  <si>
    <t>https://amazon.com/dp/B0C22ZS2FC</t>
  </si>
  <si>
    <t>Self-Leveling Sewer Camera 200FT, Anysun 9" HD Screen DVR Recorder with 32GB Card, IP68 Waterproof Plumbing Cam Pipe Borescope Drain Inspection with 12pcs LED Light, 7mm Cable with Meter Marks</t>
  </si>
  <si>
    <t>B0CBS872G4</t>
  </si>
  <si>
    <t>https://amazon.com/dp/B0CBS872G4</t>
  </si>
  <si>
    <t>Anysun Sewer Camera with Locator, Self Leveling Sewer Inspection Camera 150ft with Distance Counter, 9'' 1080P IPS Monitor and Video Recorder with MIC, 7MM Cable with 12 Lights(32GB Card)</t>
  </si>
  <si>
    <t>B0DJ7L3MCV</t>
  </si>
  <si>
    <t>https://amazon.com/dp/B0DJ7L3MCV</t>
  </si>
  <si>
    <t>Sewer Camera 100FT, Can Connect External Monitor, Zoom in and Out, IP68 Waterproof, 12 pcs Adjustable Light, Plumbing Snake Cam with DVR Pipe Video Inspection, for Sewer Line, Drain, Duct, Plumbing</t>
  </si>
  <si>
    <t>B07PWZ3KKF</t>
  </si>
  <si>
    <t>https://amazon.com/dp/B07PWZ3KKF</t>
  </si>
  <si>
    <t>Anysun Sewer Camera with 512hz sonde, Self Leveling Sewer Inspection Camera 200ft with 7MM Cable and Meter Marker, 9'' Monitor and DVR, 12 Adjustable Lights(32GB Card)</t>
  </si>
  <si>
    <t>B0CYSJHBGQ</t>
  </si>
  <si>
    <t>https://amazon.com/dp/B0CYSJHBGQ</t>
  </si>
  <si>
    <t>Anysun Self-Leveling Sewer Camera with Meter Marking, 9'' IPS Screen, HD 1080P Resolution, 5100mAh Battery, 100ft 5mm Cable Sewer Drain Video Inspection Camera with DVR Recorder and 32GB SD Card</t>
  </si>
  <si>
    <t>B0FKB5XRTJ</t>
  </si>
  <si>
    <t>https://amazon.com/dp/B0FKB5XRTJ</t>
  </si>
  <si>
    <t>Anysun Self-Leveling Sewer Camera with Locator, 9'' Pipe Drain Inspection System, 100ft Meter Marker Cable, DVR, 12 Adjustable Lights for Plumbing Snake</t>
  </si>
  <si>
    <t>B0CQK1GSHP</t>
  </si>
  <si>
    <t>https://amazon.com/dp/B0CQK1GSHP</t>
  </si>
  <si>
    <t>Sewer Camera with Locator, 165ft Sewer Inspection Camera with 512Hz Transmitter and Receiver, Plumbing Camera with 7'' LCD Monitor IP68 Waterproof Pipe Camera DVR Recorder with 8GB SD Card</t>
  </si>
  <si>
    <t>B0B4CWFVBY</t>
  </si>
  <si>
    <t>https://amazon.com/dp/B0B4CWFVBY</t>
  </si>
  <si>
    <t>Sewer Camera with Locator, Anysun Self Leveling Sewer Inspection Camera with Distance Counter, 165ft Cable with 9'' 1080P HD Monitor and DVR 32GB Card, IP68 Waterproof with 12 Lights</t>
  </si>
  <si>
    <t>B0DBZP6GCT</t>
  </si>
  <si>
    <t>https://amazon.com/dp/B0DBZP6GCT</t>
  </si>
  <si>
    <t>Anysun Sewer Camera Self-Leveling with 512Hz Sonde, 9" HD Screen DVR Recorder, IP68 Waterproof Plumbing Pipe Borescope Inspection, 7mm Cable with Meter Marks(150FT)</t>
  </si>
  <si>
    <t>B0FPQRJL3Z</t>
  </si>
  <si>
    <t>https://amazon.com/dp/B0FPQRJL3Z</t>
  </si>
  <si>
    <t>Anysun Sewer Inspection Camera - 100ft with 512Hz Transmitter, Receiver &amp; 7" LCD Monitor - IP68 Waterproof Pipe Camera DVR Recorder (8GB SD Card)</t>
  </si>
  <si>
    <t>B0B2JT9WQD</t>
  </si>
  <si>
    <t>https://amazon.com/dp/B0B2JT9WQD</t>
  </si>
  <si>
    <t>Sewer Camera with Locator, Anysun Self Leveling Sewer Inspection Camera with Distance Counter, 100ft Cable with 9'' 1080P HD Monitor and DVR 32GB Card, IP68 Waterproof with 12 Lights</t>
  </si>
  <si>
    <t>B0DKNWKKHB</t>
  </si>
  <si>
    <t>https://amazon.com/dp/B0DKNWKKHB</t>
  </si>
  <si>
    <t>Anysun 9" Replacement Screen for Sewer Camera Mode 9DX23, High-Resolution LCD Screen, Compatible with Anysun HBUDS Pipe Inspection Cameras System-CR110-9DX23</t>
  </si>
  <si>
    <t>B0F1Y5TN2Q</t>
  </si>
  <si>
    <t>https://amazon.com/dp/B0F1Y5TN2Q</t>
  </si>
  <si>
    <t>Sewer Camera, Can Connect External Monitor, Zoom in and Out, IP68 Waterproof, 12 pcs Adjustable Light, Plumbing Snake Cam with DVR Pipe Video Inspection, for Sewer Line, Drain, Duct, Plumbing(165FT)</t>
  </si>
  <si>
    <t>B07PBZZKJD</t>
  </si>
  <si>
    <t>https://amazon.com/dp/B07PBZZKJD</t>
  </si>
  <si>
    <t>Anysun Self-Leveling Sewer Camera with Locator, Drain Camera 100ft Cable 9'' IPS Monitor, IP68 Waterproof Pipe Inspection Camera with DVR Recording Funcation and 16GB Memory Card</t>
  </si>
  <si>
    <t>B0DSZR774M</t>
  </si>
  <si>
    <t>https://amazon.com/dp/B0DSZR774M</t>
  </si>
  <si>
    <t>Pipe Camera's Kit Cable Used for Brand Anysun HBUDS Sewer Camera 100ft Extension Cable for Pipe Camera,100ft Cable Parts for Pipe Inspection Camera(30M/100FT Cable) (30m/100ft)</t>
  </si>
  <si>
    <t>B0B2VN9NCN</t>
  </si>
  <si>
    <t>https://amazon.com/dp/B0B2VN9NCN</t>
  </si>
  <si>
    <t>Sewer Camera Self Leveling, Anysun Sewer Inspection Camera 200ft with 9'' Monitor and DVR Recorder with 32GB Card, Meter Marker, 12 Adjustable Lights</t>
  </si>
  <si>
    <t>B0BHKH6JFR</t>
  </si>
  <si>
    <t>https://amazon.com/dp/B0BHKH6JFR</t>
  </si>
  <si>
    <t>Anysun Replacement Cable with Meter Marker and Box, Sewer Inspection Camera Part Only for Anysun 9DX23 Series Sewer Camera</t>
  </si>
  <si>
    <t>B0D1CG3JXK</t>
  </si>
  <si>
    <t>https://amazon.com/dp/B0D1CG3JXK</t>
  </si>
  <si>
    <t>Anysun Sewer Camera 100ft Snake Cam with Distance Counter DVR Video Sewer Pipe Inspection Equipment 7 inch LCD Monitor Duct HVAC 1000TVL Endoscope Waterproof IP68 Camera (8GB SD Card)</t>
  </si>
  <si>
    <t>B07RGV67HY</t>
  </si>
  <si>
    <t>https://amazon.com/dp/B07RGV67HY</t>
  </si>
  <si>
    <t>Sewer Camera with Self-Leveling, Can Connect External Monitor, Zoom in and Out, IP68 Waterproof, 12 pcs Adjustable Light, Plumbing Cam with DVR, for Sewer Line, Drain, Duct, Plumbing (165FT)</t>
  </si>
  <si>
    <t>B0CYGX2KY3</t>
  </si>
  <si>
    <t>https://amazon.com/dp/B0CYGX2KY3</t>
  </si>
  <si>
    <t>Anysun Sewer Camera with 512Hz Sonde Transmitter, Self Leveling &amp; Distance Counter, 100Ft Pipe Inspection Camera with DVR Recorder, 9'' 1080P IPS Monitor, IP68 Waterproof, 16GB Card</t>
  </si>
  <si>
    <t>B0DDXT2242</t>
  </si>
  <si>
    <t>https://amazon.com/dp/B0DDXT2242</t>
  </si>
  <si>
    <t>Sewer Camera 100FT with 512HZ Sonde, Anysun 9" HD Screen Pipe Drain Inspection with 12pcs Light, DVR Recorder with 32GB Card, IP68 Waterproof Plumbing Cam, 7mm Cable with Depth Marker</t>
  </si>
  <si>
    <t>B0DG8V6BSC</t>
  </si>
  <si>
    <t>https://amazon.com/dp/B0DG8V6BSC</t>
  </si>
  <si>
    <t>Anysun Replacement Camera Head with 512hz Transmitter, IP68 Waterproof HD Sewer Inspection Camera Head Accessories for SY985, 5100 Series</t>
  </si>
  <si>
    <t>B0CH7QT9YD</t>
  </si>
  <si>
    <t>https://amazon.com/dp/B0CH7QT9YD</t>
  </si>
  <si>
    <t>Sewer Camera,100ft Plumbing Drain Camera with DVR 30M Cable Industrial Endoscope Waterproof IP68 Cable Snake Video System with 7 Inch LCD Monitor 1000TVL DVR Recorder</t>
  </si>
  <si>
    <t>B07T7G66P8</t>
  </si>
  <si>
    <t>https://amazon.com/dp/B07T7G66P8</t>
  </si>
  <si>
    <t>Sewer Camera Self Leveling, Anysun Sewer Inspection Camera 300ft with 9'' Monitor and DVR Recorder with 32GB Card, Meter Marker, 12 Adjustable Lights</t>
  </si>
  <si>
    <t>B0DD781TXP</t>
  </si>
  <si>
    <t>https://amazon.com/dp/B0DD781TXP</t>
  </si>
  <si>
    <t>Sewer Camera with Locator, Anysun 100FT with 512HZ Locator Set and Receiver for Drain Plumbing Video Inspection 7'' LCD HD Screen Waterproof IP68 Cameras with 12pcs LED Light(8GB SD Card-DVR Record)</t>
  </si>
  <si>
    <t>B09HSBR5RG</t>
  </si>
  <si>
    <t>https://amazon.com/dp/B09HSBR5RG</t>
  </si>
  <si>
    <t>Anysun Sewer Camera with Locator, Self-Leveling Drain Camera with 9'' IPS Monitor and 100ft Cable, IP68 Waterproof Pipe Inspection Camera with DVR Recording Funcation and 16GB Memory Card</t>
  </si>
  <si>
    <t>B0BK8NHFJQ</t>
  </si>
  <si>
    <t>https://amazon.com/dp/B0BK8NHFJQ</t>
  </si>
  <si>
    <t>Sewer Camera with Self-Leveling, Built-in Distance Counter, Can Connect External Monitor, Zoom in and Out, IP68 Waterproof, 12 pcs Adjustable Light, Plumbing Drain Video Cam with DVR (100FT)</t>
  </si>
  <si>
    <t>B0CYGYXDXZ</t>
  </si>
  <si>
    <t>https://amazon.com/dp/B0CYGYXDXZ</t>
  </si>
  <si>
    <t>Sewer Camera with Locator, Anysun 165FT with 512HZ Locator Set and Receiver for Drain Plumbing Video Inspection 7'' LCD HD Screen Waterproof IP68 Cameras with 12pcs LED Light(8GB SD Card-DVR Record)</t>
  </si>
  <si>
    <t>B09HSC4Q8Y</t>
  </si>
  <si>
    <t>https://amazon.com/dp/B09HSC4Q8Y</t>
  </si>
  <si>
    <t>Anysun Sewer Camera with 512Hz Sonde, Self-Leveling 9" HD Screen DVR Recorder, 32GB Card, IP68 Waterproof Plumbing Pipe Borescope Inspection, 7mm Cable with Meter Marks(300FT)</t>
  </si>
  <si>
    <t>B0CQYQQ78G</t>
  </si>
  <si>
    <t>https://amazon.com/dp/B0CQYQQ78G</t>
  </si>
  <si>
    <t>Pipe Camera's Kit Cable Used for Brand Anysun HBUDS Sewer Camera 165ft Extension Cable for Pipe Camera,165ft Cable Parts for Pipe Inspection Camera(50M/165FT Cable) (50m/165ft)</t>
  </si>
  <si>
    <t>B0B2VGF8L5</t>
  </si>
  <si>
    <t>https://amazon.com/dp/B0B2VGF8L5</t>
  </si>
  <si>
    <t>Sewer Camera with Locator, Anysun Self Leveling Sewer Inspection Camera with Distance Counter, 132ft Cable with 9'' 1080P HD Monitor and DVR 32GB Card, IP68 Waterproof with 12 Lights</t>
  </si>
  <si>
    <t>B0DKNX4RP9</t>
  </si>
  <si>
    <t>https://amazon.com/dp/B0DKNX4RP9</t>
  </si>
  <si>
    <t>Camera Head for Pipe Inspection Camera Waterproof (IP68) Industrial Endoscope Video Inspection System Camera Head</t>
  </si>
  <si>
    <t>B08HH9899J</t>
  </si>
  <si>
    <t>https://amazon.com/dp/B08HH9899J</t>
  </si>
  <si>
    <t>Sewer Camera 165ft , 512Hz Sonde Transmitter Plumbing Camera Snake with DVR Recorder, Inspection Cam with 7" LCD Monitor with Fiber Optic Cable Wire (8 GB SD Card Included) (165ft/50m)</t>
  </si>
  <si>
    <t>B08QYX32R7</t>
  </si>
  <si>
    <t>https://amazon.com/dp/B08QYX32R7</t>
  </si>
  <si>
    <t>Replacement Cable, Anysun Sewer Camera Parts Only for Anysun SY958 Series Sewer Inspection Camera</t>
  </si>
  <si>
    <t>B0D9VVW5XV</t>
  </si>
  <si>
    <t>https://amazon.com/dp/B0D9VVW5XV</t>
  </si>
  <si>
    <t>ANYSUN Sewer Camera's Accessories- 9' Screen (Model： 9DX)</t>
  </si>
  <si>
    <t>B0CNLB131J</t>
  </si>
  <si>
    <t>https://amazon.com/dp/B0CNLB131J</t>
  </si>
  <si>
    <t>Sewer Camera 150FT with 512HZ Sonde, Anysun 9" HD Screen Pipe Drain Inspection with 12pcs Light, DVR Recorder with 32GB Card, IP68 Waterproof Plumbing Cam, 7mm Cable with Depth Marker</t>
  </si>
  <si>
    <t>B0BVMFRKGZ</t>
  </si>
  <si>
    <t>https://amazon.com/dp/B0BVMFRKGZ</t>
  </si>
  <si>
    <t>Anysun Sewer Inspection Camera Self Leveling, Distance Counter, 7MM 100 Ft Cable, Pipe Camera with 9'' Screen DVR, IP68 Waterproof Plumbing Snake Camera for Pipe Inspection</t>
  </si>
  <si>
    <t>B0DDT8PRQ7</t>
  </si>
  <si>
    <t>https://amazon.com/dp/B0DDT8PRQ7</t>
  </si>
  <si>
    <t>ANYSUN Sewer Camera's Accessories Camera (Buil-t-in 512hz Sonde and Self-Leveling Function)</t>
  </si>
  <si>
    <t>B0CYL6LHWC</t>
  </si>
  <si>
    <t>https://amazon.com/dp/B0CYL6LHWC</t>
  </si>
  <si>
    <t>Anysun Sewer Camera Self Leveling with 512Hz Sonde, 7MM Thick Pushrod, Length Mark, 32GB Card, 9'' HD Monitor with DVR, 300Ft Sewer Scope Pipe Drain Inspection Camera IP68 Borescope w/Adjustable LEDs</t>
  </si>
  <si>
    <t>B0DKX9FZ8M</t>
  </si>
  <si>
    <t>https://amazon.com/dp/B0DKX9FZ8M</t>
  </si>
  <si>
    <t>Anysun 5860 Model Sewer Camear Monitor Replacement, Only for Anysun 5860 Serie Sewer Camera System</t>
  </si>
  <si>
    <t>B0DL9J7SQ5</t>
  </si>
  <si>
    <t>https://amazon.com/dp/B0DL9J7SQ5</t>
  </si>
  <si>
    <t>Anysun 5860 Model Sewer Camear Black Control Box Replacement, Including Monitor and Battery, Only for Anysun 5860 Serie Sewer Camera System</t>
  </si>
  <si>
    <t>B0DK6XRYRH</t>
  </si>
  <si>
    <t>https://amazon.com/dp/B0DK6XRYRH</t>
  </si>
  <si>
    <t>ANYSUN Sewer Camera's Accessories- Cable (100FT)</t>
  </si>
  <si>
    <t>B09HKTGBPK</t>
  </si>
  <si>
    <t>https://amazon.com/dp/B09HKTGBPK</t>
  </si>
  <si>
    <t>Anysun Sewer Inspection Camera, 7MM 165 Ft Cable, Pipe Camera with 9" Screen, IP68 Waterproof, Self-Leveling, Distance Counter, 8 Hr Battery Life</t>
  </si>
  <si>
    <t>B0DDT5FW1B</t>
  </si>
  <si>
    <t>https://amazon.com/dp/B0DDT5FW1B</t>
  </si>
  <si>
    <t>Anysun 512Hz Sewer Camera Head Transmitter, Sewer Camera Head Replacement Locator 0.9inch / 23mm Camera Head Built-in 512Hz Sonde Transmitter for Anysun HBUDS Pipe Inspection Camera</t>
  </si>
  <si>
    <t>B0CQ28WJT1</t>
  </si>
  <si>
    <t>https://amazon.com/dp/B0CQ28WJT1</t>
  </si>
  <si>
    <t>Anysun Screen for 7D1 Sewer Camera, 7 Inch LCD Monitor</t>
  </si>
  <si>
    <t>B0B6YNP8N2</t>
  </si>
  <si>
    <t>https://amazon.com/dp/B0B6YNP8N2</t>
  </si>
  <si>
    <t>Anysun 9" Replacement Screen for Sewer Camera Mode 9DX7, High-Resolution LCD Screen, Compatible with Anysun HBUDS Pipe Inspection Cameras System-CR110-9DX7</t>
  </si>
  <si>
    <t>B0FY4YCYG7</t>
  </si>
  <si>
    <t>https://amazon.com/dp/B0FY4YCYG7</t>
  </si>
  <si>
    <t>Anysun Sewer Snake Cam with DVR, 100ft Plumbing Camera, 4.3" LCD Monitor, 17mm Mini Camera with 8 LED Lights, IP68 Waterproof, 16GB Memory Card</t>
  </si>
  <si>
    <t>B0CNGTPJWD</t>
  </si>
  <si>
    <t>https://amazon.com/dp/B0CNGTPJWD</t>
  </si>
  <si>
    <t>Anysun Black Camera Cover Protective Cover for 22mm &amp; 23mm Sewer Camera Pipe Inspection Camera, 2pcs</t>
  </si>
  <si>
    <t>B0D2ZPKZ3G</t>
  </si>
  <si>
    <t>https://amazon.com/dp/B0D2ZPKZ3G</t>
  </si>
  <si>
    <t>Anysun Self-Leveling Sewer Camera with Meter Marking, 9'' IPS Screen, HD 1080P Resolution, 5100mAh Battery, 165ft 5mm Cable Sewer Drain Video Inspection Camera with DVR Recorder and 32GB SD Card</t>
  </si>
  <si>
    <t>B0FKB6Q7DF</t>
  </si>
  <si>
    <t>https://amazon.com/dp/B0FKB6Q7DF</t>
  </si>
  <si>
    <t>Anysun Sewer Camera with Locator Set, Self-Leveling, 7mm Cable with Depth Marker, IP68 Waterproof Plumbing Endoscope Drain Snake Camera with 9'' Color Screen, 12pcs Light, Recorder with 32GB(100FT)</t>
  </si>
  <si>
    <t>B0DGQTDMBN</t>
  </si>
  <si>
    <t>https://amazon.com/dp/B0DGQTDMBN</t>
  </si>
  <si>
    <t>Anysun Sewer Camera with 512Hz Sonde, Self-Leveling 9" HD Screen DVR Recorder, 32GB Card, IP68 Waterproof Plumbing Pipe Borescope Inspection, 7mm Cable with Meter Marks(200FT)</t>
  </si>
  <si>
    <t>B0CPFFY5PY</t>
  </si>
  <si>
    <t>https://amazon.com/dp/B0CPFFY5PY</t>
  </si>
  <si>
    <t>Anysun Self Leveling Sewer Inspection Camera - 165ft, 9" 1080P IPS Screen, DVR 16GB Card, IP68 Waterproof Plumbing Drain Camera with 12 Lights</t>
  </si>
  <si>
    <t>B0DCJMR14T</t>
  </si>
  <si>
    <t>https://amazon.com/dp/B0DCJMR14T</t>
  </si>
  <si>
    <t>Anysun Sewer Camera Part, Replacement Cmaera Head Center Wheel Protective Cover for Any 23mm Sewer Inspection Camera</t>
  </si>
  <si>
    <t>B0D25K6FZJ</t>
  </si>
  <si>
    <t>https://amazon.com/dp/B0D25K6FZJ</t>
  </si>
  <si>
    <t>Anysun Sewer Inspection Camera with Locator, Self Leveling, Distance Counter, 7MM 100 Ft Cable, Pipe Camera with 9'' Color Screen DVR, IP68 Waterproof Plumbing Snake Camera for Pipe Inspection</t>
  </si>
  <si>
    <t>B0DDT8XC2S</t>
  </si>
  <si>
    <t>https://amazon.com/dp/B0DDT8XC2S</t>
  </si>
  <si>
    <t>Anysun Sewer Camera with Locator, Self Leveling Sewer Inspection Camera 200ft with Distance Counter, 9'' 1080P IPS Monitor and Video Recorder with MIC, 7MM Cable with 12 Lights(32GB Card)</t>
  </si>
  <si>
    <t>B0DJ7JVYZF</t>
  </si>
  <si>
    <t>https://amazon.com/dp/B0DJ7JVYZF</t>
  </si>
  <si>
    <t>ANYSUN Sewer Camera's Accessories- 7 inch Color Screen</t>
  </si>
  <si>
    <t>B09MFBXTBD</t>
  </si>
  <si>
    <t>https://amazon.com/dp/B09MFBXTBD</t>
  </si>
  <si>
    <t>Pipeline Inspection Camera HD Pipe Sewer Camera's Kit Replace Use for 7D1 Series from Brand Anysun</t>
  </si>
  <si>
    <t>B08X9WQ65K</t>
  </si>
  <si>
    <t>https://amazon.com/dp/B08X9WQ65K</t>
  </si>
  <si>
    <t>Anysun Sewer Inspection Camera with Locator, Self Leveling, Distance Counter, 7MM 165 Ft Cable, Pipe Camera with 10'' Color Screen DVR, IP68 Waterproof Plumbing Snake Camera for Pipe Inspection</t>
  </si>
  <si>
    <t>B0DDT8R3BJ</t>
  </si>
  <si>
    <t>https://amazon.com/dp/B0DDT8R3BJ</t>
  </si>
  <si>
    <t>7 Inch Screen for Anysun 7D1 Pipeline Sewer Inspection Camera</t>
  </si>
  <si>
    <t>B08RHTJ9B4</t>
  </si>
  <si>
    <t>https://amazon.com/dp/B08RHTJ9B4</t>
  </si>
  <si>
    <t>Replacement Sewer Camera Head for Sewer Inspection Camera, Only for Anysun SY3800 Series</t>
  </si>
  <si>
    <t>B0BD4GFCPY</t>
  </si>
  <si>
    <t>https://amazon.com/dp/B0BD4GFCPY</t>
  </si>
  <si>
    <t>Anysun Sewer Camera Cable Bracket, 230Ft/70M, Only for Anysun 5100 All-in-One Pipe Inspection Camera System</t>
  </si>
  <si>
    <t>B0CVZVDNMP</t>
  </si>
  <si>
    <t>https://amazon.com/dp/B0CVZVDNMP</t>
  </si>
  <si>
    <t>anysun Replacement Cable Sewer Camera Parts Only SY958 Series Sewer Inspection Camera</t>
  </si>
  <si>
    <t>B0FJXCH1DG</t>
  </si>
  <si>
    <t>https://amazon.com/dp/B0FJXCH1DG</t>
  </si>
  <si>
    <t>Pipe Inspection Camera 165FT, Anysun Drain Sewer Industrial Endoscope 12 PCS LED Waterproof IP68 Snake Video System with 7 Inch LCD Monitor 1000TVL Camera with DVR Record(Include 8G SD Card)</t>
  </si>
  <si>
    <t>B07RJNLX96</t>
  </si>
  <si>
    <t>https://amazon.com/dp/B07RJNLX96</t>
  </si>
  <si>
    <t>Anysun 512Hz Pipe Locator Receiver and 512Hz Sonde Transmitter for Sewer Inspection, Drain Camera Tools for DIYer or Replacement, for Anysun 7D1 Pipe Inspection Camera</t>
  </si>
  <si>
    <t>B0BP7RP3F2</t>
  </si>
  <si>
    <t>https://amazon.com/dp/B0BP7RP3F2</t>
  </si>
  <si>
    <t>Self-Leveling Sewer Camera 200FT, Anysun 9" HD Screen Pipe Borescope Drain Inspection with 12pcs LED Light, DVR Recorder with 32GB Card, IP68 Waterproof Plumbing Cam, 7mm Cable with Depth Marker</t>
  </si>
  <si>
    <t>B0BJKX93TM</t>
  </si>
  <si>
    <t>https://amazon.com/dp/B0BJKX93TM</t>
  </si>
  <si>
    <t>VEVOR Sewer Camera, 98.4 ft/30 m, 4.3" Pipe Drain Inspection Camera with DVR Function and LED Lights, Waterproof IP68 Borescope, Industrial Endoscope for Home Wall Duct Drain Pipe Plumbing</t>
  </si>
  <si>
    <t>B0CYPV6964</t>
  </si>
  <si>
    <t>https://amazon.com/dp/B0CYPV6964</t>
  </si>
  <si>
    <t>VEVOR Sewer Camera with 512Hz Locator, 98 ft/30 m, Self-Leveling Drain Inspection Camera with 9" 1080P HD Screen, 36X Zoom, Snake Plumbing Cameras with Lights-12 LED, 32GB SD Card for Duct Pipe</t>
  </si>
  <si>
    <t>B0DNMF126P</t>
  </si>
  <si>
    <t>https://amazon.com/dp/B0DNMF126P</t>
  </si>
  <si>
    <t>VEVOR Sewer Camera, 98 ft/30m, 4.3" Drain Inspection Tool, IP68 Waterproof Snake Plumbing Camera with Lights - 6 Adjustable LEDs, 4500mAh Battery &amp; 16GB Card for Sewer Line Duct Pipes</t>
  </si>
  <si>
    <t>B0FPBZ2R5N</t>
  </si>
  <si>
    <t>https://amazon.com/dp/B0FPBZ2R5N</t>
  </si>
  <si>
    <t>VEVOR Sewer Camera, 164ft/50M 4.3" Pipe Drain Inspection Camera with DVR Function &amp; Snake Cable, Waterproof IP68 Borescope w/LED Lights, Industrial Endoscope for Home Wall Duct Drain Pipe Plumbing</t>
  </si>
  <si>
    <t>B098XFG46Y</t>
  </si>
  <si>
    <t>https://amazon.com/dp/B098XFG46Y</t>
  </si>
  <si>
    <t>VEVOR Inspection Camera with Light, Screen Industrial Borescope, 1080P HD Split Screen, LED Lights Scope Camera for Automotive, Plumbing (4.3inch IPS Screen-49.2FT)</t>
  </si>
  <si>
    <t>B0DJGFZQ5X</t>
  </si>
  <si>
    <t>https://amazon.com/dp/B0DJGFZQ5X</t>
  </si>
  <si>
    <t>VEVOR 165 ft/50m Self-Leveling Pipeline Inspection Camera with 9" 1080P HD Screen, 36X Zoom, IP68 Waterproof, 32GB Card, Black</t>
  </si>
  <si>
    <t>B0DNYTF8L4</t>
  </si>
  <si>
    <t>https://amazon.com/dp/B0DNYTF8L4</t>
  </si>
  <si>
    <t>VEVOR Sewer Camera 165ft/50m with 9" Screen, DVR, IP68 Waterproof, 12 LEDs, 16GB SD Card for Sewer Lines, Home Drain Pipes, Ducts &amp; Plumbing</t>
  </si>
  <si>
    <t>B0BV2SYJDK</t>
  </si>
  <si>
    <t>https://amazon.com/dp/B0BV2SYJDK</t>
  </si>
  <si>
    <t>VEVOR Sewer Camera with 512Hz Locator,100 ft/30 m, 7" Pipeline Inspection Kit with DVR Function, IP68, 12 Adjustable LEDs, A 16 GB SD Card for Sewer Line, Home, Duct Drain Pipe Plumbing</t>
  </si>
  <si>
    <t>B0C1BN96WB</t>
  </si>
  <si>
    <t>https://amazon.com/dp/B0C1BN96WB</t>
  </si>
  <si>
    <t>VEVOR Sewer Camera with 512Hz Locator, 98 ft/30 m, 9" Drain Inspection Camera with Self-Leveling, 36X Zoom, Plumbing Camera with Lights-12 LED, 32GB Card, IP68 Waterproof Snake Camera for Duct Pipe</t>
  </si>
  <si>
    <t>B0DNMH4MR6</t>
  </si>
  <si>
    <t>https://amazon.com/dp/B0DNMH4MR6</t>
  </si>
  <si>
    <t>VEVOR Sewer Camera with 512Hz Locator,165 ft/50 m, Self-Leveling Drain Inspection Camera with 9" 1080P HD Screen, 36X Zoom, Snake Plumbing Cameras with Lights-12 LED, 32GB SD Card for Duct Pipe</t>
  </si>
  <si>
    <t>B0DNMHPJR6</t>
  </si>
  <si>
    <t>https://amazon.com/dp/B0DNMHPJR6</t>
  </si>
  <si>
    <t>VEVOR Sewer Camera, 98 ft/30m, Self-Leveling Drain Inspection Tool with 9" 1080P HD Screen, 36X Zoom, IP68 Waterproof Plumbing Camera with Lights-12 LED, 32GB Card for Duct Pipe</t>
  </si>
  <si>
    <t>B0DNMJ1WWW</t>
  </si>
  <si>
    <t>https://amazon.com/dp/B0DNMJ1WWW</t>
  </si>
  <si>
    <t>VEVOR Endoscope Camera with Light, Triple Lens Industrial Borescope, 5" Screen 1080P Inspection Camera, 8 + 2 Lights, IP67 Waterproof Snake Cameras for Automotive, Plumbing (16.4FT Cable, 32GB Card)</t>
  </si>
  <si>
    <t>B0DHRTVQZB</t>
  </si>
  <si>
    <t>https://amazon.com/dp/B0DHRTVQZB</t>
  </si>
  <si>
    <t>VEVOR Borescope Triple Lens Endoscope Camera with Light, 4.5" Screen 1080P Inspection Camera with 10 LED Light, IP67 Waterproof Drain Snake Cameras for Auto, Plumbing(16.5FT Cable, 32GB Card)</t>
  </si>
  <si>
    <t>B0BVMFYQNS</t>
  </si>
  <si>
    <t>https://amazon.com/dp/B0BVMFYQNS</t>
  </si>
  <si>
    <t>VEVOR Sewer Camera with 512Hz Locator, 131 ft/40 m, 7" Pipeline Inspection kit with DVR Function, IP68, 12 Adjustable LEDs, A 16 GB SD Card for Sewer Line, Home, Duct Drain Pipe Plumbing</t>
  </si>
  <si>
    <t>B0C1B657ST</t>
  </si>
  <si>
    <t>https://amazon.com/dp/B0C1B657ST</t>
  </si>
  <si>
    <t>VEVOR Sewer Camera, 65.6 ft/20 m, 4.3" Pipe Drain Inspection Camera with DVR Function and LED Lights, Waterproof IP68 Borescope, Industrial Endoscope for Home Wall Duct Drain Pipe Plumbing</t>
  </si>
  <si>
    <t>B0BYZ4P2ST</t>
  </si>
  <si>
    <t>https://amazon.com/dp/B0BYZ4P2ST</t>
  </si>
  <si>
    <t>VEVOR Sewer Camera, 165 ft/50 m, 7" Screen Pipeline Inspection Camera with DVR Function, Waterproof IP68 Camera, 12pcs Adjustable LED, with a 16 GB SD Card for Sewer Line, Duct Drain Pipe Plumbing</t>
  </si>
  <si>
    <t>B0DNYWC4RS</t>
  </si>
  <si>
    <t>https://amazon.com/dp/B0DNYWC4RS</t>
  </si>
  <si>
    <t>VEVOR Sewer Camera, 150FT, 9" Screen Pipeline Inspection Camera with DVR Function &amp; 8 GB SD Card, Waterproof IP68 Borescope w/LED Lights, Industrial Endoscope for Home Wall Duct Drain Pipe Plumbing</t>
  </si>
  <si>
    <t>B0BTP4K3H7</t>
  </si>
  <si>
    <t>https://amazon.com/dp/B0BTP4K3H7</t>
  </si>
  <si>
    <t>VEVOR Sewer Camera with 512Hz Locator, 165 ft/50 m, 9" Drain Inspection Camera with Self-Leveling, 36X Zoom, Plumbing Cameras with Lights-12 LED, 32GB Card, IP68 Waterproof Snake Cameras for Duct Pipe</t>
  </si>
  <si>
    <t>B0DNMFPQ9L</t>
  </si>
  <si>
    <t>https://amazon.com/dp/B0DNMFPQ9L</t>
  </si>
  <si>
    <t>VEVOR Endoscope Camera with Light, Triple Lens Borescope with 49.2FT Semi-Rigid Cable, 5" Screen 1080P Inspection Camera, 8 + 2 LED Lights, IP67 Waterproof Snake Cameras for Auto, Plumbing (32GB Card)</t>
  </si>
  <si>
    <t>B0DGTFVHF3</t>
  </si>
  <si>
    <t>https://amazon.com/dp/B0DGTFVHF3</t>
  </si>
  <si>
    <t>VEVOR Sewer Camera, 230 ft/70 m, 9" Screen Pipeline Inspection Camera with DVR Function, 12 Adjustable LEDs, 16 GB SD Card, Waterproof IP68 for Sewer Line, Home, Duct Drain Pipe Plumbing</t>
  </si>
  <si>
    <t>B0BV2V59XB</t>
  </si>
  <si>
    <t>https://amazon.com/dp/B0BV2V59XB</t>
  </si>
  <si>
    <t>VEVOR Triple Lens Inspection Camera with Light, 5" IPS Screen Industrial Borescope, 8X Zoom 1080P HD Split Screen, 10 LED Lights Scope Camera for Automotive, Plumbing(16.5FT)</t>
  </si>
  <si>
    <t>B0C2Z9ZK9F</t>
  </si>
  <si>
    <t>https://amazon.com/dp/B0C2Z9ZK9F</t>
  </si>
  <si>
    <t>VEVOR Sewer Camera 300ft/91.5m with 9" Screen, DVR, IP68 Waterproof, 12 LEDs, 16GB SD Card for Sewer Lines, Home Drains, Ducts &amp; Plumbing</t>
  </si>
  <si>
    <t>B0BV2Q92RJ</t>
  </si>
  <si>
    <t>https://amazon.com/dp/B0BV2Q92RJ</t>
  </si>
  <si>
    <t>VEVOR Sewer Camera 393ft/120m with 9" Screen, DVR, IP68 Waterproof, 12 LEDs, 16GB SD Card for Sewer Lines, Home Drains, Ducts &amp; Plumbing</t>
  </si>
  <si>
    <t>B0BV2VFMVZ</t>
  </si>
  <si>
    <t>https://amazon.com/dp/B0BV2VFMVZ</t>
  </si>
  <si>
    <t>VEVOR Sewer Camera, 66 ft/20m, 4.3" Drain Inspection Camera, IP68 Waterproof Snake Plumbing Camera with Lights - 6 Adjustable LEDs, 4500mAh Battery &amp; 16GB Card for Sewer Line Duct Pipes</t>
  </si>
  <si>
    <t>B0FP8M3NW4</t>
  </si>
  <si>
    <t>https://amazon.com/dp/B0FP8M3NW4</t>
  </si>
  <si>
    <t>VEVOR Sewer Camera, 164 ft/50m, 4.3" Drain Inspection Camera, IP68 Waterproof Snake Plumbing Tool with Lights - 6 Adjustable LEDs, 4500mAh Battery &amp; 16GB Card for Sewer Line Duct Pipes</t>
  </si>
  <si>
    <t>B0FP8L21YT</t>
  </si>
  <si>
    <t>https://amazon.com/dp/B0FP8L21YT</t>
  </si>
  <si>
    <t>VEVOR Endoscope Camera with Light, Dual Lens Industrial Borescope, 4.3" Screen 1080P Inspection Camera, 8 + 1 Lights, 4X Zoom, IP67 Waterproof Snake Camera for Auto, Plumbing (16.4FT Cable, 32GB Card)</t>
  </si>
  <si>
    <t>B0DJGFL6B8</t>
  </si>
  <si>
    <t>https://amazon.com/dp/B0DJGFL6B8</t>
  </si>
  <si>
    <t>VEVOR Borescope Triple Lens Endoscope Camera with Light, 4.3" IPS Screen Inspection Camera with 8 + 2 Lights, IP67 Waterproof Snake Scope Cameras for Automotive, Plumbing (16.4FT Cable, 32GB Card)</t>
  </si>
  <si>
    <t>B0DJ6NXXXS</t>
  </si>
  <si>
    <t>https://amazon.com/dp/B0DJ6NXXXS</t>
  </si>
  <si>
    <t>VEVOR 100 ft/30 m Drain Inspection Camera with 7" Screen, IP68 Waterproof, 12 LED Lights, 16GB SD Card for Sewer Line, Duct Drain Pipe Plumbing</t>
  </si>
  <si>
    <t>B0DZ66K1CC</t>
  </si>
  <si>
    <t>https://amazon.com/dp/B0DZ66K1CC</t>
  </si>
  <si>
    <t>VEVOR Sewer Camera, 164 ft/50m, Self-Leveling Drain Inspection Camera with 4.3" 1080P HD Screen, IP68 Waterproof Snake Plumbing Camera with Lights - 12 LEDs &amp; 16GB Card for Sewer Line Duct Pipe</t>
  </si>
  <si>
    <t>B0FPBVG1QJ</t>
  </si>
  <si>
    <t>https://amazon.com/dp/B0FPBVG1QJ</t>
  </si>
  <si>
    <t>VEVOR Endoscope Camera with Light, Dual Lens Borescope for Android &amp; iOS, 1920P HD Inspection Camera, 8 + 1 LED Lights, 2X Zoom, 10FT Snake Cable, IP67 Waterproof</t>
  </si>
  <si>
    <t>B0F6CS8QNY</t>
  </si>
  <si>
    <t>https://amazon.com/dp/B0F6CS8QNY</t>
  </si>
  <si>
    <t>VEVOR Endoscope Camera with 49.2FT Semi-Rigid Cable, 1920P HD Borescope for Android &amp; iOS, Industrial Inspection Tool with Light - 8 LED, 2X Zoom, IP67 Waterproof Snake Camera for Auto, Plumbing</t>
  </si>
  <si>
    <t>B0F6WZPTJZ</t>
  </si>
  <si>
    <t>https://amazon.com/dp/B0F6WZPTJZ</t>
  </si>
  <si>
    <t>VEVOR Endoscope Camera with Light, 1920P HD Borescope for Android &amp; iOS, 8 LED Lights Inspection Camera with 16.4FT Semi-Rigid Cable, 2X Zoom, IP67 Waterproof Snake Scope Camera for Auto, Plumbing</t>
  </si>
  <si>
    <t>B0F6CSNVZJ</t>
  </si>
  <si>
    <t>https://amazon.com/dp/B0F6CSNVZJ</t>
  </si>
  <si>
    <t>VEVOR Endoscope Camera with Light, 1920P HD Borescope for Android &amp; iOS, 8 LED Lights Inspection Camera with 10FT Semi-Rigid Cable, 2X Zoom, IP67 Waterproof Snake Scope Camera for Auto, Plumbing</t>
  </si>
  <si>
    <t>B0F6CTJM12</t>
  </si>
  <si>
    <t>https://amazon.com/dp/B0F6CTJM12</t>
  </si>
  <si>
    <t>Sanyipace Sewer Camera 100FT/30M, Self-Leveling Drain Camera, DVR with Speaker, 1080P Pipe Camera with Distance Counter, 32GB Card, 5mm/0.2-inch Cable, IP68 Waterproof Plumbing Camrea for Sewer Line</t>
  </si>
  <si>
    <t>B0DYDGXG2N</t>
  </si>
  <si>
    <t>https://amazon.com/dp/B0DYDGXG2N</t>
  </si>
  <si>
    <t>Sanyipace Pipe Inspection Camera 165FT/50M, Self-Leveling Sewer Camera, Distance Counter, DVR with Speaker, 32GB Card, 10.1" IPS Screen Plumbing Camera with 12PCS Lights, 5X Zoom, 5mm/0.2-inch Cable</t>
  </si>
  <si>
    <t>B0DY1KCDWW</t>
  </si>
  <si>
    <t>https://amazon.com/dp/B0DY1KCDWW</t>
  </si>
  <si>
    <t>Sanyipace Trolley Sewer Camera 100FT/30M with Self-Leveling, Retractable Handle, Equipped 512Hz Transmitter, Distance Counter, Microphone Speaker Keyboard, 10" Color Screen, 7mm Cable</t>
  </si>
  <si>
    <t>B0DSJGPDB6</t>
  </si>
  <si>
    <t>https://amazon.com/dp/B0DSJGPDB6</t>
  </si>
  <si>
    <t>Sanyipace Sewer Inspection Camera 230FT/70M, Self-Leveling Drain Pipe Camera, Distance Counter, 5-Level Brightness, 1080P Plumbing Camera for Plumber, 32GB Card, 4500mAh Battery, 5mm/0.2-inch Cable</t>
  </si>
  <si>
    <t>B0DYJGWGHB</t>
  </si>
  <si>
    <t>https://amazon.com/dp/B0DYJGWGHB</t>
  </si>
  <si>
    <t>Sanyipace Pipe Locator 512Hz Receiver Locating Wand for Sewer Camera, Higher-Precision Plumbing Drain Camera Detector Tester Tool for Underground Exploration (Not Included Transmitter)</t>
  </si>
  <si>
    <t>B0DP8WKC2J</t>
  </si>
  <si>
    <t>https://amazon.com/dp/B0DP8WKC2J</t>
  </si>
  <si>
    <t>Sanyipace Sewer Camera with Pipe Locator, 7mm/0.28inch Cable, 512Hz, 10.1" IPS Screen, 32GB Card, 165FT/50M Borescope Inspection Camera, DVR with Speaker, for Drain Pipe Plumbing Inspection</t>
  </si>
  <si>
    <t>B0DRP5QBNB</t>
  </si>
  <si>
    <t>https://amazon.com/dp/B0DRP5QBNB</t>
  </si>
  <si>
    <t>Sanyipace Drain Camera 512Hz, Self-Leveling Sewer Camera with Distance Counter, 5X Zoom, 4500mAh Battery, Waterproof Pipe Camera for Plumbing Duct Home Inspection, 66FT/20M Cable, Included 16GB Card</t>
  </si>
  <si>
    <t>B0DPFBKHT4</t>
  </si>
  <si>
    <t>https://amazon.com/dp/B0DPFBKHT4</t>
  </si>
  <si>
    <t>Sanyipace Sewer Camera Self-Leveling 100FT/30M, Drain Camera with 512Hz Transmitter, Meter Counter, Pipe Inspection Cámara with Microphone Speaker DVR Recorder, 32GB TF Card, Guide Wheel (7mm Cable)</t>
  </si>
  <si>
    <t>B0FLVB6GYH</t>
  </si>
  <si>
    <t>https://amazon.com/dp/B0FLVB6GYH</t>
  </si>
  <si>
    <t>Sanyipace Drain Camera 100FT/30M, 23mm/0.9in FHD Sewer Inspection Camera, 5X Zoom, Distance Counter, 9" IPS Screen, DVR &amp; Voice Recorder, 16GB Card, for Sewer Line, Pipe, Duct, Plumbing, Plumber, Home</t>
  </si>
  <si>
    <t>B0C9TP4FVP</t>
  </si>
  <si>
    <t>https://amazon.com/dp/B0C9TP4FVP</t>
  </si>
  <si>
    <t>Sanyipace Portable Sewer Camera with Short-Range Lens, Drain Inspection Camera, 0.7in/18mm IP68 Waterproof Pipe Probe, Length Markers, Perfect Ideal for Plumbers, Homeowners, Contractors (65FT/20M)</t>
  </si>
  <si>
    <t>B0FHVPYYQ7</t>
  </si>
  <si>
    <t>https://amazon.com/dp/B0FHVPYYQ7</t>
  </si>
  <si>
    <t>Sanyipace Sewer Camera 100FT/30M, 0.67in/17mm Pipe Inspection Camera with Light, 5600mAh Battery, Mic &amp; Speaker, 4.3" Screen, 8 LEDs, 1000TVL Plumbing Snake Camera, Included 16GB Card</t>
  </si>
  <si>
    <t>B0DJLM28ZL</t>
  </si>
  <si>
    <t>https://amazon.com/dp/B0DJLM28ZL</t>
  </si>
  <si>
    <t>Sanyipace Sewer Camera 100FT/30M, 512Hz Sonde, Self-Leveling Drain Camera, Distance Counter, 5X Zoom, Video &amp; Voice Recorder, 9" Screen Sewer Pipe Camera for Plumber, Plumbing Camera with 12PCS LEDs</t>
  </si>
  <si>
    <t>B0DPFBK493</t>
  </si>
  <si>
    <t>https://amazon.com/dp/B0DPFBK493</t>
  </si>
  <si>
    <t>Sanyipace Sewer Camera 165FT/50M, 0.67in/17mm Pipe Inspection Camera with Light, 5600mAh Battery, Meter Maker, Mic &amp; Speaker, 4.3" Screen, 8 LEDs, 1000TVL Plumbing Snake Camera, Included 32GB Card</t>
  </si>
  <si>
    <t>B0DP9QQZC1</t>
  </si>
  <si>
    <t>https://amazon.com/dp/B0DP9QQZC1</t>
  </si>
  <si>
    <t>Sanyipace Pipe Inspection Camera, 165FT/50M Sewer With Distance Counter, 1080P Waterproof Drain for Plumbing Duct Inspection, 9" Screen, 4500mAh Battery, 12PCS LED Lights, 5X Zoom</t>
  </si>
  <si>
    <t>B0CN38GJNQ</t>
  </si>
  <si>
    <t>https://amazon.com/dp/B0CN38GJNQ</t>
  </si>
  <si>
    <t>Sanyipace Sewer Camera 165FT/50M with Locator, Self-Leveling, 512Hz Transmitter and Receiver, HD Drain Pipe Camera with Mic Speaker Recorder</t>
  </si>
  <si>
    <t>B0CCDK5GHP</t>
  </si>
  <si>
    <t>https://amazon.com/dp/B0CCDK5GHP</t>
  </si>
  <si>
    <t>Sanyipace 18MM Sewer Camera, 66FT/20M Drain Inspection Camera with Microphone and Speaker, 1080P IP68 Waterproof Pipe Camera with 8 LEDs, Stiff Cable for Drain Duct Plumbing Inspection, 32GB Card</t>
  </si>
  <si>
    <t>B0FHK3NQ4R</t>
  </si>
  <si>
    <t>https://amazon.com/dp/B0FHK3NQ4R</t>
  </si>
  <si>
    <t>Sanyipace Pipe Camera with Locator, 512Hz Sewer Camera with Self-Leveling, 23mm/0.9in Drain Camera with Distance Counter, 5X Zoom, Waterproof Plumbing Inspection Camera with 12 PCS Lights, 66FT/20M</t>
  </si>
  <si>
    <t>B0DPFC825X</t>
  </si>
  <si>
    <t>https://amazon.com/dp/B0DPFC825X</t>
  </si>
  <si>
    <t>HD Pure Cable Coil of Sanyipace Sewer Camera Devices, Length 100FT/30M, Diameter 0.28in/7mm, Excluding Coil Frame</t>
  </si>
  <si>
    <t>B0FQTHB551</t>
  </si>
  <si>
    <t>https://amazon.com/dp/B0FQTHB551</t>
  </si>
  <si>
    <t>Sanyipace Portable Sewer Camera, Short-Distance Pipe Inspection Camera with 5" HD Screen, 0.7in/18mm IP68 Waterproof Probe, Meter Markers, Magnetic Stand for Multiple Viewing Angles (100FT/30M)</t>
  </si>
  <si>
    <t>B0FJFX23ZH</t>
  </si>
  <si>
    <t>https://amazon.com/dp/B0FJFX23ZH</t>
  </si>
  <si>
    <t>Sanyipace Sewer Camera 100FT/30M, 5" IPS HD Inspection Camera with 32GB TF Card, DVR with Speaker, 8 LED Lights, Waterproof Pipe Camera for Drain Pipe Plumbing Sewer Line Inspection</t>
  </si>
  <si>
    <t>B0FHK5GK5M</t>
  </si>
  <si>
    <t>https://amazon.com/dp/B0FHK5GK5M</t>
  </si>
  <si>
    <t>Sanyipace Sewer Camera 100FT/30M, 1080P FHD, Zoom in, Remote Control, Sapphire Lens, Battery Level Display, 12 Adjustable White LEDs, 7'' LCD Screen, Plumbing Pipe Drain Camera, 16GB TF Card</t>
  </si>
  <si>
    <t>B0BR7NB31V</t>
  </si>
  <si>
    <t>https://amazon.com/dp/B0BR7NB31V</t>
  </si>
  <si>
    <t>Sanyipace Sewer Scope Camera, 1080P FHD, 165FT/50M, 5X Zoom in, Remote Control, Sapphire Lens, Battery Level Display, Drain Inspection Camer with 12 Adjustable LED Lights, 7'' LCD Screen,16GB TF Card</t>
  </si>
  <si>
    <t>B0BKSRTCRL</t>
  </si>
  <si>
    <t>https://amazon.com/dp/B0BKSRTCRL</t>
  </si>
  <si>
    <t>Sanyipace Sewer Camera 165FT/50M with WiFi Wireless Transmission, Drain Camera with Lights, Pipe Sewer Scope Inspection Camera with IP68 Waterproof Camera Probe, 7" Color Screen, Camera Guide Wheel</t>
  </si>
  <si>
    <t>B09L5ND94Q</t>
  </si>
  <si>
    <t>https://amazon.com/dp/B09L5ND94Q</t>
  </si>
  <si>
    <t>Sanyipace Sewer Camera 65FT/20M, Self-Leveling Drain Pipe Plumbing Camera with 512Hz Transmitter, Clear Meter Marks, for Plumbers Homeowner Home Inspectors Construction Maintenance Worker</t>
  </si>
  <si>
    <t>B0DP9S17QP</t>
  </si>
  <si>
    <t>https://amazon.com/dp/B0DP9S17QP</t>
  </si>
  <si>
    <t>Sanyipace Sewer Camera 65FT/20M with WiFi Wireless Transmission, Drain Camera with Lights, Pipe Sewer Scope Inspection Camera with IP68 Waterproof Camera Probe, 7" Color Screen, Camera Guide Wheel</t>
  </si>
  <si>
    <t>B0BWXV4PS6</t>
  </si>
  <si>
    <t>https://amazon.com/dp/B0BWXV4PS6</t>
  </si>
  <si>
    <t>Sanyipace Sewer Camera 100FT/30M with 512Hz Transmitter, Drain Camera Pipe Inspection Camera with Self-Leveling, Clear Meter Marks, IP68 Waterproof, 9" HD Color Screen, Video Record up to 128GB</t>
  </si>
  <si>
    <t>B0DP9TKWT4</t>
  </si>
  <si>
    <t>https://amazon.com/dp/B0DP9TKWT4</t>
  </si>
  <si>
    <t>Sanyipace 165FT/50M Drain Camera with Lights, Pipe Sewer Scope with IP68 Waterproof Probe, 7" Color Screen, 16GB SD Card, Camera Guide Wheel</t>
  </si>
  <si>
    <t>B09L4Z7T89</t>
  </si>
  <si>
    <t>https://amazon.com/dp/B09L4Z7T89</t>
  </si>
  <si>
    <t>Sanyipace Self-Leveling Sewer Camera 165FT/50M, Drain Camera with 512Hz Transmitter, Pipe Plumbing Camera with Meter Marks, IP68 Waterproof Camera Probe, 9" HD Color Screen, 16GB TF Card</t>
  </si>
  <si>
    <t>B0DP9TL922</t>
  </si>
  <si>
    <t>https://amazon.com/dp/B0DP9TL922</t>
  </si>
  <si>
    <t>Sanyipace Sewer Camera with Locator 65 FT/20 M, Drain Pipe Inspection Camera with Detector, Waterproof Cámara Probe w/h 512Hz Transmitter, Distance Counter, 9" Color Screen, 16GB TF Card, 5mm Cable</t>
  </si>
  <si>
    <t>B09MTFFT74</t>
  </si>
  <si>
    <t>https://amazon.com/dp/B09MTFFT74</t>
  </si>
  <si>
    <t>Sanyipace Sewer Camera with Locator 100 FT/30 M, Drain Pipe Inspection Camera with Detector, Waterproof Cámara Probe w/h 512Hz Transmitter, Distance Counter, 9" Color Screen, 16GB TF Card, 5mm Cable</t>
  </si>
  <si>
    <t>B09MHR62G4</t>
  </si>
  <si>
    <t>https://amazon.com/dp/B09MHR62G4</t>
  </si>
  <si>
    <t>Sanyipace HD Camera Probe for Sewer Camera, 12pcs LED Lights, IP68 Waterproof, Drain Camera Head (ONLY for Sanyipace Model Number: 9723WF, 9723D, 9300D, S8968DM)</t>
  </si>
  <si>
    <t>B09XDVLN1X</t>
  </si>
  <si>
    <t>https://amazon.com/dp/B09XDVLN1X</t>
  </si>
  <si>
    <t>Sanyipace FHD Camera Probe for Sewer Camera, 12pcs LED Lights, IP68 Waterproof, Drain Camera Head (ONLY for Sanyipace Model Number: F927ADFB, S8951DM)</t>
  </si>
  <si>
    <t>B0BVZD1XBM</t>
  </si>
  <si>
    <t>https://amazon.com/dp/B0BVZD1XBM</t>
  </si>
  <si>
    <t>Sanyipace Sewer Camera with Locator 165 FT/50 M, Drain Pipe Inspection Camera with Detector, Waterproof Cámara Probe w/h 512Hz Transmitter, Distance Counter, 9" Color Screen, 16GB TF Card, 5mm Cable</t>
  </si>
  <si>
    <t>B09MTF7YZQ</t>
  </si>
  <si>
    <t>https://amazon.com/dp/B09MTF7YZQ</t>
  </si>
  <si>
    <t>Sanyipace Sewer Camera 100FT with 512Hz Locator, Self-Leveling Drain Camera Pipe Inspection Cámara, Distance Counter, IP68 Waterproof, 9" HD Color Screen, Video Record up to 128GB</t>
  </si>
  <si>
    <t>B0DP9NH88V</t>
  </si>
  <si>
    <t>https://amazon.com/dp/B0DP9NH88V</t>
  </si>
  <si>
    <t>Sanyipace Self-Leveling Sewer Camera 165FT, Drain Plumbing Camera with 512Hz Pipe Locator, Feet Meter Counter, for Plumbers Homeowner Home Inspectors Construction Maintenance Worker</t>
  </si>
  <si>
    <t>B0DP9TH46X</t>
  </si>
  <si>
    <t>https://amazon.com/dp/B0DP9TH46X</t>
  </si>
  <si>
    <t>Sanyipace Sewer Camera Probe with 512Hz Transmitter &amp; Self-Leveling Function, 12 LED Lights, 1080P FHD, IP68 Waterproof (ONLY for Sanyipace Model Number: F5800ADJKABTX, F5100DJKABTX)</t>
  </si>
  <si>
    <t>B0BCK4ZV3G</t>
  </si>
  <si>
    <t>https://amazon.com/dp/B0BCK4ZV3G</t>
  </si>
  <si>
    <t>Sanyipace Sewer Inspection Camera Probe, 0.67in/17mm Camera Lens, 8pcs LED Lights, 1000TVL, IP68 Waterproof (ONLY for Sanyipace Sewer Camera, Model: S8417D)</t>
  </si>
  <si>
    <t>B0CST61RTM</t>
  </si>
  <si>
    <t>https://amazon.com/dp/B0CST61RTM</t>
  </si>
  <si>
    <t>Sanyipace Sewer Camera Probe with Self-Leveling, 512Hz Sone, 1080P FHD Borescope, 12 PCS LED Lights, Plumbing Accessories, IP68 Waterproof (ONLY for Sanyipace Sewer Camera, Model: S610ASMKTCP)</t>
  </si>
  <si>
    <t>B0CZDGRGNZ</t>
  </si>
  <si>
    <t>https://amazon.com/dp/B0CZDGRGNZ</t>
  </si>
  <si>
    <t>Sanyipace Guide Wheels Pipe Pulley of Sewer Camera Probe, for 0.87in/22mm and 0.9in/23mm Diameter Duct Camera Head, Suitable for Pipe Diameters Greater Than 3.7in/95mm Diameter</t>
  </si>
  <si>
    <t>B0BCW5XW19</t>
  </si>
  <si>
    <t>https://amazon.com/dp/B0BCW5XW19</t>
  </si>
  <si>
    <t>Sanyipace Sewer Camera Type-c Adapter, US Plug, Battery Power Charger Adapter for Pipe Inspection Camera, Model: S8417D, Sewer Camera Accessories</t>
  </si>
  <si>
    <t>B0CP3YBTT4</t>
  </si>
  <si>
    <t>https://amazon.com/dp/B0CP3YBTT4</t>
  </si>
  <si>
    <t>Sanyipace Sewer Camera Charger, Drain Camera Accessories, 12V DC Adapter, 100VAC-240VAC/DC, Battery Power Charger for Pipe Camera, Works with All Sanyipace Sewer Cameras Except S8417D - US Plug</t>
  </si>
  <si>
    <t>B0B3DBLPF2</t>
  </si>
  <si>
    <t>https://amazon.com/dp/B0B3DBLPF2</t>
  </si>
  <si>
    <t>Sanyipace Sewer Camera Replacement Parts, ONLY for Sanyipace S8417D Model</t>
  </si>
  <si>
    <t>B0DWMQTVC2</t>
  </si>
  <si>
    <t>https://amazon.com/dp/B0DWMQTVC2</t>
  </si>
  <si>
    <t>Sanyipace Distance Counter for Sewer Camera, ONLY for Sanyipace S610ASMKTCP Model</t>
  </si>
  <si>
    <t>B0DWMLN6VW</t>
  </si>
  <si>
    <t>https://amazon.com/dp/B0DWMLN6VW</t>
  </si>
  <si>
    <t>Sanyipace Sewer Camera 131FT/40M with 512Hz Transmitter, Self-Leveling, Distance Counter, Plumbing Inspection Camera with Microphone Speaker Audio Video Record, 16GB TF Card, Pipe Pulley (7mm Cable)</t>
  </si>
  <si>
    <t>B0BTM3S231</t>
  </si>
  <si>
    <t>https://amazon.com/dp/B0BTM3S231</t>
  </si>
  <si>
    <t>Sanyipace Sewer Camera Probe with 512Hz Transmitter, Without Self-Leveling Function, 12pcs LED Lights, Drain Camera Head (ONLY for Sanyipace: F929DJTX, 9723WF, 9723D, 9300D)</t>
  </si>
  <si>
    <t>B0B3DH6L6Q</t>
  </si>
  <si>
    <t>https://amazon.com/dp/B0B3DH6L6Q</t>
  </si>
  <si>
    <t>Sanyipace Sewer Camera Replacement Cable, ONLY S610ASMKTCP Model, 7mm/0.28-Inch Diameter, 165FT/50M</t>
  </si>
  <si>
    <t>B0DWMNLK1B</t>
  </si>
  <si>
    <t>https://amazon.com/dp/B0DWMNLK1B</t>
  </si>
  <si>
    <t>4-Way 360° Articulating Borescope, Ralcam Joystick 5" Endoscope Camera with Light, 6.2mm/0.24in Slim Snake Inspection Camera with 5.0ft Semi-Rigid Cable for Engine, Pipe, HVAC Inspection</t>
  </si>
  <si>
    <t>B0F8BN91TL</t>
  </si>
  <si>
    <t>https://amazon.com/dp/B0F8BN91TL</t>
  </si>
  <si>
    <t>Two-Way Articulating Borescope for Smartphone&amp;iPhone, Ralcam 8.5mm/0.33inch Endoscope Camera with Light, HD 1080P Inspection Camera Automotive Tool</t>
  </si>
  <si>
    <t>B08Y5S32YV</t>
  </si>
  <si>
    <t>https://amazon.com/dp/B08Y5S32YV</t>
  </si>
  <si>
    <t>Ralcam Two-Way Articulating Borescope, Endoscope Camera with Light 0.24in/6.2mm Articulated Inspection Camera, Semi-Rigid HD Video Snake Scope for Automotive Aircraft Mechanics</t>
  </si>
  <si>
    <t>B0D8SDT9HT</t>
  </si>
  <si>
    <t>https://amazon.com/dp/B0D8SDT9HT</t>
  </si>
  <si>
    <t>Ralcam 360° Articulating Borescope Dual Lens 5'', Joystick 4-Way Industrial Endoscope Camera with Light, 0.25in Slim Probe Flexible Inspection Camera for Automotive Mechanics</t>
  </si>
  <si>
    <t>B0FJLPG74M</t>
  </si>
  <si>
    <t>https://amazon.com/dp/B0FJLPG74M</t>
  </si>
  <si>
    <t>Ralcam 360° Joystick Articulating Borescope, 6.2mm 4 Ways Automotive Endoscope Inspection Camera with 6 Adjustable LED Lights 6.6FT Semi-Rigid Snake Tube</t>
  </si>
  <si>
    <t>B0CZQCQFPZ</t>
  </si>
  <si>
    <t>https://amazon.com/dp/B0CZQCQFPZ</t>
  </si>
  <si>
    <t>Ralcam Two-Way Articulating Borescope, 5.5mm/0.22in Slim Probe, 5" Industrial Endoscope Camera with Light, 8X Zoom 5FT Flexible Snake Inspection Scope for Engine, Automotive, HVAC</t>
  </si>
  <si>
    <t>B0FHGMHLJR</t>
  </si>
  <si>
    <t>https://amazon.com/dp/B0FHGMHLJR</t>
  </si>
  <si>
    <t>Ralcam Dual Lens Articulating Borescope, 6.5mm Slim Probe, 5" Endoscope Camera with Light, 5FT Semi-Rigid Cable, Two-Way Articulated Inspection Camera for Automotive Wall Pipe</t>
  </si>
  <si>
    <t>B0DSVY5LQD</t>
  </si>
  <si>
    <t>https://amazon.com/dp/B0DSVY5LQD</t>
  </si>
  <si>
    <t>Ralcam Articulating Borescope, Industrial Endoscope Inspection Camera for Android and iOS Smartphone, 8.5mm HD 1080P with 10FT Semi Rigid Cable</t>
  </si>
  <si>
    <t>B0DT95GVP1</t>
  </si>
  <si>
    <t>https://amazon.com/dp/B0DT95GVP1</t>
  </si>
  <si>
    <t>Ralcam 3.9mm Two-Way Articulating Borescope, 5 Inch HD Industrial Endoscope Inspection Camera with Light, Stainless Steel Flexible Fiber Optic Scope Camera 0.15in Automotive Mechanics Tool</t>
  </si>
  <si>
    <t>B0FJLL4LY1</t>
  </si>
  <si>
    <t>https://amazon.com/dp/B0FJLL4LY1</t>
  </si>
  <si>
    <t>Ralcam Two-Way Articulating Borescope, 0.33in Industrial Inspection Endoscope Camera with Light, 4.3inch HD Waterproof Flexible Articulated Snake Scope Probe for Mechanic Automotive Engine Wall</t>
  </si>
  <si>
    <t>B0FPX7QDCS</t>
  </si>
  <si>
    <t>https://amazon.com/dp/B0FPX7QDCS</t>
  </si>
  <si>
    <t>Ralcam 3mm Two-Way Articulating Borescope, 5 Inch HD Industrial Endoscope Inspection Camera with Light, Stainless Steel Flexible Fiber Optic Scope Camera 0.12in Automotive Mechanics Tool</t>
  </si>
  <si>
    <t>B0FLNJ8CNL</t>
  </si>
  <si>
    <t>https://amazon.com/dp/B0FLNJ8CNL</t>
  </si>
  <si>
    <t>Ralcam Two-Way 210° Articulating Borescope, 6.2mm Slim Probe USB-C Flexible Endoscope Inspection Camera Compatible with iPhone &amp; Android for Engine, Pipe &amp; HVAC Inspection</t>
  </si>
  <si>
    <t>B0FN38759M</t>
  </si>
  <si>
    <t>https://amazon.com/dp/B0FN38759M</t>
  </si>
  <si>
    <t>Two-Way Articulating Borescope for iPhone &amp; Smartphone, Ralcam 5.5mm/0.21in Endoscope Camera with Light, HD Inspection Snake Camera with Battery for Engine, Pipe, HVAC Inspection</t>
  </si>
  <si>
    <t>B0F5W6HJF8</t>
  </si>
  <si>
    <t>https://amazon.com/dp/B0F5W6HJF8</t>
  </si>
  <si>
    <t>Ralcam 360° Articulating Borescope Camera with Light, 4-Way Joystick Endoscope Inspection Camera, 5 inch 6.0mm Waterproof Snake Scope for Mechanics Automotive Wall Pipe Engine 3.3FT</t>
  </si>
  <si>
    <t>B0CP6P5C3M</t>
  </si>
  <si>
    <t>https://amazon.com/dp/B0CP6P5C3M</t>
  </si>
  <si>
    <t>Ralcam Dual Lens Articulating Borescope 5", 6.5mm Slim Probe, Two-Way Articulated Endoscope Inspection Camera with 5FT Flexible Snake Cable for Engine Automotive HVAC Wall Pipe</t>
  </si>
  <si>
    <t>B0FJLQJ18V</t>
  </si>
  <si>
    <t>https://amazon.com/dp/B0FJLQJ18V</t>
  </si>
  <si>
    <t>Ralcam 360° Articulating Borescope 0.24in, 4-Way Endoscope Camera with Light, 6 LEDs Waterproof Inspection Camera 6.6FT Semi-Rigid Cable for Engine, Pipe &amp; HVAC Inspection</t>
  </si>
  <si>
    <t>B0FJFD212D</t>
  </si>
  <si>
    <t>https://amazon.com/dp/B0FJFD212D</t>
  </si>
  <si>
    <t>Ralcam Two-Way Articulating Borescope, 0.24in/6.2mm Inspection Endoscope Camera with Light HD 6.6FT Semi-Rigid Cable Video Snake Camera Scope for Automotive Aircraft Mechanics</t>
  </si>
  <si>
    <t>B0DXFBLWLJ</t>
  </si>
  <si>
    <t>https://amazon.com/dp/B0DXFBLWLJ</t>
  </si>
  <si>
    <t>Ralcam Two-Way Articulating Borescope with 10FT Semi-Rigid Cable, 0.33in/8.5mm Inspection Endoscope Camera with Light HD Video Snake Camera Scope for Automotive Aircraft Mechanics</t>
  </si>
  <si>
    <t>B0FHCQYXRP</t>
  </si>
  <si>
    <t>https://amazon.com/dp/B0FHCQYXRP</t>
  </si>
  <si>
    <t>Ralcam Articulating Borescope Endoscope Camera with Light, 210° Dual-Direction Snake Camera for Automotive Inspection, 6.2mm Probe, 4.3" HD Screen, 6 Adjustable LEDs, IP67 Waterproof Semi-Rigid Cable</t>
  </si>
  <si>
    <t>B0FX4FQC6Y</t>
  </si>
  <si>
    <t>https://amazon.com/dp/B0FX4FQC6Y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</si>
</sst>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
    <numFmt numFmtId="165" formatCode="#,##0.0"/>
    <numFmt numFmtId="166" formatCode="0.0"/>
    <numFmt numFmtId="167" formatCode="\$#,##0.00"/>
    <numFmt numFmtId="168" formatCode="&quot;$&quot;#,##0.00"/>
    <numFmt numFmtId="169" formatCode="_(* #,##0_);_(* \(#,##0\);_(* &quot;-&quot;??_);_(@_)"/>
  </numFmts>
  <fonts count="22"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theme="1"/>
      <name val="Calibri"/>
      <family val="2"/>
      <scheme val="minor"/>
    </font>
    <font>
      <sz val="10"/>
      <color theme="1"/>
      <name val="Arial"/>
      <family val="2"/>
    </font>
    <font>
      <b/>
      <sz val="12"/>
      <color theme="1"/>
      <name val="Calibri"/>
      <family val="2"/>
    </font>
    <font>
      <b/>
      <sz val="11"/>
      <color theme="1"/>
      <name val="Calibri"/>
      <family val="2"/>
    </font>
    <font>
      <sz val="36"/>
      <color theme="1"/>
      <name val="Calibri"/>
      <family val="2"/>
    </font>
    <font>
      <u/>
      <sz val="12"/>
      <color theme="10"/>
      <name val="Calibri"/>
      <family val="2"/>
      <scheme val="minor"/>
    </font>
    <font>
      <b/>
      <sz val="12"/>
      <name val="Calibri"/>
      <family val="2"/>
    </font>
    <font>
      <sz val="10"/>
      <name val="Arial"/>
      <family val="2"/>
    </font>
    <font>
      <b/>
      <sz val="10"/>
      <name val="Arial"/>
      <family val="2"/>
    </font>
    <font>
      <b/>
      <sz val="36"/>
      <color theme="1"/>
      <name val="Calibri"/>
      <family val="2"/>
    </font>
    <font>
      <sz val="12"/>
      <color theme="1"/>
      <name val="Calibri"/>
      <family val="2"/>
      <scheme val="minor"/>
    </font>
    <font>
      <b/>
      <sz val="11"/>
      <color theme="3"/>
      <name val="Calibri"/>
      <family val="2"/>
      <scheme val="minor"/>
    </font>
    <font>
      <sz val="8"/>
      <name val="Calibri"/>
      <family val="2"/>
      <scheme val="minor"/>
    </font>
    <font>
      <sz val="12"/>
      <color theme="1"/>
      <name val="Calibri (Body)"/>
    </font>
    <font>
      <sz val="12"/>
      <color rgb="FF000000"/>
      <name val="Calibri (Body)"/>
    </font>
    <font>
      <b/>
      <sz val="12"/>
      <color rgb="FF000000"/>
      <name val="Calibri (Body)"/>
    </font>
    <font>
      <b/>
      <sz val="12"/>
      <color theme="1"/>
      <name val="Calibri (Body)"/>
    </font>
  </fonts>
  <fills count="9">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4.9989318521683403E-2"/>
        <bgColor indexed="64"/>
      </patternFill>
    </fill>
    <fill>
      <patternFill patternType="solid">
        <fgColor rgb="FFB5A7D7"/>
        <bgColor indexed="64"/>
      </patternFill>
    </fill>
    <fill>
      <patternFill patternType="solid">
        <fgColor theme="0"/>
        <bgColor indexed="64"/>
      </patternFill>
    </fill>
  </fills>
  <borders count="9">
    <border>
      <left/>
      <right/>
      <top/>
      <bottom/>
      <diagonal/>
    </border>
    <border>
      <left/>
      <right/>
      <top style="double">
        <color rgb="FF000000"/>
      </top>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theme="2" tint="-0.249977111117893"/>
      </left>
      <right style="thin">
        <color theme="0" tint="-0.34998626667073579"/>
      </right>
      <top style="thin">
        <color indexed="64"/>
      </top>
      <bottom style="thin">
        <color indexed="64"/>
      </bottom>
      <diagonal/>
    </border>
    <border>
      <left style="thin">
        <color indexed="64"/>
      </left>
      <right style="thin">
        <color theme="2" tint="-0.249977111117893"/>
      </right>
      <top style="thin">
        <color theme="2" tint="-0.249977111117893"/>
      </top>
      <bottom style="thin">
        <color indexed="64"/>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indexed="64"/>
      </bottom>
      <diagonal/>
    </border>
    <border>
      <left style="thin">
        <color indexed="64"/>
      </left>
      <right style="thin">
        <color theme="2" tint="-0.249977111117893"/>
      </right>
      <top style="thin">
        <color indexed="64"/>
      </top>
      <bottom style="thin">
        <color indexed="64"/>
      </bottom>
      <diagonal/>
    </border>
  </borders>
  <cellStyleXfs count="6">
    <xf numFmtId="0" fontId="0" fillId="0" borderId="0"/>
    <xf numFmtId="0" fontId="10" fillId="0" borderId="0" applyNumberFormat="0" applyFill="0" applyBorder="0" applyAlignment="0" applyProtection="0"/>
    <xf numFmtId="43" fontId="15" fillId="0" borderId="0" applyFont="0" applyFill="0" applyBorder="0" applyAlignment="0" applyProtection="0"/>
    <xf numFmtId="9" fontId="15" fillId="0" borderId="0" applyFont="0" applyFill="0" applyBorder="0" applyAlignment="0" applyProtection="0"/>
    <xf numFmtId="44" fontId="15" fillId="0" borderId="0" applyFont="0" applyFill="0" applyBorder="0" applyAlignment="0" applyProtection="0"/>
    <xf numFmtId="0" fontId="16" fillId="0" borderId="0" applyNumberFormat="0" applyFill="0" applyBorder="0" applyAlignment="0" applyProtection="0"/>
  </cellStyleXfs>
  <cellXfs count="121">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5" fillId="0" borderId="0" xfId="0" applyFont="1"/>
    <xf numFmtId="164" fontId="5" fillId="0" borderId="0" xfId="0" applyNumberFormat="1" applyFont="1"/>
    <xf numFmtId="0" fontId="6" fillId="0" borderId="0" xfId="0" applyFont="1" applyAlignment="1">
      <alignment horizontal="right"/>
    </xf>
    <xf numFmtId="49" fontId="5" fillId="0" borderId="0" xfId="0" applyNumberFormat="1" applyFont="1"/>
    <xf numFmtId="3" fontId="5" fillId="0" borderId="0" xfId="0" applyNumberFormat="1" applyFont="1"/>
    <xf numFmtId="167" fontId="5" fillId="0" borderId="0" xfId="0" applyNumberFormat="1" applyFont="1"/>
    <xf numFmtId="168" fontId="5" fillId="0" borderId="0" xfId="0" applyNumberFormat="1" applyFont="1"/>
    <xf numFmtId="164" fontId="4" fillId="4" borderId="0" xfId="0" applyNumberFormat="1" applyFont="1" applyFill="1" applyAlignment="1">
      <alignment horizontal="center"/>
    </xf>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0" fillId="0" borderId="0" xfId="1"/>
    <xf numFmtId="0" fontId="8" fillId="0" borderId="0" xfId="0" applyFont="1" applyAlignment="1">
      <alignment horizontal="left" vertical="center" wrapText="1"/>
    </xf>
    <xf numFmtId="0" fontId="5"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0" fillId="0" borderId="0" xfId="1" applyAlignment="1">
      <alignment vertical="center" wrapText="1"/>
    </xf>
    <xf numFmtId="2" fontId="0" fillId="0" borderId="0" xfId="0" applyNumberFormat="1" applyAlignment="1">
      <alignment vertical="center" wrapText="1"/>
    </xf>
    <xf numFmtId="1"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168" fontId="11" fillId="3" borderId="0" xfId="0" applyNumberFormat="1" applyFont="1" applyFill="1" applyAlignment="1">
      <alignment horizontal="left" vertical="center" wrapText="1"/>
    </xf>
    <xf numFmtId="164" fontId="11" fillId="3" borderId="0" xfId="0" applyNumberFormat="1" applyFont="1" applyFill="1" applyAlignment="1">
      <alignment horizontal="left" vertical="center" wrapText="1"/>
    </xf>
    <xf numFmtId="0" fontId="11" fillId="5" borderId="0" xfId="0" applyFont="1" applyFill="1" applyAlignment="1">
      <alignment horizontal="left" vertical="center" wrapText="1"/>
    </xf>
    <xf numFmtId="3" fontId="11" fillId="3" borderId="0" xfId="0" applyNumberFormat="1" applyFont="1" applyFill="1" applyAlignment="1">
      <alignment horizontal="left" vertical="center" wrapText="1"/>
    </xf>
    <xf numFmtId="2" fontId="11" fillId="3" borderId="0" xfId="0" applyNumberFormat="1" applyFont="1" applyFill="1" applyAlignment="1">
      <alignment horizontal="left" vertical="center" wrapText="1"/>
    </xf>
    <xf numFmtId="166" fontId="11" fillId="3" borderId="0" xfId="0" applyNumberFormat="1" applyFont="1" applyFill="1" applyAlignment="1">
      <alignment horizontal="left" vertical="center" wrapText="1"/>
    </xf>
    <xf numFmtId="3" fontId="11" fillId="5" borderId="0" xfId="0" applyNumberFormat="1" applyFont="1" applyFill="1" applyAlignment="1">
      <alignment horizontal="left" vertical="center" wrapText="1"/>
    </xf>
    <xf numFmtId="164" fontId="8" fillId="0" borderId="0" xfId="0" applyNumberFormat="1" applyFont="1" applyAlignment="1">
      <alignment horizontal="left" vertical="center" wrapText="1"/>
    </xf>
    <xf numFmtId="3" fontId="8" fillId="0" borderId="0" xfId="0" applyNumberFormat="1" applyFont="1" applyAlignment="1">
      <alignment horizontal="left" vertical="center" wrapText="1"/>
    </xf>
    <xf numFmtId="2" fontId="8" fillId="0" borderId="0" xfId="0" applyNumberFormat="1" applyFont="1" applyAlignment="1">
      <alignment horizontal="left" vertical="center" wrapText="1"/>
    </xf>
    <xf numFmtId="9" fontId="8" fillId="0" borderId="0" xfId="0" applyNumberFormat="1" applyFont="1" applyAlignment="1">
      <alignment horizontal="left" vertical="center" wrapText="1"/>
    </xf>
    <xf numFmtId="164" fontId="7" fillId="0" borderId="0" xfId="0" applyNumberFormat="1" applyFont="1" applyAlignment="1">
      <alignment horizontal="left" vertical="center" wrapText="1"/>
    </xf>
    <xf numFmtId="3" fontId="7" fillId="0" borderId="0" xfId="0" applyNumberFormat="1" applyFont="1" applyAlignment="1">
      <alignment horizontal="left" vertical="center" wrapText="1"/>
    </xf>
    <xf numFmtId="2" fontId="7" fillId="0" borderId="0" xfId="0" applyNumberFormat="1" applyFont="1" applyAlignment="1">
      <alignment horizontal="left" vertical="center" wrapText="1"/>
    </xf>
    <xf numFmtId="164" fontId="0" fillId="0" borderId="0" xfId="0" applyNumberFormat="1" applyAlignment="1">
      <alignment vertical="center" wrapText="1"/>
    </xf>
    <xf numFmtId="168" fontId="5" fillId="0" borderId="0" xfId="0" applyNumberFormat="1" applyFont="1" applyAlignment="1">
      <alignment horizontal="right" vertical="center" wrapText="1"/>
    </xf>
    <xf numFmtId="164" fontId="5" fillId="0" borderId="0" xfId="0" applyNumberFormat="1" applyFont="1" applyAlignment="1">
      <alignment horizontal="right" vertical="center" wrapText="1"/>
    </xf>
    <xf numFmtId="164" fontId="5" fillId="4" borderId="0" xfId="0" applyNumberFormat="1" applyFont="1" applyFill="1" applyAlignment="1">
      <alignment horizontal="right" vertical="center" wrapText="1"/>
    </xf>
    <xf numFmtId="3" fontId="5" fillId="0" borderId="0" xfId="0" applyNumberFormat="1" applyFont="1" applyAlignment="1">
      <alignment horizontal="right" vertical="center" wrapText="1"/>
    </xf>
    <xf numFmtId="2" fontId="5" fillId="0" borderId="0" xfId="0" applyNumberFormat="1" applyFont="1" applyAlignment="1">
      <alignment horizontal="right" vertical="center" wrapText="1"/>
    </xf>
    <xf numFmtId="3" fontId="5" fillId="4" borderId="0" xfId="0" applyNumberFormat="1" applyFont="1" applyFill="1" applyAlignment="1">
      <alignment horizontal="righ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0" fontId="12" fillId="3" borderId="0" xfId="0" applyFont="1" applyFill="1"/>
    <xf numFmtId="0" fontId="13" fillId="3" borderId="0" xfId="0" applyFont="1" applyFill="1" applyAlignment="1">
      <alignment horizontal="left"/>
    </xf>
    <xf numFmtId="164" fontId="13" fillId="3" borderId="0" xfId="0" applyNumberFormat="1" applyFont="1" applyFill="1" applyAlignment="1">
      <alignment horizontal="left"/>
    </xf>
    <xf numFmtId="164" fontId="13" fillId="3" borderId="0" xfId="0" applyNumberFormat="1" applyFont="1" applyFill="1" applyAlignment="1">
      <alignment horizontal="left" wrapText="1"/>
    </xf>
    <xf numFmtId="3" fontId="13" fillId="3" borderId="0" xfId="0" applyNumberFormat="1" applyFont="1" applyFill="1" applyAlignment="1">
      <alignment horizontal="left" wrapText="1"/>
    </xf>
    <xf numFmtId="3" fontId="13" fillId="3" borderId="0" xfId="0" applyNumberFormat="1" applyFont="1" applyFill="1" applyAlignment="1">
      <alignment horizontal="left"/>
    </xf>
    <xf numFmtId="166" fontId="13" fillId="3" borderId="0" xfId="0" applyNumberFormat="1" applyFont="1" applyFill="1" applyAlignment="1">
      <alignment horizontal="left"/>
    </xf>
    <xf numFmtId="0" fontId="10" fillId="0" borderId="0" xfId="1" applyAlignment="1">
      <alignment horizontal="left" vertical="center" wrapText="1"/>
    </xf>
    <xf numFmtId="168"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2" fontId="1" fillId="0" borderId="0" xfId="0" applyNumberFormat="1" applyFont="1" applyAlignment="1">
      <alignment horizontal="right" vertical="center" wrapText="1"/>
    </xf>
    <xf numFmtId="0" fontId="8" fillId="4" borderId="2" xfId="0" applyFont="1" applyFill="1" applyBorder="1" applyAlignment="1">
      <alignment horizontal="left" vertical="center" wrapText="1"/>
    </xf>
    <xf numFmtId="0" fontId="8" fillId="4" borderId="3" xfId="0" applyFont="1" applyFill="1" applyBorder="1" applyAlignment="1">
      <alignment horizontal="center" vertical="center" wrapText="1"/>
    </xf>
    <xf numFmtId="164" fontId="8" fillId="4" borderId="3" xfId="0" applyNumberFormat="1" applyFont="1" applyFill="1" applyBorder="1" applyAlignment="1">
      <alignment horizontal="center" vertical="center" wrapText="1"/>
    </xf>
    <xf numFmtId="168" fontId="8" fillId="4" borderId="3" xfId="0" applyNumberFormat="1" applyFont="1" applyFill="1" applyBorder="1" applyAlignment="1">
      <alignment horizontal="center" vertical="center" wrapText="1"/>
    </xf>
    <xf numFmtId="3" fontId="8" fillId="4" borderId="4" xfId="0" applyNumberFormat="1" applyFont="1" applyFill="1" applyBorder="1" applyAlignment="1">
      <alignment horizontal="center" vertical="center" wrapText="1"/>
    </xf>
    <xf numFmtId="0" fontId="8" fillId="6" borderId="7" xfId="0" applyFont="1" applyFill="1" applyBorder="1" applyAlignment="1">
      <alignment horizontal="left" vertical="center" wrapText="1"/>
    </xf>
    <xf numFmtId="168" fontId="8" fillId="6" borderId="5" xfId="0" applyNumberFormat="1" applyFont="1" applyFill="1" applyBorder="1" applyAlignment="1">
      <alignment vertical="center" wrapText="1"/>
    </xf>
    <xf numFmtId="169" fontId="8" fillId="6" borderId="8" xfId="2" applyNumberFormat="1" applyFont="1" applyFill="1" applyBorder="1" applyAlignment="1">
      <alignment vertical="center" wrapText="1"/>
    </xf>
    <xf numFmtId="9" fontId="8" fillId="6" borderId="6" xfId="3" applyFont="1" applyFill="1" applyBorder="1" applyAlignment="1">
      <alignment vertical="center" wrapText="1"/>
    </xf>
    <xf numFmtId="164" fontId="8" fillId="6" borderId="8" xfId="4" applyNumberFormat="1" applyFont="1" applyFill="1" applyBorder="1" applyAlignment="1">
      <alignment vertical="center" wrapText="1"/>
    </xf>
    <xf numFmtId="0" fontId="8" fillId="7" borderId="7" xfId="0" applyFont="1" applyFill="1" applyBorder="1" applyAlignment="1">
      <alignment horizontal="left" vertical="center" wrapText="1"/>
    </xf>
    <xf numFmtId="168" fontId="8" fillId="7" borderId="8" xfId="4" applyNumberFormat="1" applyFont="1" applyFill="1" applyBorder="1" applyAlignment="1">
      <alignment vertical="center" wrapText="1"/>
    </xf>
    <xf numFmtId="169" fontId="8" fillId="7" borderId="8" xfId="2" applyNumberFormat="1" applyFont="1" applyFill="1" applyBorder="1" applyAlignment="1">
      <alignment vertical="center" wrapText="1"/>
    </xf>
    <xf numFmtId="9" fontId="8" fillId="7" borderId="3" xfId="3" applyFont="1" applyFill="1" applyBorder="1" applyAlignment="1">
      <alignment vertical="center" wrapText="1"/>
    </xf>
    <xf numFmtId="164" fontId="8" fillId="7" borderId="8" xfId="4" applyNumberFormat="1" applyFont="1" applyFill="1" applyBorder="1" applyAlignment="1">
      <alignment vertical="center" wrapText="1"/>
    </xf>
    <xf numFmtId="0" fontId="8" fillId="8" borderId="7" xfId="0" applyFont="1" applyFill="1" applyBorder="1" applyAlignment="1">
      <alignment horizontal="left" vertical="center" wrapText="1"/>
    </xf>
    <xf numFmtId="168" fontId="8" fillId="8" borderId="5" xfId="0" applyNumberFormat="1" applyFont="1" applyFill="1" applyBorder="1" applyAlignment="1">
      <alignment vertical="center" wrapText="1"/>
    </xf>
    <xf numFmtId="169" fontId="8" fillId="8" borderId="8" xfId="2" applyNumberFormat="1" applyFont="1" applyFill="1" applyBorder="1" applyAlignment="1">
      <alignment vertical="center" wrapText="1"/>
    </xf>
    <xf numFmtId="9" fontId="8" fillId="8" borderId="6" xfId="3" applyFont="1" applyFill="1" applyBorder="1" applyAlignment="1">
      <alignment vertical="center" wrapText="1"/>
    </xf>
    <xf numFmtId="164" fontId="8" fillId="8" borderId="8" xfId="4" applyNumberFormat="1" applyFont="1" applyFill="1" applyBorder="1" applyAlignment="1">
      <alignment vertical="center" wrapText="1"/>
    </xf>
    <xf numFmtId="2" fontId="10" fillId="0" borderId="0" xfId="1" applyNumberFormat="1" applyAlignment="1">
      <alignment horizontal="right" vertical="center" wrapText="1"/>
    </xf>
    <xf numFmtId="0" fontId="18" fillId="0" borderId="0" xfId="0" applyFont="1" applyAlignment="1">
      <alignment horizontal="left"/>
    </xf>
    <xf numFmtId="0" fontId="19" fillId="0" borderId="0" xfId="0" applyFont="1" applyAlignment="1">
      <alignment horizontal="left" vertical="center" wrapText="1"/>
    </xf>
    <xf numFmtId="164" fontId="0" fillId="0" borderId="0" xfId="0" applyNumberFormat="1"/>
    <xf numFmtId="3" fontId="0" fillId="4" borderId="0" xfId="0" applyNumberFormat="1" applyFill="1"/>
    <xf numFmtId="10" fontId="0" fillId="0" borderId="0" xfId="0" applyNumberFormat="1"/>
    <xf numFmtId="168" fontId="0" fillId="0" borderId="0" xfId="0" applyNumberFormat="1"/>
    <xf numFmtId="165" fontId="0" fillId="0" borderId="0" xfId="0" applyNumberFormat="1"/>
    <xf numFmtId="10" fontId="0" fillId="0" borderId="0" xfId="3" applyNumberFormat="1" applyFont="1" applyAlignment="1">
      <alignment vertical="center" wrapText="1"/>
    </xf>
    <xf numFmtId="168" fontId="0" fillId="0" borderId="0" xfId="0" applyNumberFormat="1" applyAlignment="1">
      <alignment vertical="center" wrapText="1"/>
    </xf>
    <xf numFmtId="165" fontId="0" fillId="0" borderId="0" xfId="0" applyNumberFormat="1" applyAlignment="1">
      <alignment vertical="center" wrapText="1"/>
    </xf>
    <xf numFmtId="0" fontId="20" fillId="0" borderId="1" xfId="0" applyFont="1" applyBorder="1" applyAlignment="1">
      <alignment horizontal="center"/>
    </xf>
    <xf numFmtId="0" fontId="21" fillId="0" borderId="1" xfId="0" applyFont="1" applyBorder="1"/>
    <xf numFmtId="164" fontId="21" fillId="0" borderId="1" xfId="0" applyNumberFormat="1" applyFont="1" applyBorder="1"/>
    <xf numFmtId="164" fontId="21" fillId="4" borderId="1" xfId="0" applyNumberFormat="1" applyFont="1" applyFill="1" applyBorder="1"/>
    <xf numFmtId="3" fontId="21" fillId="0" borderId="1" xfId="0" applyNumberFormat="1" applyFont="1" applyBorder="1"/>
    <xf numFmtId="10" fontId="21" fillId="0" borderId="1" xfId="0" applyNumberFormat="1" applyFont="1" applyBorder="1"/>
    <xf numFmtId="168" fontId="21" fillId="0" borderId="1" xfId="0" applyNumberFormat="1" applyFont="1" applyBorder="1"/>
    <xf numFmtId="165" fontId="21" fillId="0" borderId="1" xfId="0" applyNumberFormat="1" applyFont="1" applyBorder="1"/>
    <xf numFmtId="0" fontId="18" fillId="0" borderId="0" xfId="0" applyFont="1"/>
    <xf numFmtId="0" fontId="16" fillId="0" borderId="0" xfId="5" applyAlignment="1">
      <alignment horizontal="left" vertical="center" wrapText="1"/>
    </xf>
    <xf numFmtId="0" fontId="16" fillId="0" borderId="0" xfId="5" applyAlignment="1">
      <alignment vertical="center" wrapText="1"/>
    </xf>
    <xf numFmtId="3" fontId="0" fillId="0" borderId="0" xfId="0" applyNumberFormat="1" applyAlignment="1">
      <alignment horizontal="right" vertical="center" wrapText="1"/>
    </xf>
    <xf numFmtId="0" fontId="0" fillId="0" borderId="0" xfId="0" applyAlignment="1">
      <alignment wrapText="1"/>
    </xf>
    <xf numFmtId="166" fontId="13" fillId="3" borderId="0" xfId="0" applyNumberFormat="1" applyFont="1" applyFill="1" applyAlignment="1">
      <alignment horizontal="left" wrapText="1"/>
    </xf>
    <xf numFmtId="164" fontId="0" fillId="0" borderId="0" xfId="0" applyNumberFormat="1" applyAlignment="1">
      <alignment horizontal="right" vertical="center" wrapText="1"/>
    </xf>
    <xf numFmtId="2" fontId="5" fillId="0" borderId="0" xfId="1" applyNumberFormat="1" applyFont="1" applyAlignment="1">
      <alignment horizontal="right" vertical="center" wrapText="1"/>
    </xf>
    <xf numFmtId="0" fontId="2" fillId="2" borderId="0" xfId="0" applyFont="1" applyFill="1" applyAlignment="1">
      <alignment horizontal="center"/>
    </xf>
    <xf numFmtId="0" fontId="0" fillId="0" borderId="0" xfId="0"/>
    <xf numFmtId="164" fontId="8" fillId="2" borderId="0" xfId="0" applyNumberFormat="1" applyFont="1" applyFill="1" applyAlignment="1">
      <alignment horizontal="center" vertical="center" wrapText="1"/>
    </xf>
    <xf numFmtId="164" fontId="7" fillId="2" borderId="0" xfId="0" applyNumberFormat="1" applyFont="1" applyFill="1" applyAlignment="1">
      <alignment horizontal="center" vertical="center" wrapText="1"/>
    </xf>
    <xf numFmtId="0" fontId="9" fillId="2" borderId="0" xfId="0" applyFont="1" applyFill="1" applyAlignment="1">
      <alignment horizontal="center" vertical="center" wrapText="1"/>
    </xf>
    <xf numFmtId="164" fontId="14" fillId="2" borderId="0" xfId="0" applyNumberFormat="1" applyFont="1" applyFill="1" applyAlignment="1">
      <alignment horizontal="center" vertical="center" wrapText="1"/>
    </xf>
    <xf numFmtId="0" fontId="0" fillId="4" borderId="0" xfId="0" applyFill="1"/>
    <xf numFmtId="164" fontId="21" fillId="0" borderId="1" xfId="0" applyNumberFormat="1" applyFont="1" applyFill="1" applyBorder="1"/>
    <xf numFmtId="3" fontId="0" fillId="0" borderId="0" xfId="0" applyNumberFormat="1" applyFill="1"/>
    <xf numFmtId="3" fontId="0" fillId="0" borderId="0" xfId="2" applyNumberFormat="1" applyFont="1" applyFill="1" applyAlignment="1">
      <alignment vertical="center" wrapText="1"/>
    </xf>
    <xf numFmtId="3" fontId="0" fillId="4" borderId="0" xfId="0" applyNumberFormat="1" applyFill="1" applyAlignment="1">
      <alignment vertical="center" wrapText="1"/>
    </xf>
    <xf numFmtId="3" fontId="21" fillId="4" borderId="1" xfId="0" applyNumberFormat="1" applyFont="1" applyFill="1" applyBorder="1"/>
    <xf numFmtId="3" fontId="0" fillId="0" borderId="0" xfId="0" applyNumberFormat="1" applyFont="1" applyAlignment="1">
      <alignment vertical="center" wrapText="1"/>
    </xf>
  </cellXfs>
  <cellStyles count="6">
    <cellStyle name="Comma" xfId="2" builtinId="3"/>
    <cellStyle name="Currency" xfId="4" builtinId="4"/>
    <cellStyle name="Heading 4" xfId="5" builtinId="19"/>
    <cellStyle name="Hyperlink" xfId="1" builtinId="8"/>
    <cellStyle name="Normal" xfId="0" builtinId="0"/>
    <cellStyle name="Percent" xfId="3" builtinId="5"/>
  </cellStyles>
  <dxfs count="351">
    <dxf>
      <font>
        <color rgb="FFFF0000"/>
      </font>
    </dxf>
    <dxf>
      <font>
        <color rgb="FFFF0000"/>
      </font>
    </dxf>
    <dxf>
      <font>
        <color rgb="FFFF0000"/>
      </font>
    </dxf>
    <dxf>
      <font>
        <color rgb="FFFF0000"/>
      </font>
    </dxf>
    <dxf>
      <font>
        <color rgb="FFFF0000"/>
      </font>
    </dxf>
    <dxf>
      <font>
        <color rgb="FFFF0000"/>
      </font>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2"/>
        <color theme="1"/>
        <name val="Calibri"/>
        <family val="2"/>
        <scheme val="minor"/>
      </font>
      <numFmt numFmtId="14" formatCode="0.00%"/>
    </dxf>
    <dxf>
      <font>
        <b val="0"/>
        <i val="0"/>
        <strike val="0"/>
        <condense val="0"/>
        <extend val="0"/>
        <outline val="0"/>
        <shadow val="0"/>
        <u val="none"/>
        <vertAlign val="baseline"/>
        <sz val="12"/>
        <color theme="1"/>
        <name val="Calibri"/>
        <family val="2"/>
        <scheme val="minor"/>
      </font>
      <numFmt numFmtId="3" formatCode="#,##0"/>
      <fill>
        <patternFill patternType="none">
          <fgColor indexed="64"/>
          <bgColor auto="1"/>
        </patternFill>
      </fill>
    </dxf>
    <dxf>
      <font>
        <b val="0"/>
        <i val="0"/>
        <strike val="0"/>
        <condense val="0"/>
        <extend val="0"/>
        <outline val="0"/>
        <shadow val="0"/>
        <u val="none"/>
        <vertAlign val="baseline"/>
        <sz val="12"/>
        <color theme="1"/>
        <name val="Calibri"/>
        <family val="2"/>
        <scheme val="minor"/>
      </font>
      <numFmt numFmtId="164" formatCode="&quot;$&quot;#,##0"/>
    </dxf>
    <dxf>
      <font>
        <b val="0"/>
        <i val="0"/>
        <strike val="0"/>
        <condense val="0"/>
        <extend val="0"/>
        <outline val="0"/>
        <shadow val="0"/>
        <u val="none"/>
        <vertAlign val="baseline"/>
        <sz val="12"/>
        <color theme="1"/>
        <name val="Calibri"/>
        <family val="2"/>
        <scheme val="minor"/>
      </font>
      <numFmt numFmtId="164" formatCode="&quot;$&quot;#,##0"/>
      <fill>
        <patternFill patternType="solid">
          <fgColor indexed="64"/>
          <bgColor rgb="FFDAD2E9"/>
        </patternFill>
      </fill>
    </dxf>
    <dxf>
      <font>
        <b val="0"/>
        <i val="0"/>
        <strike val="0"/>
        <condense val="0"/>
        <extend val="0"/>
        <outline val="0"/>
        <shadow val="0"/>
        <u val="none"/>
        <vertAlign val="baseline"/>
        <sz val="12"/>
        <color theme="1"/>
        <name val="Calibri"/>
        <family val="2"/>
        <scheme val="minor"/>
      </font>
      <numFmt numFmtId="164" formatCode="&quot;$&quot;#,##0"/>
      <fill>
        <patternFill patternType="solid">
          <fgColor indexed="64"/>
          <bgColor rgb="FFDAD2E9"/>
        </patternFill>
      </fill>
    </dxf>
    <dxf>
      <font>
        <b val="0"/>
        <i val="0"/>
        <strike val="0"/>
        <condense val="0"/>
        <extend val="0"/>
        <outline val="0"/>
        <shadow val="0"/>
        <u val="none"/>
        <vertAlign val="baseline"/>
        <sz val="12"/>
        <color theme="1"/>
        <name val="Calibri"/>
        <family val="2"/>
        <scheme val="minor"/>
      </font>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font>
        <strike val="0"/>
        <outline val="0"/>
        <shadow val="0"/>
        <u val="none"/>
        <vertAlign val="baseline"/>
        <sz val="12"/>
        <color auto="1"/>
        <name val="Calibri"/>
        <family val="2"/>
        <scheme val="none"/>
      </font>
      <alignmen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font>
        <strike val="0"/>
        <outline val="0"/>
        <shadow val="0"/>
        <u val="none"/>
        <vertAlign val="baseline"/>
        <sz val="12"/>
        <color auto="1"/>
        <name val="Calibri"/>
        <family val="2"/>
        <scheme val="none"/>
      </font>
      <alignment vertical="center" textRotation="0" wrapText="1" indent="0" justifyLastLine="0" shrinkToFit="0" readingOrder="0"/>
    </dxf>
    <dxf>
      <font>
        <b val="0"/>
        <i val="0"/>
        <strike val="0"/>
        <condense val="0"/>
        <extend val="0"/>
        <outline val="0"/>
        <shadow val="0"/>
        <u/>
        <vertAlign val="baseline"/>
        <sz val="12"/>
        <color theme="10"/>
        <name val="Calibri"/>
        <family val="2"/>
        <scheme val="minor"/>
      </font>
      <alignment horizontal="general" vertical="center" textRotation="0" wrapText="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rgb="FFDAD2E9"/>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numFmt numFmtId="3" formatCode="#,##0"/>
      <alignment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font>
        <b/>
        <i val="0"/>
        <strike val="0"/>
        <condense val="0"/>
        <extend val="0"/>
        <outline val="0"/>
        <shadow val="0"/>
        <u val="none"/>
        <vertAlign val="baseline"/>
        <sz val="12"/>
        <color auto="1"/>
        <name val="Calibri"/>
        <family val="2"/>
        <scheme val="none"/>
      </font>
      <numFmt numFmtId="3" formatCode="#,##0"/>
      <fill>
        <patternFill patternType="solid">
          <fgColor rgb="FFD9D2E9"/>
          <bgColor rgb="FFD9D2E9"/>
        </patternFill>
      </fill>
      <alignment horizontal="lef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font>
        <strike val="0"/>
        <outline val="0"/>
        <shadow val="0"/>
        <u val="none"/>
        <vertAlign val="baseline"/>
        <sz val="12"/>
        <color auto="1"/>
        <name val="Calibri"/>
        <family val="2"/>
        <scheme val="none"/>
      </font>
      <alignmen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font>
        <strike val="0"/>
        <outline val="0"/>
        <shadow val="0"/>
        <u val="none"/>
        <vertAlign val="baseline"/>
        <sz val="12"/>
        <color auto="1"/>
        <name val="Calibri"/>
        <family val="2"/>
        <scheme val="none"/>
      </font>
      <alignment vertical="center" textRotation="0" wrapText="1" indent="0" justifyLastLine="0" shrinkToFit="0" readingOrder="0"/>
    </dxf>
    <dxf>
      <font>
        <b val="0"/>
        <i val="0"/>
        <strike val="0"/>
        <condense val="0"/>
        <extend val="0"/>
        <outline val="0"/>
        <shadow val="0"/>
        <u/>
        <vertAlign val="baseline"/>
        <sz val="12"/>
        <color theme="10"/>
        <name val="Calibri"/>
        <family val="2"/>
        <scheme val="minor"/>
      </font>
      <alignment horizontal="general" vertical="center" textRotation="0" wrapText="0" indent="0" justifyLastLine="0" shrinkToFit="0" readingOrder="0"/>
    </dxf>
    <dxf>
      <alignment horizontal="general" vertical="center" textRotation="0" wrapText="1" indent="0" justifyLastLine="0" shrinkToFit="0" readingOrder="0"/>
    </dxf>
    <dxf>
      <numFmt numFmtId="3" formatCode="#,##0"/>
      <alignmen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i val="0"/>
        <strike val="0"/>
        <condense val="0"/>
        <extend val="0"/>
        <outline val="0"/>
        <shadow val="0"/>
        <u val="none"/>
        <vertAlign val="baseline"/>
        <sz val="12"/>
        <color auto="1"/>
        <name val="Calibri"/>
        <family val="2"/>
        <scheme val="none"/>
      </font>
      <numFmt numFmtId="3" formatCode="#,##0"/>
      <fill>
        <patternFill patternType="solid">
          <fgColor rgb="FFD9D2E9"/>
          <bgColor rgb="FFD9D2E9"/>
        </patternFill>
      </fill>
      <alignment horizontal="lef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font>
        <strike val="0"/>
        <outline val="0"/>
        <shadow val="0"/>
        <u val="none"/>
        <vertAlign val="baseline"/>
        <sz val="12"/>
        <color auto="1"/>
        <name val="Calibri"/>
        <family val="2"/>
        <scheme val="none"/>
      </font>
      <alignmen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font>
        <strike val="0"/>
        <outline val="0"/>
        <shadow val="0"/>
        <u val="none"/>
        <vertAlign val="baseline"/>
        <sz val="12"/>
        <color auto="1"/>
        <name val="Calibri"/>
        <family val="2"/>
        <scheme val="none"/>
      </font>
      <alignmen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sz val="10"/>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67"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Calibri"/>
        <family val="2"/>
        <scheme val="minor"/>
      </font>
      <alignment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2"/>
        <color theme="1"/>
        <name val="Calibri"/>
        <family val="2"/>
        <scheme val="minor"/>
      </font>
      <numFmt numFmtId="165" formatCode="#,##0.0"/>
    </dxf>
    <dxf>
      <font>
        <b val="0"/>
        <i val="0"/>
        <strike val="0"/>
        <condense val="0"/>
        <extend val="0"/>
        <outline val="0"/>
        <shadow val="0"/>
        <u val="none"/>
        <vertAlign val="baseline"/>
        <sz val="12"/>
        <color theme="1"/>
        <name val="Calibri"/>
        <family val="2"/>
        <scheme val="minor"/>
      </font>
      <numFmt numFmtId="3" formatCode="#,##0"/>
    </dxf>
    <dxf>
      <font>
        <b val="0"/>
        <i val="0"/>
        <strike val="0"/>
        <condense val="0"/>
        <extend val="0"/>
        <outline val="0"/>
        <shadow val="0"/>
        <u val="none"/>
        <vertAlign val="baseline"/>
        <sz val="12"/>
        <color theme="1"/>
        <name val="Calibri"/>
        <family val="2"/>
        <scheme val="minor"/>
      </font>
      <numFmt numFmtId="168" formatCode="&quot;$&quot;#,##0.0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font>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0.0"/>
    </dxf>
    <dxf>
      <font>
        <b val="0"/>
        <i val="0"/>
        <strike val="0"/>
        <condense val="0"/>
        <extend val="0"/>
        <outline val="0"/>
        <shadow val="0"/>
        <u val="none"/>
        <vertAlign val="baseline"/>
        <sz val="12"/>
        <color theme="1"/>
        <name val="Calibri"/>
        <family val="2"/>
        <scheme val="minor"/>
      </font>
      <numFmt numFmtId="3" formatCode="#,##0"/>
    </dxf>
    <dxf>
      <font>
        <b val="0"/>
        <i val="0"/>
        <strike val="0"/>
        <condense val="0"/>
        <extend val="0"/>
        <outline val="0"/>
        <shadow val="0"/>
        <u val="none"/>
        <vertAlign val="baseline"/>
        <sz val="12"/>
        <color theme="1"/>
        <name val="Calibri"/>
        <family val="2"/>
        <scheme val="minor"/>
      </font>
      <numFmt numFmtId="168" formatCode="&quot;$&quot;#,##0.00"/>
    </dxf>
    <dxf>
      <font>
        <b val="0"/>
        <i val="0"/>
        <strike val="0"/>
        <condense val="0"/>
        <extend val="0"/>
        <outline val="0"/>
        <shadow val="0"/>
        <u val="none"/>
        <vertAlign val="baseline"/>
        <sz val="12"/>
        <color theme="1"/>
        <name val="Calibri"/>
        <family val="2"/>
        <scheme val="minor"/>
      </font>
      <numFmt numFmtId="14" formatCode="0.00%"/>
    </dxf>
    <dxf>
      <font>
        <b val="0"/>
        <i val="0"/>
        <strike val="0"/>
        <condense val="0"/>
        <extend val="0"/>
        <outline val="0"/>
        <shadow val="0"/>
        <u val="none"/>
        <vertAlign val="baseline"/>
        <sz val="12"/>
        <color theme="1"/>
        <name val="Calibri"/>
        <family val="2"/>
        <scheme val="minor"/>
      </font>
      <numFmt numFmtId="3" formatCode="#,##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DAD2E9"/>
      <color rgb="FFA6A6A6"/>
      <color rgb="FFB5A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 50 Type Summary'!$F$2</c:f>
              <c:strCache>
                <c:ptCount val="1"/>
                <c:pt idx="0">
                  <c:v>Revenue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1E-4CB0-9020-0A736FFA0F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1E-4CB0-9020-0A736FFA0F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1E-4CB0-9020-0A736FFA0F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1E-4CB0-9020-0A736FFA0F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1E-4CB0-9020-0A736FFA0FBE}"/>
              </c:ext>
            </c:extLst>
          </c:dPt>
          <c:dLbls>
            <c:dLbl>
              <c:idx val="1"/>
              <c:layout>
                <c:manualLayout>
                  <c:x val="1.7990652062787476E-2"/>
                  <c:y val="9.053201683122865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1E-4CB0-9020-0A736FFA0FBE}"/>
                </c:ext>
              </c:extLst>
            </c:dLbl>
            <c:dLbl>
              <c:idx val="3"/>
              <c:layout>
                <c:manualLayout>
                  <c:x val="-1.2022810395585826E-2"/>
                  <c:y val="-4.25133524976044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1E-4CB0-9020-0A736FFA0F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 Type Summary'!$A$3:$A$7</c:f>
              <c:strCache>
                <c:ptCount val="5"/>
                <c:pt idx="0">
                  <c:v>Articulation</c:v>
                </c:pt>
                <c:pt idx="1">
                  <c:v>Handheld</c:v>
                </c:pt>
                <c:pt idx="2">
                  <c:v>Landscape</c:v>
                </c:pt>
                <c:pt idx="3">
                  <c:v>Portrait</c:v>
                </c:pt>
                <c:pt idx="4">
                  <c:v>Sewer camera</c:v>
                </c:pt>
              </c:strCache>
            </c:strRef>
          </c:cat>
          <c:val>
            <c:numRef>
              <c:f>'Top 50 Type Summary'!$F$3:$F$7</c:f>
              <c:numCache>
                <c:formatCode>0%</c:formatCode>
                <c:ptCount val="5"/>
                <c:pt idx="0">
                  <c:v>0.54328326342448119</c:v>
                </c:pt>
                <c:pt idx="1">
                  <c:v>9.2332041197992154E-2</c:v>
                </c:pt>
                <c:pt idx="2">
                  <c:v>0.1626926508711653</c:v>
                </c:pt>
                <c:pt idx="3">
                  <c:v>8.4199895484413506E-3</c:v>
                </c:pt>
                <c:pt idx="4">
                  <c:v>9.0984685732057105E-3</c:v>
                </c:pt>
              </c:numCache>
            </c:numRef>
          </c:val>
          <c:extLst>
            <c:ext xmlns:c16="http://schemas.microsoft.com/office/drawing/2014/chart" uri="{C3380CC4-5D6E-409C-BE32-E72D297353CC}">
              <c16:uniqueId val="{0000000A-AC1E-4CB0-9020-0A736FFA0FB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itle>
    <c:autoTitleDeleted val="0"/>
    <c:plotArea>
      <c:layout/>
      <c:pieChart>
        <c:varyColors val="1"/>
        <c:ser>
          <c:idx val="0"/>
          <c:order val="0"/>
          <c:tx>
            <c:strRef>
              <c:f>'Top 50 Type Summary'!$D$30</c:f>
              <c:strCache>
                <c:ptCount val="1"/>
                <c:pt idx="0">
                  <c:v>Qty by %</c:v>
                </c:pt>
              </c:strCache>
            </c:strRef>
          </c:tx>
          <c:dLbls>
            <c:dLbl>
              <c:idx val="1"/>
              <c:layout>
                <c:manualLayout>
                  <c:x val="2.879416630021802E-2"/>
                  <c:y val="8.726575844686041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81-4888-B4EA-BD2F9A4DBD4A}"/>
                </c:ext>
              </c:extLst>
            </c:dLbl>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1"/>
            <c:leaderLines>
              <c:spPr>
                <a:ln>
                  <a:solidFill>
                    <a:srgbClr val="A6A6A6"/>
                  </a:solidFill>
                </a:ln>
              </c:spPr>
            </c:leaderLines>
            <c:extLst>
              <c:ext xmlns:c15="http://schemas.microsoft.com/office/drawing/2012/chart" uri="{CE6537A1-D6FC-4f65-9D91-7224C49458BB}"/>
            </c:extLst>
          </c:dLbls>
          <c:cat>
            <c:strRef>
              <c:f>'Top 50 Type Summary'!$A$31:$A$35</c:f>
              <c:strCache>
                <c:ptCount val="5"/>
                <c:pt idx="0">
                  <c:v>Articulation</c:v>
                </c:pt>
                <c:pt idx="1">
                  <c:v>Handheld</c:v>
                </c:pt>
                <c:pt idx="2">
                  <c:v>Landscape</c:v>
                </c:pt>
                <c:pt idx="3">
                  <c:v>USB</c:v>
                </c:pt>
                <c:pt idx="4">
                  <c:v>Wireless</c:v>
                </c:pt>
              </c:strCache>
            </c:strRef>
          </c:cat>
          <c:val>
            <c:numRef>
              <c:f>'Top 50 Type Summary'!$D$31:$D$35</c:f>
              <c:numCache>
                <c:formatCode>0%</c:formatCode>
                <c:ptCount val="5"/>
                <c:pt idx="0">
                  <c:v>0.20775402919001179</c:v>
                </c:pt>
                <c:pt idx="1">
                  <c:v>0.1375112402296465</c:v>
                </c:pt>
                <c:pt idx="2">
                  <c:v>0.22532337276060041</c:v>
                </c:pt>
                <c:pt idx="3">
                  <c:v>0.41803278688524592</c:v>
                </c:pt>
                <c:pt idx="4">
                  <c:v>1.1378570934495401E-2</c:v>
                </c:pt>
              </c:numCache>
            </c:numRef>
          </c:val>
          <c:extLst>
            <c:ext xmlns:c16="http://schemas.microsoft.com/office/drawing/2014/chart" uri="{C3380CC4-5D6E-409C-BE32-E72D297353CC}">
              <c16:uniqueId val="{0000000F-BA37-4539-8142-FC94F855F767}"/>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w="9525">
      <a:solidFill>
        <a:schemeClr val="bg2"/>
      </a:solidFill>
    </a:ln>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 50 Type Summary'!$F$2</c:f>
              <c:strCache>
                <c:ptCount val="1"/>
                <c:pt idx="0">
                  <c:v>Revenue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73-4A98-A992-00A9E47461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73-4A98-A992-00A9E47461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73-4A98-A992-00A9E47461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73-4A98-A992-00A9E47461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773-4A98-A992-00A9E47461E8}"/>
              </c:ext>
            </c:extLst>
          </c:dPt>
          <c:dLbls>
            <c:dLbl>
              <c:idx val="1"/>
              <c:layout>
                <c:manualLayout>
                  <c:x val="1.2032947061983785E-2"/>
                  <c:y val="1.54144065325167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73-4A98-A992-00A9E47461E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 Type Summary'!$A$31:$A$35</c:f>
              <c:strCache>
                <c:ptCount val="5"/>
                <c:pt idx="0">
                  <c:v>Articulation</c:v>
                </c:pt>
                <c:pt idx="1">
                  <c:v>Handheld</c:v>
                </c:pt>
                <c:pt idx="2">
                  <c:v>Landscape</c:v>
                </c:pt>
                <c:pt idx="3">
                  <c:v>USB</c:v>
                </c:pt>
                <c:pt idx="4">
                  <c:v>Wireless</c:v>
                </c:pt>
              </c:strCache>
            </c:strRef>
          </c:cat>
          <c:val>
            <c:numRef>
              <c:f>'Top 50 Type Summary'!$F$31:$F$35</c:f>
              <c:numCache>
                <c:formatCode>0%</c:formatCode>
                <c:ptCount val="5"/>
                <c:pt idx="0">
                  <c:v>0.4679783155738596</c:v>
                </c:pt>
                <c:pt idx="1">
                  <c:v>0.1086435725158694</c:v>
                </c:pt>
                <c:pt idx="2">
                  <c:v>0.1958002090278867</c:v>
                </c:pt>
                <c:pt idx="3">
                  <c:v>0.21655041009538989</c:v>
                </c:pt>
                <c:pt idx="4">
                  <c:v>1.1027492786994549E-2</c:v>
                </c:pt>
              </c:numCache>
            </c:numRef>
          </c:val>
          <c:extLst>
            <c:ext xmlns:c16="http://schemas.microsoft.com/office/drawing/2014/chart" uri="{C3380CC4-5D6E-409C-BE32-E72D297353CC}">
              <c16:uniqueId val="{0000000A-9773-4A98-A992-00A9E47461E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 50 Type Summary'!$D$2</c:f>
              <c:strCache>
                <c:ptCount val="1"/>
                <c:pt idx="0">
                  <c:v>Qty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6B-4FA9-BF6A-8897EDE3AC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6B-4FA9-BF6A-8897EDE3AC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6B-4FA9-BF6A-8897EDE3AC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6B-4FA9-BF6A-8897EDE3AC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6B-4FA9-BF6A-8897EDE3AC1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66B-4FA9-BF6A-8897EDE3AC1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B24-4676-A47D-24C51F6709D6}"/>
              </c:ext>
            </c:extLst>
          </c:dPt>
          <c:dPt>
            <c:idx val="7"/>
            <c:bubble3D val="0"/>
            <c:spPr>
              <a:solidFill>
                <a:schemeClr val="accent2">
                  <a:lumMod val="60000"/>
                </a:schemeClr>
              </a:solidFill>
              <a:ln w="19050">
                <a:solidFill>
                  <a:schemeClr val="lt1"/>
                </a:solidFill>
              </a:ln>
              <a:effectLst/>
            </c:spPr>
          </c:dPt>
          <c:dLbls>
            <c:dLbl>
              <c:idx val="1"/>
              <c:layout>
                <c:manualLayout>
                  <c:x val="6.1785395187592372E-3"/>
                  <c:y val="-3.28822230554514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6B-4FA9-BF6A-8897EDE3AC14}"/>
                </c:ext>
              </c:extLst>
            </c:dLbl>
            <c:dLbl>
              <c:idx val="3"/>
              <c:layout>
                <c:manualLayout>
                  <c:x val="-4.0711024397025251E-2"/>
                  <c:y val="-4.64155313919093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66B-4FA9-BF6A-8897EDE3AC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 Type Summary'!$A$3:$A$10</c:f>
              <c:strCache>
                <c:ptCount val="7"/>
                <c:pt idx="0">
                  <c:v>Articulation</c:v>
                </c:pt>
                <c:pt idx="1">
                  <c:v>Handheld</c:v>
                </c:pt>
                <c:pt idx="2">
                  <c:v>Landscape</c:v>
                </c:pt>
                <c:pt idx="3">
                  <c:v>Portrait</c:v>
                </c:pt>
                <c:pt idx="4">
                  <c:v>Sewer camera</c:v>
                </c:pt>
                <c:pt idx="5">
                  <c:v>USB</c:v>
                </c:pt>
                <c:pt idx="6">
                  <c:v>Wireless</c:v>
                </c:pt>
              </c:strCache>
            </c:strRef>
          </c:cat>
          <c:val>
            <c:numRef>
              <c:f>'Top 50 Type Summary'!$D$3:$D$10</c:f>
              <c:numCache>
                <c:formatCode>0%</c:formatCode>
                <c:ptCount val="8"/>
                <c:pt idx="0">
                  <c:v>0.28859661340708759</c:v>
                </c:pt>
                <c:pt idx="1">
                  <c:v>0.1213562289830272</c:v>
                </c:pt>
                <c:pt idx="2">
                  <c:v>0.19465945042481639</c:v>
                </c:pt>
                <c:pt idx="3">
                  <c:v>5.0142268738683172E-3</c:v>
                </c:pt>
                <c:pt idx="4">
                  <c:v>9.5509083311777466E-4</c:v>
                </c:pt>
                <c:pt idx="5">
                  <c:v>0.3676303798475834</c:v>
                </c:pt>
                <c:pt idx="6">
                  <c:v>1.309270350398949E-2</c:v>
                </c:pt>
                <c:pt idx="7">
                  <c:v>8.6953061265097401E-3</c:v>
                </c:pt>
              </c:numCache>
            </c:numRef>
          </c:val>
          <c:extLst>
            <c:ext xmlns:c16="http://schemas.microsoft.com/office/drawing/2014/chart" uri="{C3380CC4-5D6E-409C-BE32-E72D297353CC}">
              <c16:uniqueId val="{0000000C-766B-4FA9-BF6A-8897EDE3AC1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'Top50 2or4way Summary '!$F$2</c:f>
              <c:strCache>
                <c:ptCount val="1"/>
                <c:pt idx="0">
                  <c:v>Revenue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8C-7B44-AFF5-8F903A78F1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8C-7B44-AFF5-8F903A78F1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8C-7B44-AFF5-8F903A78F1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8C-7B44-AFF5-8F903A78F13E}"/>
              </c:ext>
            </c:extLst>
          </c:dPt>
          <c:dLbls>
            <c:dLbl>
              <c:idx val="1"/>
              <c:layout>
                <c:manualLayout>
                  <c:x val="1.7990652062787476E-2"/>
                  <c:y val="9.053201683122865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8C-7B44-AFF5-8F903A78F13E}"/>
                </c:ext>
              </c:extLst>
            </c:dLbl>
            <c:dLbl>
              <c:idx val="3"/>
              <c:layout>
                <c:manualLayout>
                  <c:x val="-1.2022810395585826E-2"/>
                  <c:y val="-4.25133524976044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8C-7B44-AFF5-8F903A78F1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'Top50 2or4way Summary '!$A$3:$A$6</c:f>
              <c:strCache>
                <c:ptCount val="3"/>
                <c:pt idx="0">
                  <c:v>2-way</c:v>
                </c:pt>
                <c:pt idx="1">
                  <c:v>4-way</c:v>
                </c:pt>
                <c:pt idx="2">
                  <c:v>No camera</c:v>
                </c:pt>
              </c:strCache>
            </c:strRef>
          </c:cat>
          <c:val>
            <c:numRef>
              <c:f>'Top50 2or4way Summary '!$F$3:$F$6</c:f>
              <c:numCache>
                <c:formatCode>0%</c:formatCode>
                <c:ptCount val="4"/>
                <c:pt idx="0">
                  <c:v>0.51593326895524494</c:v>
                </c:pt>
                <c:pt idx="1">
                  <c:v>2.7349994469236239E-2</c:v>
                </c:pt>
                <c:pt idx="2">
                  <c:v>9.0058944990669298E-2</c:v>
                </c:pt>
                <c:pt idx="3">
                  <c:v>0.36665779158484929</c:v>
                </c:pt>
              </c:numCache>
            </c:numRef>
          </c:val>
          <c:extLst>
            <c:ext xmlns:c16="http://schemas.microsoft.com/office/drawing/2014/chart" uri="{C3380CC4-5D6E-409C-BE32-E72D297353CC}">
              <c16:uniqueId val="{0000000A-678C-7B44-AFF5-8F903A78F13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itle>
    <c:autoTitleDeleted val="0"/>
    <c:plotArea>
      <c:layout/>
      <c:pieChart>
        <c:varyColors val="1"/>
        <c:ser>
          <c:idx val="0"/>
          <c:order val="0"/>
          <c:tx>
            <c:strRef>
              <c:f>'Top50 2or4way Summary '!$D$26</c:f>
              <c:strCache>
                <c:ptCount val="1"/>
                <c:pt idx="0">
                  <c:v>Qty by %</c:v>
                </c:pt>
              </c:strCache>
            </c:strRef>
          </c:tx>
          <c:dLbls>
            <c:dLbl>
              <c:idx val="1"/>
              <c:layout>
                <c:manualLayout>
                  <c:x val="2.879416630021802E-2"/>
                  <c:y val="8.726575844686041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A7-5B43-BC86-A7D8B7C00804}"/>
                </c:ext>
              </c:extLst>
            </c:dLbl>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1"/>
            <c:leaderLines>
              <c:spPr>
                <a:ln>
                  <a:solidFill>
                    <a:srgbClr val="A6A6A6"/>
                  </a:solidFill>
                </a:ln>
              </c:spPr>
            </c:leaderLines>
            <c:extLst>
              <c:ext xmlns:c15="http://schemas.microsoft.com/office/drawing/2012/chart" uri="{CE6537A1-D6FC-4f65-9D91-7224C49458BB}"/>
            </c:extLst>
          </c:dLbls>
          <c:cat>
            <c:strRef>
              <c:f>'Top50 2or4way Summary '!$A$27:$A$29</c:f>
              <c:strCache>
                <c:ptCount val="2"/>
                <c:pt idx="0">
                  <c:v>2-way</c:v>
                </c:pt>
                <c:pt idx="1">
                  <c:v>No camera</c:v>
                </c:pt>
              </c:strCache>
            </c:strRef>
          </c:cat>
          <c:val>
            <c:numRef>
              <c:f>'Top50 2or4way Summary '!$D$27:$D$29</c:f>
              <c:numCache>
                <c:formatCode>0%</c:formatCode>
                <c:ptCount val="3"/>
                <c:pt idx="0">
                  <c:v>0.20775402919001179</c:v>
                </c:pt>
                <c:pt idx="1">
                  <c:v>0.27289548315694823</c:v>
                </c:pt>
                <c:pt idx="2">
                  <c:v>0.51935048765304004</c:v>
                </c:pt>
              </c:numCache>
            </c:numRef>
          </c:val>
          <c:extLst>
            <c:ext xmlns:c16="http://schemas.microsoft.com/office/drawing/2014/chart" uri="{C3380CC4-5D6E-409C-BE32-E72D297353CC}">
              <c16:uniqueId val="{00000003-A1A7-5B43-BC86-A7D8B7C00804}"/>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w="9525">
      <a:solidFill>
        <a:schemeClr val="bg2"/>
      </a:solidFill>
    </a:ln>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'Top50 2or4way Summary '!$F$2</c:f>
              <c:strCache>
                <c:ptCount val="1"/>
                <c:pt idx="0">
                  <c:v>Revenue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82-D34E-A038-B1B19378C9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82-D34E-A038-B1B19378C9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82-D34E-A038-B1B19378C9B4}"/>
              </c:ext>
            </c:extLst>
          </c:dPt>
          <c:dLbls>
            <c:dLbl>
              <c:idx val="1"/>
              <c:layout>
                <c:manualLayout>
                  <c:x val="1.2032947061983785E-2"/>
                  <c:y val="1.54144065325167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82-D34E-A038-B1B19378C9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'Top50 2or4way Summary '!$A$27:$A$29</c:f>
              <c:strCache>
                <c:ptCount val="2"/>
                <c:pt idx="0">
                  <c:v>2-way</c:v>
                </c:pt>
                <c:pt idx="1">
                  <c:v>No camera</c:v>
                </c:pt>
              </c:strCache>
            </c:strRef>
          </c:cat>
          <c:val>
            <c:numRef>
              <c:f>'Top50 2or4way Summary '!$F$27:$F$29</c:f>
              <c:numCache>
                <c:formatCode>0%</c:formatCode>
                <c:ptCount val="3"/>
                <c:pt idx="0">
                  <c:v>0.4679783155738596</c:v>
                </c:pt>
                <c:pt idx="1">
                  <c:v>0.15672863853839861</c:v>
                </c:pt>
                <c:pt idx="2">
                  <c:v>0.37529304588774193</c:v>
                </c:pt>
              </c:numCache>
            </c:numRef>
          </c:val>
          <c:extLst>
            <c:ext xmlns:c16="http://schemas.microsoft.com/office/drawing/2014/chart" uri="{C3380CC4-5D6E-409C-BE32-E72D297353CC}">
              <c16:uniqueId val="{0000000C-F782-D34E-A038-B1B19378C9B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'Top50 2or4way Summary '!$D$2</c:f>
              <c:strCache>
                <c:ptCount val="1"/>
                <c:pt idx="0">
                  <c:v>Qty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31-C345-80DC-02D58C30AD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31-C345-80DC-02D58C30AD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31-C345-80DC-02D58C30AD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31-C345-80DC-02D58C30AD43}"/>
              </c:ext>
            </c:extLst>
          </c:dPt>
          <c:dLbls>
            <c:dLbl>
              <c:idx val="1"/>
              <c:layout>
                <c:manualLayout>
                  <c:x val="6.1785395187592372E-3"/>
                  <c:y val="-3.28822230554514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31-C345-80DC-02D58C30AD43}"/>
                </c:ext>
              </c:extLst>
            </c:dLbl>
            <c:dLbl>
              <c:idx val="3"/>
              <c:layout>
                <c:manualLayout>
                  <c:x val="-4.0711024397025251E-2"/>
                  <c:y val="-4.64155313919093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31-C345-80DC-02D58C30AD4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'Top50 2or4way Summary '!$A$3:$A$6</c:f>
              <c:strCache>
                <c:ptCount val="3"/>
                <c:pt idx="0">
                  <c:v>2-way</c:v>
                </c:pt>
                <c:pt idx="1">
                  <c:v>4-way</c:v>
                </c:pt>
                <c:pt idx="2">
                  <c:v>No camera</c:v>
                </c:pt>
              </c:strCache>
            </c:strRef>
          </c:cat>
          <c:val>
            <c:numRef>
              <c:f>'Top50 2or4way Summary '!$D$3:$D$6</c:f>
              <c:numCache>
                <c:formatCode>0%</c:formatCode>
                <c:ptCount val="4"/>
                <c:pt idx="0">
                  <c:v>0.28413952285253802</c:v>
                </c:pt>
                <c:pt idx="1">
                  <c:v>4.4570905545496149E-3</c:v>
                </c:pt>
                <c:pt idx="2">
                  <c:v>0.1938237459458384</c:v>
                </c:pt>
                <c:pt idx="3">
                  <c:v>0.51757964064707407</c:v>
                </c:pt>
              </c:numCache>
            </c:numRef>
          </c:val>
          <c:extLst>
            <c:ext xmlns:c16="http://schemas.microsoft.com/office/drawing/2014/chart" uri="{C3380CC4-5D6E-409C-BE32-E72D297353CC}">
              <c16:uniqueId val="{0000000E-DF31-C345-80DC-02D58C30AD4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 50 Display Summary '!$F$2</c:f>
              <c:strCache>
                <c:ptCount val="1"/>
                <c:pt idx="0">
                  <c:v>Revenue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A9-2D45-852E-BB42470628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A9-2D45-852E-BB42470628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A9-2D45-852E-BB42470628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A9-2D45-852E-BB42470628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CA9-2D45-852E-BB424706289C}"/>
              </c:ext>
            </c:extLst>
          </c:dPt>
          <c:dLbls>
            <c:dLbl>
              <c:idx val="1"/>
              <c:layout>
                <c:manualLayout>
                  <c:x val="1.7990652062787476E-2"/>
                  <c:y val="9.053201683122865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A9-2D45-852E-BB424706289C}"/>
                </c:ext>
              </c:extLst>
            </c:dLbl>
            <c:dLbl>
              <c:idx val="3"/>
              <c:layout>
                <c:manualLayout>
                  <c:x val="-1.2022810395585826E-2"/>
                  <c:y val="-4.25133524976044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CA9-2D45-852E-BB424706289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 Display Summary '!$A$3:$A$7</c:f>
              <c:strCache>
                <c:ptCount val="5"/>
                <c:pt idx="0">
                  <c:v>4.3"</c:v>
                </c:pt>
                <c:pt idx="1">
                  <c:v>4.5"</c:v>
                </c:pt>
                <c:pt idx="2">
                  <c:v>5.0"</c:v>
                </c:pt>
                <c:pt idx="3">
                  <c:v>6.0"</c:v>
                </c:pt>
                <c:pt idx="4">
                  <c:v>9.0"</c:v>
                </c:pt>
              </c:strCache>
            </c:strRef>
          </c:cat>
          <c:val>
            <c:numRef>
              <c:f>'Top 50 Display Summary '!$F$3:$F$7</c:f>
              <c:numCache>
                <c:formatCode>0%</c:formatCode>
                <c:ptCount val="5"/>
                <c:pt idx="0">
                  <c:v>0.29095657295211269</c:v>
                </c:pt>
                <c:pt idx="1">
                  <c:v>0.25503218609803702</c:v>
                </c:pt>
                <c:pt idx="2">
                  <c:v>0.24136789658259941</c:v>
                </c:pt>
                <c:pt idx="3">
                  <c:v>1.1201393143817439E-2</c:v>
                </c:pt>
                <c:pt idx="4">
                  <c:v>9.0984685732057105E-3</c:v>
                </c:pt>
              </c:numCache>
            </c:numRef>
          </c:val>
          <c:extLst>
            <c:ext xmlns:c16="http://schemas.microsoft.com/office/drawing/2014/chart" uri="{C3380CC4-5D6E-409C-BE32-E72D297353CC}">
              <c16:uniqueId val="{0000000A-4CA9-2D45-852E-BB424706289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itle>
    <c:autoTitleDeleted val="0"/>
    <c:plotArea>
      <c:layout/>
      <c:pieChart>
        <c:varyColors val="1"/>
        <c:ser>
          <c:idx val="0"/>
          <c:order val="0"/>
          <c:tx>
            <c:strRef>
              <c:f>'Top 50 Display Summary '!$D$29</c:f>
              <c:strCache>
                <c:ptCount val="1"/>
                <c:pt idx="0">
                  <c:v>Qty by %</c:v>
                </c:pt>
              </c:strCache>
            </c:strRef>
          </c:tx>
          <c:dLbls>
            <c:dLbl>
              <c:idx val="1"/>
              <c:layout>
                <c:manualLayout>
                  <c:x val="2.879416630021802E-2"/>
                  <c:y val="8.726575844686041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71-BD4C-81D2-4F192C91864E}"/>
                </c:ext>
              </c:extLst>
            </c:dLbl>
            <c:dLbl>
              <c:idx val="3"/>
              <c:layout>
                <c:manualLayout>
                  <c:x val="-2.3388426919703633E-2"/>
                  <c:y val="-1.328567262425530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71-BD4C-81D2-4F192C91864E}"/>
                </c:ext>
              </c:extLst>
            </c:dLbl>
            <c:dLbl>
              <c:idx val="5"/>
              <c:layout>
                <c:manualLayout>
                  <c:x val="-7.8649670534207142E-2"/>
                  <c:y val="5.998583510394524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71-BD4C-81D2-4F192C91864E}"/>
                </c:ext>
              </c:extLst>
            </c:dLbl>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1"/>
            <c:leaderLines>
              <c:spPr>
                <a:ln>
                  <a:solidFill>
                    <a:srgbClr val="A6A6A6"/>
                  </a:solidFill>
                </a:ln>
              </c:spPr>
            </c:leaderLines>
            <c:extLst>
              <c:ext xmlns:c15="http://schemas.microsoft.com/office/drawing/2012/chart" uri="{CE6537A1-D6FC-4f65-9D91-7224C49458BB}"/>
            </c:extLst>
          </c:dLbls>
          <c:cat>
            <c:strRef>
              <c:f>'Top 50 Display Summary '!$A$30:$A$35</c:f>
              <c:strCache>
                <c:ptCount val="5"/>
                <c:pt idx="0">
                  <c:v>2.4"</c:v>
                </c:pt>
                <c:pt idx="1">
                  <c:v>4.3"</c:v>
                </c:pt>
                <c:pt idx="2">
                  <c:v>4.5"</c:v>
                </c:pt>
                <c:pt idx="3">
                  <c:v>5.0"</c:v>
                </c:pt>
                <c:pt idx="4">
                  <c:v>App</c:v>
                </c:pt>
              </c:strCache>
            </c:strRef>
          </c:cat>
          <c:val>
            <c:numRef>
              <c:f>'Top 50 Display Summary '!$D$30:$D$35</c:f>
              <c:numCache>
                <c:formatCode>0%</c:formatCode>
                <c:ptCount val="6"/>
                <c:pt idx="0">
                  <c:v>1.0358303935809641E-2</c:v>
                </c:pt>
                <c:pt idx="1">
                  <c:v>0.35467247700076088</c:v>
                </c:pt>
                <c:pt idx="2">
                  <c:v>0.1163277305111711</c:v>
                </c:pt>
                <c:pt idx="3">
                  <c:v>8.9230130732517121E-2</c:v>
                </c:pt>
                <c:pt idx="4">
                  <c:v>0.41803278688524592</c:v>
                </c:pt>
                <c:pt idx="5">
                  <c:v>1.1378570934495401E-2</c:v>
                </c:pt>
              </c:numCache>
            </c:numRef>
          </c:val>
          <c:extLst>
            <c:ext xmlns:c16="http://schemas.microsoft.com/office/drawing/2014/chart" uri="{C3380CC4-5D6E-409C-BE32-E72D297353CC}">
              <c16:uniqueId val="{00000003-AB71-BD4C-81D2-4F192C91864E}"/>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w="9525">
      <a:solidFill>
        <a:schemeClr val="bg2"/>
      </a:solidFill>
    </a:ln>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 50 Display Summary '!$F$2</c:f>
              <c:strCache>
                <c:ptCount val="1"/>
                <c:pt idx="0">
                  <c:v>Revenue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A2-A944-8BC0-DC4C6A87F7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A2-A944-8BC0-DC4C6A87F7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A2-A944-8BC0-DC4C6A87F7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A2-A944-8BC0-DC4C6A87F77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A2-A944-8BC0-DC4C6A87F77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6A2-A944-8BC0-DC4C6A87F77A}"/>
              </c:ext>
            </c:extLst>
          </c:dPt>
          <c:dLbls>
            <c:dLbl>
              <c:idx val="1"/>
              <c:layout>
                <c:manualLayout>
                  <c:x val="1.2032947061983785E-2"/>
                  <c:y val="1.54144065325167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A2-A944-8BC0-DC4C6A87F77A}"/>
                </c:ext>
              </c:extLst>
            </c:dLbl>
            <c:dLbl>
              <c:idx val="3"/>
              <c:layout>
                <c:manualLayout>
                  <c:x val="-7.7412755884455663E-3"/>
                  <c:y val="-2.45655959671707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A2-A944-8BC0-DC4C6A87F77A}"/>
                </c:ext>
              </c:extLst>
            </c:dLbl>
            <c:dLbl>
              <c:idx val="5"/>
              <c:layout>
                <c:manualLayout>
                  <c:x val="-8.7494636014031082E-2"/>
                  <c:y val="2.627571553555803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6A2-A944-8BC0-DC4C6A87F77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 Display Summary '!$A$30:$A$35</c:f>
              <c:strCache>
                <c:ptCount val="5"/>
                <c:pt idx="0">
                  <c:v>2.4"</c:v>
                </c:pt>
                <c:pt idx="1">
                  <c:v>4.3"</c:v>
                </c:pt>
                <c:pt idx="2">
                  <c:v>4.5"</c:v>
                </c:pt>
                <c:pt idx="3">
                  <c:v>5.0"</c:v>
                </c:pt>
                <c:pt idx="4">
                  <c:v>App</c:v>
                </c:pt>
              </c:strCache>
            </c:strRef>
          </c:cat>
          <c:val>
            <c:numRef>
              <c:f>'Top 50 Display Summary '!$F$30:$F$35</c:f>
              <c:numCache>
                <c:formatCode>0%</c:formatCode>
                <c:ptCount val="6"/>
                <c:pt idx="0">
                  <c:v>5.4581643063769704E-3</c:v>
                </c:pt>
                <c:pt idx="1">
                  <c:v>0.31603567722609338</c:v>
                </c:pt>
                <c:pt idx="2">
                  <c:v>0.26582068198418141</c:v>
                </c:pt>
                <c:pt idx="3">
                  <c:v>0.1851075736009638</c:v>
                </c:pt>
                <c:pt idx="4">
                  <c:v>0.21655041009538989</c:v>
                </c:pt>
                <c:pt idx="5">
                  <c:v>1.1027492786994549E-2</c:v>
                </c:pt>
              </c:numCache>
            </c:numRef>
          </c:val>
          <c:extLst>
            <c:ext xmlns:c16="http://schemas.microsoft.com/office/drawing/2014/chart" uri="{C3380CC4-5D6E-409C-BE32-E72D297353CC}">
              <c16:uniqueId val="{0000000C-36A2-A944-8BC0-DC4C6A87F77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 50 Display Summary '!$D$2</c:f>
              <c:strCache>
                <c:ptCount val="1"/>
                <c:pt idx="0">
                  <c:v>Qty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1E-7E45-921F-D3EF86F413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1E-7E45-921F-D3EF86F413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1E-7E45-921F-D3EF86F413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1E-7E45-921F-D3EF86F413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1E-7E45-921F-D3EF86F4130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B1E-7E45-921F-D3EF86F4130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B1E-7E45-921F-D3EF86F4130C}"/>
              </c:ext>
            </c:extLst>
          </c:dPt>
          <c:dLbls>
            <c:dLbl>
              <c:idx val="1"/>
              <c:layout>
                <c:manualLayout>
                  <c:x val="6.1785395187592372E-3"/>
                  <c:y val="-3.28822230554514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1E-7E45-921F-D3EF86F4130C}"/>
                </c:ext>
              </c:extLst>
            </c:dLbl>
            <c:dLbl>
              <c:idx val="3"/>
              <c:layout>
                <c:manualLayout>
                  <c:x val="-4.0711024397025251E-2"/>
                  <c:y val="-4.64155313919093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1E-7E45-921F-D3EF86F4130C}"/>
                </c:ext>
              </c:extLst>
            </c:dLbl>
            <c:dLbl>
              <c:idx val="6"/>
              <c:layout>
                <c:manualLayout>
                  <c:x val="-6.643619427065961E-2"/>
                  <c:y val="9.28450610340372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B1E-7E45-921F-D3EF86F413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 Display Summary '!$A$3:$A$9</c:f>
              <c:strCache>
                <c:ptCount val="6"/>
                <c:pt idx="0">
                  <c:v>4.3"</c:v>
                </c:pt>
                <c:pt idx="1">
                  <c:v>4.5"</c:v>
                </c:pt>
                <c:pt idx="2">
                  <c:v>5.0"</c:v>
                </c:pt>
                <c:pt idx="3">
                  <c:v>6.0"</c:v>
                </c:pt>
                <c:pt idx="4">
                  <c:v>9.0"</c:v>
                </c:pt>
                <c:pt idx="5">
                  <c:v>App</c:v>
                </c:pt>
              </c:strCache>
            </c:strRef>
          </c:cat>
          <c:val>
            <c:numRef>
              <c:f>'Top 50 Display Summary '!$D$3:$D$9</c:f>
              <c:numCache>
                <c:formatCode>0%</c:formatCode>
                <c:ptCount val="7"/>
                <c:pt idx="0">
                  <c:v>0.33022265555047059</c:v>
                </c:pt>
                <c:pt idx="1">
                  <c:v>0.1415325228326402</c:v>
                </c:pt>
                <c:pt idx="2">
                  <c:v>0.12949439879021829</c:v>
                </c:pt>
                <c:pt idx="3">
                  <c:v>1.1540680900173109E-3</c:v>
                </c:pt>
                <c:pt idx="4">
                  <c:v>9.5509083311777466E-4</c:v>
                </c:pt>
                <c:pt idx="5">
                  <c:v>0.37485325427303662</c:v>
                </c:pt>
                <c:pt idx="6">
                  <c:v>2.178800963049923E-2</c:v>
                </c:pt>
              </c:numCache>
            </c:numRef>
          </c:val>
          <c:extLst>
            <c:ext xmlns:c16="http://schemas.microsoft.com/office/drawing/2014/chart" uri="{C3380CC4-5D6E-409C-BE32-E72D297353CC}">
              <c16:uniqueId val="{0000000E-AB1E-7E45-921F-D3EF86F4130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'Top50 Lensdiameter Summary  '!$F$2</c:f>
              <c:strCache>
                <c:ptCount val="1"/>
                <c:pt idx="0">
                  <c:v>Revenue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A2-EF43-B5EC-F34B42BB22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A2-EF43-B5EC-F34B42BB22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A2-EF43-B5EC-F34B42BB22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A2-EF43-B5EC-F34B42BB22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2A2-EF43-B5EC-F34B42BB2210}"/>
              </c:ext>
            </c:extLst>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dLbl>
              <c:idx val="1"/>
              <c:layout>
                <c:manualLayout>
                  <c:x val="1.7990652062787476E-2"/>
                  <c:y val="9.053201683122865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A2-EF43-B5EC-F34B42BB2210}"/>
                </c:ext>
              </c:extLst>
            </c:dLbl>
            <c:dLbl>
              <c:idx val="6"/>
              <c:layout>
                <c:manualLayout>
                  <c:x val="-1.2022810395585826E-2"/>
                  <c:y val="-4.2513352497604469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'Top50 Lensdiameter Summary  '!$A$3:$A$10</c:f>
              <c:strCache>
                <c:ptCount val="8"/>
                <c:pt idx="0">
                  <c:v>23mm</c:v>
                </c:pt>
                <c:pt idx="1">
                  <c:v>3.9mm</c:v>
                </c:pt>
                <c:pt idx="2">
                  <c:v>5.5mm</c:v>
                </c:pt>
                <c:pt idx="3">
                  <c:v>6.2mm</c:v>
                </c:pt>
                <c:pt idx="4">
                  <c:v>6.4mm</c:v>
                </c:pt>
                <c:pt idx="5">
                  <c:v>6.5mm</c:v>
                </c:pt>
                <c:pt idx="6">
                  <c:v>6mm</c:v>
                </c:pt>
                <c:pt idx="7">
                  <c:v>8.5mm</c:v>
                </c:pt>
              </c:strCache>
            </c:strRef>
          </c:cat>
          <c:val>
            <c:numRef>
              <c:f>'Top50 Lensdiameter Summary  '!$F$3:$F$10</c:f>
              <c:numCache>
                <c:formatCode>0%</c:formatCode>
                <c:ptCount val="8"/>
                <c:pt idx="0">
                  <c:v>9.0984685732057105E-3</c:v>
                </c:pt>
                <c:pt idx="1">
                  <c:v>1.1201393143817439E-2</c:v>
                </c:pt>
                <c:pt idx="2">
                  <c:v>7.959693153991014E-2</c:v>
                </c:pt>
                <c:pt idx="3">
                  <c:v>1.8104619837605491E-2</c:v>
                </c:pt>
                <c:pt idx="4">
                  <c:v>7.868111777514895E-3</c:v>
                </c:pt>
                <c:pt idx="5">
                  <c:v>2.82769832990728E-2</c:v>
                </c:pt>
                <c:pt idx="6">
                  <c:v>8.7095433194607375E-3</c:v>
                </c:pt>
                <c:pt idx="7">
                  <c:v>8.2742749471389862E-2</c:v>
                </c:pt>
              </c:numCache>
            </c:numRef>
          </c:val>
          <c:extLst>
            <c:ext xmlns:c16="http://schemas.microsoft.com/office/drawing/2014/chart" uri="{C3380CC4-5D6E-409C-BE32-E72D297353CC}">
              <c16:uniqueId val="{0000000A-32A2-EF43-B5EC-F34B42BB221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itle>
    <c:autoTitleDeleted val="0"/>
    <c:plotArea>
      <c:layout/>
      <c:pieChart>
        <c:varyColors val="1"/>
        <c:ser>
          <c:idx val="0"/>
          <c:order val="0"/>
          <c:tx>
            <c:strRef>
              <c:f>'Top50 Lensdiameter Summary  '!$D$32</c:f>
              <c:strCache>
                <c:ptCount val="1"/>
                <c:pt idx="0">
                  <c:v>Qty by %</c:v>
                </c:pt>
              </c:strCache>
            </c:strRef>
          </c:tx>
          <c:dLbls>
            <c:dLbl>
              <c:idx val="1"/>
              <c:layout>
                <c:manualLayout>
                  <c:x val="2.879416630021802E-2"/>
                  <c:y val="8.726575844686041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D3-A441-A298-BB0B65BE19EF}"/>
                </c:ext>
              </c:extLst>
            </c:dLbl>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1"/>
            <c:leaderLines>
              <c:spPr>
                <a:ln>
                  <a:solidFill>
                    <a:srgbClr val="A6A6A6"/>
                  </a:solidFill>
                </a:ln>
              </c:spPr>
            </c:leaderLines>
            <c:extLst>
              <c:ext xmlns:c15="http://schemas.microsoft.com/office/drawing/2012/chart" uri="{CE6537A1-D6FC-4f65-9D91-7224C49458BB}"/>
            </c:extLst>
          </c:dLbls>
          <c:cat>
            <c:strRef>
              <c:f>'Top50 Lensdiameter Summary  '!$A$33:$A$36</c:f>
              <c:strCache>
                <c:ptCount val="4"/>
                <c:pt idx="0">
                  <c:v>3.9mm</c:v>
                </c:pt>
                <c:pt idx="1">
                  <c:v>5.5mm</c:v>
                </c:pt>
                <c:pt idx="2">
                  <c:v>8.5mm</c:v>
                </c:pt>
                <c:pt idx="3">
                  <c:v>8mm</c:v>
                </c:pt>
              </c:strCache>
            </c:strRef>
          </c:cat>
          <c:val>
            <c:numRef>
              <c:f>'Top50 Lensdiameter Summary  '!$D$33:$D$36</c:f>
              <c:numCache>
                <c:formatCode>0%</c:formatCode>
                <c:ptCount val="4"/>
                <c:pt idx="0">
                  <c:v>9.2169883101611682E-3</c:v>
                </c:pt>
                <c:pt idx="1">
                  <c:v>2.7235941066611331E-2</c:v>
                </c:pt>
                <c:pt idx="2">
                  <c:v>4.8419450785086811E-2</c:v>
                </c:pt>
                <c:pt idx="3">
                  <c:v>0.91512761983814073</c:v>
                </c:pt>
              </c:numCache>
            </c:numRef>
          </c:val>
          <c:extLst>
            <c:ext xmlns:c16="http://schemas.microsoft.com/office/drawing/2014/chart" uri="{C3380CC4-5D6E-409C-BE32-E72D297353CC}">
              <c16:uniqueId val="{00000003-89D3-A441-A298-BB0B65BE19EF}"/>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w="9525">
      <a:solidFill>
        <a:schemeClr val="bg2"/>
      </a:solidFill>
    </a:ln>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'Top50 Lensdiameter Summary  '!$F$2</c:f>
              <c:strCache>
                <c:ptCount val="1"/>
                <c:pt idx="0">
                  <c:v>Revenue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CD-F24D-A9F2-DF3C532670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CD-F24D-A9F2-DF3C532670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CD-F24D-A9F2-DF3C532670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CD-F24D-A9F2-DF3C53267010}"/>
              </c:ext>
            </c:extLst>
          </c:dPt>
          <c:dLbls>
            <c:dLbl>
              <c:idx val="1"/>
              <c:layout>
                <c:manualLayout>
                  <c:x val="1.2032947061983785E-2"/>
                  <c:y val="1.54144065325167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CD-F24D-A9F2-DF3C5326701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'Top50 Lensdiameter Summary  '!$A$33:$A$36</c:f>
              <c:strCache>
                <c:ptCount val="4"/>
                <c:pt idx="0">
                  <c:v>3.9mm</c:v>
                </c:pt>
                <c:pt idx="1">
                  <c:v>5.5mm</c:v>
                </c:pt>
                <c:pt idx="2">
                  <c:v>8.5mm</c:v>
                </c:pt>
                <c:pt idx="3">
                  <c:v>8mm</c:v>
                </c:pt>
              </c:strCache>
            </c:strRef>
          </c:cat>
          <c:val>
            <c:numRef>
              <c:f>'Top50 Lensdiameter Summary  '!$F$33:$F$36</c:f>
              <c:numCache>
                <c:formatCode>0%</c:formatCode>
                <c:ptCount val="4"/>
                <c:pt idx="0">
                  <c:v>6.4039234735576061E-3</c:v>
                </c:pt>
                <c:pt idx="1">
                  <c:v>7.0935620771485228E-2</c:v>
                </c:pt>
                <c:pt idx="2">
                  <c:v>9.8004616629359248E-2</c:v>
                </c:pt>
                <c:pt idx="3">
                  <c:v>0.82465583912559792</c:v>
                </c:pt>
              </c:numCache>
            </c:numRef>
          </c:val>
          <c:extLst>
            <c:ext xmlns:c16="http://schemas.microsoft.com/office/drawing/2014/chart" uri="{C3380CC4-5D6E-409C-BE32-E72D297353CC}">
              <c16:uniqueId val="{0000000C-5FCD-F24D-A9F2-DF3C5326701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layout>
        <c:manualLayout>
          <c:xMode val="edge"/>
          <c:yMode val="edge"/>
          <c:x val="0.35682050249382913"/>
          <c:y val="2.492307209243908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'Top50 Lensdiameter Summary  '!$D$2</c:f>
              <c:strCache>
                <c:ptCount val="1"/>
                <c:pt idx="0">
                  <c:v>Qty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DC-9B43-81F7-2B3219D74F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DC-9B43-81F7-2B3219D74F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DC-9B43-81F7-2B3219D74F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DC-9B43-81F7-2B3219D74F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DDC-9B43-81F7-2B3219D74F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DDC-9B43-81F7-2B3219D74F9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DDC-9B43-81F7-2B3219D74F93}"/>
              </c:ext>
            </c:extLst>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E-323F-3447-86DE-8E9A9A05B22C}"/>
              </c:ext>
            </c:extLst>
          </c:dPt>
          <c:dPt>
            <c:idx val="9"/>
            <c:bubble3D val="0"/>
            <c:spPr>
              <a:solidFill>
                <a:schemeClr val="accent4">
                  <a:lumMod val="60000"/>
                </a:schemeClr>
              </a:solidFill>
              <a:ln w="19050">
                <a:solidFill>
                  <a:schemeClr val="lt1"/>
                </a:solidFill>
              </a:ln>
              <a:effectLst/>
            </c:spPr>
          </c:dPt>
          <c:dLbls>
            <c:dLbl>
              <c:idx val="0"/>
              <c:delete val="1"/>
              <c:extLst>
                <c:ext xmlns:c15="http://schemas.microsoft.com/office/drawing/2012/chart" uri="{CE6537A1-D6FC-4f65-9D91-7224C49458BB}"/>
                <c:ext xmlns:c16="http://schemas.microsoft.com/office/drawing/2014/chart" uri="{C3380CC4-5D6E-409C-BE32-E72D297353CC}">
                  <c16:uniqueId val="{00000001-6DDC-9B43-81F7-2B3219D74F93}"/>
                </c:ext>
              </c:extLst>
            </c:dLbl>
            <c:dLbl>
              <c:idx val="1"/>
              <c:layout>
                <c:manualLayout>
                  <c:x val="6.1785395187592372E-3"/>
                  <c:y val="-3.28822230554514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DC-9B43-81F7-2B3219D74F93}"/>
                </c:ext>
              </c:extLst>
            </c:dLbl>
            <c:dLbl>
              <c:idx val="2"/>
              <c:layout>
                <c:manualLayout>
                  <c:x val="-1.1814175705867271E-2"/>
                  <c:y val="2.621282313572151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DC-9B43-81F7-2B3219D74F93}"/>
                </c:ext>
              </c:extLst>
            </c:dLbl>
            <c:dLbl>
              <c:idx val="4"/>
              <c:layout>
                <c:manualLayout>
                  <c:x val="8.7967521112920763E-2"/>
                  <c:y val="4.53773376562582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DDC-9B43-81F7-2B3219D74F93}"/>
                </c:ext>
              </c:extLst>
            </c:dLbl>
            <c:dLbl>
              <c:idx val="5"/>
              <c:layout>
                <c:manualLayout>
                  <c:x val="6.7626405988054056E-2"/>
                  <c:y val="-5.086401809316111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DDC-9B43-81F7-2B3219D74F93}"/>
                </c:ext>
              </c:extLst>
            </c:dLbl>
            <c:dLbl>
              <c:idx val="6"/>
              <c:layout>
                <c:manualLayout>
                  <c:x val="-4.0711024397025251E-2"/>
                  <c:y val="-4.64155313919093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DDC-9B43-81F7-2B3219D74F93}"/>
                </c:ext>
              </c:extLst>
            </c:dLbl>
            <c:dLbl>
              <c:idx val="8"/>
              <c:layout>
                <c:manualLayout>
                  <c:x val="-0.15008976079647404"/>
                  <c:y val="-7.7353586313153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23F-3447-86DE-8E9A9A05B22C}"/>
                </c:ext>
              </c:extLst>
            </c:dLbl>
            <c:dLbl>
              <c:idx val="9"/>
              <c:layout>
                <c:manualLayout>
                  <c:x val="-6.643619427065961E-2"/>
                  <c:y val="9.284506103403721E-3"/>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'Top50 Lensdiameter Summary  '!$A$3:$A$12</c:f>
              <c:strCache>
                <c:ptCount val="9"/>
                <c:pt idx="0">
                  <c:v>23mm</c:v>
                </c:pt>
                <c:pt idx="1">
                  <c:v>3.9mm</c:v>
                </c:pt>
                <c:pt idx="2">
                  <c:v>5.5mm</c:v>
                </c:pt>
                <c:pt idx="3">
                  <c:v>6.2mm</c:v>
                </c:pt>
                <c:pt idx="4">
                  <c:v>6.4mm</c:v>
                </c:pt>
                <c:pt idx="5">
                  <c:v>6.5mm</c:v>
                </c:pt>
                <c:pt idx="6">
                  <c:v>6mm</c:v>
                </c:pt>
                <c:pt idx="7">
                  <c:v>8.5mm</c:v>
                </c:pt>
                <c:pt idx="8">
                  <c:v>8mm</c:v>
                </c:pt>
              </c:strCache>
            </c:strRef>
          </c:cat>
          <c:val>
            <c:numRef>
              <c:f>'Top50 Lensdiameter Summary  '!$D$3:$D$12</c:f>
              <c:numCache>
                <c:formatCode>0%</c:formatCode>
                <c:ptCount val="10"/>
                <c:pt idx="0">
                  <c:v>9.5509083311777466E-4</c:v>
                </c:pt>
                <c:pt idx="1">
                  <c:v>1.1540680900173109E-3</c:v>
                </c:pt>
                <c:pt idx="2">
                  <c:v>4.0372485424915942E-2</c:v>
                </c:pt>
                <c:pt idx="3">
                  <c:v>1.1839146785522409E-2</c:v>
                </c:pt>
                <c:pt idx="4">
                  <c:v>5.9295222556061842E-3</c:v>
                </c:pt>
                <c:pt idx="5">
                  <c:v>6.9244085401038661E-3</c:v>
                </c:pt>
                <c:pt idx="6">
                  <c:v>1.4127385239867079E-3</c:v>
                </c:pt>
                <c:pt idx="7">
                  <c:v>4.3973973774797538E-2</c:v>
                </c:pt>
                <c:pt idx="8">
                  <c:v>0.87874325964542255</c:v>
                </c:pt>
                <c:pt idx="9">
                  <c:v>8.6953061265097401E-3</c:v>
                </c:pt>
              </c:numCache>
            </c:numRef>
          </c:val>
          <c:extLst>
            <c:ext xmlns:c16="http://schemas.microsoft.com/office/drawing/2014/chart" uri="{C3380CC4-5D6E-409C-BE32-E72D297353CC}">
              <c16:uniqueId val="{0000000E-6DDC-9B43-81F7-2B3219D74F9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'Top50 Lens count Summary '!$F$2</c:f>
              <c:strCache>
                <c:ptCount val="1"/>
                <c:pt idx="0">
                  <c:v>Revenue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3F-AC48-B1A7-D4AEBAF373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3F-AC48-B1A7-D4AEBAF373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3F-AC48-B1A7-D4AEBAF373FF}"/>
              </c:ext>
            </c:extLst>
          </c:dPt>
          <c:dLbls>
            <c:dLbl>
              <c:idx val="1"/>
              <c:layout>
                <c:manualLayout>
                  <c:x val="1.7990652062787476E-2"/>
                  <c:y val="9.053201683122865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3F-AC48-B1A7-D4AEBAF373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'Top50 Lens count Summary '!$A$3:$A$5</c:f>
              <c:strCache>
                <c:ptCount val="3"/>
                <c:pt idx="0">
                  <c:v>Dual</c:v>
                </c:pt>
                <c:pt idx="1">
                  <c:v>Single</c:v>
                </c:pt>
                <c:pt idx="2">
                  <c:v>Triple</c:v>
                </c:pt>
              </c:strCache>
            </c:strRef>
          </c:cat>
          <c:val>
            <c:numRef>
              <c:f>'Top50 Lens count Summary '!$F$3:$F$5</c:f>
              <c:numCache>
                <c:formatCode>0%</c:formatCode>
                <c:ptCount val="3"/>
                <c:pt idx="0">
                  <c:v>0.33540246238119148</c:v>
                </c:pt>
                <c:pt idx="1">
                  <c:v>0.5688948053901729</c:v>
                </c:pt>
                <c:pt idx="2">
                  <c:v>7.5463389055909907E-2</c:v>
                </c:pt>
              </c:numCache>
            </c:numRef>
          </c:val>
          <c:extLst>
            <c:ext xmlns:c16="http://schemas.microsoft.com/office/drawing/2014/chart" uri="{C3380CC4-5D6E-409C-BE32-E72D297353CC}">
              <c16:uniqueId val="{0000000A-B93F-AC48-B1A7-D4AEBAF373F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itle>
    <c:autoTitleDeleted val="0"/>
    <c:plotArea>
      <c:layout/>
      <c:pieChart>
        <c:varyColors val="1"/>
        <c:ser>
          <c:idx val="0"/>
          <c:order val="0"/>
          <c:tx>
            <c:strRef>
              <c:f>'Top50 Lens count Summary '!$D$26</c:f>
              <c:strCache>
                <c:ptCount val="1"/>
                <c:pt idx="0">
                  <c:v>Qty by %</c:v>
                </c:pt>
              </c:strCache>
            </c:strRef>
          </c:tx>
          <c:dLbls>
            <c:dLbl>
              <c:idx val="1"/>
              <c:layout>
                <c:manualLayout>
                  <c:x val="2.879416630021802E-2"/>
                  <c:y val="8.726575844686041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2F-6E42-B8F8-206C69703613}"/>
                </c:ext>
              </c:extLst>
            </c:dLbl>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1"/>
            <c:leaderLines>
              <c:spPr>
                <a:ln>
                  <a:solidFill>
                    <a:srgbClr val="A6A6A6"/>
                  </a:solidFill>
                </a:ln>
              </c:spPr>
            </c:leaderLines>
            <c:extLst>
              <c:ext xmlns:c15="http://schemas.microsoft.com/office/drawing/2012/chart" uri="{CE6537A1-D6FC-4f65-9D91-7224C49458BB}"/>
            </c:extLst>
          </c:dLbls>
          <c:cat>
            <c:strRef>
              <c:f>'Top50 Lens count Summary '!$A$27:$A$29</c:f>
              <c:strCache>
                <c:ptCount val="3"/>
                <c:pt idx="0">
                  <c:v>Dual</c:v>
                </c:pt>
                <c:pt idx="1">
                  <c:v>Single</c:v>
                </c:pt>
                <c:pt idx="2">
                  <c:v>Triple</c:v>
                </c:pt>
              </c:strCache>
            </c:strRef>
          </c:cat>
          <c:val>
            <c:numRef>
              <c:f>'Top50 Lens count Summary '!$D$27:$D$29</c:f>
              <c:numCache>
                <c:formatCode>0%</c:formatCode>
                <c:ptCount val="3"/>
                <c:pt idx="0">
                  <c:v>0.38327453828595143</c:v>
                </c:pt>
                <c:pt idx="1">
                  <c:v>0.58601369578750773</c:v>
                </c:pt>
                <c:pt idx="2">
                  <c:v>3.071176592654078E-2</c:v>
                </c:pt>
              </c:numCache>
            </c:numRef>
          </c:val>
          <c:extLst>
            <c:ext xmlns:c16="http://schemas.microsoft.com/office/drawing/2014/chart" uri="{C3380CC4-5D6E-409C-BE32-E72D297353CC}">
              <c16:uniqueId val="{00000003-A12F-6E42-B8F8-206C69703613}"/>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w="9525">
      <a:solidFill>
        <a:schemeClr val="bg2"/>
      </a:solidFill>
    </a:ln>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'Top50 Lens count Summary '!$F$2</c:f>
              <c:strCache>
                <c:ptCount val="1"/>
                <c:pt idx="0">
                  <c:v>Revenue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90-654D-851F-262ADD857D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90-654D-851F-262ADD857D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90-654D-851F-262ADD857D45}"/>
              </c:ext>
            </c:extLst>
          </c:dPt>
          <c:dLbls>
            <c:dLbl>
              <c:idx val="1"/>
              <c:layout>
                <c:manualLayout>
                  <c:x val="1.2032947061983785E-2"/>
                  <c:y val="1.54144065325167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90-654D-851F-262ADD857D4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'Top50 Lens count Summary '!$A$27:$A$29</c:f>
              <c:strCache>
                <c:ptCount val="3"/>
                <c:pt idx="0">
                  <c:v>Dual</c:v>
                </c:pt>
                <c:pt idx="1">
                  <c:v>Single</c:v>
                </c:pt>
                <c:pt idx="2">
                  <c:v>Triple</c:v>
                </c:pt>
              </c:strCache>
            </c:strRef>
          </c:cat>
          <c:val>
            <c:numRef>
              <c:f>'Top50 Lens count Summary '!$F$27:$F$29</c:f>
              <c:numCache>
                <c:formatCode>0%</c:formatCode>
                <c:ptCount val="3"/>
                <c:pt idx="0">
                  <c:v>0.33600687300405679</c:v>
                </c:pt>
                <c:pt idx="1">
                  <c:v>0.59979002647604718</c:v>
                </c:pt>
                <c:pt idx="2">
                  <c:v>6.4203100519896097E-2</c:v>
                </c:pt>
              </c:numCache>
            </c:numRef>
          </c:val>
          <c:extLst>
            <c:ext xmlns:c16="http://schemas.microsoft.com/office/drawing/2014/chart" uri="{C3380CC4-5D6E-409C-BE32-E72D297353CC}">
              <c16:uniqueId val="{0000000C-BC90-654D-851F-262ADD857D4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'Top50 Lens count Summary '!$D$2</c:f>
              <c:strCache>
                <c:ptCount val="1"/>
                <c:pt idx="0">
                  <c:v>Qty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1-E749-884C-D6AAB73017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1-E749-884C-D6AAB73017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1-E749-884C-D6AAB73017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91-E749-884C-D6AAB730178B}"/>
              </c:ext>
            </c:extLst>
          </c:dPt>
          <c:dLbls>
            <c:dLbl>
              <c:idx val="1"/>
              <c:layout>
                <c:manualLayout>
                  <c:x val="6.1785395187592372E-3"/>
                  <c:y val="-3.28822230554514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91-E749-884C-D6AAB730178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'Top50 Lens count Summary '!$A$3:$A$6</c:f>
              <c:strCache>
                <c:ptCount val="3"/>
                <c:pt idx="0">
                  <c:v>Dual</c:v>
                </c:pt>
                <c:pt idx="1">
                  <c:v>Single</c:v>
                </c:pt>
                <c:pt idx="2">
                  <c:v>Triple</c:v>
                </c:pt>
              </c:strCache>
            </c:strRef>
          </c:cat>
          <c:val>
            <c:numRef>
              <c:f>'Top50 Lens count Summary '!$D$3:$D$6</c:f>
              <c:numCache>
                <c:formatCode>0%</c:formatCode>
                <c:ptCount val="4"/>
                <c:pt idx="0">
                  <c:v>0.40271007023897171</c:v>
                </c:pt>
                <c:pt idx="1">
                  <c:v>0.54426249079730182</c:v>
                </c:pt>
                <c:pt idx="2">
                  <c:v>4.4332132837216709E-2</c:v>
                </c:pt>
                <c:pt idx="3">
                  <c:v>8.6953061265097401E-3</c:v>
                </c:pt>
              </c:numCache>
            </c:numRef>
          </c:val>
          <c:extLst>
            <c:ext xmlns:c16="http://schemas.microsoft.com/office/drawing/2014/chart" uri="{C3380CC4-5D6E-409C-BE32-E72D297353CC}">
              <c16:uniqueId val="{0000000E-0891-E749-884C-D6AAB730178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'Top50 Cable length Summary  '!$F$2</c:f>
              <c:strCache>
                <c:ptCount val="1"/>
                <c:pt idx="0">
                  <c:v>Revenue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1F-E84D-A21F-52CFD11EC9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1F-E84D-A21F-52CFD11EC9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1F-E84D-A21F-52CFD11EC9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1F-E84D-A21F-52CFD11EC9C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91F-E84D-A21F-52CFD11EC9CD}"/>
              </c:ext>
            </c:extLst>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A-B26C-B747-AB31-727EB4C4907D}"/>
              </c:ext>
            </c:extLst>
          </c:dPt>
          <c:dLbls>
            <c:dLbl>
              <c:idx val="1"/>
              <c:layout>
                <c:manualLayout>
                  <c:x val="1.7990652062787476E-2"/>
                  <c:y val="9.053201683122865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1F-E84D-A21F-52CFD11EC9CD}"/>
                </c:ext>
              </c:extLst>
            </c:dLbl>
            <c:dLbl>
              <c:idx val="7"/>
              <c:layout>
                <c:manualLayout>
                  <c:x val="-1.2022810395585826E-2"/>
                  <c:y val="-4.2513352497604469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8"/>
              <c:layout>
                <c:manualLayout>
                  <c:x val="-3.1679893028053185E-3"/>
                  <c:y val="-9.575520359344251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26C-B747-AB31-727EB4C490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'Top50 Cable length Summary  '!$A$3:$A$11</c:f>
              <c:strCache>
                <c:ptCount val="9"/>
                <c:pt idx="0">
                  <c:v>10ft</c:v>
                </c:pt>
                <c:pt idx="1">
                  <c:v>16.5ft</c:v>
                </c:pt>
                <c:pt idx="2">
                  <c:v>300ft</c:v>
                </c:pt>
                <c:pt idx="3">
                  <c:v>32.8ft</c:v>
                </c:pt>
                <c:pt idx="4">
                  <c:v>5.25ft</c:v>
                </c:pt>
                <c:pt idx="5">
                  <c:v>5.5ft</c:v>
                </c:pt>
                <c:pt idx="6">
                  <c:v>5.6ft</c:v>
                </c:pt>
                <c:pt idx="7">
                  <c:v>50ft</c:v>
                </c:pt>
                <c:pt idx="8">
                  <c:v>5ft</c:v>
                </c:pt>
              </c:strCache>
            </c:strRef>
          </c:cat>
          <c:val>
            <c:numRef>
              <c:f>'Top50 Cable length Summary  '!$F$3:$F$11</c:f>
              <c:numCache>
                <c:formatCode>0%</c:formatCode>
                <c:ptCount val="9"/>
                <c:pt idx="0">
                  <c:v>3.464804322232564E-2</c:v>
                </c:pt>
                <c:pt idx="1">
                  <c:v>0.32038915144915808</c:v>
                </c:pt>
                <c:pt idx="2">
                  <c:v>9.0984685732057105E-3</c:v>
                </c:pt>
                <c:pt idx="3">
                  <c:v>9.1728260541795587E-3</c:v>
                </c:pt>
                <c:pt idx="4">
                  <c:v>9.9347235720920381E-3</c:v>
                </c:pt>
                <c:pt idx="5">
                  <c:v>0.111884608581772</c:v>
                </c:pt>
                <c:pt idx="6">
                  <c:v>8.1698962655134526E-3</c:v>
                </c:pt>
                <c:pt idx="7">
                  <c:v>7.3331983876643594E-2</c:v>
                </c:pt>
                <c:pt idx="8">
                  <c:v>0.38754449129483182</c:v>
                </c:pt>
              </c:numCache>
            </c:numRef>
          </c:val>
          <c:extLst>
            <c:ext xmlns:c16="http://schemas.microsoft.com/office/drawing/2014/chart" uri="{C3380CC4-5D6E-409C-BE32-E72D297353CC}">
              <c16:uniqueId val="{0000000A-D91F-E84D-A21F-52CFD11EC9C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itle>
    <c:autoTitleDeleted val="0"/>
    <c:plotArea>
      <c:layout/>
      <c:pieChart>
        <c:varyColors val="1"/>
        <c:ser>
          <c:idx val="0"/>
          <c:order val="0"/>
          <c:tx>
            <c:strRef>
              <c:f>'Top50 Cable length Summary  '!$D$33</c:f>
              <c:strCache>
                <c:ptCount val="1"/>
                <c:pt idx="0">
                  <c:v>Qty by %</c:v>
                </c:pt>
              </c:strCache>
            </c:strRef>
          </c:tx>
          <c:dLbls>
            <c:dLbl>
              <c:idx val="1"/>
              <c:layout>
                <c:manualLayout>
                  <c:x val="2.879416630021802E-2"/>
                  <c:y val="8.726575844686041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9B-6E45-AFBB-24F80B0F00A1}"/>
                </c:ext>
              </c:extLst>
            </c:dLbl>
            <c:dLbl>
              <c:idx val="6"/>
              <c:layout>
                <c:manualLayout>
                  <c:x val="-2.3388426919703633E-2"/>
                  <c:y val="-1.3285672624255302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b="1"/>
                </a:pPr>
                <a:endParaRPr lang="en-US"/>
              </a:p>
            </c:txPr>
            <c:dLblPos val="inEnd"/>
            <c:showLegendKey val="0"/>
            <c:showVal val="1"/>
            <c:showCatName val="0"/>
            <c:showSerName val="0"/>
            <c:showPercent val="0"/>
            <c:showBubbleSize val="0"/>
            <c:showLeaderLines val="1"/>
            <c:leaderLines>
              <c:spPr>
                <a:ln>
                  <a:solidFill>
                    <a:srgbClr val="A6A6A6"/>
                  </a:solidFill>
                </a:ln>
              </c:spPr>
            </c:leaderLines>
            <c:extLst>
              <c:ext xmlns:c15="http://schemas.microsoft.com/office/drawing/2012/chart" uri="{CE6537A1-D6FC-4f65-9D91-7224C49458BB}"/>
            </c:extLst>
          </c:dLbls>
          <c:cat>
            <c:strRef>
              <c:f>'Top50 Cable length Summary  '!$A$34:$A$41</c:f>
              <c:strCache>
                <c:ptCount val="8"/>
                <c:pt idx="0">
                  <c:v>10ft</c:v>
                </c:pt>
                <c:pt idx="1">
                  <c:v>16.5ft</c:v>
                </c:pt>
                <c:pt idx="2">
                  <c:v>32.8ft</c:v>
                </c:pt>
                <c:pt idx="3">
                  <c:v>33ft</c:v>
                </c:pt>
                <c:pt idx="4">
                  <c:v>5.5ft</c:v>
                </c:pt>
                <c:pt idx="5">
                  <c:v>50ft</c:v>
                </c:pt>
                <c:pt idx="6">
                  <c:v>5ft</c:v>
                </c:pt>
                <c:pt idx="7">
                  <c:v>9.8ft</c:v>
                </c:pt>
              </c:strCache>
            </c:strRef>
          </c:cat>
          <c:val>
            <c:numRef>
              <c:f>'Top50 Cable length Summary  '!$D$34:$D$41</c:f>
              <c:numCache>
                <c:formatCode>0%</c:formatCode>
                <c:ptCount val="8"/>
                <c:pt idx="0">
                  <c:v>2.896520716607872E-2</c:v>
                </c:pt>
                <c:pt idx="1">
                  <c:v>0.67610845956975862</c:v>
                </c:pt>
                <c:pt idx="2">
                  <c:v>1.582278481012658E-2</c:v>
                </c:pt>
                <c:pt idx="3">
                  <c:v>1.0047036037905511E-2</c:v>
                </c:pt>
                <c:pt idx="4">
                  <c:v>5.9711558414608838E-2</c:v>
                </c:pt>
                <c:pt idx="5">
                  <c:v>4.0914435913398363E-2</c:v>
                </c:pt>
                <c:pt idx="6">
                  <c:v>0.1572594590855641</c:v>
                </c:pt>
                <c:pt idx="7">
                  <c:v>1.1171059002559309E-2</c:v>
                </c:pt>
              </c:numCache>
            </c:numRef>
          </c:val>
          <c:extLst>
            <c:ext xmlns:c16="http://schemas.microsoft.com/office/drawing/2014/chart" uri="{C3380CC4-5D6E-409C-BE32-E72D297353CC}">
              <c16:uniqueId val="{00000003-DE9B-6E45-AFBB-24F80B0F00A1}"/>
            </c:ext>
          </c:extLst>
        </c:ser>
        <c:dLbls>
          <c:dLblPos val="in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w="9525">
      <a:solidFill>
        <a:schemeClr val="bg2"/>
      </a:solidFill>
    </a:ln>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'Top50 Cable length Summary  '!$F$2</c:f>
              <c:strCache>
                <c:ptCount val="1"/>
                <c:pt idx="0">
                  <c:v>Revenue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69-2249-B537-1F643B06CB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69-2249-B537-1F643B06CB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69-2249-B537-1F643B06CB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69-2249-B537-1F643B06CB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E69-2249-B537-1F643B06CB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E69-2249-B537-1F643B06CB29}"/>
              </c:ext>
            </c:extLst>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dLbl>
              <c:idx val="1"/>
              <c:layout>
                <c:manualLayout>
                  <c:x val="1.2032947061983785E-2"/>
                  <c:y val="1.54144065325167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69-2249-B537-1F643B06CB29}"/>
                </c:ext>
              </c:extLst>
            </c:dLbl>
            <c:dLbl>
              <c:idx val="6"/>
              <c:layout>
                <c:manualLayout>
                  <c:x val="-7.7412755884455663E-3"/>
                  <c:y val="-2.456559596717077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'Top50 Cable length Summary  '!$A$34:$A$41</c:f>
              <c:strCache>
                <c:ptCount val="8"/>
                <c:pt idx="0">
                  <c:v>10ft</c:v>
                </c:pt>
                <c:pt idx="1">
                  <c:v>16.5ft</c:v>
                </c:pt>
                <c:pt idx="2">
                  <c:v>32.8ft</c:v>
                </c:pt>
                <c:pt idx="3">
                  <c:v>33ft</c:v>
                </c:pt>
                <c:pt idx="4">
                  <c:v>5.5ft</c:v>
                </c:pt>
                <c:pt idx="5">
                  <c:v>50ft</c:v>
                </c:pt>
                <c:pt idx="6">
                  <c:v>5ft</c:v>
                </c:pt>
                <c:pt idx="7">
                  <c:v>9.8ft</c:v>
                </c:pt>
              </c:strCache>
            </c:strRef>
          </c:cat>
          <c:val>
            <c:numRef>
              <c:f>'Top50 Cable length Summary  '!$F$34:$F$41</c:f>
              <c:numCache>
                <c:formatCode>0%</c:formatCode>
                <c:ptCount val="8"/>
                <c:pt idx="0">
                  <c:v>1.291739342351478E-2</c:v>
                </c:pt>
                <c:pt idx="1">
                  <c:v>0.42108950511640508</c:v>
                </c:pt>
                <c:pt idx="2">
                  <c:v>1.016521414004031E-2</c:v>
                </c:pt>
                <c:pt idx="3">
                  <c:v>5.8794329311629883E-3</c:v>
                </c:pt>
                <c:pt idx="4">
                  <c:v>0.12398916086390679</c:v>
                </c:pt>
                <c:pt idx="5">
                  <c:v>7.0513209704721067E-2</c:v>
                </c:pt>
                <c:pt idx="6">
                  <c:v>0.3503930781835104</c:v>
                </c:pt>
                <c:pt idx="7">
                  <c:v>5.0530056367386507E-3</c:v>
                </c:pt>
              </c:numCache>
            </c:numRef>
          </c:val>
          <c:extLst>
            <c:ext xmlns:c16="http://schemas.microsoft.com/office/drawing/2014/chart" uri="{C3380CC4-5D6E-409C-BE32-E72D297353CC}">
              <c16:uniqueId val="{0000000C-0E69-2249-B537-1F643B06CB2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'Top50 Cable length Summary  '!$D$2</c:f>
              <c:strCache>
                <c:ptCount val="1"/>
                <c:pt idx="0">
                  <c:v>Qty by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D0-6B4A-AF0F-1779526CD7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D0-6B4A-AF0F-1779526CD7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D0-6B4A-AF0F-1779526CD7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D0-6B4A-AF0F-1779526CD7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5D0-6B4A-AF0F-1779526CD78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5D0-6B4A-AF0F-1779526CD78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5D0-6B4A-AF0F-1779526CD785}"/>
              </c:ext>
            </c:extLst>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E-DF24-2440-A0AD-D16A4379A394}"/>
              </c:ext>
            </c:extLst>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Lbls>
            <c:dLbl>
              <c:idx val="1"/>
              <c:layout>
                <c:manualLayout>
                  <c:x val="6.1785395187592372E-3"/>
                  <c:y val="-3.28822230554514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D0-6B4A-AF0F-1779526CD785}"/>
                </c:ext>
              </c:extLst>
            </c:dLbl>
            <c:dLbl>
              <c:idx val="7"/>
              <c:layout>
                <c:manualLayout>
                  <c:x val="-4.0711024397025251E-2"/>
                  <c:y val="-4.6415531391909341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8"/>
              <c:layout>
                <c:manualLayout>
                  <c:x val="-3.0954681195916645E-2"/>
                  <c:y val="3.12612634103000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F24-2440-A0AD-D16A4379A394}"/>
                </c:ext>
              </c:extLst>
            </c:dLbl>
            <c:dLbl>
              <c:idx val="10"/>
              <c:layout>
                <c:manualLayout>
                  <c:x val="-6.643619427065961E-2"/>
                  <c:y val="9.284506103403721E-3"/>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'Top50 Cable length Summary  '!$A$3:$A$13</c:f>
              <c:strCache>
                <c:ptCount val="10"/>
                <c:pt idx="0">
                  <c:v>10ft</c:v>
                </c:pt>
                <c:pt idx="1">
                  <c:v>16.5ft</c:v>
                </c:pt>
                <c:pt idx="2">
                  <c:v>300ft</c:v>
                </c:pt>
                <c:pt idx="3">
                  <c:v>32.8ft</c:v>
                </c:pt>
                <c:pt idx="4">
                  <c:v>5.25ft</c:v>
                </c:pt>
                <c:pt idx="5">
                  <c:v>5.5ft</c:v>
                </c:pt>
                <c:pt idx="6">
                  <c:v>5.6ft</c:v>
                </c:pt>
                <c:pt idx="7">
                  <c:v>50ft</c:v>
                </c:pt>
                <c:pt idx="8">
                  <c:v>5ft</c:v>
                </c:pt>
                <c:pt idx="9">
                  <c:v>9.8ft</c:v>
                </c:pt>
              </c:strCache>
            </c:strRef>
          </c:cat>
          <c:val>
            <c:numRef>
              <c:f>'Top50 Cable length Summary  '!$D$3:$D$13</c:f>
              <c:numCache>
                <c:formatCode>0%</c:formatCode>
                <c:ptCount val="11"/>
                <c:pt idx="0">
                  <c:v>3.3388383707742213E-2</c:v>
                </c:pt>
                <c:pt idx="1">
                  <c:v>0.60698012217203579</c:v>
                </c:pt>
                <c:pt idx="2">
                  <c:v>9.5509083311777466E-4</c:v>
                </c:pt>
                <c:pt idx="3">
                  <c:v>1.8206419006307581E-2</c:v>
                </c:pt>
                <c:pt idx="4">
                  <c:v>4.6162723600692438E-3</c:v>
                </c:pt>
                <c:pt idx="5">
                  <c:v>6.8706846807409919E-2</c:v>
                </c:pt>
                <c:pt idx="6">
                  <c:v>7.2228744254531707E-3</c:v>
                </c:pt>
                <c:pt idx="7">
                  <c:v>4.6043337246552719E-2</c:v>
                </c:pt>
                <c:pt idx="8">
                  <c:v>0.19615177985156301</c:v>
                </c:pt>
                <c:pt idx="9">
                  <c:v>9.0335674632389517E-3</c:v>
                </c:pt>
                <c:pt idx="10">
                  <c:v>8.6953061265097401E-3</c:v>
                </c:pt>
              </c:numCache>
            </c:numRef>
          </c:val>
          <c:extLst>
            <c:ext xmlns:c16="http://schemas.microsoft.com/office/drawing/2014/chart" uri="{C3380CC4-5D6E-409C-BE32-E72D297353CC}">
              <c16:uniqueId val="{0000000E-55D0-6B4A-AF0F-1779526CD78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3</xdr:col>
      <xdr:colOff>133350</xdr:colOff>
      <xdr:row>12</xdr:row>
      <xdr:rowOff>0</xdr:rowOff>
    </xdr:from>
    <xdr:to>
      <xdr:col>5</xdr:col>
      <xdr:colOff>1171574</xdr:colOff>
      <xdr:row>27</xdr:row>
      <xdr:rowOff>0</xdr:rowOff>
    </xdr:to>
    <xdr:graphicFrame macro="">
      <xdr:nvGraphicFramePr>
        <xdr:cNvPr id="3" name="Chart 2">
          <a:extLst>
            <a:ext uri="{FF2B5EF4-FFF2-40B4-BE49-F238E27FC236}">
              <a16:creationId xmlns:a16="http://schemas.microsoft.com/office/drawing/2014/main" id="{E074BC87-0929-40A7-BD4A-6993464CA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37</xdr:row>
      <xdr:rowOff>0</xdr:rowOff>
    </xdr:from>
    <xdr:to>
      <xdr:col>2</xdr:col>
      <xdr:colOff>1800224</xdr:colOff>
      <xdr:row>52</xdr:row>
      <xdr:rowOff>0</xdr:rowOff>
    </xdr:to>
    <xdr:graphicFrame macro="">
      <xdr:nvGraphicFramePr>
        <xdr:cNvPr id="4" name="Chart 3">
          <a:extLst>
            <a:ext uri="{FF2B5EF4-FFF2-40B4-BE49-F238E27FC236}">
              <a16:creationId xmlns:a16="http://schemas.microsoft.com/office/drawing/2014/main" id="{E3CA3186-E6D4-4308-9961-DAA04537F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37</xdr:row>
      <xdr:rowOff>0</xdr:rowOff>
    </xdr:from>
    <xdr:to>
      <xdr:col>5</xdr:col>
      <xdr:colOff>1171574</xdr:colOff>
      <xdr:row>52</xdr:row>
      <xdr:rowOff>0</xdr:rowOff>
    </xdr:to>
    <xdr:graphicFrame macro="">
      <xdr:nvGraphicFramePr>
        <xdr:cNvPr id="5" name="Chart 4">
          <a:extLst>
            <a:ext uri="{FF2B5EF4-FFF2-40B4-BE49-F238E27FC236}">
              <a16:creationId xmlns:a16="http://schemas.microsoft.com/office/drawing/2014/main" id="{9EDB6155-9A97-4C55-80DD-9E00B504D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12</xdr:row>
      <xdr:rowOff>0</xdr:rowOff>
    </xdr:from>
    <xdr:to>
      <xdr:col>2</xdr:col>
      <xdr:colOff>1800224</xdr:colOff>
      <xdr:row>27</xdr:row>
      <xdr:rowOff>0</xdr:rowOff>
    </xdr:to>
    <xdr:graphicFrame macro="">
      <xdr:nvGraphicFramePr>
        <xdr:cNvPr id="7" name="Chart 6">
          <a:extLst>
            <a:ext uri="{FF2B5EF4-FFF2-40B4-BE49-F238E27FC236}">
              <a16:creationId xmlns:a16="http://schemas.microsoft.com/office/drawing/2014/main" id="{5A44D110-AF24-4CB7-BA47-18F780D8E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133350</xdr:colOff>
      <xdr:row>8</xdr:row>
      <xdr:rowOff>0</xdr:rowOff>
    </xdr:from>
    <xdr:to>
      <xdr:col>5</xdr:col>
      <xdr:colOff>1171574</xdr:colOff>
      <xdr:row>23</xdr:row>
      <xdr:rowOff>0</xdr:rowOff>
    </xdr:to>
    <xdr:graphicFrame macro="">
      <xdr:nvGraphicFramePr>
        <xdr:cNvPr id="2" name="Chart 1">
          <a:extLst>
            <a:ext uri="{FF2B5EF4-FFF2-40B4-BE49-F238E27FC236}">
              <a16:creationId xmlns:a16="http://schemas.microsoft.com/office/drawing/2014/main" id="{B5628A89-DCCF-494F-A1A0-84E405B6D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0</xdr:rowOff>
    </xdr:from>
    <xdr:to>
      <xdr:col>2</xdr:col>
      <xdr:colOff>1800224</xdr:colOff>
      <xdr:row>46</xdr:row>
      <xdr:rowOff>0</xdr:rowOff>
    </xdr:to>
    <xdr:graphicFrame macro="">
      <xdr:nvGraphicFramePr>
        <xdr:cNvPr id="3" name="Chart 2">
          <a:extLst>
            <a:ext uri="{FF2B5EF4-FFF2-40B4-BE49-F238E27FC236}">
              <a16:creationId xmlns:a16="http://schemas.microsoft.com/office/drawing/2014/main" id="{A93C822E-0547-1D4F-B3FE-C8D1692AF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31</xdr:row>
      <xdr:rowOff>0</xdr:rowOff>
    </xdr:from>
    <xdr:to>
      <xdr:col>5</xdr:col>
      <xdr:colOff>1171574</xdr:colOff>
      <xdr:row>46</xdr:row>
      <xdr:rowOff>0</xdr:rowOff>
    </xdr:to>
    <xdr:graphicFrame macro="">
      <xdr:nvGraphicFramePr>
        <xdr:cNvPr id="4" name="Chart 3">
          <a:extLst>
            <a:ext uri="{FF2B5EF4-FFF2-40B4-BE49-F238E27FC236}">
              <a16:creationId xmlns:a16="http://schemas.microsoft.com/office/drawing/2014/main" id="{0B5E920E-BE56-DF4E-B261-C6329F073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xdr:row>
      <xdr:rowOff>0</xdr:rowOff>
    </xdr:from>
    <xdr:to>
      <xdr:col>2</xdr:col>
      <xdr:colOff>1800224</xdr:colOff>
      <xdr:row>23</xdr:row>
      <xdr:rowOff>0</xdr:rowOff>
    </xdr:to>
    <xdr:graphicFrame macro="">
      <xdr:nvGraphicFramePr>
        <xdr:cNvPr id="5" name="Chart 4">
          <a:extLst>
            <a:ext uri="{FF2B5EF4-FFF2-40B4-BE49-F238E27FC236}">
              <a16:creationId xmlns:a16="http://schemas.microsoft.com/office/drawing/2014/main" id="{93F95846-9829-EF43-ACB3-C97BB5A76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133350</xdr:colOff>
      <xdr:row>11</xdr:row>
      <xdr:rowOff>0</xdr:rowOff>
    </xdr:from>
    <xdr:to>
      <xdr:col>5</xdr:col>
      <xdr:colOff>1171574</xdr:colOff>
      <xdr:row>26</xdr:row>
      <xdr:rowOff>0</xdr:rowOff>
    </xdr:to>
    <xdr:graphicFrame macro="">
      <xdr:nvGraphicFramePr>
        <xdr:cNvPr id="2" name="Chart 1">
          <a:extLst>
            <a:ext uri="{FF2B5EF4-FFF2-40B4-BE49-F238E27FC236}">
              <a16:creationId xmlns:a16="http://schemas.microsoft.com/office/drawing/2014/main" id="{9FF9A8D2-F310-7040-8635-F270CAF82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37</xdr:row>
      <xdr:rowOff>0</xdr:rowOff>
    </xdr:from>
    <xdr:to>
      <xdr:col>2</xdr:col>
      <xdr:colOff>1800224</xdr:colOff>
      <xdr:row>52</xdr:row>
      <xdr:rowOff>0</xdr:rowOff>
    </xdr:to>
    <xdr:graphicFrame macro="">
      <xdr:nvGraphicFramePr>
        <xdr:cNvPr id="3" name="Chart 2">
          <a:extLst>
            <a:ext uri="{FF2B5EF4-FFF2-40B4-BE49-F238E27FC236}">
              <a16:creationId xmlns:a16="http://schemas.microsoft.com/office/drawing/2014/main" id="{D71750FE-46B2-8F4D-BF12-CD2AA268B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37</xdr:row>
      <xdr:rowOff>0</xdr:rowOff>
    </xdr:from>
    <xdr:to>
      <xdr:col>5</xdr:col>
      <xdr:colOff>1171574</xdr:colOff>
      <xdr:row>52</xdr:row>
      <xdr:rowOff>0</xdr:rowOff>
    </xdr:to>
    <xdr:graphicFrame macro="">
      <xdr:nvGraphicFramePr>
        <xdr:cNvPr id="4" name="Chart 3">
          <a:extLst>
            <a:ext uri="{FF2B5EF4-FFF2-40B4-BE49-F238E27FC236}">
              <a16:creationId xmlns:a16="http://schemas.microsoft.com/office/drawing/2014/main" id="{91600D1E-E901-EA40-B764-7BAB8DA54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xdr:row>
      <xdr:rowOff>0</xdr:rowOff>
    </xdr:from>
    <xdr:to>
      <xdr:col>2</xdr:col>
      <xdr:colOff>1800224</xdr:colOff>
      <xdr:row>26</xdr:row>
      <xdr:rowOff>0</xdr:rowOff>
    </xdr:to>
    <xdr:graphicFrame macro="">
      <xdr:nvGraphicFramePr>
        <xdr:cNvPr id="5" name="Chart 4">
          <a:extLst>
            <a:ext uri="{FF2B5EF4-FFF2-40B4-BE49-F238E27FC236}">
              <a16:creationId xmlns:a16="http://schemas.microsoft.com/office/drawing/2014/main" id="{3577AC5C-024C-434D-80C4-F8B346E4B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133350</xdr:colOff>
      <xdr:row>14</xdr:row>
      <xdr:rowOff>0</xdr:rowOff>
    </xdr:from>
    <xdr:to>
      <xdr:col>5</xdr:col>
      <xdr:colOff>1171574</xdr:colOff>
      <xdr:row>29</xdr:row>
      <xdr:rowOff>0</xdr:rowOff>
    </xdr:to>
    <xdr:graphicFrame macro="">
      <xdr:nvGraphicFramePr>
        <xdr:cNvPr id="2" name="Chart 1">
          <a:extLst>
            <a:ext uri="{FF2B5EF4-FFF2-40B4-BE49-F238E27FC236}">
              <a16:creationId xmlns:a16="http://schemas.microsoft.com/office/drawing/2014/main" id="{1C7B5DFC-E3EC-5540-B256-479D6E605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38</xdr:row>
      <xdr:rowOff>0</xdr:rowOff>
    </xdr:from>
    <xdr:to>
      <xdr:col>2</xdr:col>
      <xdr:colOff>1800224</xdr:colOff>
      <xdr:row>53</xdr:row>
      <xdr:rowOff>0</xdr:rowOff>
    </xdr:to>
    <xdr:graphicFrame macro="">
      <xdr:nvGraphicFramePr>
        <xdr:cNvPr id="3" name="Chart 2">
          <a:extLst>
            <a:ext uri="{FF2B5EF4-FFF2-40B4-BE49-F238E27FC236}">
              <a16:creationId xmlns:a16="http://schemas.microsoft.com/office/drawing/2014/main" id="{8A725E39-9740-5F48-AA44-146BB2B02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38</xdr:row>
      <xdr:rowOff>0</xdr:rowOff>
    </xdr:from>
    <xdr:to>
      <xdr:col>5</xdr:col>
      <xdr:colOff>1171574</xdr:colOff>
      <xdr:row>53</xdr:row>
      <xdr:rowOff>0</xdr:rowOff>
    </xdr:to>
    <xdr:graphicFrame macro="">
      <xdr:nvGraphicFramePr>
        <xdr:cNvPr id="4" name="Chart 3">
          <a:extLst>
            <a:ext uri="{FF2B5EF4-FFF2-40B4-BE49-F238E27FC236}">
              <a16:creationId xmlns:a16="http://schemas.microsoft.com/office/drawing/2014/main" id="{4FC35CE4-0016-2444-999E-613C3D008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0</xdr:rowOff>
    </xdr:from>
    <xdr:to>
      <xdr:col>2</xdr:col>
      <xdr:colOff>1800224</xdr:colOff>
      <xdr:row>29</xdr:row>
      <xdr:rowOff>0</xdr:rowOff>
    </xdr:to>
    <xdr:graphicFrame macro="">
      <xdr:nvGraphicFramePr>
        <xdr:cNvPr id="5" name="Chart 4">
          <a:extLst>
            <a:ext uri="{FF2B5EF4-FFF2-40B4-BE49-F238E27FC236}">
              <a16:creationId xmlns:a16="http://schemas.microsoft.com/office/drawing/2014/main" id="{6D74DC11-C836-9E41-91D7-F3A2D339C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133350</xdr:colOff>
      <xdr:row>8</xdr:row>
      <xdr:rowOff>0</xdr:rowOff>
    </xdr:from>
    <xdr:to>
      <xdr:col>5</xdr:col>
      <xdr:colOff>1171574</xdr:colOff>
      <xdr:row>23</xdr:row>
      <xdr:rowOff>0</xdr:rowOff>
    </xdr:to>
    <xdr:graphicFrame macro="">
      <xdr:nvGraphicFramePr>
        <xdr:cNvPr id="2" name="Chart 1">
          <a:extLst>
            <a:ext uri="{FF2B5EF4-FFF2-40B4-BE49-F238E27FC236}">
              <a16:creationId xmlns:a16="http://schemas.microsoft.com/office/drawing/2014/main" id="{6FBD33C2-6B36-E14F-A7B9-F0B7D2D82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0</xdr:rowOff>
    </xdr:from>
    <xdr:to>
      <xdr:col>2</xdr:col>
      <xdr:colOff>1800224</xdr:colOff>
      <xdr:row>46</xdr:row>
      <xdr:rowOff>0</xdr:rowOff>
    </xdr:to>
    <xdr:graphicFrame macro="">
      <xdr:nvGraphicFramePr>
        <xdr:cNvPr id="3" name="Chart 2">
          <a:extLst>
            <a:ext uri="{FF2B5EF4-FFF2-40B4-BE49-F238E27FC236}">
              <a16:creationId xmlns:a16="http://schemas.microsoft.com/office/drawing/2014/main" id="{B8A79FD0-9C88-6A4F-B35B-263932303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31</xdr:row>
      <xdr:rowOff>0</xdr:rowOff>
    </xdr:from>
    <xdr:to>
      <xdr:col>5</xdr:col>
      <xdr:colOff>1171574</xdr:colOff>
      <xdr:row>46</xdr:row>
      <xdr:rowOff>0</xdr:rowOff>
    </xdr:to>
    <xdr:graphicFrame macro="">
      <xdr:nvGraphicFramePr>
        <xdr:cNvPr id="4" name="Chart 3">
          <a:extLst>
            <a:ext uri="{FF2B5EF4-FFF2-40B4-BE49-F238E27FC236}">
              <a16:creationId xmlns:a16="http://schemas.microsoft.com/office/drawing/2014/main" id="{36562E5A-0D45-4F40-8E50-B70AADBF8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xdr:row>
      <xdr:rowOff>0</xdr:rowOff>
    </xdr:from>
    <xdr:to>
      <xdr:col>2</xdr:col>
      <xdr:colOff>1800224</xdr:colOff>
      <xdr:row>23</xdr:row>
      <xdr:rowOff>0</xdr:rowOff>
    </xdr:to>
    <xdr:graphicFrame macro="">
      <xdr:nvGraphicFramePr>
        <xdr:cNvPr id="5" name="Chart 4">
          <a:extLst>
            <a:ext uri="{FF2B5EF4-FFF2-40B4-BE49-F238E27FC236}">
              <a16:creationId xmlns:a16="http://schemas.microsoft.com/office/drawing/2014/main" id="{BE6A3C0F-4AD6-824F-ACBB-296201CF2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133350</xdr:colOff>
      <xdr:row>15</xdr:row>
      <xdr:rowOff>0</xdr:rowOff>
    </xdr:from>
    <xdr:to>
      <xdr:col>5</xdr:col>
      <xdr:colOff>1171574</xdr:colOff>
      <xdr:row>30</xdr:row>
      <xdr:rowOff>0</xdr:rowOff>
    </xdr:to>
    <xdr:graphicFrame macro="">
      <xdr:nvGraphicFramePr>
        <xdr:cNvPr id="2" name="Chart 1">
          <a:extLst>
            <a:ext uri="{FF2B5EF4-FFF2-40B4-BE49-F238E27FC236}">
              <a16:creationId xmlns:a16="http://schemas.microsoft.com/office/drawing/2014/main" id="{14DBB126-F079-A14E-8B79-5F5305FE8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43</xdr:row>
      <xdr:rowOff>0</xdr:rowOff>
    </xdr:from>
    <xdr:to>
      <xdr:col>2</xdr:col>
      <xdr:colOff>1800224</xdr:colOff>
      <xdr:row>58</xdr:row>
      <xdr:rowOff>0</xdr:rowOff>
    </xdr:to>
    <xdr:graphicFrame macro="">
      <xdr:nvGraphicFramePr>
        <xdr:cNvPr id="3" name="Chart 2">
          <a:extLst>
            <a:ext uri="{FF2B5EF4-FFF2-40B4-BE49-F238E27FC236}">
              <a16:creationId xmlns:a16="http://schemas.microsoft.com/office/drawing/2014/main" id="{4BB4A85F-6A00-FC4A-8B8C-DC6E9709C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133350</xdr:colOff>
      <xdr:row>43</xdr:row>
      <xdr:rowOff>0</xdr:rowOff>
    </xdr:from>
    <xdr:to>
      <xdr:col>5</xdr:col>
      <xdr:colOff>1171574</xdr:colOff>
      <xdr:row>58</xdr:row>
      <xdr:rowOff>0</xdr:rowOff>
    </xdr:to>
    <xdr:graphicFrame macro="">
      <xdr:nvGraphicFramePr>
        <xdr:cNvPr id="4" name="Chart 3">
          <a:extLst>
            <a:ext uri="{FF2B5EF4-FFF2-40B4-BE49-F238E27FC236}">
              <a16:creationId xmlns:a16="http://schemas.microsoft.com/office/drawing/2014/main" id="{347C8B2C-B907-6844-BB4E-E40632A44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0</xdr:rowOff>
    </xdr:from>
    <xdr:to>
      <xdr:col>2</xdr:col>
      <xdr:colOff>1800224</xdr:colOff>
      <xdr:row>30</xdr:row>
      <xdr:rowOff>0</xdr:rowOff>
    </xdr:to>
    <xdr:graphicFrame macro="">
      <xdr:nvGraphicFramePr>
        <xdr:cNvPr id="5" name="Chart 4">
          <a:extLst>
            <a:ext uri="{FF2B5EF4-FFF2-40B4-BE49-F238E27FC236}">
              <a16:creationId xmlns:a16="http://schemas.microsoft.com/office/drawing/2014/main" id="{B4948B5F-E8EE-DC46-BE6A-D849D7267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0</v>
    <v>5</v>
  </rv>
  <rv s="0">
    <v>1</v>
    <v>5</v>
  </rv>
  <rv s="0">
    <v>2</v>
    <v>5</v>
  </rv>
  <rv s="0">
    <v>3</v>
    <v>5</v>
  </rv>
  <rv s="0">
    <v>4</v>
    <v>5</v>
  </rv>
  <rv s="0">
    <v>5</v>
    <v>5</v>
  </rv>
  <rv s="0">
    <v>6</v>
    <v>5</v>
  </rv>
  <rv s="0">
    <v>7</v>
    <v>5</v>
  </rv>
  <rv s="0">
    <v>8</v>
    <v>5</v>
  </rv>
  <rv s="0">
    <v>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AA4E10B-D5A6-443C-B693-D033EB4D31C1}" name="Table9" displayName="Table9" ref="A2:I13" totalsRowShown="0" headerRowDxfId="350" dataDxfId="349">
  <autoFilter ref="A2:I13" xr:uid="{4AA4E10B-D5A6-443C-B693-D033EB4D31C1}"/>
  <sortState xmlns:xlrd2="http://schemas.microsoft.com/office/spreadsheetml/2017/richdata2" ref="A3:I13">
    <sortCondition descending="1" ref="C2:C13"/>
  </sortState>
  <tableColumns count="9">
    <tableColumn id="1" xr3:uid="{59DDC482-1870-4E2E-8BF5-EB9285BAA99D}" name="Brand" dataDxfId="348"/>
    <tableColumn id="2" xr3:uid="{A8F5DD56-4D89-4316-9459-4199363C4811}" name="# of Listings" dataDxfId="22"/>
    <tableColumn id="3" xr3:uid="{91461C01-4EE9-4E2F-8CE4-B84CAE796483}" name="Monthly Rev" dataDxfId="20"/>
    <tableColumn id="4" xr3:uid="{E1C2FE0F-476F-45D7-99E4-C62B7E7617DF}" name="Estimated 12mo Revenue" dataDxfId="21"/>
    <tableColumn id="5" xr3:uid="{EEB0224F-3BAE-45B1-B08F-C44B106F5E6E}" name="Monthly Units" dataDxfId="347"/>
    <tableColumn id="6" xr3:uid="{4B65CA95-5782-4827-9724-9E485297FD7F}" name="Monthly Rev Market Share %" dataDxfId="346"/>
    <tableColumn id="7" xr3:uid="{4F4A5C13-103E-4697-B9EB-117A7FD0539D}" name="Price Per Unit" dataDxfId="345"/>
    <tableColumn id="8" xr3:uid="{E0D5D588-BDF2-4ABE-AF1F-198CEF23594F}" name="Reviews" dataDxfId="344"/>
    <tableColumn id="9" xr3:uid="{A50EE09D-EAE0-498F-A9AC-27B29E4D309C}" name="Avg Rating" dataDxfId="343"/>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34B056-BB80-42A4-A9A4-072CDCA6DE03}" name="Table10" displayName="Table10" ref="A17:I28" totalsRowShown="0" headerRowDxfId="342" dataDxfId="341">
  <autoFilter ref="A17:I28" xr:uid="{2034B056-BB80-42A4-A9A4-072CDCA6DE03}"/>
  <sortState xmlns:xlrd2="http://schemas.microsoft.com/office/spreadsheetml/2017/richdata2" ref="A18:I28">
    <sortCondition descending="1" ref="E17:E28"/>
  </sortState>
  <tableColumns count="9">
    <tableColumn id="1" xr3:uid="{BE2B1C31-1506-4D6D-AFD9-223B194FC431}" name="Brand" dataDxfId="340"/>
    <tableColumn id="2" xr3:uid="{C8B6087A-05CA-4623-863E-B3ACE8B42FAA}" name="# of Listings" dataDxfId="339"/>
    <tableColumn id="3" xr3:uid="{2A144B7C-B67E-4594-81D3-4FDAD7CBC96E}" name="Monthly Rev" dataDxfId="19"/>
    <tableColumn id="4" xr3:uid="{F07E138E-DFCC-47F8-A515-7301D3BA46DC}" name="Estimated 12mo Units" dataDxfId="18"/>
    <tableColumn id="5" xr3:uid="{DBEA200E-9508-46F6-8155-110A1C053D3E}" name="Monthly Units" dataDxfId="16"/>
    <tableColumn id="6" xr3:uid="{C4E170ED-8710-4EB9-8D0F-ED468ED04C85}" name="Monthly Unit Market Share %" dataDxfId="17"/>
    <tableColumn id="7" xr3:uid="{243C70F3-D5DA-4951-B027-73543B636986}" name="Price Per Unit" dataDxfId="338"/>
    <tableColumn id="8" xr3:uid="{2E949DBF-E878-4D5A-90F1-17C24AD5A19B}" name="Reviews" dataDxfId="337"/>
    <tableColumn id="9" xr3:uid="{E2E9E495-C902-4664-94C1-A9CC959F200A}" name="Avg Rating" dataDxfId="336"/>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ABEA72-310D-4460-97CB-49594AA366B1}" name="Table7" displayName="Table7" ref="A2:Q52" totalsRowShown="0" headerRowDxfId="335" dataDxfId="334">
  <autoFilter ref="A2:Q52" xr:uid="{28ABEA72-310D-4460-97CB-49594AA366B1}"/>
  <tableColumns count="17">
    <tableColumn id="1" xr3:uid="{4715B50F-060A-403A-80FE-1C375C17FE5E}" name="Ranking" dataDxfId="333"/>
    <tableColumn id="2" xr3:uid="{54574D91-311E-4D96-B218-A0A388FC0E6A}" name="ASIN" dataDxfId="332"/>
    <tableColumn id="3" xr3:uid="{15FC621E-64BB-40B8-BB93-F6A0D114904C}" name="Product Name" dataDxfId="331"/>
    <tableColumn id="4" xr3:uid="{84BAED59-00DF-4C39-B744-BA56FF1507A3}" name="Brand" dataDxfId="330"/>
    <tableColumn id="5" xr3:uid="{2AF1F347-7B13-4C9C-A1D8-EF0ED0F80533}" name="Type" dataDxfId="329"/>
    <tableColumn id="18" xr3:uid="{56CE07A3-145B-43A2-B8C8-1BDDB07924CB}" name="2/4-way" dataDxfId="328"/>
    <tableColumn id="12" xr3:uid="{9FDA11B5-4164-4FDF-9DE4-01B8C3995F14}" name="Display" dataDxfId="327"/>
    <tableColumn id="15" xr3:uid="{78FC27ED-B4E4-414B-9EAB-A39A6643BC19}" name="Lens diameter" dataDxfId="326"/>
    <tableColumn id="17" xr3:uid="{3DCF1275-3B16-47B8-A0E2-011192BB9F5D}" name="Lens count" dataDxfId="325"/>
    <tableColumn id="16" xr3:uid="{8A807A0C-A450-438B-AE55-C2A736A68312}" name="Cable length" dataDxfId="324"/>
    <tableColumn id="6" xr3:uid="{8CA4556A-ACD5-4171-9FD4-AF6BA41EDDF2}" name="Price" dataDxfId="323"/>
    <tableColumn id="7" xr3:uid="{D4CD1066-B6AD-4012-8B46-ACEE18E90D84}" name="Est. Monthly Retail Rev" dataDxfId="322"/>
    <tableColumn id="8" xr3:uid="{0A335ED3-71B3-4B06-964A-AAD1D3715644}" name="Est. Monthly Units Sold" dataDxfId="321"/>
    <tableColumn id="9" xr3:uid="{ABDF4E3D-75BE-4E22-9859-393763DAA114}" name="# of Reviews" dataDxfId="320"/>
    <tableColumn id="11" xr3:uid="{2315F7F9-087A-478B-B11C-6E75249A5DF7}" name="Avg. Rating" dataDxfId="319"/>
    <tableColumn id="10" xr3:uid="{3358C17E-8F44-4475-99FC-B8B50B1E2C4D}" name="Column2" dataDxfId="318" dataCellStyle="Hyperlink"/>
    <tableColumn id="13" xr3:uid="{D1DBEE25-931F-4BE6-9737-FA50230FB88D}" name="Link" dataDxfId="317"/>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59DCDBC-50DA-46D3-958E-407BBB6F51F5}" name="Table8" displayName="Table8" ref="A56:Q106" totalsRowShown="0" headerRowDxfId="316" dataDxfId="315">
  <autoFilter ref="A56:Q106" xr:uid="{A59DCDBC-50DA-46D3-958E-407BBB6F51F5}"/>
  <tableColumns count="17">
    <tableColumn id="1" xr3:uid="{0938D7FF-C44D-4D90-AE85-02C17A7E838A}" name="Ranking" dataDxfId="314"/>
    <tableColumn id="2" xr3:uid="{231AAF06-86B4-4792-8A6C-015B80B0DBEF}" name="ASIN" dataDxfId="313"/>
    <tableColumn id="3" xr3:uid="{AAC75754-6EB9-49D4-9244-C1BBE2F2DEA4}" name="Product Name" dataDxfId="312"/>
    <tableColumn id="4" xr3:uid="{F751F635-89F9-42AC-8DAD-497317024A61}" name="Brand" dataDxfId="311"/>
    <tableColumn id="5" xr3:uid="{5D1305B2-11AC-462A-A592-A88F596F78A4}" name="Type" dataDxfId="310"/>
    <tableColumn id="24" xr3:uid="{4C8BFE44-7226-417A-A08C-1DCF49D0DFDF}" name="2/4-way" dataDxfId="309"/>
    <tableColumn id="20" xr3:uid="{0F5FE3C6-4EF1-4C38-B604-FA84F645F4F9}" name="Display" dataDxfId="308"/>
    <tableColumn id="21" xr3:uid="{4D357285-4CDE-4CE3-9E19-E844F272C161}" name="Lens diameter" dataDxfId="307"/>
    <tableColumn id="23" xr3:uid="{00F15DF2-3993-4323-800B-627BFFDFAFA4}" name="Lens count" dataDxfId="306"/>
    <tableColumn id="22" xr3:uid="{5877C1CF-CA7C-43E7-B1D1-DD714A059C4A}" name="Cable length" dataDxfId="305"/>
    <tableColumn id="6" xr3:uid="{663B81CB-2F51-49C2-837D-D617D25C6466}" name="Price" dataDxfId="304"/>
    <tableColumn id="7" xr3:uid="{09EF5AAE-F480-4327-B12E-601E87113177}" name="Est. Monthly Retail Rev" dataDxfId="303"/>
    <tableColumn id="8" xr3:uid="{A3869BD7-4065-49B6-9034-34C621B13300}" name="Est. Monthly Units Sold" dataDxfId="302"/>
    <tableColumn id="9" xr3:uid="{472CFF8B-1E88-4F1B-B34F-30770ED3616C}" name="# of Reviews" dataDxfId="301"/>
    <tableColumn id="11" xr3:uid="{9B46B1E4-DAB0-44BB-8E8B-FBE9E9C9CB48}" name="Avg. Rating" dataDxfId="300"/>
    <tableColumn id="10" xr3:uid="{AD6D991F-1745-4ED5-BEF7-1E88AF8322E0}" name="Column2" dataDxfId="299" dataCellStyle="Hyperlink"/>
    <tableColumn id="12" xr3:uid="{36342CC1-3217-4CA5-99AA-97EE8906A57B}" name="Link" dataDxfId="298" dataCellStyle="Hyperlink"/>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4075F7-AD59-4242-81F7-8B44C8B67C92}" name="Table19151719" displayName="Table19151719" ref="A8:K69" totalsRowShown="0" dataDxfId="76" headerRowBorderDxfId="77" tableBorderDxfId="75">
  <autoFilter ref="A8:K69" xr:uid="{0F4A96C2-3AFE-41A8-83B5-B2821344F5D7}"/>
  <tableColumns count="11">
    <tableColumn id="1" xr3:uid="{6235006B-98AB-414C-8F91-E364841E9A3F}" name="Product Name" dataDxfId="74"/>
    <tableColumn id="2" xr3:uid="{8287EA29-8DE5-4578-AB3A-69536D246D24}" name="ASIN" dataDxfId="73"/>
    <tableColumn id="3" xr3:uid="{2E3A0918-44EB-4343-B2C8-03AE2B7B55C4}" name="Avg Price" dataDxfId="72"/>
    <tableColumn id="4" xr3:uid="{3B2715E2-85E1-426D-A9B5-16B704C43837}" name="Estimated 12mo Revenue" dataDxfId="71"/>
    <tableColumn id="5" xr3:uid="{36E239CD-3764-4FC8-BA4E-C99C6464A419}" name="Monthly Rev" dataDxfId="70"/>
    <tableColumn id="6" xr3:uid="{AA3A41EA-8B19-4EA8-8B3B-8E44BF564E9B}" name="Estimated 12mo Units" dataDxfId="69"/>
    <tableColumn id="7" xr3:uid="{AA687EBE-3F19-46FB-BEB5-B5D90891C801}" name="Monthly Units" dataDxfId="68"/>
    <tableColumn id="8" xr3:uid="{4CDDF752-3074-4FE2-8554-372DEFF565C0}" name="# of Reviews" dataDxfId="67"/>
    <tableColumn id="9" xr3:uid="{7A2167DE-4AC6-463D-9ABF-C51322B917F9}" name="Tool Rating " dataDxfId="66"/>
    <tableColumn id="11" xr3:uid="{5A4153F1-54CD-4CE0-9771-F330FC0FA146}" name="Column1" dataDxfId="65"/>
    <tableColumn id="10" xr3:uid="{EAC4C0D9-8610-45A0-8E1B-A0A1E1E39D2C}" name="Link" dataDxfId="64" dataCellStyle="Hyperlink">
      <calculatedColumnFormula>HYPERLINK(J9)</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A603035-1AF7-4E58-9E57-3BE55EC1B14A}" name="Table43161821" displayName="Table43161821" ref="A74:K135" totalsRowShown="0" headerRowDxfId="63" dataDxfId="62">
  <autoFilter ref="A74:K135" xr:uid="{C14F2DAC-4C26-4682-BF42-014924E0B654}"/>
  <tableColumns count="11">
    <tableColumn id="1" xr3:uid="{364FD270-488C-48EF-8C10-29D0C608A6EE}" name="Product Name" dataDxfId="61"/>
    <tableColumn id="12" xr3:uid="{832D9EA4-5676-4EC2-A899-F0B9D647DAF2}" name="ASIN" dataDxfId="60"/>
    <tableColumn id="3" xr3:uid="{96073BBB-27A9-4068-9C6F-E8CA26734092}" name="Avg Price" dataDxfId="59"/>
    <tableColumn id="4" xr3:uid="{62335831-B5F3-4703-B3BB-092687106552}" name="Estimated 12mo Revenue" dataDxfId="58"/>
    <tableColumn id="5" xr3:uid="{CBEFF2A4-BBBF-4774-8E84-BA0187440D68}" name="Monthly Rev" dataDxfId="57"/>
    <tableColumn id="6" xr3:uid="{793534A1-2934-41E2-A118-BD61023789DD}" name="Estimated 12mo Units" dataDxfId="56"/>
    <tableColumn id="7" xr3:uid="{9B6D359F-30B5-4E96-B3C7-ABE1E9096615}" name="Monthly Units" dataDxfId="55"/>
    <tableColumn id="8" xr3:uid="{2193B2F2-0567-46A9-92D4-CD599A89C31D}" name="# of Reviews" dataDxfId="54"/>
    <tableColumn id="9" xr3:uid="{AC1B315D-3EFC-4EB5-9B31-E69CB0A5F721}" name="Tool Rating " dataDxfId="53"/>
    <tableColumn id="11" xr3:uid="{7D91CC4D-50C8-4CD6-8F8E-44C8E887F457}" name="Column1" dataDxfId="52"/>
    <tableColumn id="10" xr3:uid="{880E1F22-620C-46CF-8CC6-993AD1B0C792}" name="Link" dataDxfId="51" dataCellStyle="Hyperlink">
      <calculatedColumnFormula>HYPERLINK(J75)</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398740C-DC90-4F42-859A-4A2A85DD4BB3}" name="Table1915" displayName="Table1915" ref="A8:K41" totalsRowShown="0" dataDxfId="213" headerRowBorderDxfId="214" tableBorderDxfId="212">
  <autoFilter ref="A8:K41" xr:uid="{0F4A96C2-3AFE-41A8-83B5-B2821344F5D7}"/>
  <tableColumns count="11">
    <tableColumn id="1" xr3:uid="{67C2B7B0-0219-475D-8D96-C79461C376D1}" name="Product Name" dataDxfId="211"/>
    <tableColumn id="2" xr3:uid="{74DA7844-8CB1-4A57-99B7-185DC56C33EF}" name="ASIN" dataDxfId="210"/>
    <tableColumn id="3" xr3:uid="{B020E12D-CDE4-4527-B889-139322B0AF28}" name="Avg Price" dataDxfId="209"/>
    <tableColumn id="4" xr3:uid="{E770F996-F0CD-44AD-A9C7-E02E7E2BE48E}" name="Estimated 12mo Revenue" dataDxfId="208"/>
    <tableColumn id="5" xr3:uid="{38CE932B-EA62-4816-AEE9-480208B6B96E}" name="Monthly Rev" dataDxfId="207"/>
    <tableColumn id="6" xr3:uid="{6677E677-1B46-41A7-813D-9146D9D838B0}" name="Estimated 12mo Units" dataDxfId="206"/>
    <tableColumn id="7" xr3:uid="{B53EDB1A-3DE6-46C3-8B01-338063710AB5}" name="Monthly Units" dataDxfId="205"/>
    <tableColumn id="8" xr3:uid="{31C31F42-2693-41D5-960A-4A06A14707B8}" name="# of Reviews" dataDxfId="204"/>
    <tableColumn id="9" xr3:uid="{9BDBDC9E-B568-4C28-8236-C8048BDDB782}" name="Tool Rating " dataDxfId="203"/>
    <tableColumn id="11" xr3:uid="{463DF4E0-D92A-43A7-9CC6-214B569EE1D0}" name="Column1" dataDxfId="202"/>
    <tableColumn id="10" xr3:uid="{F79B8C75-33E6-4401-A9EA-B1A6AD9244C8}" name="Link" dataDxfId="201" dataCellStyle="Hyperlink">
      <calculatedColumnFormula>HYPERLINK(J9)</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54B0289-BAC1-41A5-B5FF-7BCB71A4DFA1}" name="Table4316" displayName="Table4316" ref="A46:K79" totalsRowShown="0" headerRowDxfId="200" dataDxfId="199">
  <autoFilter ref="A46:K79" xr:uid="{C14F2DAC-4C26-4682-BF42-014924E0B654}"/>
  <tableColumns count="11">
    <tableColumn id="1" xr3:uid="{B4959A5F-121B-41D2-801D-7739287023E4}" name="Product Name" dataDxfId="198"/>
    <tableColumn id="12" xr3:uid="{8DABAC33-5BD5-427A-91B3-C68224CFBE88}" name="ASIN" dataDxfId="197"/>
    <tableColumn id="3" xr3:uid="{0D9D8C10-111F-4B9F-8B87-E3B205A14CA0}" name="Avg Price" dataDxfId="196"/>
    <tableColumn id="4" xr3:uid="{FCF2ED35-EFFD-4F8C-9EFD-28616DD01255}" name="Estimated 12mo Revenue" dataDxfId="195"/>
    <tableColumn id="5" xr3:uid="{CE292178-F4A8-400A-B282-6C0F1349DFF1}" name="Monthly Rev" dataDxfId="194"/>
    <tableColumn id="6" xr3:uid="{1BE967D8-EAC6-49E5-918A-25A76A35AD97}" name="Estimated 12mo Units" dataDxfId="193"/>
    <tableColumn id="7" xr3:uid="{CE0CA52A-A704-4E2E-B0B7-872BD727F42D}" name="Monthly Units" dataDxfId="192"/>
    <tableColumn id="8" xr3:uid="{AA57A3EF-C86E-4283-B3B9-02AC298CA0CB}" name="# of Reviews" dataDxfId="191"/>
    <tableColumn id="9" xr3:uid="{4E66D908-A24E-433D-A1A8-ED721FBBDC0A}" name="Tool Rating " dataDxfId="190"/>
    <tableColumn id="11" xr3:uid="{E20225D7-D463-42F8-B830-1A447DC45B55}" name="Column1" dataDxfId="189"/>
    <tableColumn id="10" xr3:uid="{8F09D5B7-2EDB-4B31-B973-36579052DB15}" name="Link" dataDxfId="188" dataCellStyle="Hyperlink">
      <calculatedColumnFormula>HYPERLINK(J47)</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4BBE32-7080-4C3F-B13D-EFCC4CE4912F}" name="Table191517" displayName="Table191517" ref="A8:K14" totalsRowShown="0" dataDxfId="140" headerRowBorderDxfId="141" tableBorderDxfId="139">
  <autoFilter ref="A8:K14" xr:uid="{0F4A96C2-3AFE-41A8-83B5-B2821344F5D7}"/>
  <tableColumns count="11">
    <tableColumn id="1" xr3:uid="{9CA31133-F031-42CF-86C8-8EE48CF3F23A}" name="Product Name" dataDxfId="138"/>
    <tableColumn id="2" xr3:uid="{15260386-4566-46B9-A5AB-859161C21527}" name="ASIN" dataDxfId="137"/>
    <tableColumn id="3" xr3:uid="{DA502597-5395-4AB4-B7B5-6CBE564B359D}" name="Avg Price" dataDxfId="136"/>
    <tableColumn id="4" xr3:uid="{4DBC392C-C314-4F94-88FD-222C1A2F976E}" name="Estimated 12mo Revenue" dataDxfId="135"/>
    <tableColumn id="5" xr3:uid="{E8E7D8C2-A73F-4CCC-977E-C405FAA4928A}" name="Monthly Rev" dataDxfId="134"/>
    <tableColumn id="6" xr3:uid="{1E3B66D9-4599-4395-A646-0B5932BCF75E}" name="Estimated 12mo Units" dataDxfId="133"/>
    <tableColumn id="7" xr3:uid="{D1538ABF-0A9C-4C8D-B3D8-C24FC5DA5AB1}" name="Monthly Units" dataDxfId="132"/>
    <tableColumn id="8" xr3:uid="{06F84DE5-11F6-428C-A2DD-6150184AF647}" name="# of Reviews" dataDxfId="131"/>
    <tableColumn id="9" xr3:uid="{B106B38C-4298-4F78-A4B7-3B10AA71D79B}" name="Tool Rating " dataDxfId="130"/>
    <tableColumn id="11" xr3:uid="{E40900AB-75F6-41F1-8DB7-237F4F464A4A}" name="Column1" dataDxfId="129"/>
    <tableColumn id="10" xr3:uid="{0C114CA8-BABF-4C2F-AFCB-6660AD0A5B8A}" name="Link" dataDxfId="128" dataCellStyle="Hyperlink">
      <calculatedColumnFormula>HYPERLINK(J9)</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F88C39A-CB6E-47EF-A9A1-B5B9117E66A7}" name="Table431618" displayName="Table431618" ref="A19:K25" totalsRowShown="0" headerRowDxfId="127" dataDxfId="126">
  <autoFilter ref="A19:K25" xr:uid="{C14F2DAC-4C26-4682-BF42-014924E0B654}"/>
  <tableColumns count="11">
    <tableColumn id="1" xr3:uid="{F914AB38-D063-42BF-8860-A72FA536443C}" name="Product Name" dataDxfId="125"/>
    <tableColumn id="12" xr3:uid="{7C1A3C11-94AD-4224-BD52-83713BAB85DE}" name="ASIN" dataDxfId="124"/>
    <tableColumn id="3" xr3:uid="{A791338C-7A4C-4072-8845-3B355912A8F2}" name="Avg Price" dataDxfId="123"/>
    <tableColumn id="4" xr3:uid="{649F0FAF-8435-4148-A4A5-80B5186C1BA3}" name="Estimated 12mo Revenue" dataDxfId="122"/>
    <tableColumn id="5" xr3:uid="{73DEA395-09C9-42DB-AE39-950B549AE9CE}" name="Monthly Rev" dataDxfId="121"/>
    <tableColumn id="6" xr3:uid="{B413FC5B-5D0D-42A4-82DC-023C1C4F0607}" name="Estimated 12mo Units" dataDxfId="120"/>
    <tableColumn id="7" xr3:uid="{76283AC2-25D7-4F4D-AC08-7B0D780E7414}" name="Monthly Units" dataDxfId="119"/>
    <tableColumn id="8" xr3:uid="{98B80A4F-8491-4351-BE60-00EB48769A3B}" name="# of Reviews" dataDxfId="118"/>
    <tableColumn id="9" xr3:uid="{AD071EF3-78BA-4452-86D7-85D377DF3727}" name="Tool Rating " dataDxfId="117"/>
    <tableColumn id="11" xr3:uid="{00F06AF4-8270-4B2B-B202-B04372429735}" name="Column1" dataDxfId="116"/>
    <tableColumn id="10" xr3:uid="{BE51943D-9F25-4727-A633-291F41BE889D}" name="Link" dataDxfId="115" dataCellStyle="Hyperlink">
      <calculatedColumnFormula>HYPERLINK(J20)</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4E70F4F-751F-BC4D-87EA-BD9DA3D66DF7}" name="Table3912222" displayName="Table3912222" ref="A8:K14" totalsRowShown="0" dataDxfId="268" headerRowBorderDxfId="269" tableBorderDxfId="267">
  <autoFilter ref="A8:K14" xr:uid="{88364236-2597-4E54-AB10-5B55E5D86F9F}"/>
  <tableColumns count="11">
    <tableColumn id="1" xr3:uid="{C5E6792A-81D0-0146-91C6-5A81AC0A6EE1}" name="Product Name" dataDxfId="266"/>
    <tableColumn id="2" xr3:uid="{24332868-F47B-E441-96A0-C0542632AF29}" name="ASIN" dataDxfId="265"/>
    <tableColumn id="3" xr3:uid="{DC364C1C-18D0-404C-8C8E-C5ABB40FCFDA}" name="Avg Price" dataDxfId="264"/>
    <tableColumn id="4" xr3:uid="{92280CB0-7952-1742-BEAA-1D5C19B1194E}" name="Estimated 12mo Revenue" dataDxfId="263"/>
    <tableColumn id="5" xr3:uid="{9B1D6C2D-A6E5-EA44-B212-2D550C7258CB}" name="Monthly Rev" dataDxfId="262"/>
    <tableColumn id="6" xr3:uid="{B6B040D6-3802-0D41-941C-9F7458F01F03}" name="Estimated 12mo Units" dataDxfId="261"/>
    <tableColumn id="7" xr3:uid="{93FA74F6-7C2F-FF45-B062-0060B61F5A6C}" name="Monthly Units" dataDxfId="260"/>
    <tableColumn id="8" xr3:uid="{4B978BB7-62BC-FF46-A82C-1A12944D3BC5}" name="# of Reviews" dataDxfId="259"/>
    <tableColumn id="9" xr3:uid="{B20E719F-5CFE-F743-AB81-F78C10931F26}" name="Tool Rating " dataDxfId="258"/>
    <tableColumn id="11" xr3:uid="{E0B72AD6-0261-EC4B-84F4-9D8F48640646}" name="Column1" dataDxfId="257"/>
    <tableColumn id="10" xr3:uid="{33C24AC5-D213-DE43-A4AF-177EB1A2EC96}" name="Link" dataDxfId="256" dataCellStyle="Hyperlink">
      <calculatedColumnFormula>HYPERLINK(J9)</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83842AA-7B72-4A44-9DA3-AC108652ECC5}" name="Table4013623" displayName="Table4013623" ref="A19:K26" totalsRowShown="0" dataDxfId="254" headerRowBorderDxfId="255" tableBorderDxfId="253">
  <autoFilter ref="A19:K26" xr:uid="{FE5824C0-1662-4D77-B20A-F2CD92450CBD}"/>
  <tableColumns count="11">
    <tableColumn id="1" xr3:uid="{D400F17D-EA3A-494F-94ED-985D02023994}" name="Product Name" dataDxfId="252"/>
    <tableColumn id="2" xr3:uid="{9296486E-0E2D-9148-A5CB-9017B993D0F3}" name="ASIN" dataDxfId="251"/>
    <tableColumn id="3" xr3:uid="{E63D8E00-6261-0A4B-9447-A451A86BBF7A}" name="Avg Price" dataDxfId="250"/>
    <tableColumn id="4" xr3:uid="{05E38853-0D69-1943-BE81-8A30644E81BE}" name="Estimated 12mo Revenue" dataDxfId="249"/>
    <tableColumn id="5" xr3:uid="{E1906C96-D542-CB49-943C-A136CBD2F1EF}" name="Monthly Rev" dataDxfId="248"/>
    <tableColumn id="6" xr3:uid="{2F87D580-3241-2544-90F8-D18FA7048C7A}" name="Estimated 12mo Units" dataDxfId="247"/>
    <tableColumn id="7" xr3:uid="{A44CEDFB-E969-DD4A-BD58-5E6DE3D7770A}" name="Monthly Units" dataDxfId="246"/>
    <tableColumn id="8" xr3:uid="{2EF20CDE-A36C-F24C-9D62-1BA475143FF5}" name="# of Reviews" dataDxfId="245"/>
    <tableColumn id="9" xr3:uid="{7962C5EE-3033-1440-8A12-A070F397B27A}" name="Tool Rating " dataDxfId="244"/>
    <tableColumn id="11" xr3:uid="{3F4B2F22-ABA4-1048-9EB4-A1F2F828E2DB}" name="Column1" dataDxfId="243"/>
    <tableColumn id="10" xr3:uid="{BFE8A85F-D65E-8C40-9F8D-DDEF967253D2}" name="Link" dataDxfId="242" dataCellStyle="Hyperlink">
      <calculatedColumnFormula>HYPERLINK(J20)</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F4A96C2-3AFE-41A8-83B5-B2821344F5D7}" name="Table19" displayName="Table19" ref="A8:K16" totalsRowShown="0" dataDxfId="240" headerRowBorderDxfId="241" tableBorderDxfId="239">
  <autoFilter ref="A8:K16" xr:uid="{0F4A96C2-3AFE-41A8-83B5-B2821344F5D7}"/>
  <tableColumns count="11">
    <tableColumn id="1" xr3:uid="{D525D79C-B7C4-4405-88D6-337386E43422}" name="Product Name" dataDxfId="238"/>
    <tableColumn id="2" xr3:uid="{46B363DC-9A48-4B1D-981A-11BCEC5CB617}" name="ASIN" dataDxfId="237"/>
    <tableColumn id="3" xr3:uid="{E7A2DF37-0308-47AD-95D4-8C3D556C8C1D}" name="Avg Price" dataDxfId="236"/>
    <tableColumn id="4" xr3:uid="{081F4A02-6010-46D9-8C40-7BEBF21C4B32}" name="Estimated 12mo Revenue" dataDxfId="235"/>
    <tableColumn id="5" xr3:uid="{982A99B0-F846-4008-B20D-9B9DF2B028B8}" name="Monthly Rev" dataDxfId="234"/>
    <tableColumn id="6" xr3:uid="{A6D91AB5-6177-4FB9-B65D-0443546B281C}" name="Estimated 12mo Units" dataDxfId="233"/>
    <tableColumn id="7" xr3:uid="{2374C00A-A30E-4E44-8169-F57BCF277E4A}" name="Monthly Units" dataDxfId="232"/>
    <tableColumn id="8" xr3:uid="{A35F95CC-AA71-4470-A82E-F53DE8F9769C}" name="# of Reviews" dataDxfId="231"/>
    <tableColumn id="9" xr3:uid="{6DFE11D0-98CB-4361-A7B6-8E3E0B0666E4}" name="Tool Rating " dataDxfId="230"/>
    <tableColumn id="11" xr3:uid="{2B26465A-2C6A-4038-BCEC-4F5BE491B875}" name="Column1" dataDxfId="229"/>
    <tableColumn id="10" xr3:uid="{4A197A70-EB77-4A6E-931E-F8A592BD9E21}" name="Link" dataDxfId="228" dataCellStyle="Hyperlink">
      <calculatedColumnFormula>HYPERLINK(J9)</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4F2DAC-4C26-4682-BF42-014924E0B654}" name="Table43" displayName="Table43" ref="A21:K29" totalsRowShown="0" headerRowDxfId="227" dataDxfId="226">
  <autoFilter ref="A21:K29" xr:uid="{C14F2DAC-4C26-4682-BF42-014924E0B654}"/>
  <tableColumns count="11">
    <tableColumn id="1" xr3:uid="{66689EC8-A80F-46A9-8BA1-CD891953E059}" name="Product Name" dataDxfId="225"/>
    <tableColumn id="12" xr3:uid="{E3FC8BA4-1F29-4E88-9427-43183537108B}" name="ASIN" dataDxfId="224"/>
    <tableColumn id="3" xr3:uid="{219A9655-B89D-41BB-B5D2-E5393C183A6F}" name="Avg Price" dataDxfId="223"/>
    <tableColumn id="4" xr3:uid="{4B077CD3-D19E-4B5E-B6A8-1B99D24FA79C}" name="Estimated 12mo Revenue" dataDxfId="222"/>
    <tableColumn id="5" xr3:uid="{21557FAC-8BDD-46C3-833C-0508018BEB74}" name="Monthly Rev" dataDxfId="221"/>
    <tableColumn id="6" xr3:uid="{4DA015D1-DC20-4759-81E5-3F256C7B75A5}" name="Estimated 12mo Units" dataDxfId="220"/>
    <tableColumn id="7" xr3:uid="{5630E707-A702-4E28-9191-51313BC35209}" name="Monthly Units" dataDxfId="219"/>
    <tableColumn id="8" xr3:uid="{F4A40CB6-EED6-44DE-B12C-9DBFFC089276}" name="# of Reviews" dataDxfId="218"/>
    <tableColumn id="9" xr3:uid="{40A1A1AB-BAB1-470A-B50A-C6EE954201B7}" name="Tool Rating " dataDxfId="217"/>
    <tableColumn id="11" xr3:uid="{11AC359B-2C38-4249-8043-15C877DE80BC}" name="Column1" dataDxfId="216"/>
    <tableColumn id="10" xr3:uid="{EA6B79A0-47D6-4166-BD70-03856E796D06}" name="Link" dataDxfId="215" dataCellStyle="Hyperlink">
      <calculatedColumnFormula>HYPERLINK(J22)</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E94EF04-8427-4918-B3AC-550CC47021CC}" name="Table391227" displayName="Table391227" ref="A8:K13" totalsRowShown="0" dataDxfId="186" headerRowBorderDxfId="187" tableBorderDxfId="185">
  <autoFilter ref="A8:K13" xr:uid="{88364236-2597-4E54-AB10-5B55E5D86F9F}"/>
  <tableColumns count="11">
    <tableColumn id="1" xr3:uid="{D1E37354-2FAA-412D-8C28-BA9773AB0A25}" name="Product Name" dataDxfId="184"/>
    <tableColumn id="2" xr3:uid="{DE2E356D-5905-4710-ABB4-119F160BC8E1}" name="ASIN" dataDxfId="183"/>
    <tableColumn id="3" xr3:uid="{BB52F4FB-DF6B-4AB8-B302-69663FA5FEC6}" name="Avg Price" dataDxfId="182"/>
    <tableColumn id="4" xr3:uid="{1BBBBDCB-C504-4C95-BC3F-87D719E8E2ED}" name="Estimated 12mo Revenue" dataDxfId="181"/>
    <tableColumn id="5" xr3:uid="{58867618-3D66-4291-BFA8-90FC93052A3F}" name="Monthly Rev" dataDxfId="180"/>
    <tableColumn id="6" xr3:uid="{CFB1CD9C-3F2F-4312-A409-D21500739800}" name="Estimated 12mo Units" dataDxfId="179"/>
    <tableColumn id="7" xr3:uid="{C566CC7A-106E-49C8-992B-CB376C57E8AD}" name="Monthly Units" dataDxfId="178"/>
    <tableColumn id="8" xr3:uid="{913E1342-CC1D-4D1A-9F6A-40EA9DBD40BD}" name="# of Reviews" dataDxfId="177"/>
    <tableColumn id="9" xr3:uid="{C9CB989B-3BFC-4225-81CF-B790429FF296}" name="Tool Rating " dataDxfId="176"/>
    <tableColumn id="11" xr3:uid="{E32C7F66-C95A-4CCA-BF0D-159075E74026}" name="Column1" dataDxfId="175"/>
    <tableColumn id="10" xr3:uid="{6432ED1C-64C2-4915-A932-DEA92A3908AF}" name="Link" dataDxfId="174" dataCellStyle="Hyperlink">
      <calculatedColumnFormula>HYPERLINK(J9)</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1530F89-E6C2-489D-BDF9-C710A63B127B}" name="Table4013614" displayName="Table4013614" ref="A18:K23" totalsRowShown="0" dataDxfId="172" headerRowBorderDxfId="173" tableBorderDxfId="171">
  <autoFilter ref="A18:K23" xr:uid="{FE5824C0-1662-4D77-B20A-F2CD92450CBD}"/>
  <tableColumns count="11">
    <tableColumn id="1" xr3:uid="{3534A4DD-171F-4CF4-8ACB-5E712150B266}" name="Product Name" dataDxfId="170"/>
    <tableColumn id="2" xr3:uid="{5B59D089-2DAA-4692-8761-2F4490343BF9}" name="ASIN" dataDxfId="169"/>
    <tableColumn id="3" xr3:uid="{14060EE9-2E99-4BBC-9091-3E1317B55CDF}" name="Avg Price" dataDxfId="168"/>
    <tableColumn id="4" xr3:uid="{1C5D2356-3F0A-4391-8233-60FF7013119B}" name="Estimated 12mo Revenue" dataDxfId="167"/>
    <tableColumn id="5" xr3:uid="{4F00882E-52CC-4E30-B602-EBF604BF5CA0}" name="Monthly Rev" dataDxfId="166"/>
    <tableColumn id="6" xr3:uid="{59935726-4971-47E6-B311-5B08D1768CAF}" name="Estimated 12mo Units" dataDxfId="165"/>
    <tableColumn id="7" xr3:uid="{199ECC11-0204-4356-B058-C04616889653}" name="Monthly Units" dataDxfId="164"/>
    <tableColumn id="8" xr3:uid="{A158E819-960B-4D53-9207-CCF60721F266}" name="# of Reviews" dataDxfId="163"/>
    <tableColumn id="9" xr3:uid="{990BBA2F-6A9F-4053-A689-06AF0EA72028}" name="Tool Rating " dataDxfId="162"/>
    <tableColumn id="11" xr3:uid="{68994DAA-4EF8-4015-A6EC-F693CF911332}" name="Column1" dataDxfId="161"/>
    <tableColumn id="10" xr3:uid="{EFDFC754-8179-4EB1-B71A-F58A87164D08}" name="Link" dataDxfId="160" dataCellStyle="Hyperlink">
      <calculatedColumnFormula>HYPERLINK(J19)</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7428483-D24B-430F-91AA-43D6D1E8B1E5}" name="Table3912" displayName="Table3912" ref="A8:K29" totalsRowShown="0" dataDxfId="49" headerRowBorderDxfId="50" tableBorderDxfId="48">
  <autoFilter ref="A8:K29" xr:uid="{88364236-2597-4E54-AB10-5B55E5D86F9F}"/>
  <tableColumns count="11">
    <tableColumn id="1" xr3:uid="{B5546841-1827-43AF-9780-A5DBA722193D}" name="Product Name" dataDxfId="47"/>
    <tableColumn id="2" xr3:uid="{51799C82-4027-43C3-B48D-AE56FD6A9CBD}" name="ASIN" dataDxfId="46"/>
    <tableColumn id="3" xr3:uid="{762C5216-8D26-4E0C-ADC8-57B07C1FF479}" name="Avg Price" dataDxfId="45"/>
    <tableColumn id="4" xr3:uid="{A748EA27-CD1A-44E6-9066-7744B28833AA}" name="Estimated 12mo Revenue" dataDxfId="44"/>
    <tableColumn id="5" xr3:uid="{19D88CAD-3073-4BBD-8E37-63144AFD5559}" name="Monthly Rev" dataDxfId="43"/>
    <tableColumn id="6" xr3:uid="{1AE2FB38-B0F3-497B-8B37-F02D9467023B}" name="Estimated 12mo Units" dataDxfId="42"/>
    <tableColumn id="7" xr3:uid="{369211BF-D40E-4001-BFA6-A9DF034509FF}" name="Monthly Units" dataDxfId="41"/>
    <tableColumn id="8" xr3:uid="{759C7DA0-3585-429F-A84C-956F25552885}" name="# of Reviews" dataDxfId="40"/>
    <tableColumn id="9" xr3:uid="{F61A1580-FFA1-4B4A-B644-CB06DE0E5E5A}" name="Tool Rating " dataDxfId="39"/>
    <tableColumn id="11" xr3:uid="{5D6ADF06-6B28-4918-B36B-FB98D7A7A552}" name="Column1" dataDxfId="38"/>
    <tableColumn id="10" xr3:uid="{6DD93343-D5A8-4016-AECD-097D01B0F823}" name="Link" dataDxfId="37" dataCellStyle="Hyperlink">
      <calculatedColumnFormula>HYPERLINK(J9)</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0509D4-5429-4E22-AFEF-354D492AF342}" name="Table4013" displayName="Table4013" ref="A34:K55" totalsRowShown="0" dataDxfId="35" headerRowBorderDxfId="36" tableBorderDxfId="34">
  <autoFilter ref="A34:K55" xr:uid="{FE5824C0-1662-4D77-B20A-F2CD92450CBD}"/>
  <tableColumns count="11">
    <tableColumn id="1" xr3:uid="{3C3FB2CD-A9D5-47AB-B138-4C4BBE372FAF}" name="Product Name" dataDxfId="33"/>
    <tableColumn id="2" xr3:uid="{54711267-C6E5-4CE9-A4C6-7BE62ECD23E2}" name="ASIN" dataDxfId="32"/>
    <tableColumn id="3" xr3:uid="{B1EED3FB-A8C0-412C-BDD2-675764CA3AD6}" name="Avg Price" dataDxfId="31"/>
    <tableColumn id="4" xr3:uid="{E23C6E0C-54FB-4A9E-B0EF-0AD42A5B80F5}" name="Estimated 12mo Revenue" dataDxfId="30"/>
    <tableColumn id="5" xr3:uid="{B3BD9878-D8FA-4D26-A8D7-C2D4E3DA8891}" name="Monthly Rev" dataDxfId="29"/>
    <tableColumn id="6" xr3:uid="{6CA20A4D-A0E6-412E-BE11-AA70272401BB}" name="Estimated 12mo Units" dataDxfId="28"/>
    <tableColumn id="7" xr3:uid="{4FEFF81A-171F-4AF3-9F13-F30CA5414EE1}" name="Monthly Units" dataDxfId="27"/>
    <tableColumn id="8" xr3:uid="{D4FBD3A3-95BC-4BDE-9148-72ED50633405}" name="# of Reviews" dataDxfId="26"/>
    <tableColumn id="9" xr3:uid="{C33AF045-8C43-4E89-8715-8337FCC727A4}" name="Tool Rating " dataDxfId="25"/>
    <tableColumn id="11" xr3:uid="{0FB3865E-2A6D-4EFF-ACE4-BE6EFE332E69}" name="Column1" dataDxfId="24"/>
    <tableColumn id="10" xr3:uid="{B3B9BED5-53DD-4C23-925A-86B1D8DBA9A6}" name="Link" dataDxfId="23" dataCellStyle="Hyperlink">
      <calculatedColumnFormula>HYPERLINK(J35)</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09CE7A-1D56-4C04-9E27-8DA4B6E2B31C}" name="Table39122" displayName="Table39122" ref="A8:K105" totalsRowShown="0" dataDxfId="296" headerRowBorderDxfId="297" tableBorderDxfId="295">
  <autoFilter ref="A8:K105" xr:uid="{88364236-2597-4E54-AB10-5B55E5D86F9F}"/>
  <tableColumns count="11">
    <tableColumn id="1" xr3:uid="{D6E228DB-84AF-41C6-BB32-135A40F2D727}" name="Product Name" dataDxfId="294"/>
    <tableColumn id="2" xr3:uid="{3BB6809A-FE93-4385-84F4-101731E4C88A}" name="ASIN" dataDxfId="293"/>
    <tableColumn id="3" xr3:uid="{1CE37BC8-3AF1-4209-8123-28CCE1C8595C}" name="Avg Price" dataDxfId="292"/>
    <tableColumn id="4" xr3:uid="{068252A2-0179-4B5E-96D4-A08DDB2B12C1}" name="Estimated 12mo Revenue" dataDxfId="291"/>
    <tableColumn id="5" xr3:uid="{54634C20-D73F-4149-93B5-273B549E1725}" name="Monthly Rev" dataDxfId="290"/>
    <tableColumn id="6" xr3:uid="{3F314C1D-8435-4600-9717-923C1A4E42B9}" name="Estimated 12mo Units" dataDxfId="289"/>
    <tableColumn id="7" xr3:uid="{0F3D1942-2D87-486D-8120-636C17A58F2D}" name="Monthly Units" dataDxfId="288"/>
    <tableColumn id="8" xr3:uid="{BD7C8CA0-5FB8-48C6-A712-44CFD2B9AA72}" name="# of Reviews" dataDxfId="287"/>
    <tableColumn id="9" xr3:uid="{0E711657-726C-47C0-8104-377D697B7185}" name="Tool Rating " dataDxfId="286"/>
    <tableColumn id="11" xr3:uid="{FE397F3F-9235-47D2-AF0E-351E2CAA67DA}" name="Column1" dataDxfId="285"/>
    <tableColumn id="10" xr3:uid="{6549CE1B-E4B0-4D15-8AEE-FD5E8DBB6EED}" name="Link" dataDxfId="284" dataCellStyle="Hyperlink">
      <calculatedColumnFormula>HYPERLINK(J9)</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688C37-45FA-446C-9B30-9B753FB6BB72}" name="Table40136" displayName="Table40136" ref="A110:K207" totalsRowShown="0" dataDxfId="282" headerRowBorderDxfId="283" tableBorderDxfId="281">
  <autoFilter ref="A110:K207" xr:uid="{FE5824C0-1662-4D77-B20A-F2CD92450CBD}"/>
  <tableColumns count="11">
    <tableColumn id="1" xr3:uid="{33CC293E-B320-4CE2-9FE4-F043315FDABC}" name="Product Name" dataDxfId="280"/>
    <tableColumn id="2" xr3:uid="{330A7263-8567-42DD-AFAD-8FEFB7FDE620}" name="ASIN" dataDxfId="279"/>
    <tableColumn id="3" xr3:uid="{7202B142-2408-4BC8-A8B9-F79793710C32}" name="Avg Price" dataDxfId="278"/>
    <tableColumn id="4" xr3:uid="{BF81ED61-4079-41B3-AD60-1ACE0AB4CC9C}" name="Estimated 12mo Revenue" dataDxfId="277"/>
    <tableColumn id="5" xr3:uid="{2CB284F4-C5F7-4845-8F24-0BE5EC27C7C1}" name="Monthly Rev" dataDxfId="276"/>
    <tableColumn id="6" xr3:uid="{E2D53742-5432-4161-BCDD-6B4F18591E7D}" name="Estimated 12mo Units" dataDxfId="275"/>
    <tableColumn id="7" xr3:uid="{8B381500-DF7B-4330-9C9E-C2B88D6430AC}" name="Monthly Units" dataDxfId="274"/>
    <tableColumn id="8" xr3:uid="{52CF9A71-F5C7-48DA-AEAB-9401DEC052C5}" name="# of Reviews" dataDxfId="273"/>
    <tableColumn id="9" xr3:uid="{6C68C2FA-75E3-4E3F-B627-E04406FF8209}" name="Tool Rating " dataDxfId="272"/>
    <tableColumn id="11" xr3:uid="{4CA3AF06-4411-4080-8C27-86BB2E6AC474}" name="Column1" dataDxfId="271"/>
    <tableColumn id="10" xr3:uid="{34794B6E-71B8-4FA6-A863-D3BC3F51BCCC}" name="Link" dataDxfId="270" dataCellStyle="Hyperlink">
      <calculatedColumnFormula>HYPERLINK(J111)</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80642A-5F1A-49CF-A9B2-FC7FD380B74D}" name="Table3" displayName="Table3" ref="A8:K43" headerRowDxfId="159" dataDxfId="158" totalsRowDxfId="157">
  <autoFilter ref="A8:K43" xr:uid="{C680642A-5F1A-49CF-A9B2-FC7FD380B74D}"/>
  <tableColumns count="11">
    <tableColumn id="1" xr3:uid="{EF6F3723-2571-4654-88E5-A25D6D8AD20A}" name="Product Name" totalsRowLabel="Total" dataDxfId="15"/>
    <tableColumn id="12" xr3:uid="{9CCC5DE6-372C-4C55-B57B-3B0E96AAD4E0}" name="ASIN" dataDxfId="14"/>
    <tableColumn id="3" xr3:uid="{4F08F926-9C78-4B8A-B6D9-0F945A40C763}" name="Avg Price" dataDxfId="13"/>
    <tableColumn id="4" xr3:uid="{30E08E9D-DA85-463A-AFF7-1E0FE9A33538}" name="Estimated 12mo Revenue" dataDxfId="12"/>
    <tableColumn id="5" xr3:uid="{FDC2DEB8-2829-4EAE-8F8D-DBDBB84F13CA}" name="Monthly Rev" dataDxfId="11"/>
    <tableColumn id="6" xr3:uid="{D8BC7677-A58F-4502-AABA-538E03CEBE9D}" name="Estimated 12mo Units" dataDxfId="10"/>
    <tableColumn id="7" xr3:uid="{51E30D3E-468B-4033-B06A-C06DC7DEE9AE}" name="Monthly Units" dataDxfId="9"/>
    <tableColumn id="8" xr3:uid="{1E530168-F850-4C76-8697-9E578A3AB27E}" name="# of Reviews" dataDxfId="8"/>
    <tableColumn id="9" xr3:uid="{3035D287-954F-4588-A2D1-6F1066B2F876}" name="Tool Rating " dataDxfId="7"/>
    <tableColumn id="11" xr3:uid="{9AB02F12-E08F-4C0F-AFD9-A8629E0EEF02}" name="Column1" dataDxfId="6"/>
    <tableColumn id="10" xr3:uid="{344498A7-B0F3-48D1-864C-B984665E3608}" name="Link" totalsRowFunction="count" dataDxfId="156" totalsRowDxfId="155" dataCellStyle="Hyperlink">
      <calculatedColumnFormula>HYPERLINK(J9)</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BEE2DEE-EC23-49FB-80B8-33BD69F70FDA}" name="Table4" displayName="Table4" ref="A48:K83" totalsRowShown="0" headerRowDxfId="154" dataDxfId="153">
  <autoFilter ref="A48:K83" xr:uid="{8BEE2DEE-EC23-49FB-80B8-33BD69F70FDA}"/>
  <tableColumns count="11">
    <tableColumn id="1" xr3:uid="{748946F1-3951-491D-95E7-12F3DE748F8B}" name="Product Name" dataDxfId="152"/>
    <tableColumn id="12" xr3:uid="{81E091BF-656E-441E-B33C-95916E3BFA75}" name="ASIN" dataDxfId="151"/>
    <tableColumn id="3" xr3:uid="{6E5C7F02-27D3-4EE9-AE47-65A813235485}" name="Avg Price" dataDxfId="150"/>
    <tableColumn id="4" xr3:uid="{B640E744-C6AF-45D4-8496-AEA1A4948411}" name="Estimated 12mo Revenue" dataDxfId="149"/>
    <tableColumn id="5" xr3:uid="{04433A13-540E-4E9B-87EB-1571B0C5F304}" name="Monthly Rev" dataDxfId="148"/>
    <tableColumn id="6" xr3:uid="{A740CCE4-A9EB-49A8-9743-F4E943F187ED}" name="Estimated 12mo Units" dataDxfId="147"/>
    <tableColumn id="7" xr3:uid="{3D6DB9E3-C7D0-4072-B033-E954B8644F6D}" name="Monthly Units" dataDxfId="146"/>
    <tableColumn id="8" xr3:uid="{8F49DF4E-1BBA-446E-9E9C-160793ECE21D}" name="# of Reviews" dataDxfId="145"/>
    <tableColumn id="9" xr3:uid="{23576E82-CED8-4E55-95AE-36F1C6C92BCF}" name="Tool Rating " dataDxfId="144"/>
    <tableColumn id="11" xr3:uid="{506303EA-4AB2-45F3-8D1F-B733E0D385CA}" name="Column1" dataDxfId="143"/>
    <tableColumn id="10" xr3:uid="{EAA31DFA-D23C-4684-BB75-9470A1E51DB1}" name="Link" dataDxfId="142" dataCellStyle="Hyperlink">
      <calculatedColumnFormula>HYPERLINK(J49)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5131B0A-9D22-3D48-AE73-AB3ACAADD577}" name="Table324" displayName="Table324" ref="A8:K54" headerRowDxfId="114" dataDxfId="113" totalsRowDxfId="112">
  <autoFilter ref="A8:K54" xr:uid="{C680642A-5F1A-49CF-A9B2-FC7FD380B74D}"/>
  <tableColumns count="11">
    <tableColumn id="1" xr3:uid="{25B1FDAD-9719-5E48-83C8-9C8003365D86}" name="Product Name" totalsRowLabel="Total" dataDxfId="111" totalsRowDxfId="110"/>
    <tableColumn id="12" xr3:uid="{E98E1E5F-6324-394F-9DC3-CB3E16758F26}" name="ASIN" dataDxfId="109"/>
    <tableColumn id="3" xr3:uid="{4B7801CB-B479-4F4D-99D5-12455BFD0FA7}" name="Avg Price" dataDxfId="108" totalsRowDxfId="107"/>
    <tableColumn id="4" xr3:uid="{1E55895E-10B9-D445-9792-A8CB36E2DA2D}" name="Estimated 12mo Revenue" dataDxfId="106" totalsRowDxfId="105"/>
    <tableColumn id="5" xr3:uid="{64D2F3E0-0E4E-704F-89DF-A82A39B4C313}" name="Monthly Rev" dataDxfId="104" totalsRowDxfId="103"/>
    <tableColumn id="6" xr3:uid="{191892B0-6E34-3A46-B4A9-61B1C7171778}" name="Estimated 12mo Units" dataDxfId="102" totalsRowDxfId="101"/>
    <tableColumn id="7" xr3:uid="{F466E5C3-6405-8346-89A3-F658BC180551}" name="Monthly Units" dataDxfId="100" totalsRowDxfId="99"/>
    <tableColumn id="8" xr3:uid="{39282F27-CC40-854F-A3AB-DCD722EB0CCA}" name="# of Reviews" dataDxfId="98" totalsRowDxfId="97"/>
    <tableColumn id="9" xr3:uid="{0B02C0DF-6558-5341-B8B7-F97EC476571B}" name="Tool Rating " dataDxfId="96" totalsRowDxfId="95"/>
    <tableColumn id="11" xr3:uid="{7E05774C-4F7B-3447-91B1-2AFD6EC7456A}" name="Column1" dataDxfId="94" totalsRowDxfId="93"/>
    <tableColumn id="10" xr3:uid="{B66FF8B3-29C6-4646-BAF3-82FF8A54401F}" name="Link" totalsRowFunction="count" dataDxfId="92" totalsRowDxfId="91" dataCellStyle="Hyperlink">
      <calculatedColumnFormula>HYPERLINK(J9)</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12E3062-98EE-B448-8947-FCF257ECC3EA}" name="Table425" displayName="Table425" ref="A59:K105" totalsRowShown="0" headerRowDxfId="90" dataDxfId="89">
  <autoFilter ref="A59:K105" xr:uid="{8BEE2DEE-EC23-49FB-80B8-33BD69F70FDA}"/>
  <tableColumns count="11">
    <tableColumn id="1" xr3:uid="{DE989E14-2A26-EF4E-A735-1A62E5083E80}" name="Product Name" dataDxfId="88"/>
    <tableColumn id="12" xr3:uid="{EAD9568F-7010-AB48-B3B4-3397C307412B}" name="ASIN" dataDxfId="87"/>
    <tableColumn id="3" xr3:uid="{A9EDE563-DA4F-3F43-96D9-F790A7775E80}" name="Avg Price" dataDxfId="86"/>
    <tableColumn id="4" xr3:uid="{4BADBD4A-8DBE-8A4A-9E99-1AC3B568FECA}" name="Estimated 12mo Revenue" dataDxfId="85"/>
    <tableColumn id="5" xr3:uid="{169FF482-B43B-2A47-8610-1AA117B1D7F3}" name="Monthly Rev" dataDxfId="84"/>
    <tableColumn id="6" xr3:uid="{9C0C2DF8-7192-594F-85C1-82FC4150ABA6}" name="Estimated 12mo Units" dataDxfId="83"/>
    <tableColumn id="7" xr3:uid="{A8E26446-5DD2-514C-B058-6176CCC080C4}" name="Monthly Units" dataDxfId="82"/>
    <tableColumn id="8" xr3:uid="{9FD5C8BC-24D6-9341-8EB1-D5D162231C76}" name="# of Reviews" dataDxfId="81"/>
    <tableColumn id="9" xr3:uid="{E443AC1E-9085-D74E-AB96-7CA9E9226A71}" name="Tool Rating " dataDxfId="80"/>
    <tableColumn id="11" xr3:uid="{26352D90-A092-6B43-9158-8B864B98B7A0}" name="Column1" dataDxfId="79"/>
    <tableColumn id="10" xr3:uid="{024A7697-9A0C-BA4B-85FC-0859AC7CF5DE}" name="Link" dataDxfId="78" dataCellStyle="Hyperlink">
      <calculatedColumnFormula>HYPERLINK(J60)</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amazon.com/dp/B0FC2HS5GZ" TargetMode="External"/><Relationship Id="rId21" Type="http://schemas.openxmlformats.org/officeDocument/2006/relationships/hyperlink" Target="https://amazon.com/dp/B0B71PT47Q" TargetMode="External"/><Relationship Id="rId42" Type="http://schemas.openxmlformats.org/officeDocument/2006/relationships/hyperlink" Target="https://amazon.com/dp/B0BS1CFFH8" TargetMode="External"/><Relationship Id="rId47" Type="http://schemas.openxmlformats.org/officeDocument/2006/relationships/hyperlink" Target="https://amazon.com/dp/B0DH24P6NY" TargetMode="External"/><Relationship Id="rId63" Type="http://schemas.openxmlformats.org/officeDocument/2006/relationships/hyperlink" Target="https://amazon.com/dp/B0FMY9WR1H" TargetMode="External"/><Relationship Id="rId68" Type="http://schemas.openxmlformats.org/officeDocument/2006/relationships/hyperlink" Target="https://amazon.com/dp/B0DNJJYG53" TargetMode="External"/><Relationship Id="rId16" Type="http://schemas.openxmlformats.org/officeDocument/2006/relationships/hyperlink" Target="https://amazon.com/dp/B0BF64PP4F" TargetMode="External"/><Relationship Id="rId11" Type="http://schemas.openxmlformats.org/officeDocument/2006/relationships/hyperlink" Target="https://amazon.com/dp/B0DGXLYP21" TargetMode="External"/><Relationship Id="rId24" Type="http://schemas.openxmlformats.org/officeDocument/2006/relationships/hyperlink" Target="https://amazon.com/dp/B09ZV7KJHL" TargetMode="External"/><Relationship Id="rId32" Type="http://schemas.openxmlformats.org/officeDocument/2006/relationships/hyperlink" Target="https://amazon.com/dp/B0C4V5LWWL" TargetMode="External"/><Relationship Id="rId37" Type="http://schemas.openxmlformats.org/officeDocument/2006/relationships/hyperlink" Target="https://amazon.com/dp/B0DD6YVBHD" TargetMode="External"/><Relationship Id="rId40" Type="http://schemas.openxmlformats.org/officeDocument/2006/relationships/hyperlink" Target="https://amazon.com/dp/B07TV2BFVR" TargetMode="External"/><Relationship Id="rId45" Type="http://schemas.openxmlformats.org/officeDocument/2006/relationships/hyperlink" Target="https://amazon.com/dp/B0CJY5C9QX" TargetMode="External"/><Relationship Id="rId53" Type="http://schemas.openxmlformats.org/officeDocument/2006/relationships/hyperlink" Target="https://amazon.com/dp/B0B28HRSBP" TargetMode="External"/><Relationship Id="rId58" Type="http://schemas.openxmlformats.org/officeDocument/2006/relationships/hyperlink" Target="https://amazon.com/dp/B0FJ29BJZ7" TargetMode="External"/><Relationship Id="rId66" Type="http://schemas.openxmlformats.org/officeDocument/2006/relationships/hyperlink" Target="https://amazon.com/dp/B0CL4KT182" TargetMode="External"/><Relationship Id="rId74" Type="http://schemas.openxmlformats.org/officeDocument/2006/relationships/hyperlink" Target="https://amazon.com/dp/B0CKQH4VZY" TargetMode="External"/><Relationship Id="rId5" Type="http://schemas.openxmlformats.org/officeDocument/2006/relationships/hyperlink" Target="https://amazon.com/dp/B0CC27QRQ6" TargetMode="External"/><Relationship Id="rId61" Type="http://schemas.openxmlformats.org/officeDocument/2006/relationships/hyperlink" Target="https://amazon.com/dp/B0DXKXXNLJ" TargetMode="External"/><Relationship Id="rId19" Type="http://schemas.openxmlformats.org/officeDocument/2006/relationships/hyperlink" Target="https://amazon.com/dp/B0DPHJSPBY" TargetMode="External"/><Relationship Id="rId14" Type="http://schemas.openxmlformats.org/officeDocument/2006/relationships/hyperlink" Target="https://amazon.com/dp/B07Q86XGN2" TargetMode="External"/><Relationship Id="rId22" Type="http://schemas.openxmlformats.org/officeDocument/2006/relationships/hyperlink" Target="https://amazon.com/dp/B0DK965BZP" TargetMode="External"/><Relationship Id="rId27" Type="http://schemas.openxmlformats.org/officeDocument/2006/relationships/hyperlink" Target="https://amazon.com/dp/B0F62WJY8N" TargetMode="External"/><Relationship Id="rId30" Type="http://schemas.openxmlformats.org/officeDocument/2006/relationships/hyperlink" Target="https://amazon.com/dp/B0DT16R78W" TargetMode="External"/><Relationship Id="rId35" Type="http://schemas.openxmlformats.org/officeDocument/2006/relationships/hyperlink" Target="https://amazon.com/dp/B0BXSMSS7M" TargetMode="External"/><Relationship Id="rId43" Type="http://schemas.openxmlformats.org/officeDocument/2006/relationships/hyperlink" Target="https://amazon.com/dp/B0C9JR3N4W" TargetMode="External"/><Relationship Id="rId48" Type="http://schemas.openxmlformats.org/officeDocument/2006/relationships/hyperlink" Target="https://amazon.com/dp/B0CG46T9ZF" TargetMode="External"/><Relationship Id="rId56" Type="http://schemas.openxmlformats.org/officeDocument/2006/relationships/hyperlink" Target="https://amazon.com/dp/B0DNCQ3HYR" TargetMode="External"/><Relationship Id="rId64" Type="http://schemas.openxmlformats.org/officeDocument/2006/relationships/hyperlink" Target="https://amazon.com/dp/B0F9X12NH3" TargetMode="External"/><Relationship Id="rId69" Type="http://schemas.openxmlformats.org/officeDocument/2006/relationships/hyperlink" Target="https://amazon.com/dp/B0DT98YB3X" TargetMode="External"/><Relationship Id="rId77" Type="http://schemas.openxmlformats.org/officeDocument/2006/relationships/table" Target="../tables/table3.xml"/><Relationship Id="rId8" Type="http://schemas.openxmlformats.org/officeDocument/2006/relationships/hyperlink" Target="https://amazon.com/dp/B0D54NQWZH" TargetMode="External"/><Relationship Id="rId51" Type="http://schemas.openxmlformats.org/officeDocument/2006/relationships/hyperlink" Target="https://amazon.com/dp/B0C3B32Q9Z" TargetMode="External"/><Relationship Id="rId72" Type="http://schemas.openxmlformats.org/officeDocument/2006/relationships/hyperlink" Target="https://amazon.com/dp/B0DH1XWTKK" TargetMode="External"/><Relationship Id="rId3" Type="http://schemas.openxmlformats.org/officeDocument/2006/relationships/hyperlink" Target="https://amazon.com/dp/B0C9GR791B" TargetMode="External"/><Relationship Id="rId12" Type="http://schemas.openxmlformats.org/officeDocument/2006/relationships/hyperlink" Target="https://amazon.com/dp/B0C1GFBTDC" TargetMode="External"/><Relationship Id="rId17" Type="http://schemas.openxmlformats.org/officeDocument/2006/relationships/hyperlink" Target="https://amazon.com/dp/B0D5M89BT1" TargetMode="External"/><Relationship Id="rId25" Type="http://schemas.openxmlformats.org/officeDocument/2006/relationships/hyperlink" Target="https://amazon.com/dp/B0DT98YB3X" TargetMode="External"/><Relationship Id="rId33" Type="http://schemas.openxmlformats.org/officeDocument/2006/relationships/hyperlink" Target="https://amazon.com/dp/B0CP538LN1" TargetMode="External"/><Relationship Id="rId38" Type="http://schemas.openxmlformats.org/officeDocument/2006/relationships/hyperlink" Target="https://amazon.com/dp/B0CMCSGPJC" TargetMode="External"/><Relationship Id="rId46" Type="http://schemas.openxmlformats.org/officeDocument/2006/relationships/hyperlink" Target="https://amazon.com/dp/B0DLDS8N7D" TargetMode="External"/><Relationship Id="rId59" Type="http://schemas.openxmlformats.org/officeDocument/2006/relationships/hyperlink" Target="https://amazon.com/dp/B0FJ2CFSHR" TargetMode="External"/><Relationship Id="rId67" Type="http://schemas.openxmlformats.org/officeDocument/2006/relationships/hyperlink" Target="https://amazon.com/dp/B0F2PQTT1G" TargetMode="External"/><Relationship Id="rId20" Type="http://schemas.openxmlformats.org/officeDocument/2006/relationships/hyperlink" Target="https://amazon.com/dp/B08NJ8627V" TargetMode="External"/><Relationship Id="rId41" Type="http://schemas.openxmlformats.org/officeDocument/2006/relationships/hyperlink" Target="https://amazon.com/dp/B0CJY6SWBN" TargetMode="External"/><Relationship Id="rId54" Type="http://schemas.openxmlformats.org/officeDocument/2006/relationships/hyperlink" Target="https://amazon.com/dp/B0CJY5C9QX" TargetMode="External"/><Relationship Id="rId62" Type="http://schemas.openxmlformats.org/officeDocument/2006/relationships/hyperlink" Target="https://amazon.com/dp/B0DYDXH1NQ" TargetMode="External"/><Relationship Id="rId70" Type="http://schemas.openxmlformats.org/officeDocument/2006/relationships/hyperlink" Target="https://amazon.com/dp/B0CW65T636" TargetMode="External"/><Relationship Id="rId75" Type="http://schemas.openxmlformats.org/officeDocument/2006/relationships/hyperlink" Target="https://amazon.com/dp/B0C2P7TP2V" TargetMode="External"/><Relationship Id="rId1" Type="http://schemas.openxmlformats.org/officeDocument/2006/relationships/hyperlink" Target="https://amazon.com/dp/B0DSW1DKTZ" TargetMode="External"/><Relationship Id="rId6" Type="http://schemas.openxmlformats.org/officeDocument/2006/relationships/hyperlink" Target="https://amazon.com/dp/B0DYDXH1NQ" TargetMode="External"/><Relationship Id="rId15" Type="http://schemas.openxmlformats.org/officeDocument/2006/relationships/hyperlink" Target="https://amazon.com/dp/B0D9M3Q7FK" TargetMode="External"/><Relationship Id="rId23" Type="http://schemas.openxmlformats.org/officeDocument/2006/relationships/hyperlink" Target="https://amazon.com/dp/B0D7PYRRKD" TargetMode="External"/><Relationship Id="rId28" Type="http://schemas.openxmlformats.org/officeDocument/2006/relationships/hyperlink" Target="https://amazon.com/dp/B0DGFBCH38" TargetMode="External"/><Relationship Id="rId36" Type="http://schemas.openxmlformats.org/officeDocument/2006/relationships/hyperlink" Target="https://amazon.com/dp/B0CHW4FLS7" TargetMode="External"/><Relationship Id="rId49" Type="http://schemas.openxmlformats.org/officeDocument/2006/relationships/hyperlink" Target="https://amazon.com/dp/B08NJ8627V" TargetMode="External"/><Relationship Id="rId57" Type="http://schemas.openxmlformats.org/officeDocument/2006/relationships/hyperlink" Target="https://amazon.com/dp/B0BV98JZ22" TargetMode="External"/><Relationship Id="rId10" Type="http://schemas.openxmlformats.org/officeDocument/2006/relationships/hyperlink" Target="https://amazon.com/dp/B0DTHZDGYD" TargetMode="External"/><Relationship Id="rId31" Type="http://schemas.openxmlformats.org/officeDocument/2006/relationships/hyperlink" Target="https://amazon.com/dp/B0DFHL8YN5" TargetMode="External"/><Relationship Id="rId44" Type="http://schemas.openxmlformats.org/officeDocument/2006/relationships/hyperlink" Target="https://amazon.com/dp/B0B28HRSBP" TargetMode="External"/><Relationship Id="rId52" Type="http://schemas.openxmlformats.org/officeDocument/2006/relationships/hyperlink" Target="https://amazon.com/dp/B0DT4H7QQM" TargetMode="External"/><Relationship Id="rId60" Type="http://schemas.openxmlformats.org/officeDocument/2006/relationships/hyperlink" Target="https://amazon.com/dp/B0C2P7KP5D" TargetMode="External"/><Relationship Id="rId65" Type="http://schemas.openxmlformats.org/officeDocument/2006/relationships/hyperlink" Target="https://amazon.com/dp/B0DGFC3D9H" TargetMode="External"/><Relationship Id="rId73" Type="http://schemas.openxmlformats.org/officeDocument/2006/relationships/hyperlink" Target="https://amazon.com/dp/B0DWSNQWJ1" TargetMode="External"/><Relationship Id="rId78" Type="http://schemas.openxmlformats.org/officeDocument/2006/relationships/table" Target="../tables/table4.xml"/><Relationship Id="rId4" Type="http://schemas.openxmlformats.org/officeDocument/2006/relationships/hyperlink" Target="https://amazon.com/dp/B0FBX2NSHL" TargetMode="External"/><Relationship Id="rId9" Type="http://schemas.openxmlformats.org/officeDocument/2006/relationships/hyperlink" Target="https://amazon.com/dp/B0B1BF85DS" TargetMode="External"/><Relationship Id="rId13" Type="http://schemas.openxmlformats.org/officeDocument/2006/relationships/hyperlink" Target="https://amazon.com/dp/B0CM3FBXJT" TargetMode="External"/><Relationship Id="rId18" Type="http://schemas.openxmlformats.org/officeDocument/2006/relationships/hyperlink" Target="https://amazon.com/dp/B0DWSKVF5H" TargetMode="External"/><Relationship Id="rId39" Type="http://schemas.openxmlformats.org/officeDocument/2006/relationships/hyperlink" Target="https://amazon.com/dp/B0928Q3T42" TargetMode="External"/><Relationship Id="rId34" Type="http://schemas.openxmlformats.org/officeDocument/2006/relationships/hyperlink" Target="https://amazon.com/dp/B0F1CXQ3YS" TargetMode="External"/><Relationship Id="rId50" Type="http://schemas.openxmlformats.org/officeDocument/2006/relationships/hyperlink" Target="https://amazon.com/dp/B0928Q3T42" TargetMode="External"/><Relationship Id="rId55" Type="http://schemas.openxmlformats.org/officeDocument/2006/relationships/hyperlink" Target="https://amazon.com/dp/B0DSFQV89R" TargetMode="External"/><Relationship Id="rId76" Type="http://schemas.openxmlformats.org/officeDocument/2006/relationships/hyperlink" Target="https://amazon.com/dp/B0F5Q2YXY5" TargetMode="External"/><Relationship Id="rId7" Type="http://schemas.openxmlformats.org/officeDocument/2006/relationships/hyperlink" Target="https://amazon.com/dp/B0DT45G8F3" TargetMode="External"/><Relationship Id="rId71" Type="http://schemas.openxmlformats.org/officeDocument/2006/relationships/hyperlink" Target="https://amazon.com/dp/B0DGFBJYG2" TargetMode="External"/><Relationship Id="rId2" Type="http://schemas.openxmlformats.org/officeDocument/2006/relationships/hyperlink" Target="https://amazon.com/dp/B0F13BKB4P" TargetMode="External"/><Relationship Id="rId29" Type="http://schemas.openxmlformats.org/officeDocument/2006/relationships/hyperlink" Target="https://amazon.com/dp/B0C3R381FC"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hyperlink" Target="https://amazon.com/dp/B07S7H86Z1" TargetMode="Externa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hyperlink" Target="https://amazon.com/dp/B07S7H86Z1" TargetMode="External"/><Relationship Id="rId1" Type="http://schemas.openxmlformats.org/officeDocument/2006/relationships/hyperlink" Target="https://amazon.com/dp/B07S7H86Z1" TargetMode="External"/><Relationship Id="rId4"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hyperlink" Target="https://amazon.com/dp/B07S7H86Z1" TargetMode="External"/><Relationship Id="rId1" Type="http://schemas.openxmlformats.org/officeDocument/2006/relationships/hyperlink" Target="https://amazon.com/dp/B07S7H86Z1" TargetMode="Externa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hyperlink" Target="https://amazon.com/dp/B07S7H86Z1" TargetMode="External"/></Relationships>
</file>

<file path=xl/worksheets/_rels/sheet14.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3" Type="http://schemas.openxmlformats.org/officeDocument/2006/relationships/hyperlink" Target="https://amazon.com/dp/B07S7H86Z1" TargetMode="External"/><Relationship Id="rId2" Type="http://schemas.openxmlformats.org/officeDocument/2006/relationships/hyperlink" Target="https://amazon.com/dp/B07S7H86Z1" TargetMode="External"/><Relationship Id="rId1" Type="http://schemas.openxmlformats.org/officeDocument/2006/relationships/hyperlink" Target="https://amazon.com/dp/B07S7H86Z1" TargetMode="External"/><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hyperlink" Target="https://amazon.com/dp/B0CM3FBXJT"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amazon.com/dp/B07S7H86Z1" TargetMode="External"/><Relationship Id="rId2" Type="http://schemas.openxmlformats.org/officeDocument/2006/relationships/hyperlink" Target="https://amazon.com/dp/B07S7H86Z1" TargetMode="External"/><Relationship Id="rId1" Type="http://schemas.openxmlformats.org/officeDocument/2006/relationships/hyperlink" Target="https://amazon.com/dp/B07S7H86Z1" TargetMode="External"/><Relationship Id="rId6" Type="http://schemas.openxmlformats.org/officeDocument/2006/relationships/table" Target="../tables/table24.xml"/><Relationship Id="rId5" Type="http://schemas.openxmlformats.org/officeDocument/2006/relationships/table" Target="../tables/table23.xml"/><Relationship Id="rId4" Type="http://schemas.openxmlformats.org/officeDocument/2006/relationships/hyperlink" Target="https://amazon.com/dp/B0CFF8Z1N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I29"/>
  <sheetViews>
    <sheetView tabSelected="1" zoomScaleNormal="100" workbookViewId="0">
      <selection activeCell="B29" sqref="B29:I29"/>
    </sheetView>
  </sheetViews>
  <sheetFormatPr baseColWidth="10" defaultColWidth="11.1640625" defaultRowHeight="16" x14ac:dyDescent="0.2"/>
  <cols>
    <col min="1" max="2" width="15.33203125" customWidth="1"/>
    <col min="3" max="3" width="17.6640625" customWidth="1"/>
    <col min="4" max="4" width="23.6640625" customWidth="1"/>
    <col min="5" max="5" width="20.83203125" style="13" customWidth="1"/>
    <col min="6" max="6" width="25.33203125" bestFit="1" customWidth="1"/>
    <col min="7" max="7" width="19.83203125" customWidth="1"/>
    <col min="8" max="9" width="15.33203125" customWidth="1"/>
  </cols>
  <sheetData>
    <row r="1" spans="1:9" ht="26" x14ac:dyDescent="0.25">
      <c r="A1" s="108" t="s">
        <v>29</v>
      </c>
      <c r="B1" s="109"/>
      <c r="C1" s="109"/>
      <c r="D1" s="109"/>
      <c r="E1" s="109"/>
      <c r="F1" s="109"/>
      <c r="G1" s="109"/>
      <c r="H1" s="109"/>
      <c r="I1" s="109"/>
    </row>
    <row r="2" spans="1:9" x14ac:dyDescent="0.2">
      <c r="A2" s="1" t="s">
        <v>0</v>
      </c>
      <c r="B2" s="2" t="s">
        <v>1</v>
      </c>
      <c r="C2" s="3" t="s">
        <v>27</v>
      </c>
      <c r="D2" s="12" t="s">
        <v>2</v>
      </c>
      <c r="E2" s="15" t="s">
        <v>28</v>
      </c>
      <c r="F2" s="2" t="s">
        <v>25</v>
      </c>
      <c r="G2" s="2" t="s">
        <v>21</v>
      </c>
      <c r="H2" s="2" t="s">
        <v>19</v>
      </c>
      <c r="I2" s="4" t="s">
        <v>3</v>
      </c>
    </row>
    <row r="3" spans="1:9" x14ac:dyDescent="0.2">
      <c r="A3" t="s">
        <v>320</v>
      </c>
      <c r="B3">
        <v>61</v>
      </c>
      <c r="C3" s="114">
        <v>1749770.38</v>
      </c>
      <c r="D3">
        <v>20997244.559999999</v>
      </c>
      <c r="E3">
        <v>15076</v>
      </c>
      <c r="F3">
        <v>0.2621326580920651</v>
      </c>
      <c r="G3">
        <v>116.0633045900769</v>
      </c>
      <c r="H3">
        <v>31091</v>
      </c>
      <c r="I3" s="88">
        <v>4.4697629539094912</v>
      </c>
    </row>
    <row r="4" spans="1:9" x14ac:dyDescent="0.2">
      <c r="A4" t="s">
        <v>312</v>
      </c>
      <c r="B4">
        <v>33</v>
      </c>
      <c r="C4" s="114">
        <v>642464.19000000006</v>
      </c>
      <c r="D4">
        <v>7709570.2800000012</v>
      </c>
      <c r="E4">
        <v>6863</v>
      </c>
      <c r="F4">
        <v>9.6247397817801422E-2</v>
      </c>
      <c r="G4">
        <v>93.612733498470064</v>
      </c>
      <c r="H4">
        <v>38523</v>
      </c>
      <c r="I4" s="88">
        <v>4.4607325493860808</v>
      </c>
    </row>
    <row r="5" spans="1:9" x14ac:dyDescent="0.2">
      <c r="A5" t="s">
        <v>313</v>
      </c>
      <c r="B5">
        <v>5</v>
      </c>
      <c r="C5" s="114">
        <v>498047.53</v>
      </c>
      <c r="D5">
        <v>5976570.3600000003</v>
      </c>
      <c r="E5">
        <v>3505</v>
      </c>
      <c r="F5">
        <v>7.4612374507726856E-2</v>
      </c>
      <c r="G5">
        <v>142.09629957204001</v>
      </c>
      <c r="H5">
        <v>2174</v>
      </c>
      <c r="I5" s="91">
        <v>4.5358325666973318</v>
      </c>
    </row>
    <row r="6" spans="1:9" x14ac:dyDescent="0.2">
      <c r="A6" t="s">
        <v>316</v>
      </c>
      <c r="B6">
        <v>6</v>
      </c>
      <c r="C6" s="114">
        <v>312629.19</v>
      </c>
      <c r="D6">
        <v>3751550.28</v>
      </c>
      <c r="E6">
        <v>8975</v>
      </c>
      <c r="F6">
        <v>4.6834899886617841E-2</v>
      </c>
      <c r="G6">
        <v>34.83333593314763</v>
      </c>
      <c r="H6">
        <v>26446</v>
      </c>
      <c r="I6" s="91">
        <v>4.4000000000000004</v>
      </c>
    </row>
    <row r="7" spans="1:9" x14ac:dyDescent="0.2">
      <c r="A7" t="s">
        <v>275</v>
      </c>
      <c r="B7">
        <v>97</v>
      </c>
      <c r="C7" s="114">
        <v>287877.11</v>
      </c>
      <c r="D7">
        <v>3454525.32</v>
      </c>
      <c r="E7">
        <v>500</v>
      </c>
      <c r="F7">
        <v>4.31267970418849E-2</v>
      </c>
      <c r="G7">
        <v>575.75421999999992</v>
      </c>
      <c r="H7">
        <v>6168</v>
      </c>
      <c r="I7" s="91">
        <v>4.1966763942931262</v>
      </c>
    </row>
    <row r="8" spans="1:9" x14ac:dyDescent="0.2">
      <c r="A8" t="s">
        <v>321</v>
      </c>
      <c r="B8">
        <v>35</v>
      </c>
      <c r="C8" s="114">
        <v>254859.43</v>
      </c>
      <c r="D8">
        <v>3058313.16</v>
      </c>
      <c r="E8">
        <v>1561</v>
      </c>
      <c r="F8">
        <v>3.8180426751611027E-2</v>
      </c>
      <c r="G8">
        <v>163.2667713004484</v>
      </c>
      <c r="H8">
        <v>4194</v>
      </c>
      <c r="I8" s="91">
        <v>4.3067000476871717</v>
      </c>
    </row>
    <row r="9" spans="1:9" x14ac:dyDescent="0.2">
      <c r="A9" t="s">
        <v>319</v>
      </c>
      <c r="B9">
        <v>46</v>
      </c>
      <c r="C9" s="114">
        <v>172015.92</v>
      </c>
      <c r="D9">
        <v>2064191.04</v>
      </c>
      <c r="E9">
        <v>375</v>
      </c>
      <c r="F9">
        <v>2.576966147052508E-2</v>
      </c>
      <c r="G9">
        <v>458.70911999999998</v>
      </c>
      <c r="H9">
        <v>2565</v>
      </c>
      <c r="I9" s="91">
        <v>4.1500194931773882</v>
      </c>
    </row>
    <row r="10" spans="1:9" x14ac:dyDescent="0.2">
      <c r="A10" t="s">
        <v>314</v>
      </c>
      <c r="B10">
        <v>8</v>
      </c>
      <c r="C10" s="114">
        <v>159821.54999999999</v>
      </c>
      <c r="D10">
        <v>1917858.6</v>
      </c>
      <c r="E10">
        <v>4365</v>
      </c>
      <c r="F10">
        <v>2.3942825984912309E-2</v>
      </c>
      <c r="G10">
        <v>36.614329896907208</v>
      </c>
      <c r="H10">
        <v>11375</v>
      </c>
      <c r="I10" s="91">
        <v>4.4001054945054952</v>
      </c>
    </row>
    <row r="11" spans="1:9" x14ac:dyDescent="0.2">
      <c r="A11" t="s">
        <v>318</v>
      </c>
      <c r="B11">
        <v>21</v>
      </c>
      <c r="C11" s="114">
        <v>144605.07</v>
      </c>
      <c r="D11">
        <v>1735260.84</v>
      </c>
      <c r="E11">
        <v>762</v>
      </c>
      <c r="F11">
        <v>2.1663248964523641E-2</v>
      </c>
      <c r="G11">
        <v>189.77043307086609</v>
      </c>
      <c r="H11">
        <v>2734</v>
      </c>
      <c r="I11" s="88">
        <v>4.4377103145574246</v>
      </c>
    </row>
    <row r="12" spans="1:9" x14ac:dyDescent="0.2">
      <c r="A12" t="s">
        <v>310</v>
      </c>
      <c r="B12">
        <v>6</v>
      </c>
      <c r="C12" s="114">
        <v>104632.67</v>
      </c>
      <c r="D12">
        <v>1255592.04</v>
      </c>
      <c r="E12">
        <v>3480</v>
      </c>
      <c r="F12">
        <v>1.567499382997321E-2</v>
      </c>
      <c r="G12">
        <v>30.066859195402301</v>
      </c>
      <c r="H12">
        <v>4073</v>
      </c>
      <c r="I12" s="88">
        <v>4.4338816597102877</v>
      </c>
    </row>
    <row r="13" spans="1:9" ht="17" thickBot="1" x14ac:dyDescent="0.25">
      <c r="C13" s="114"/>
      <c r="E13"/>
    </row>
    <row r="14" spans="1:9" s="100" customFormat="1" ht="17" thickTop="1" x14ac:dyDescent="0.2">
      <c r="A14" s="92" t="s">
        <v>32</v>
      </c>
      <c r="B14" s="93">
        <v>1558</v>
      </c>
      <c r="C14" s="95">
        <v>6675133.0899999999</v>
      </c>
      <c r="D14" s="115">
        <v>80101597.079999983</v>
      </c>
      <c r="E14" s="96">
        <v>92155</v>
      </c>
      <c r="F14" s="97">
        <v>1</v>
      </c>
      <c r="G14" s="98">
        <v>72.433759318539416</v>
      </c>
      <c r="H14" s="96">
        <v>268046</v>
      </c>
      <c r="I14" s="99">
        <v>4.3556087387985647</v>
      </c>
    </row>
    <row r="16" spans="1:9" ht="26" x14ac:dyDescent="0.25">
      <c r="A16" s="108" t="s">
        <v>20</v>
      </c>
      <c r="B16" s="109"/>
      <c r="C16" s="109"/>
      <c r="D16" s="109"/>
      <c r="E16" s="109"/>
      <c r="F16" s="109"/>
      <c r="G16" s="109"/>
      <c r="H16" s="109"/>
      <c r="I16" s="109"/>
    </row>
    <row r="17" spans="1:9" x14ac:dyDescent="0.2">
      <c r="A17" s="1" t="s">
        <v>0</v>
      </c>
      <c r="B17" s="2" t="s">
        <v>1</v>
      </c>
      <c r="C17" s="3" t="s">
        <v>27</v>
      </c>
      <c r="D17" s="14" t="s">
        <v>13</v>
      </c>
      <c r="E17" s="15" t="s">
        <v>28</v>
      </c>
      <c r="F17" s="2" t="s">
        <v>26</v>
      </c>
      <c r="G17" s="2" t="s">
        <v>21</v>
      </c>
      <c r="H17" s="2" t="s">
        <v>19</v>
      </c>
      <c r="I17" s="4" t="s">
        <v>3</v>
      </c>
    </row>
    <row r="18" spans="1:9" x14ac:dyDescent="0.2">
      <c r="A18" s="82" t="s">
        <v>320</v>
      </c>
      <c r="B18">
        <v>61</v>
      </c>
      <c r="C18" s="84">
        <v>1749770.38</v>
      </c>
      <c r="D18" s="116">
        <v>180912</v>
      </c>
      <c r="E18" s="85">
        <v>15076</v>
      </c>
      <c r="F18" s="86">
        <v>0.16359394498399429</v>
      </c>
      <c r="G18" s="87">
        <v>116.0633045900769</v>
      </c>
      <c r="H18" s="13">
        <v>31091</v>
      </c>
      <c r="I18" s="88">
        <v>4.4697629539094912</v>
      </c>
    </row>
    <row r="19" spans="1:9" x14ac:dyDescent="0.2">
      <c r="A19" s="82" t="s">
        <v>316</v>
      </c>
      <c r="B19">
        <v>6</v>
      </c>
      <c r="C19" s="84">
        <v>312629.19</v>
      </c>
      <c r="D19" s="116">
        <v>107700</v>
      </c>
      <c r="E19" s="85">
        <v>8975</v>
      </c>
      <c r="F19" s="86">
        <v>9.7390266399001682E-2</v>
      </c>
      <c r="G19" s="87">
        <v>34.83333593314763</v>
      </c>
      <c r="H19" s="13">
        <v>26446</v>
      </c>
      <c r="I19" s="88">
        <v>4.4000000000000004</v>
      </c>
    </row>
    <row r="20" spans="1:9" ht="17" x14ac:dyDescent="0.2">
      <c r="A20" s="83" t="s">
        <v>312</v>
      </c>
      <c r="B20" s="19">
        <v>33</v>
      </c>
      <c r="C20" s="40">
        <v>642464.19000000006</v>
      </c>
      <c r="D20" s="117">
        <v>82356</v>
      </c>
      <c r="E20" s="118">
        <v>6863</v>
      </c>
      <c r="F20" s="89">
        <v>7.4472356356139108E-2</v>
      </c>
      <c r="G20" s="90">
        <v>93.612733498470064</v>
      </c>
      <c r="H20" s="48">
        <v>38523</v>
      </c>
      <c r="I20" s="91">
        <v>4.4607325493860808</v>
      </c>
    </row>
    <row r="21" spans="1:9" ht="17" x14ac:dyDescent="0.2">
      <c r="A21" s="83" t="s">
        <v>314</v>
      </c>
      <c r="B21" s="19">
        <v>8</v>
      </c>
      <c r="C21" s="40">
        <v>159821.54999999999</v>
      </c>
      <c r="D21" s="117">
        <v>52380</v>
      </c>
      <c r="E21" s="118">
        <v>4365</v>
      </c>
      <c r="F21" s="89">
        <v>4.7365851011882162E-2</v>
      </c>
      <c r="G21" s="90">
        <v>36.614329896907208</v>
      </c>
      <c r="H21" s="48">
        <v>11375</v>
      </c>
      <c r="I21" s="91">
        <v>4.4001054945054952</v>
      </c>
    </row>
    <row r="22" spans="1:9" ht="17" x14ac:dyDescent="0.2">
      <c r="A22" s="83" t="s">
        <v>313</v>
      </c>
      <c r="B22" s="19">
        <v>5</v>
      </c>
      <c r="C22" s="40">
        <v>498047.53</v>
      </c>
      <c r="D22" s="117">
        <v>42060</v>
      </c>
      <c r="E22" s="118">
        <v>3505</v>
      </c>
      <c r="F22" s="89">
        <v>3.8033747490640771E-2</v>
      </c>
      <c r="G22" s="90">
        <v>142.09629957204001</v>
      </c>
      <c r="H22" s="48">
        <v>2174</v>
      </c>
      <c r="I22" s="91">
        <v>4.5358325666973318</v>
      </c>
    </row>
    <row r="23" spans="1:9" ht="17" x14ac:dyDescent="0.2">
      <c r="A23" s="83" t="s">
        <v>310</v>
      </c>
      <c r="B23" s="19">
        <v>6</v>
      </c>
      <c r="C23" s="40">
        <v>104632.67</v>
      </c>
      <c r="D23" s="117">
        <v>41760</v>
      </c>
      <c r="E23" s="118">
        <v>3480</v>
      </c>
      <c r="F23" s="89">
        <v>3.7762465411534912E-2</v>
      </c>
      <c r="G23" s="90">
        <v>30.066859195402301</v>
      </c>
      <c r="H23" s="48">
        <v>4073</v>
      </c>
      <c r="I23" s="91">
        <v>4.4338816597102877</v>
      </c>
    </row>
    <row r="24" spans="1:9" ht="17" x14ac:dyDescent="0.2">
      <c r="A24" s="83" t="s">
        <v>311</v>
      </c>
      <c r="B24" s="19">
        <v>7</v>
      </c>
      <c r="C24" s="40">
        <v>97904.13</v>
      </c>
      <c r="D24" s="117">
        <v>38892</v>
      </c>
      <c r="E24" s="118">
        <v>3241</v>
      </c>
      <c r="F24" s="89">
        <v>3.5169008735282947E-2</v>
      </c>
      <c r="G24" s="90">
        <v>30.208000617093489</v>
      </c>
      <c r="H24" s="48">
        <v>579</v>
      </c>
      <c r="I24" s="91">
        <v>4.4839378238341974</v>
      </c>
    </row>
    <row r="25" spans="1:9" ht="17" x14ac:dyDescent="0.2">
      <c r="A25" s="83" t="s">
        <v>315</v>
      </c>
      <c r="B25" s="19">
        <v>4</v>
      </c>
      <c r="C25" s="40">
        <v>102178.58</v>
      </c>
      <c r="D25" s="117">
        <v>36456</v>
      </c>
      <c r="E25" s="118">
        <v>3038</v>
      </c>
      <c r="F25" s="89">
        <v>3.2966198252943411E-2</v>
      </c>
      <c r="G25" s="90">
        <v>33.633502304147463</v>
      </c>
      <c r="H25" s="48">
        <v>3847</v>
      </c>
      <c r="I25" s="91">
        <v>4.3434104497010653</v>
      </c>
    </row>
    <row r="26" spans="1:9" x14ac:dyDescent="0.2">
      <c r="A26" s="82" t="s">
        <v>317</v>
      </c>
      <c r="B26">
        <v>2</v>
      </c>
      <c r="C26" s="84">
        <v>51510.91</v>
      </c>
      <c r="D26" s="116">
        <v>31932</v>
      </c>
      <c r="E26" s="85">
        <v>2661</v>
      </c>
      <c r="F26" s="86">
        <v>2.8875264500027129E-2</v>
      </c>
      <c r="G26" s="87">
        <v>19.357726418639611</v>
      </c>
      <c r="H26" s="13">
        <v>274</v>
      </c>
      <c r="I26" s="88">
        <v>4.3</v>
      </c>
    </row>
    <row r="27" spans="1:9" x14ac:dyDescent="0.2">
      <c r="A27" s="82" t="s">
        <v>322</v>
      </c>
      <c r="B27">
        <v>5</v>
      </c>
      <c r="C27" s="84">
        <v>87761.93</v>
      </c>
      <c r="D27" s="116">
        <v>31188</v>
      </c>
      <c r="E27" s="85">
        <v>2599</v>
      </c>
      <c r="F27" s="86">
        <v>2.820248494384461E-2</v>
      </c>
      <c r="G27" s="87">
        <v>33.767575990765678</v>
      </c>
      <c r="H27" s="13">
        <v>1548</v>
      </c>
      <c r="I27" s="88">
        <v>4.49250645994832</v>
      </c>
    </row>
    <row r="28" spans="1:9" ht="17" thickBot="1" x14ac:dyDescent="0.25">
      <c r="C28" s="84"/>
      <c r="D28" s="116"/>
      <c r="E28" s="85"/>
      <c r="F28" s="86"/>
      <c r="G28" s="87"/>
      <c r="H28" s="13"/>
      <c r="I28" s="88"/>
    </row>
    <row r="29" spans="1:9" s="100" customFormat="1" ht="17" thickTop="1" x14ac:dyDescent="0.2">
      <c r="A29" s="92" t="s">
        <v>32</v>
      </c>
      <c r="B29" s="93">
        <v>1558</v>
      </c>
      <c r="C29" s="94">
        <v>6675133.0899999999</v>
      </c>
      <c r="D29" s="115">
        <v>1105860</v>
      </c>
      <c r="E29" s="119">
        <v>92155</v>
      </c>
      <c r="F29" s="97">
        <v>1</v>
      </c>
      <c r="G29" s="98">
        <v>72.433759318539416</v>
      </c>
      <c r="H29" s="96">
        <v>268046</v>
      </c>
      <c r="I29" s="99">
        <v>4.3556087387985647</v>
      </c>
    </row>
  </sheetData>
  <mergeCells count="2">
    <mergeCell ref="A1:I1"/>
    <mergeCell ref="A16:I16"/>
  </mergeCells>
  <phoneticPr fontId="17" type="noConversion"/>
  <pageMargins left="0.7" right="0.7" top="0.75" bottom="0.75" header="0.3" footer="0.3"/>
  <pageSetup orientation="portrait" horizontalDpi="1200" verticalDpi="12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Q106"/>
  <sheetViews>
    <sheetView zoomScaleNormal="100" workbookViewId="0">
      <selection activeCell="S53" sqref="S53"/>
    </sheetView>
  </sheetViews>
  <sheetFormatPr baseColWidth="10" defaultColWidth="11.1640625" defaultRowHeight="16" x14ac:dyDescent="0.2"/>
  <cols>
    <col min="1" max="1" width="9.6640625" customWidth="1"/>
    <col min="2" max="2" width="11.1640625" bestFit="1" customWidth="1"/>
    <col min="3" max="3" width="14.83203125" customWidth="1"/>
    <col min="5" max="5" width="9" bestFit="1" customWidth="1"/>
    <col min="6" max="6" width="10.6640625" bestFit="1" customWidth="1"/>
    <col min="7" max="7" width="8.1640625" customWidth="1"/>
    <col min="8" max="9" width="10.6640625" customWidth="1"/>
    <col min="10" max="10" width="12" bestFit="1" customWidth="1"/>
    <col min="11" max="12" width="7.6640625" customWidth="1"/>
    <col min="14" max="14" width="6.6640625" customWidth="1"/>
    <col min="15" max="15" width="4.83203125" customWidth="1"/>
    <col min="16" max="16" width="28.5" style="104" hidden="1" customWidth="1"/>
    <col min="17" max="17" width="35.33203125" customWidth="1"/>
  </cols>
  <sheetData>
    <row r="1" spans="1:17" ht="26" x14ac:dyDescent="0.25">
      <c r="A1" s="108" t="s">
        <v>30</v>
      </c>
      <c r="B1" s="108"/>
      <c r="C1" s="108"/>
      <c r="D1" s="108"/>
      <c r="E1" s="108"/>
      <c r="F1" s="108"/>
      <c r="G1" s="108"/>
      <c r="H1" s="108"/>
      <c r="I1" s="108"/>
      <c r="J1" s="108"/>
      <c r="K1" s="108"/>
      <c r="L1" s="108"/>
      <c r="M1" s="108"/>
      <c r="N1" s="108"/>
      <c r="O1" s="108"/>
      <c r="P1" s="108"/>
      <c r="Q1" s="108"/>
    </row>
    <row r="2" spans="1:17" ht="57" x14ac:dyDescent="0.2">
      <c r="A2" s="49" t="s">
        <v>24</v>
      </c>
      <c r="B2" s="50" t="s">
        <v>5</v>
      </c>
      <c r="C2" s="50" t="s">
        <v>6</v>
      </c>
      <c r="D2" s="50" t="s">
        <v>0</v>
      </c>
      <c r="E2" s="51" t="s">
        <v>208</v>
      </c>
      <c r="F2" s="51" t="s">
        <v>484</v>
      </c>
      <c r="G2" s="51" t="s">
        <v>480</v>
      </c>
      <c r="H2" s="51" t="s">
        <v>481</v>
      </c>
      <c r="I2" s="51" t="s">
        <v>483</v>
      </c>
      <c r="J2" s="51" t="s">
        <v>482</v>
      </c>
      <c r="K2" s="51" t="s">
        <v>7</v>
      </c>
      <c r="L2" s="52" t="s">
        <v>16</v>
      </c>
      <c r="M2" s="53" t="s">
        <v>15</v>
      </c>
      <c r="N2" s="54" t="s">
        <v>8</v>
      </c>
      <c r="O2" s="55" t="s">
        <v>9</v>
      </c>
      <c r="P2" s="55" t="s">
        <v>23</v>
      </c>
      <c r="Q2" s="105" t="s">
        <v>10</v>
      </c>
    </row>
    <row r="3" spans="1:17" ht="16.25" customHeight="1" x14ac:dyDescent="0.2">
      <c r="A3" s="7">
        <v>1</v>
      </c>
      <c r="B3" s="8" t="s">
        <v>41</v>
      </c>
      <c r="C3" s="5" t="s">
        <v>42</v>
      </c>
      <c r="D3" s="5" t="s">
        <v>33</v>
      </c>
      <c r="E3" s="6" t="s">
        <v>219</v>
      </c>
      <c r="F3" s="6" t="s">
        <v>485</v>
      </c>
      <c r="G3" s="6" t="s">
        <v>486</v>
      </c>
      <c r="H3" s="6" t="s">
        <v>488</v>
      </c>
      <c r="I3" s="6" t="s">
        <v>489</v>
      </c>
      <c r="J3" s="6" t="s">
        <v>490</v>
      </c>
      <c r="K3" s="6">
        <v>129.99</v>
      </c>
      <c r="L3" s="6">
        <v>699032.88</v>
      </c>
      <c r="M3" s="9">
        <v>5378</v>
      </c>
      <c r="N3" s="9">
        <v>1078</v>
      </c>
      <c r="O3" s="5">
        <v>4.7</v>
      </c>
      <c r="P3" s="5" t="s">
        <v>43</v>
      </c>
      <c r="Q3" s="22" t="s">
        <v>43</v>
      </c>
    </row>
    <row r="4" spans="1:17" ht="16.25" customHeight="1" x14ac:dyDescent="0.2">
      <c r="A4" s="7">
        <v>2</v>
      </c>
      <c r="B4" s="8" t="s">
        <v>44</v>
      </c>
      <c r="C4" s="5" t="s">
        <v>220</v>
      </c>
      <c r="D4" s="5" t="s">
        <v>35</v>
      </c>
      <c r="E4" s="6" t="s">
        <v>219</v>
      </c>
      <c r="F4" s="6" t="s">
        <v>485</v>
      </c>
      <c r="G4" s="6" t="s">
        <v>487</v>
      </c>
      <c r="H4" s="6" t="s">
        <v>492</v>
      </c>
      <c r="I4" s="6" t="s">
        <v>489</v>
      </c>
      <c r="J4" s="6" t="s">
        <v>493</v>
      </c>
      <c r="K4" s="6">
        <v>139.38999999999999</v>
      </c>
      <c r="L4" s="6">
        <v>300981.94</v>
      </c>
      <c r="M4" s="9">
        <v>2210</v>
      </c>
      <c r="N4" s="9">
        <v>1468</v>
      </c>
      <c r="O4" s="5">
        <v>4.5999999999999996</v>
      </c>
      <c r="P4" s="5" t="s">
        <v>45</v>
      </c>
      <c r="Q4" s="22" t="s">
        <v>45</v>
      </c>
    </row>
    <row r="5" spans="1:17" ht="16.25" customHeight="1" x14ac:dyDescent="0.2">
      <c r="A5" s="7">
        <v>3</v>
      </c>
      <c r="B5" s="8" t="s">
        <v>119</v>
      </c>
      <c r="C5" s="5" t="s">
        <v>221</v>
      </c>
      <c r="D5" s="5" t="s">
        <v>116</v>
      </c>
      <c r="E5" s="6" t="s">
        <v>211</v>
      </c>
      <c r="F5" s="6"/>
      <c r="G5" s="6" t="s">
        <v>504</v>
      </c>
      <c r="H5" s="6" t="s">
        <v>488</v>
      </c>
      <c r="I5" s="6" t="s">
        <v>495</v>
      </c>
      <c r="J5" s="6" t="s">
        <v>501</v>
      </c>
      <c r="K5" s="6">
        <v>42.99</v>
      </c>
      <c r="L5" s="6">
        <v>180193.2</v>
      </c>
      <c r="M5" s="9">
        <v>4708</v>
      </c>
      <c r="N5" s="9">
        <v>5288</v>
      </c>
      <c r="O5" s="5">
        <v>4.4000000000000004</v>
      </c>
      <c r="P5" s="5" t="s">
        <v>120</v>
      </c>
      <c r="Q5" s="22" t="s">
        <v>120</v>
      </c>
    </row>
    <row r="6" spans="1:17" ht="16.25" customHeight="1" x14ac:dyDescent="0.2">
      <c r="A6" s="7">
        <v>4</v>
      </c>
      <c r="B6" s="8" t="s">
        <v>222</v>
      </c>
      <c r="C6" s="5" t="s">
        <v>223</v>
      </c>
      <c r="D6" s="5" t="s">
        <v>33</v>
      </c>
      <c r="E6" s="6" t="s">
        <v>219</v>
      </c>
      <c r="F6" s="6" t="s">
        <v>485</v>
      </c>
      <c r="G6" s="6" t="s">
        <v>496</v>
      </c>
      <c r="H6" s="6" t="s">
        <v>497</v>
      </c>
      <c r="I6" s="6" t="s">
        <v>489</v>
      </c>
      <c r="J6" s="6" t="s">
        <v>490</v>
      </c>
      <c r="K6" s="6">
        <v>106.39</v>
      </c>
      <c r="L6" s="6">
        <v>128609.35</v>
      </c>
      <c r="M6" s="9">
        <v>924</v>
      </c>
      <c r="N6" s="9">
        <v>177</v>
      </c>
      <c r="O6" s="5">
        <v>4.5999999999999996</v>
      </c>
      <c r="P6" s="5" t="s">
        <v>224</v>
      </c>
      <c r="Q6" s="22" t="s">
        <v>224</v>
      </c>
    </row>
    <row r="7" spans="1:17" ht="16.25" customHeight="1" x14ac:dyDescent="0.2">
      <c r="A7" s="7">
        <v>5</v>
      </c>
      <c r="B7" s="8" t="s">
        <v>225</v>
      </c>
      <c r="C7" s="5" t="s">
        <v>226</v>
      </c>
      <c r="D7" s="5" t="s">
        <v>35</v>
      </c>
      <c r="E7" s="6" t="s">
        <v>219</v>
      </c>
      <c r="F7" s="6" t="s">
        <v>485</v>
      </c>
      <c r="G7" s="6" t="s">
        <v>496</v>
      </c>
      <c r="H7" s="6" t="s">
        <v>488</v>
      </c>
      <c r="I7" s="6" t="s">
        <v>495</v>
      </c>
      <c r="J7" s="6" t="s">
        <v>490</v>
      </c>
      <c r="K7" s="6">
        <v>159.99</v>
      </c>
      <c r="L7" s="6">
        <v>127974.16</v>
      </c>
      <c r="M7" s="9">
        <v>910</v>
      </c>
      <c r="N7" s="9">
        <v>428</v>
      </c>
      <c r="O7" s="5">
        <v>4.5</v>
      </c>
      <c r="P7" s="5" t="s">
        <v>227</v>
      </c>
      <c r="Q7" s="22" t="s">
        <v>227</v>
      </c>
    </row>
    <row r="8" spans="1:17" ht="16.25" customHeight="1" x14ac:dyDescent="0.2">
      <c r="A8" s="7">
        <v>6</v>
      </c>
      <c r="B8" s="8" t="s">
        <v>48</v>
      </c>
      <c r="C8" s="5" t="s">
        <v>228</v>
      </c>
      <c r="D8" s="5" t="s">
        <v>34</v>
      </c>
      <c r="E8" s="6" t="s">
        <v>210</v>
      </c>
      <c r="F8" s="6"/>
      <c r="G8" s="6" t="s">
        <v>496</v>
      </c>
      <c r="H8" s="6" t="s">
        <v>488</v>
      </c>
      <c r="I8" s="6" t="s">
        <v>499</v>
      </c>
      <c r="J8" s="6" t="s">
        <v>500</v>
      </c>
      <c r="K8" s="6">
        <v>129.99</v>
      </c>
      <c r="L8" s="6">
        <v>125621.04</v>
      </c>
      <c r="M8" s="9">
        <v>1058</v>
      </c>
      <c r="N8" s="9">
        <v>1394</v>
      </c>
      <c r="O8" s="5">
        <v>4.3</v>
      </c>
      <c r="P8" s="5" t="s">
        <v>49</v>
      </c>
      <c r="Q8" s="22" t="s">
        <v>49</v>
      </c>
    </row>
    <row r="9" spans="1:17" ht="16.25" customHeight="1" x14ac:dyDescent="0.2">
      <c r="A9" s="7">
        <v>7</v>
      </c>
      <c r="B9" s="8" t="s">
        <v>63</v>
      </c>
      <c r="C9" s="5" t="s">
        <v>229</v>
      </c>
      <c r="D9" s="5" t="s">
        <v>33</v>
      </c>
      <c r="E9" s="6" t="s">
        <v>219</v>
      </c>
      <c r="F9" s="6" t="s">
        <v>485</v>
      </c>
      <c r="G9" s="6" t="s">
        <v>486</v>
      </c>
      <c r="H9" s="6" t="s">
        <v>488</v>
      </c>
      <c r="I9" s="6" t="s">
        <v>495</v>
      </c>
      <c r="J9" s="6" t="s">
        <v>490</v>
      </c>
      <c r="K9" s="6">
        <v>149.99</v>
      </c>
      <c r="L9" s="6">
        <v>115523.95</v>
      </c>
      <c r="M9" s="9">
        <v>839</v>
      </c>
      <c r="N9" s="9">
        <v>318</v>
      </c>
      <c r="O9" s="5">
        <v>4.4000000000000004</v>
      </c>
      <c r="P9" s="5" t="s">
        <v>64</v>
      </c>
      <c r="Q9" s="22" t="s">
        <v>64</v>
      </c>
    </row>
    <row r="10" spans="1:17" ht="16.25" customHeight="1" x14ac:dyDescent="0.2">
      <c r="A10" s="7">
        <v>8</v>
      </c>
      <c r="B10" s="8" t="s">
        <v>58</v>
      </c>
      <c r="C10" s="5" t="s">
        <v>59</v>
      </c>
      <c r="D10" s="5" t="s">
        <v>33</v>
      </c>
      <c r="E10" s="6" t="s">
        <v>209</v>
      </c>
      <c r="F10" s="6"/>
      <c r="G10" s="6" t="s">
        <v>496</v>
      </c>
      <c r="H10" s="6" t="s">
        <v>497</v>
      </c>
      <c r="I10" s="6" t="s">
        <v>495</v>
      </c>
      <c r="J10" s="6" t="s">
        <v>501</v>
      </c>
      <c r="K10" s="6">
        <v>159.99</v>
      </c>
      <c r="L10" s="6">
        <v>104232.74</v>
      </c>
      <c r="M10" s="9">
        <v>651</v>
      </c>
      <c r="N10" s="9">
        <v>3542</v>
      </c>
      <c r="O10" s="5">
        <v>4.5999999999999996</v>
      </c>
      <c r="P10" s="5" t="s">
        <v>60</v>
      </c>
      <c r="Q10" s="22" t="s">
        <v>60</v>
      </c>
    </row>
    <row r="11" spans="1:17" ht="16.25" customHeight="1" x14ac:dyDescent="0.2">
      <c r="A11" s="7">
        <v>9</v>
      </c>
      <c r="B11" s="8" t="s">
        <v>46</v>
      </c>
      <c r="C11" s="5" t="s">
        <v>230</v>
      </c>
      <c r="D11" s="5" t="s">
        <v>34</v>
      </c>
      <c r="E11" s="6" t="s">
        <v>210</v>
      </c>
      <c r="F11" s="6"/>
      <c r="G11" s="6" t="s">
        <v>487</v>
      </c>
      <c r="H11" s="6" t="s">
        <v>488</v>
      </c>
      <c r="I11" s="6" t="s">
        <v>495</v>
      </c>
      <c r="J11" s="6" t="s">
        <v>501</v>
      </c>
      <c r="K11" s="6">
        <v>69.989999999999995</v>
      </c>
      <c r="L11" s="6">
        <v>99914.55</v>
      </c>
      <c r="M11" s="9">
        <v>1428</v>
      </c>
      <c r="N11" s="9">
        <v>6721</v>
      </c>
      <c r="O11" s="5">
        <v>4.5</v>
      </c>
      <c r="P11" s="5" t="s">
        <v>47</v>
      </c>
      <c r="Q11" s="22" t="s">
        <v>47</v>
      </c>
    </row>
    <row r="12" spans="1:17" ht="16.25" customHeight="1" x14ac:dyDescent="0.2">
      <c r="A12" s="7">
        <v>10</v>
      </c>
      <c r="B12" s="8" t="s">
        <v>231</v>
      </c>
      <c r="C12" s="5" t="s">
        <v>232</v>
      </c>
      <c r="D12" s="5" t="s">
        <v>103</v>
      </c>
      <c r="E12" s="6" t="s">
        <v>211</v>
      </c>
      <c r="F12" s="6"/>
      <c r="G12" s="6" t="s">
        <v>504</v>
      </c>
      <c r="H12" s="6" t="s">
        <v>488</v>
      </c>
      <c r="I12" s="6" t="s">
        <v>495</v>
      </c>
      <c r="J12" s="6" t="s">
        <v>501</v>
      </c>
      <c r="K12" s="6">
        <v>35.99</v>
      </c>
      <c r="L12" s="6">
        <v>87777.71</v>
      </c>
      <c r="M12" s="9">
        <v>2507</v>
      </c>
      <c r="N12" s="9">
        <v>1085</v>
      </c>
      <c r="O12" s="5">
        <v>4.3</v>
      </c>
      <c r="P12" s="5" t="s">
        <v>233</v>
      </c>
      <c r="Q12" s="22" t="s">
        <v>233</v>
      </c>
    </row>
    <row r="13" spans="1:17" ht="16.25" customHeight="1" x14ac:dyDescent="0.2">
      <c r="A13" s="7">
        <v>11</v>
      </c>
      <c r="B13" s="8" t="s">
        <v>234</v>
      </c>
      <c r="C13" s="5" t="s">
        <v>235</v>
      </c>
      <c r="D13" s="5" t="s">
        <v>34</v>
      </c>
      <c r="E13" s="6" t="s">
        <v>210</v>
      </c>
      <c r="F13" s="6"/>
      <c r="G13" s="6" t="s">
        <v>496</v>
      </c>
      <c r="H13" s="6" t="s">
        <v>488</v>
      </c>
      <c r="I13" s="6" t="s">
        <v>499</v>
      </c>
      <c r="J13" s="6" t="s">
        <v>500</v>
      </c>
      <c r="K13" s="6">
        <v>137.79</v>
      </c>
      <c r="L13" s="6">
        <v>85121.94</v>
      </c>
      <c r="M13" s="9">
        <v>718</v>
      </c>
      <c r="N13" s="9">
        <v>253</v>
      </c>
      <c r="O13" s="5">
        <v>4.3</v>
      </c>
      <c r="P13" s="5" t="s">
        <v>236</v>
      </c>
      <c r="Q13" s="22" t="s">
        <v>236</v>
      </c>
    </row>
    <row r="14" spans="1:17" ht="16.25" customHeight="1" x14ac:dyDescent="0.2">
      <c r="A14" s="7">
        <v>12</v>
      </c>
      <c r="B14" s="8" t="s">
        <v>237</v>
      </c>
      <c r="C14" s="5" t="s">
        <v>238</v>
      </c>
      <c r="D14" s="5" t="s">
        <v>33</v>
      </c>
      <c r="E14" s="6" t="s">
        <v>219</v>
      </c>
      <c r="F14" s="6" t="s">
        <v>485</v>
      </c>
      <c r="G14" s="6" t="s">
        <v>496</v>
      </c>
      <c r="H14" s="6" t="s">
        <v>502</v>
      </c>
      <c r="I14" s="6" t="s">
        <v>495</v>
      </c>
      <c r="J14" s="6" t="s">
        <v>490</v>
      </c>
      <c r="K14" s="6">
        <v>299.99</v>
      </c>
      <c r="L14" s="6">
        <v>75799.259999999995</v>
      </c>
      <c r="M14" s="9">
        <v>253</v>
      </c>
      <c r="N14" s="9">
        <v>184</v>
      </c>
      <c r="O14" s="5">
        <v>4.2</v>
      </c>
      <c r="P14" s="5" t="s">
        <v>239</v>
      </c>
      <c r="Q14" s="22" t="s">
        <v>239</v>
      </c>
    </row>
    <row r="15" spans="1:17" ht="16.25" customHeight="1" x14ac:dyDescent="0.2">
      <c r="A15" s="7">
        <v>13</v>
      </c>
      <c r="B15" s="8" t="s">
        <v>65</v>
      </c>
      <c r="C15" s="5" t="s">
        <v>240</v>
      </c>
      <c r="D15" s="5" t="s">
        <v>36</v>
      </c>
      <c r="E15" s="6" t="s">
        <v>209</v>
      </c>
      <c r="F15" s="6" t="s">
        <v>503</v>
      </c>
      <c r="G15" s="6" t="s">
        <v>487</v>
      </c>
      <c r="H15" s="6" t="s">
        <v>488</v>
      </c>
      <c r="I15" s="6" t="s">
        <v>489</v>
      </c>
      <c r="J15" s="6" t="s">
        <v>501</v>
      </c>
      <c r="K15" s="6">
        <v>39.99</v>
      </c>
      <c r="L15" s="6">
        <v>72545.94</v>
      </c>
      <c r="M15" s="9">
        <v>2107</v>
      </c>
      <c r="N15" s="9">
        <v>1810</v>
      </c>
      <c r="O15" s="5">
        <v>4.4000000000000004</v>
      </c>
      <c r="P15" s="5" t="s">
        <v>66</v>
      </c>
      <c r="Q15" s="22" t="s">
        <v>66</v>
      </c>
    </row>
    <row r="16" spans="1:17" ht="16.25" customHeight="1" x14ac:dyDescent="0.2">
      <c r="A16" s="7">
        <v>14</v>
      </c>
      <c r="B16" s="8" t="s">
        <v>241</v>
      </c>
      <c r="C16" s="5" t="s">
        <v>242</v>
      </c>
      <c r="D16" s="5" t="s">
        <v>243</v>
      </c>
      <c r="E16" s="6" t="s">
        <v>210</v>
      </c>
      <c r="F16" s="6" t="s">
        <v>503</v>
      </c>
      <c r="G16" s="6" t="s">
        <v>487</v>
      </c>
      <c r="H16" s="6" t="s">
        <v>488</v>
      </c>
      <c r="I16" s="6" t="s">
        <v>489</v>
      </c>
      <c r="J16" s="6" t="s">
        <v>501</v>
      </c>
      <c r="K16" s="6">
        <v>28.49</v>
      </c>
      <c r="L16" s="6">
        <v>69483.37</v>
      </c>
      <c r="M16" s="9">
        <v>2390</v>
      </c>
      <c r="N16" s="9">
        <v>233</v>
      </c>
      <c r="O16" s="5">
        <v>4.5</v>
      </c>
      <c r="P16" s="5" t="s">
        <v>244</v>
      </c>
      <c r="Q16" s="22" t="s">
        <v>244</v>
      </c>
    </row>
    <row r="17" spans="1:17" ht="16.25" customHeight="1" x14ac:dyDescent="0.2">
      <c r="A17" s="7">
        <v>15</v>
      </c>
      <c r="B17" s="8" t="s">
        <v>53</v>
      </c>
      <c r="C17" s="5" t="s">
        <v>54</v>
      </c>
      <c r="D17" s="5" t="s">
        <v>37</v>
      </c>
      <c r="E17" s="6" t="s">
        <v>209</v>
      </c>
      <c r="F17" s="6" t="s">
        <v>503</v>
      </c>
      <c r="G17" s="6" t="s">
        <v>487</v>
      </c>
      <c r="H17" s="6" t="s">
        <v>488</v>
      </c>
      <c r="I17" s="6" t="s">
        <v>489</v>
      </c>
      <c r="J17" s="6" t="s">
        <v>501</v>
      </c>
      <c r="K17" s="6">
        <v>37.950000000000003</v>
      </c>
      <c r="L17" s="6">
        <v>64529.13</v>
      </c>
      <c r="M17" s="9">
        <v>1956</v>
      </c>
      <c r="N17" s="9">
        <v>1082</v>
      </c>
      <c r="O17" s="5">
        <v>4.5</v>
      </c>
      <c r="P17" s="5" t="s">
        <v>55</v>
      </c>
      <c r="Q17" s="22" t="s">
        <v>55</v>
      </c>
    </row>
    <row r="18" spans="1:17" ht="16.25" customHeight="1" x14ac:dyDescent="0.2">
      <c r="A18" s="7">
        <v>16</v>
      </c>
      <c r="B18" s="8" t="s">
        <v>117</v>
      </c>
      <c r="C18" s="5" t="s">
        <v>245</v>
      </c>
      <c r="D18" s="5" t="s">
        <v>116</v>
      </c>
      <c r="E18" s="6" t="s">
        <v>211</v>
      </c>
      <c r="F18" s="6"/>
      <c r="G18" s="6" t="s">
        <v>504</v>
      </c>
      <c r="H18" s="6" t="s">
        <v>488</v>
      </c>
      <c r="I18" s="6" t="s">
        <v>489</v>
      </c>
      <c r="J18" s="6" t="s">
        <v>501</v>
      </c>
      <c r="K18" s="6">
        <v>23.99</v>
      </c>
      <c r="L18" s="6">
        <v>62751.69</v>
      </c>
      <c r="M18" s="9">
        <v>2273</v>
      </c>
      <c r="N18" s="9">
        <v>5278</v>
      </c>
      <c r="O18" s="5">
        <v>4.4000000000000004</v>
      </c>
      <c r="P18" s="5" t="s">
        <v>118</v>
      </c>
      <c r="Q18" s="22" t="s">
        <v>118</v>
      </c>
    </row>
    <row r="19" spans="1:17" ht="16.25" customHeight="1" x14ac:dyDescent="0.2">
      <c r="A19" s="7">
        <v>17</v>
      </c>
      <c r="B19" s="8" t="s">
        <v>50</v>
      </c>
      <c r="C19" s="5" t="s">
        <v>51</v>
      </c>
      <c r="D19" s="5" t="s">
        <v>38</v>
      </c>
      <c r="E19" s="6" t="s">
        <v>219</v>
      </c>
      <c r="F19" s="6" t="s">
        <v>485</v>
      </c>
      <c r="G19" s="6" t="s">
        <v>487</v>
      </c>
      <c r="H19" s="6" t="s">
        <v>488</v>
      </c>
      <c r="I19" s="6" t="s">
        <v>489</v>
      </c>
      <c r="J19" s="6" t="s">
        <v>493</v>
      </c>
      <c r="K19" s="6">
        <v>105.99</v>
      </c>
      <c r="L19" s="6">
        <v>59592.67</v>
      </c>
      <c r="M19" s="9">
        <v>627</v>
      </c>
      <c r="N19" s="9">
        <v>300</v>
      </c>
      <c r="O19" s="5">
        <v>4.5999999999999996</v>
      </c>
      <c r="P19" s="5" t="s">
        <v>52</v>
      </c>
      <c r="Q19" s="22" t="s">
        <v>52</v>
      </c>
    </row>
    <row r="20" spans="1:17" ht="16.25" customHeight="1" x14ac:dyDescent="0.2">
      <c r="A20" s="7">
        <v>18</v>
      </c>
      <c r="B20" s="8" t="s">
        <v>246</v>
      </c>
      <c r="C20" s="5" t="s">
        <v>247</v>
      </c>
      <c r="D20" s="5" t="s">
        <v>34</v>
      </c>
      <c r="E20" s="6" t="s">
        <v>219</v>
      </c>
      <c r="F20" s="6" t="s">
        <v>485</v>
      </c>
      <c r="G20" s="6" t="s">
        <v>486</v>
      </c>
      <c r="H20" s="6" t="s">
        <v>488</v>
      </c>
      <c r="I20" s="6" t="s">
        <v>495</v>
      </c>
      <c r="J20" s="6" t="s">
        <v>490</v>
      </c>
      <c r="K20" s="6">
        <v>129.99</v>
      </c>
      <c r="L20" s="6">
        <v>57984.25</v>
      </c>
      <c r="M20" s="9">
        <v>510</v>
      </c>
      <c r="N20" s="9">
        <v>245</v>
      </c>
      <c r="O20" s="5">
        <v>4.5999999999999996</v>
      </c>
      <c r="P20" s="5" t="s">
        <v>248</v>
      </c>
      <c r="Q20" s="22" t="s">
        <v>248</v>
      </c>
    </row>
    <row r="21" spans="1:17" ht="16.25" customHeight="1" x14ac:dyDescent="0.2">
      <c r="A21" s="7">
        <v>19</v>
      </c>
      <c r="B21" s="8" t="s">
        <v>56</v>
      </c>
      <c r="C21" s="5" t="s">
        <v>249</v>
      </c>
      <c r="D21" s="5" t="s">
        <v>36</v>
      </c>
      <c r="E21" s="6" t="s">
        <v>210</v>
      </c>
      <c r="F21" s="6" t="s">
        <v>503</v>
      </c>
      <c r="G21" s="6" t="s">
        <v>487</v>
      </c>
      <c r="H21" s="6" t="s">
        <v>488</v>
      </c>
      <c r="I21" s="6" t="s">
        <v>489</v>
      </c>
      <c r="J21" s="6" t="s">
        <v>501</v>
      </c>
      <c r="K21" s="6">
        <v>32.979999999999997</v>
      </c>
      <c r="L21" s="6">
        <v>57070.35</v>
      </c>
      <c r="M21" s="9">
        <v>1595</v>
      </c>
      <c r="N21" s="9">
        <v>3741</v>
      </c>
      <c r="O21" s="5">
        <v>4.4000000000000004</v>
      </c>
      <c r="P21" s="5" t="s">
        <v>57</v>
      </c>
      <c r="Q21" s="22" t="s">
        <v>57</v>
      </c>
    </row>
    <row r="22" spans="1:17" ht="16.25" customHeight="1" x14ac:dyDescent="0.2">
      <c r="A22" s="7">
        <v>20</v>
      </c>
      <c r="B22" s="8" t="s">
        <v>73</v>
      </c>
      <c r="C22" s="5" t="s">
        <v>74</v>
      </c>
      <c r="D22" s="5" t="s">
        <v>39</v>
      </c>
      <c r="E22" s="6" t="s">
        <v>211</v>
      </c>
      <c r="F22" s="6"/>
      <c r="G22" s="6" t="s">
        <v>504</v>
      </c>
      <c r="H22" s="6" t="s">
        <v>488</v>
      </c>
      <c r="I22" s="6" t="s">
        <v>495</v>
      </c>
      <c r="J22" s="6" t="s">
        <v>501</v>
      </c>
      <c r="K22" s="6">
        <v>35.99</v>
      </c>
      <c r="L22" s="6">
        <v>56990.09</v>
      </c>
      <c r="M22" s="9">
        <v>2048</v>
      </c>
      <c r="N22" s="9">
        <v>1132</v>
      </c>
      <c r="O22" s="5">
        <v>4.4000000000000004</v>
      </c>
      <c r="P22" s="5" t="s">
        <v>75</v>
      </c>
      <c r="Q22" s="22" t="s">
        <v>75</v>
      </c>
    </row>
    <row r="23" spans="1:17" ht="16.25" customHeight="1" x14ac:dyDescent="0.2">
      <c r="A23" s="7">
        <v>21</v>
      </c>
      <c r="B23" s="8" t="s">
        <v>250</v>
      </c>
      <c r="C23" s="5" t="s">
        <v>251</v>
      </c>
      <c r="D23" s="5" t="s">
        <v>34</v>
      </c>
      <c r="E23" s="6" t="s">
        <v>219</v>
      </c>
      <c r="F23" s="6" t="s">
        <v>485</v>
      </c>
      <c r="G23" s="6" t="s">
        <v>486</v>
      </c>
      <c r="H23" s="6" t="s">
        <v>488</v>
      </c>
      <c r="I23" s="6" t="s">
        <v>495</v>
      </c>
      <c r="J23" s="6" t="s">
        <v>494</v>
      </c>
      <c r="K23" s="6">
        <v>159.99</v>
      </c>
      <c r="L23" s="6">
        <v>55154.49</v>
      </c>
      <c r="M23" s="9">
        <v>386</v>
      </c>
      <c r="N23" s="9">
        <v>252</v>
      </c>
      <c r="O23" s="5">
        <v>4.5999999999999996</v>
      </c>
      <c r="P23" s="5" t="s">
        <v>252</v>
      </c>
      <c r="Q23" s="22" t="s">
        <v>252</v>
      </c>
    </row>
    <row r="24" spans="1:17" ht="16.25" customHeight="1" x14ac:dyDescent="0.2">
      <c r="A24" s="7">
        <v>22</v>
      </c>
      <c r="B24" s="8" t="s">
        <v>253</v>
      </c>
      <c r="C24" s="5" t="s">
        <v>254</v>
      </c>
      <c r="D24" s="5" t="s">
        <v>255</v>
      </c>
      <c r="E24" s="6" t="s">
        <v>211</v>
      </c>
      <c r="F24" s="6"/>
      <c r="G24" s="6" t="s">
        <v>504</v>
      </c>
      <c r="H24" s="6" t="s">
        <v>488</v>
      </c>
      <c r="I24" s="6" t="s">
        <v>495</v>
      </c>
      <c r="J24" s="6" t="s">
        <v>501</v>
      </c>
      <c r="K24" s="6">
        <v>22.99</v>
      </c>
      <c r="L24" s="6">
        <v>50110.879999999997</v>
      </c>
      <c r="M24" s="9">
        <v>2575</v>
      </c>
      <c r="N24" s="9">
        <v>137</v>
      </c>
      <c r="O24" s="5">
        <v>4.3</v>
      </c>
      <c r="P24" s="5" t="s">
        <v>256</v>
      </c>
      <c r="Q24" s="22" t="s">
        <v>256</v>
      </c>
    </row>
    <row r="25" spans="1:17" ht="16.25" customHeight="1" x14ac:dyDescent="0.2">
      <c r="A25" s="7">
        <v>23</v>
      </c>
      <c r="B25" s="8" t="s">
        <v>257</v>
      </c>
      <c r="C25" s="5" t="s">
        <v>258</v>
      </c>
      <c r="D25" s="5" t="s">
        <v>259</v>
      </c>
      <c r="E25" s="6" t="s">
        <v>219</v>
      </c>
      <c r="F25" s="6" t="s">
        <v>485</v>
      </c>
      <c r="G25" s="6" t="s">
        <v>487</v>
      </c>
      <c r="H25" s="6" t="s">
        <v>488</v>
      </c>
      <c r="I25" s="6" t="s">
        <v>489</v>
      </c>
      <c r="J25" s="6" t="s">
        <v>493</v>
      </c>
      <c r="K25" s="6">
        <v>79.989999999999995</v>
      </c>
      <c r="L25" s="6">
        <v>46412.67</v>
      </c>
      <c r="M25" s="9">
        <v>616</v>
      </c>
      <c r="N25" s="9">
        <v>164</v>
      </c>
      <c r="O25" s="5">
        <v>4.5</v>
      </c>
      <c r="P25" s="5" t="s">
        <v>260</v>
      </c>
      <c r="Q25" s="22" t="s">
        <v>260</v>
      </c>
    </row>
    <row r="26" spans="1:17" ht="16.25" customHeight="1" x14ac:dyDescent="0.2">
      <c r="A26" s="7">
        <v>24</v>
      </c>
      <c r="B26" s="8" t="s">
        <v>261</v>
      </c>
      <c r="C26" s="5" t="s">
        <v>262</v>
      </c>
      <c r="D26" s="5" t="s">
        <v>33</v>
      </c>
      <c r="E26" s="6" t="s">
        <v>219</v>
      </c>
      <c r="F26" s="6" t="s">
        <v>485</v>
      </c>
      <c r="G26" s="6" t="s">
        <v>496</v>
      </c>
      <c r="H26" s="6" t="s">
        <v>488</v>
      </c>
      <c r="I26" s="6" t="s">
        <v>489</v>
      </c>
      <c r="J26" s="6" t="s">
        <v>490</v>
      </c>
      <c r="K26" s="6">
        <v>279.99</v>
      </c>
      <c r="L26" s="6">
        <v>43464.52</v>
      </c>
      <c r="M26" s="9">
        <v>179</v>
      </c>
      <c r="N26" s="9">
        <v>549</v>
      </c>
      <c r="O26" s="5">
        <v>4.7</v>
      </c>
      <c r="P26" s="5" t="s">
        <v>263</v>
      </c>
      <c r="Q26" s="22" t="s">
        <v>263</v>
      </c>
    </row>
    <row r="27" spans="1:17" ht="16.25" customHeight="1" x14ac:dyDescent="0.2">
      <c r="A27" s="7">
        <v>25</v>
      </c>
      <c r="B27" s="8" t="s">
        <v>264</v>
      </c>
      <c r="C27" s="5" t="s">
        <v>265</v>
      </c>
      <c r="D27" s="5" t="s">
        <v>33</v>
      </c>
      <c r="E27" s="6" t="s">
        <v>219</v>
      </c>
      <c r="F27" s="6" t="s">
        <v>491</v>
      </c>
      <c r="G27" s="6" t="s">
        <v>498</v>
      </c>
      <c r="H27" s="6" t="s">
        <v>505</v>
      </c>
      <c r="I27" s="6" t="s">
        <v>489</v>
      </c>
      <c r="J27" s="6" t="s">
        <v>490</v>
      </c>
      <c r="K27" s="6">
        <v>699.99</v>
      </c>
      <c r="L27" s="6">
        <v>40745.769999999997</v>
      </c>
      <c r="M27" s="9">
        <v>58</v>
      </c>
      <c r="N27" s="9">
        <v>21</v>
      </c>
      <c r="O27" s="5">
        <v>4.5999999999999996</v>
      </c>
      <c r="P27" s="5" t="s">
        <v>266</v>
      </c>
      <c r="Q27" s="22" t="s">
        <v>266</v>
      </c>
    </row>
    <row r="28" spans="1:17" ht="16.25" customHeight="1" x14ac:dyDescent="0.2">
      <c r="A28" s="7">
        <v>26</v>
      </c>
      <c r="B28" s="8" t="s">
        <v>151</v>
      </c>
      <c r="C28" s="5" t="s">
        <v>267</v>
      </c>
      <c r="D28" s="5" t="s">
        <v>33</v>
      </c>
      <c r="E28" s="6" t="s">
        <v>210</v>
      </c>
      <c r="F28" s="6"/>
      <c r="G28" s="6" t="s">
        <v>487</v>
      </c>
      <c r="H28" s="6" t="s">
        <v>488</v>
      </c>
      <c r="I28" s="6" t="s">
        <v>489</v>
      </c>
      <c r="J28" s="6" t="s">
        <v>501</v>
      </c>
      <c r="K28" s="6">
        <v>37.99</v>
      </c>
      <c r="L28" s="6">
        <v>39438.44</v>
      </c>
      <c r="M28" s="9">
        <v>803</v>
      </c>
      <c r="N28" s="9">
        <v>234</v>
      </c>
      <c r="O28" s="5">
        <v>4.5</v>
      </c>
      <c r="P28" s="5" t="s">
        <v>152</v>
      </c>
      <c r="Q28" s="22" t="s">
        <v>152</v>
      </c>
    </row>
    <row r="29" spans="1:17" ht="16.25" customHeight="1" x14ac:dyDescent="0.2">
      <c r="A29" s="7">
        <v>27</v>
      </c>
      <c r="B29" s="8" t="s">
        <v>268</v>
      </c>
      <c r="C29" s="5" t="s">
        <v>269</v>
      </c>
      <c r="D29" s="5" t="s">
        <v>35</v>
      </c>
      <c r="E29" s="6" t="s">
        <v>219</v>
      </c>
      <c r="F29" s="6" t="s">
        <v>485</v>
      </c>
      <c r="G29" s="6" t="s">
        <v>487</v>
      </c>
      <c r="H29" s="6" t="s">
        <v>488</v>
      </c>
      <c r="I29" s="6" t="s">
        <v>489</v>
      </c>
      <c r="J29" s="6" t="s">
        <v>494</v>
      </c>
      <c r="K29" s="6">
        <v>172.89</v>
      </c>
      <c r="L29" s="6">
        <v>38511.089999999997</v>
      </c>
      <c r="M29" s="9">
        <v>212</v>
      </c>
      <c r="N29" s="9">
        <v>180</v>
      </c>
      <c r="O29" s="5">
        <v>4.3</v>
      </c>
      <c r="P29" s="5" t="s">
        <v>270</v>
      </c>
      <c r="Q29" s="22" t="s">
        <v>270</v>
      </c>
    </row>
    <row r="30" spans="1:17" ht="16.25" customHeight="1" x14ac:dyDescent="0.2">
      <c r="A30" s="7">
        <v>28</v>
      </c>
      <c r="B30" s="8" t="s">
        <v>67</v>
      </c>
      <c r="C30" s="5" t="s">
        <v>68</v>
      </c>
      <c r="D30" s="5" t="s">
        <v>34</v>
      </c>
      <c r="E30" s="6" t="s">
        <v>212</v>
      </c>
      <c r="F30" s="6"/>
      <c r="G30" s="6"/>
      <c r="H30" s="6" t="s">
        <v>488</v>
      </c>
      <c r="I30" s="6" t="s">
        <v>495</v>
      </c>
      <c r="J30" s="6" t="s">
        <v>501</v>
      </c>
      <c r="K30" s="6">
        <v>54.99</v>
      </c>
      <c r="L30" s="6">
        <v>36197.11</v>
      </c>
      <c r="M30" s="9">
        <v>658</v>
      </c>
      <c r="N30" s="9">
        <v>2461</v>
      </c>
      <c r="O30" s="5">
        <v>4.3</v>
      </c>
      <c r="P30" s="5" t="s">
        <v>69</v>
      </c>
      <c r="Q30" s="22" t="s">
        <v>69</v>
      </c>
    </row>
    <row r="31" spans="1:17" ht="16.25" customHeight="1" x14ac:dyDescent="0.2">
      <c r="A31" s="7">
        <v>29</v>
      </c>
      <c r="B31" s="8" t="s">
        <v>508</v>
      </c>
      <c r="C31" s="5" t="s">
        <v>509</v>
      </c>
      <c r="D31" s="5" t="s">
        <v>510</v>
      </c>
      <c r="E31" s="6" t="s">
        <v>219</v>
      </c>
      <c r="F31" s="6" t="s">
        <v>485</v>
      </c>
      <c r="G31" s="6" t="s">
        <v>487</v>
      </c>
      <c r="H31" s="6" t="s">
        <v>511</v>
      </c>
      <c r="I31" s="6" t="s">
        <v>489</v>
      </c>
      <c r="J31" s="6" t="s">
        <v>512</v>
      </c>
      <c r="K31" s="6">
        <v>199.99</v>
      </c>
      <c r="L31" s="6">
        <v>36138.18</v>
      </c>
      <c r="M31" s="9">
        <v>232</v>
      </c>
      <c r="N31" s="9">
        <v>97</v>
      </c>
      <c r="O31" s="5">
        <v>4.8</v>
      </c>
      <c r="P31" s="5" t="s">
        <v>513</v>
      </c>
      <c r="Q31" s="22" t="s">
        <v>513</v>
      </c>
    </row>
    <row r="32" spans="1:17" ht="16.25" customHeight="1" x14ac:dyDescent="0.2">
      <c r="A32" s="7">
        <v>30</v>
      </c>
      <c r="B32" s="8" t="s">
        <v>271</v>
      </c>
      <c r="C32" s="5" t="s">
        <v>272</v>
      </c>
      <c r="D32" s="5" t="s">
        <v>273</v>
      </c>
      <c r="E32" s="6" t="s">
        <v>209</v>
      </c>
      <c r="F32" s="6" t="s">
        <v>503</v>
      </c>
      <c r="G32" s="6" t="s">
        <v>496</v>
      </c>
      <c r="H32" s="6" t="s">
        <v>488</v>
      </c>
      <c r="I32" s="6" t="s">
        <v>495</v>
      </c>
      <c r="J32" s="6" t="s">
        <v>501</v>
      </c>
      <c r="K32" s="6">
        <v>49.99</v>
      </c>
      <c r="L32" s="6">
        <v>36045.72</v>
      </c>
      <c r="M32" s="9">
        <v>899</v>
      </c>
      <c r="N32" s="9">
        <v>191</v>
      </c>
      <c r="O32" s="5">
        <v>4.5999999999999996</v>
      </c>
      <c r="P32" s="5" t="s">
        <v>274</v>
      </c>
      <c r="Q32" s="22" t="s">
        <v>274</v>
      </c>
    </row>
    <row r="33" spans="1:17" ht="16.25" customHeight="1" x14ac:dyDescent="0.2">
      <c r="A33" s="7">
        <v>31</v>
      </c>
      <c r="B33" s="8" t="s">
        <v>143</v>
      </c>
      <c r="C33" s="5" t="s">
        <v>276</v>
      </c>
      <c r="D33" s="5" t="s">
        <v>116</v>
      </c>
      <c r="E33" s="6" t="s">
        <v>211</v>
      </c>
      <c r="F33" s="6"/>
      <c r="G33" s="6" t="s">
        <v>504</v>
      </c>
      <c r="H33" s="6" t="s">
        <v>488</v>
      </c>
      <c r="I33" s="6" t="s">
        <v>489</v>
      </c>
      <c r="J33" s="6" t="s">
        <v>506</v>
      </c>
      <c r="K33" s="6">
        <v>40.99</v>
      </c>
      <c r="L33" s="6">
        <v>33366.730000000003</v>
      </c>
      <c r="M33" s="9">
        <v>915</v>
      </c>
      <c r="N33" s="9">
        <v>5287</v>
      </c>
      <c r="O33" s="5">
        <v>4.4000000000000004</v>
      </c>
      <c r="P33" s="5" t="s">
        <v>144</v>
      </c>
      <c r="Q33" s="22" t="s">
        <v>144</v>
      </c>
    </row>
    <row r="34" spans="1:17" ht="16.25" customHeight="1" x14ac:dyDescent="0.2">
      <c r="A34" s="7">
        <v>32</v>
      </c>
      <c r="B34" s="8" t="s">
        <v>514</v>
      </c>
      <c r="C34" s="5" t="s">
        <v>515</v>
      </c>
      <c r="D34" s="5" t="s">
        <v>516</v>
      </c>
      <c r="E34" s="6" t="s">
        <v>219</v>
      </c>
      <c r="F34" s="6" t="s">
        <v>485</v>
      </c>
      <c r="G34" s="6" t="s">
        <v>487</v>
      </c>
      <c r="H34" s="6" t="s">
        <v>488</v>
      </c>
      <c r="I34" s="6" t="s">
        <v>489</v>
      </c>
      <c r="J34" s="6" t="s">
        <v>490</v>
      </c>
      <c r="K34" s="6">
        <v>119.99</v>
      </c>
      <c r="L34" s="6">
        <v>33220.949999999997</v>
      </c>
      <c r="M34" s="9">
        <v>343</v>
      </c>
      <c r="N34" s="9">
        <v>464</v>
      </c>
      <c r="O34" s="5">
        <v>4.4000000000000004</v>
      </c>
      <c r="P34" s="5" t="s">
        <v>517</v>
      </c>
      <c r="Q34" s="22" t="s">
        <v>517</v>
      </c>
    </row>
    <row r="35" spans="1:17" ht="16.25" customHeight="1" x14ac:dyDescent="0.2">
      <c r="A35" s="7">
        <v>33</v>
      </c>
      <c r="B35" s="8" t="s">
        <v>186</v>
      </c>
      <c r="C35" s="5" t="s">
        <v>185</v>
      </c>
      <c r="D35" s="5" t="s">
        <v>33</v>
      </c>
      <c r="E35" s="6" t="s">
        <v>209</v>
      </c>
      <c r="F35" s="6"/>
      <c r="G35" s="6" t="s">
        <v>496</v>
      </c>
      <c r="H35" s="6" t="s">
        <v>488</v>
      </c>
      <c r="I35" s="6" t="s">
        <v>499</v>
      </c>
      <c r="J35" s="6" t="s">
        <v>501</v>
      </c>
      <c r="K35" s="6">
        <v>179.99</v>
      </c>
      <c r="L35" s="6">
        <v>33131.589999999997</v>
      </c>
      <c r="M35" s="9">
        <v>200</v>
      </c>
      <c r="N35" s="9">
        <v>339</v>
      </c>
      <c r="O35" s="5">
        <v>4.5</v>
      </c>
      <c r="P35" s="5" t="s">
        <v>187</v>
      </c>
      <c r="Q35" s="22" t="s">
        <v>187</v>
      </c>
    </row>
    <row r="36" spans="1:17" ht="16.25" customHeight="1" x14ac:dyDescent="0.2">
      <c r="A36" s="7">
        <v>34</v>
      </c>
      <c r="B36" s="8" t="s">
        <v>518</v>
      </c>
      <c r="C36" s="5" t="s">
        <v>519</v>
      </c>
      <c r="D36" s="5" t="s">
        <v>520</v>
      </c>
      <c r="E36" s="6" t="s">
        <v>521</v>
      </c>
      <c r="F36" s="6"/>
      <c r="G36" s="6" t="s">
        <v>522</v>
      </c>
      <c r="H36" s="6" t="s">
        <v>523</v>
      </c>
      <c r="I36" s="6" t="s">
        <v>489</v>
      </c>
      <c r="J36" s="6" t="s">
        <v>524</v>
      </c>
      <c r="K36" s="6">
        <v>659.99</v>
      </c>
      <c r="L36" s="6">
        <v>33096.25</v>
      </c>
      <c r="M36" s="9">
        <v>48</v>
      </c>
      <c r="N36" s="9">
        <v>22</v>
      </c>
      <c r="O36" s="5">
        <v>4.0999999999999996</v>
      </c>
      <c r="P36" s="5" t="s">
        <v>525</v>
      </c>
      <c r="Q36" s="22" t="s">
        <v>525</v>
      </c>
    </row>
    <row r="37" spans="1:17" ht="16.25" customHeight="1" x14ac:dyDescent="0.2">
      <c r="A37" s="7">
        <v>35</v>
      </c>
      <c r="B37" s="8" t="s">
        <v>277</v>
      </c>
      <c r="C37" s="5" t="s">
        <v>278</v>
      </c>
      <c r="D37" s="5" t="s">
        <v>33</v>
      </c>
      <c r="E37" s="6" t="s">
        <v>211</v>
      </c>
      <c r="F37" s="6"/>
      <c r="G37" s="6" t="s">
        <v>504</v>
      </c>
      <c r="H37" s="6" t="s">
        <v>488</v>
      </c>
      <c r="I37" s="6" t="s">
        <v>489</v>
      </c>
      <c r="J37" s="6" t="s">
        <v>494</v>
      </c>
      <c r="K37" s="6">
        <v>29.99</v>
      </c>
      <c r="L37" s="6">
        <v>32368.85</v>
      </c>
      <c r="M37" s="9">
        <v>1080</v>
      </c>
      <c r="N37" s="9">
        <v>911</v>
      </c>
      <c r="O37" s="5">
        <v>4.4000000000000004</v>
      </c>
      <c r="P37" s="5" t="s">
        <v>279</v>
      </c>
      <c r="Q37" s="22" t="s">
        <v>279</v>
      </c>
    </row>
    <row r="38" spans="1:17" ht="16.25" customHeight="1" x14ac:dyDescent="0.2">
      <c r="A38" s="7">
        <v>36</v>
      </c>
      <c r="B38" s="8" t="s">
        <v>280</v>
      </c>
      <c r="C38" s="5" t="s">
        <v>281</v>
      </c>
      <c r="D38" s="5" t="s">
        <v>33</v>
      </c>
      <c r="E38" s="6" t="s">
        <v>219</v>
      </c>
      <c r="F38" s="6" t="s">
        <v>491</v>
      </c>
      <c r="G38" s="6" t="s">
        <v>496</v>
      </c>
      <c r="H38" s="6" t="s">
        <v>526</v>
      </c>
      <c r="I38" s="6" t="s">
        <v>489</v>
      </c>
      <c r="J38" s="6" t="s">
        <v>490</v>
      </c>
      <c r="K38" s="6">
        <v>449.99</v>
      </c>
      <c r="L38" s="6">
        <v>31681.51</v>
      </c>
      <c r="M38" s="9">
        <v>71</v>
      </c>
      <c r="N38" s="9">
        <v>28</v>
      </c>
      <c r="O38" s="5">
        <v>4.7</v>
      </c>
      <c r="P38" s="5" t="s">
        <v>282</v>
      </c>
      <c r="Q38" s="22" t="s">
        <v>282</v>
      </c>
    </row>
    <row r="39" spans="1:17" ht="16.25" customHeight="1" x14ac:dyDescent="0.2">
      <c r="A39" s="7">
        <v>37</v>
      </c>
      <c r="B39" s="8" t="s">
        <v>527</v>
      </c>
      <c r="C39" s="5" t="s">
        <v>528</v>
      </c>
      <c r="D39" s="5" t="s">
        <v>529</v>
      </c>
      <c r="E39" s="6" t="s">
        <v>210</v>
      </c>
      <c r="F39" s="6"/>
      <c r="G39" s="6" t="s">
        <v>487</v>
      </c>
      <c r="H39" s="6" t="s">
        <v>497</v>
      </c>
      <c r="I39" s="6" t="s">
        <v>489</v>
      </c>
      <c r="J39" s="6" t="s">
        <v>530</v>
      </c>
      <c r="K39" s="6">
        <v>102.99</v>
      </c>
      <c r="L39" s="6">
        <v>31444.16</v>
      </c>
      <c r="M39" s="9">
        <v>305</v>
      </c>
      <c r="N39" s="9">
        <v>101</v>
      </c>
      <c r="O39" s="5">
        <v>4.4000000000000004</v>
      </c>
      <c r="P39" s="5" t="s">
        <v>531</v>
      </c>
      <c r="Q39" s="22" t="s">
        <v>531</v>
      </c>
    </row>
    <row r="40" spans="1:17" ht="16.25" customHeight="1" x14ac:dyDescent="0.2">
      <c r="A40" s="7">
        <v>38</v>
      </c>
      <c r="B40" s="8" t="s">
        <v>532</v>
      </c>
      <c r="C40" s="5" t="s">
        <v>533</v>
      </c>
      <c r="D40" s="5" t="s">
        <v>534</v>
      </c>
      <c r="E40" s="6" t="s">
        <v>535</v>
      </c>
      <c r="F40" s="6"/>
      <c r="G40" s="6" t="s">
        <v>496</v>
      </c>
      <c r="H40" s="6" t="s">
        <v>488</v>
      </c>
      <c r="I40" s="6" t="s">
        <v>499</v>
      </c>
      <c r="J40" s="6" t="s">
        <v>500</v>
      </c>
      <c r="K40" s="6">
        <v>120.89</v>
      </c>
      <c r="L40" s="6">
        <v>30628.240000000002</v>
      </c>
      <c r="M40" s="9">
        <v>252</v>
      </c>
      <c r="N40" s="9">
        <v>94</v>
      </c>
      <c r="O40" s="5">
        <v>4.7</v>
      </c>
      <c r="P40" s="5" t="s">
        <v>536</v>
      </c>
      <c r="Q40" s="22" t="s">
        <v>536</v>
      </c>
    </row>
    <row r="41" spans="1:17" ht="16.25" customHeight="1" x14ac:dyDescent="0.2">
      <c r="A41" s="7">
        <v>39</v>
      </c>
      <c r="B41" s="8" t="s">
        <v>283</v>
      </c>
      <c r="C41" s="5" t="s">
        <v>284</v>
      </c>
      <c r="D41" s="5" t="s">
        <v>33</v>
      </c>
      <c r="E41" s="6" t="s">
        <v>210</v>
      </c>
      <c r="F41" s="6"/>
      <c r="G41" s="6" t="s">
        <v>487</v>
      </c>
      <c r="H41" s="6" t="s">
        <v>488</v>
      </c>
      <c r="I41" s="6" t="s">
        <v>495</v>
      </c>
      <c r="J41" s="6" t="s">
        <v>501</v>
      </c>
      <c r="K41" s="6">
        <v>59.99</v>
      </c>
      <c r="L41" s="6">
        <v>30537.74</v>
      </c>
      <c r="M41" s="9">
        <v>543</v>
      </c>
      <c r="N41" s="9">
        <v>57</v>
      </c>
      <c r="O41" s="5">
        <v>4.8</v>
      </c>
      <c r="P41" s="5" t="s">
        <v>285</v>
      </c>
      <c r="Q41" s="22" t="s">
        <v>285</v>
      </c>
    </row>
    <row r="42" spans="1:17" ht="16.25" customHeight="1" x14ac:dyDescent="0.2">
      <c r="A42" s="7">
        <v>40</v>
      </c>
      <c r="B42" s="8" t="s">
        <v>96</v>
      </c>
      <c r="C42" s="5" t="s">
        <v>97</v>
      </c>
      <c r="D42" s="5" t="s">
        <v>40</v>
      </c>
      <c r="E42" s="6" t="s">
        <v>211</v>
      </c>
      <c r="F42" s="6"/>
      <c r="G42" s="6" t="s">
        <v>504</v>
      </c>
      <c r="H42" s="6" t="s">
        <v>488</v>
      </c>
      <c r="I42" s="6" t="s">
        <v>489</v>
      </c>
      <c r="J42" s="6" t="s">
        <v>501</v>
      </c>
      <c r="K42" s="6">
        <v>22.43</v>
      </c>
      <c r="L42" s="6">
        <v>30076.21</v>
      </c>
      <c r="M42" s="9">
        <v>1350</v>
      </c>
      <c r="N42" s="9">
        <v>2034</v>
      </c>
      <c r="O42" s="5">
        <v>4.4000000000000004</v>
      </c>
      <c r="P42" s="5" t="s">
        <v>98</v>
      </c>
      <c r="Q42" s="22" t="s">
        <v>98</v>
      </c>
    </row>
    <row r="43" spans="1:17" ht="16.25" customHeight="1" x14ac:dyDescent="0.2">
      <c r="A43" s="7">
        <v>41</v>
      </c>
      <c r="B43" s="8" t="s">
        <v>537</v>
      </c>
      <c r="C43" s="5" t="s">
        <v>538</v>
      </c>
      <c r="D43" s="5" t="s">
        <v>539</v>
      </c>
      <c r="E43" s="6" t="s">
        <v>219</v>
      </c>
      <c r="F43" s="6" t="s">
        <v>485</v>
      </c>
      <c r="G43" s="6" t="s">
        <v>504</v>
      </c>
      <c r="H43" s="6" t="s">
        <v>511</v>
      </c>
      <c r="I43" s="6" t="s">
        <v>489</v>
      </c>
      <c r="J43" s="6" t="s">
        <v>540</v>
      </c>
      <c r="K43" s="6">
        <v>99.99</v>
      </c>
      <c r="L43" s="6">
        <v>29718.51</v>
      </c>
      <c r="M43" s="9">
        <v>363</v>
      </c>
      <c r="N43" s="9">
        <v>76</v>
      </c>
      <c r="O43" s="5">
        <v>4.4000000000000004</v>
      </c>
      <c r="P43" s="5" t="s">
        <v>541</v>
      </c>
      <c r="Q43" s="22" t="s">
        <v>541</v>
      </c>
    </row>
    <row r="44" spans="1:17" ht="16.25" customHeight="1" x14ac:dyDescent="0.2">
      <c r="A44" s="7">
        <v>42</v>
      </c>
      <c r="B44" s="8" t="s">
        <v>542</v>
      </c>
      <c r="C44" s="5" t="s">
        <v>543</v>
      </c>
      <c r="D44" s="5" t="s">
        <v>520</v>
      </c>
      <c r="E44" s="6" t="s">
        <v>219</v>
      </c>
      <c r="F44" s="6" t="s">
        <v>485</v>
      </c>
      <c r="G44" s="6" t="s">
        <v>496</v>
      </c>
      <c r="H44" s="6" t="s">
        <v>544</v>
      </c>
      <c r="I44" s="6" t="s">
        <v>489</v>
      </c>
      <c r="J44" s="6" t="s">
        <v>490</v>
      </c>
      <c r="K44" s="6">
        <v>84.89</v>
      </c>
      <c r="L44" s="6">
        <v>28620.75</v>
      </c>
      <c r="M44" s="9">
        <v>298</v>
      </c>
      <c r="N44" s="9">
        <v>437</v>
      </c>
      <c r="O44" s="5">
        <v>4.5999999999999996</v>
      </c>
      <c r="P44" s="5" t="s">
        <v>545</v>
      </c>
      <c r="Q44" s="22" t="s">
        <v>545</v>
      </c>
    </row>
    <row r="45" spans="1:17" ht="16.25" customHeight="1" x14ac:dyDescent="0.2">
      <c r="A45" s="7">
        <v>43</v>
      </c>
      <c r="B45" s="8" t="s">
        <v>286</v>
      </c>
      <c r="C45" s="5" t="s">
        <v>287</v>
      </c>
      <c r="D45" s="5" t="s">
        <v>288</v>
      </c>
      <c r="E45" s="6" t="s">
        <v>210</v>
      </c>
      <c r="F45" s="6" t="s">
        <v>503</v>
      </c>
      <c r="G45" s="6" t="s">
        <v>487</v>
      </c>
      <c r="H45" s="6" t="s">
        <v>488</v>
      </c>
      <c r="I45" s="6" t="s">
        <v>495</v>
      </c>
      <c r="J45" s="6" t="s">
        <v>501</v>
      </c>
      <c r="K45" s="6">
        <v>39.99</v>
      </c>
      <c r="L45" s="6">
        <v>27920.55</v>
      </c>
      <c r="M45" s="9">
        <v>794</v>
      </c>
      <c r="N45" s="9">
        <v>694</v>
      </c>
      <c r="O45" s="5">
        <v>4.7</v>
      </c>
      <c r="P45" s="5" t="s">
        <v>289</v>
      </c>
      <c r="Q45" s="22" t="s">
        <v>289</v>
      </c>
    </row>
    <row r="46" spans="1:17" ht="16.25" customHeight="1" x14ac:dyDescent="0.2">
      <c r="A46" s="7">
        <v>44</v>
      </c>
      <c r="B46" s="8" t="s">
        <v>546</v>
      </c>
      <c r="C46" s="5" t="s">
        <v>547</v>
      </c>
      <c r="D46" s="5" t="s">
        <v>548</v>
      </c>
      <c r="E46" s="6" t="s">
        <v>219</v>
      </c>
      <c r="F46" s="6" t="s">
        <v>491</v>
      </c>
      <c r="G46" s="6" t="s">
        <v>496</v>
      </c>
      <c r="H46" s="6" t="s">
        <v>502</v>
      </c>
      <c r="I46" s="6" t="s">
        <v>495</v>
      </c>
      <c r="J46" s="6" t="s">
        <v>490</v>
      </c>
      <c r="K46" s="6">
        <v>299.99</v>
      </c>
      <c r="L46" s="6">
        <v>27060.04</v>
      </c>
      <c r="M46" s="9">
        <v>95</v>
      </c>
      <c r="N46" s="9">
        <v>60</v>
      </c>
      <c r="O46" s="5">
        <v>4.4000000000000004</v>
      </c>
      <c r="P46" s="5" t="s">
        <v>549</v>
      </c>
      <c r="Q46" s="22" t="s">
        <v>549</v>
      </c>
    </row>
    <row r="47" spans="1:17" ht="16.25" customHeight="1" x14ac:dyDescent="0.2">
      <c r="A47" s="7">
        <v>45</v>
      </c>
      <c r="B47" s="8" t="s">
        <v>81</v>
      </c>
      <c r="C47" s="5" t="s">
        <v>290</v>
      </c>
      <c r="D47" s="5" t="s">
        <v>82</v>
      </c>
      <c r="E47" s="6" t="s">
        <v>211</v>
      </c>
      <c r="F47" s="6"/>
      <c r="G47" s="6" t="s">
        <v>504</v>
      </c>
      <c r="H47" s="6" t="s">
        <v>488</v>
      </c>
      <c r="I47" s="6" t="s">
        <v>489</v>
      </c>
      <c r="J47" s="6" t="s">
        <v>501</v>
      </c>
      <c r="K47" s="6">
        <v>25.99</v>
      </c>
      <c r="L47" s="6">
        <v>26488.62</v>
      </c>
      <c r="M47" s="9">
        <v>1020</v>
      </c>
      <c r="N47" s="9">
        <v>831</v>
      </c>
      <c r="O47" s="5">
        <v>4.3</v>
      </c>
      <c r="P47" s="5" t="s">
        <v>83</v>
      </c>
      <c r="Q47" s="22" t="s">
        <v>83</v>
      </c>
    </row>
    <row r="48" spans="1:17" ht="16.25" customHeight="1" x14ac:dyDescent="0.2">
      <c r="A48" s="7">
        <v>46</v>
      </c>
      <c r="B48" s="8" t="s">
        <v>173</v>
      </c>
      <c r="C48" s="5" t="s">
        <v>172</v>
      </c>
      <c r="D48" s="5" t="s">
        <v>33</v>
      </c>
      <c r="E48" s="6" t="s">
        <v>209</v>
      </c>
      <c r="F48" s="6"/>
      <c r="G48" s="6" t="s">
        <v>487</v>
      </c>
      <c r="H48" s="6" t="s">
        <v>488</v>
      </c>
      <c r="I48" s="6" t="s">
        <v>495</v>
      </c>
      <c r="J48" s="6" t="s">
        <v>500</v>
      </c>
      <c r="K48" s="6">
        <v>99.99</v>
      </c>
      <c r="L48" s="6">
        <v>25378.47</v>
      </c>
      <c r="M48" s="9">
        <v>286</v>
      </c>
      <c r="N48" s="9">
        <v>106</v>
      </c>
      <c r="O48" s="5">
        <v>4.4000000000000004</v>
      </c>
      <c r="P48" s="5" t="s">
        <v>174</v>
      </c>
      <c r="Q48" s="22" t="s">
        <v>174</v>
      </c>
    </row>
    <row r="49" spans="1:17" ht="16.25" customHeight="1" x14ac:dyDescent="0.2">
      <c r="A49" s="7">
        <v>47</v>
      </c>
      <c r="B49" s="8" t="s">
        <v>550</v>
      </c>
      <c r="C49" s="5" t="s">
        <v>551</v>
      </c>
      <c r="D49" s="5" t="s">
        <v>529</v>
      </c>
      <c r="E49" s="6" t="s">
        <v>210</v>
      </c>
      <c r="F49" s="6"/>
      <c r="G49" s="6" t="s">
        <v>487</v>
      </c>
      <c r="H49" s="6" t="s">
        <v>497</v>
      </c>
      <c r="I49" s="6" t="s">
        <v>495</v>
      </c>
      <c r="J49" s="6" t="s">
        <v>530</v>
      </c>
      <c r="K49" s="6">
        <v>169.99</v>
      </c>
      <c r="L49" s="6">
        <v>25252.58</v>
      </c>
      <c r="M49" s="9">
        <v>149</v>
      </c>
      <c r="N49" s="9">
        <v>100</v>
      </c>
      <c r="O49" s="5">
        <v>4.4000000000000004</v>
      </c>
      <c r="P49" s="5" t="s">
        <v>552</v>
      </c>
      <c r="Q49" s="22" t="s">
        <v>552</v>
      </c>
    </row>
    <row r="50" spans="1:17" ht="16.25" customHeight="1" x14ac:dyDescent="0.2">
      <c r="A50" s="7" t="s">
        <v>507</v>
      </c>
      <c r="B50" s="8" t="s">
        <v>553</v>
      </c>
      <c r="C50" s="5" t="s">
        <v>554</v>
      </c>
      <c r="D50" s="5" t="s">
        <v>548</v>
      </c>
      <c r="E50" s="6"/>
      <c r="F50" s="6"/>
      <c r="G50" s="6"/>
      <c r="H50" s="6"/>
      <c r="I50" s="6"/>
      <c r="J50" s="6"/>
      <c r="K50" s="6">
        <v>265.98</v>
      </c>
      <c r="L50" s="6">
        <v>24957.45</v>
      </c>
      <c r="M50" s="9">
        <v>86</v>
      </c>
      <c r="N50" s="9">
        <v>526</v>
      </c>
      <c r="O50" s="5">
        <v>4.3</v>
      </c>
      <c r="P50" s="5" t="s">
        <v>555</v>
      </c>
      <c r="Q50" s="22" t="s">
        <v>555</v>
      </c>
    </row>
    <row r="51" spans="1:17" ht="16.25" customHeight="1" x14ac:dyDescent="0.2">
      <c r="A51" s="7" t="s">
        <v>507</v>
      </c>
      <c r="B51" s="8" t="s">
        <v>335</v>
      </c>
      <c r="C51" s="5" t="s">
        <v>334</v>
      </c>
      <c r="D51" s="5" t="s">
        <v>34</v>
      </c>
      <c r="E51" s="6"/>
      <c r="F51" s="6"/>
      <c r="G51" s="6"/>
      <c r="H51" s="6"/>
      <c r="I51" s="6"/>
      <c r="J51" s="6"/>
      <c r="K51" s="6">
        <v>139.99</v>
      </c>
      <c r="L51" s="6">
        <v>24438.31</v>
      </c>
      <c r="M51" s="9">
        <v>178</v>
      </c>
      <c r="N51" s="9">
        <v>84</v>
      </c>
      <c r="O51" s="5">
        <v>4.7</v>
      </c>
      <c r="P51" s="5" t="s">
        <v>336</v>
      </c>
      <c r="Q51" s="22" t="s">
        <v>336</v>
      </c>
    </row>
    <row r="52" spans="1:17" ht="16.25" customHeight="1" x14ac:dyDescent="0.2">
      <c r="A52" s="7" t="s">
        <v>507</v>
      </c>
      <c r="B52" s="8" t="s">
        <v>107</v>
      </c>
      <c r="C52" s="5" t="s">
        <v>108</v>
      </c>
      <c r="D52" s="5" t="s">
        <v>33</v>
      </c>
      <c r="E52" s="6"/>
      <c r="F52" s="6"/>
      <c r="G52" s="6"/>
      <c r="H52" s="6"/>
      <c r="I52" s="6"/>
      <c r="J52" s="6"/>
      <c r="K52" s="6">
        <v>139.99</v>
      </c>
      <c r="L52" s="6">
        <v>24226.12</v>
      </c>
      <c r="M52" s="9">
        <v>173</v>
      </c>
      <c r="N52" s="9">
        <v>3542</v>
      </c>
      <c r="O52" s="5">
        <v>4.5999999999999996</v>
      </c>
      <c r="P52" s="5" t="s">
        <v>109</v>
      </c>
      <c r="Q52" s="22" t="s">
        <v>109</v>
      </c>
    </row>
    <row r="53" spans="1:17" x14ac:dyDescent="0.2">
      <c r="E53" s="6"/>
      <c r="F53" s="6"/>
      <c r="G53" s="6"/>
      <c r="H53" s="9"/>
      <c r="I53" s="9"/>
      <c r="K53" s="16"/>
    </row>
    <row r="54" spans="1:17" x14ac:dyDescent="0.2">
      <c r="E54" s="6"/>
      <c r="F54" s="6"/>
      <c r="G54" s="6"/>
      <c r="H54" s="9"/>
      <c r="I54" s="9"/>
    </row>
    <row r="55" spans="1:17" ht="26" x14ac:dyDescent="0.25">
      <c r="A55" s="108" t="s">
        <v>31</v>
      </c>
      <c r="B55" s="108"/>
      <c r="C55" s="108"/>
      <c r="D55" s="108"/>
      <c r="E55" s="108"/>
      <c r="F55" s="108"/>
      <c r="G55" s="108"/>
      <c r="H55" s="108"/>
      <c r="I55" s="108"/>
      <c r="J55" s="108"/>
      <c r="K55" s="108"/>
      <c r="L55" s="108"/>
      <c r="M55" s="108"/>
      <c r="N55" s="108"/>
      <c r="O55" s="108"/>
      <c r="P55" s="108"/>
      <c r="Q55" s="108"/>
    </row>
    <row r="56" spans="1:17" ht="57" x14ac:dyDescent="0.2">
      <c r="A56" s="49" t="s">
        <v>24</v>
      </c>
      <c r="B56" s="50" t="s">
        <v>5</v>
      </c>
      <c r="C56" s="50" t="s">
        <v>6</v>
      </c>
      <c r="D56" s="50" t="s">
        <v>0</v>
      </c>
      <c r="E56" s="51" t="s">
        <v>208</v>
      </c>
      <c r="F56" s="51" t="s">
        <v>484</v>
      </c>
      <c r="G56" s="51" t="s">
        <v>480</v>
      </c>
      <c r="H56" s="51" t="s">
        <v>481</v>
      </c>
      <c r="I56" s="51" t="s">
        <v>483</v>
      </c>
      <c r="J56" s="51" t="s">
        <v>482</v>
      </c>
      <c r="K56" s="51" t="s">
        <v>7</v>
      </c>
      <c r="L56" s="52" t="s">
        <v>16</v>
      </c>
      <c r="M56" s="53" t="s">
        <v>15</v>
      </c>
      <c r="N56" s="54" t="s">
        <v>8</v>
      </c>
      <c r="O56" s="55" t="s">
        <v>9</v>
      </c>
      <c r="P56" s="55" t="s">
        <v>23</v>
      </c>
      <c r="Q56" s="105" t="s">
        <v>10</v>
      </c>
    </row>
    <row r="57" spans="1:17" ht="18.25" customHeight="1" x14ac:dyDescent="0.2">
      <c r="A57" s="7">
        <v>1</v>
      </c>
      <c r="B57" s="5" t="s">
        <v>41</v>
      </c>
      <c r="C57" s="10" t="s">
        <v>42</v>
      </c>
      <c r="D57" s="11" t="s">
        <v>33</v>
      </c>
      <c r="E57" s="6" t="s">
        <v>219</v>
      </c>
      <c r="F57" s="6" t="s">
        <v>485</v>
      </c>
      <c r="G57" s="6" t="s">
        <v>486</v>
      </c>
      <c r="H57" s="6" t="s">
        <v>488</v>
      </c>
      <c r="I57" s="6" t="s">
        <v>489</v>
      </c>
      <c r="J57" s="6" t="s">
        <v>490</v>
      </c>
      <c r="K57" s="6">
        <v>129.99</v>
      </c>
      <c r="L57" s="6">
        <v>699032.88</v>
      </c>
      <c r="M57" s="9">
        <v>5378</v>
      </c>
      <c r="N57" s="9">
        <v>1078</v>
      </c>
      <c r="O57" s="5">
        <v>4.7</v>
      </c>
      <c r="P57" s="5" t="s">
        <v>43</v>
      </c>
      <c r="Q57" s="22" t="s">
        <v>43</v>
      </c>
    </row>
    <row r="58" spans="1:17" ht="18.25" customHeight="1" x14ac:dyDescent="0.2">
      <c r="A58" s="7">
        <v>2</v>
      </c>
      <c r="B58" s="5" t="s">
        <v>119</v>
      </c>
      <c r="C58" s="10" t="s">
        <v>221</v>
      </c>
      <c r="D58" s="11" t="s">
        <v>116</v>
      </c>
      <c r="E58" s="6" t="s">
        <v>211</v>
      </c>
      <c r="F58" s="6"/>
      <c r="G58" s="6" t="s">
        <v>504</v>
      </c>
      <c r="H58" s="6" t="s">
        <v>488</v>
      </c>
      <c r="I58" s="6" t="s">
        <v>495</v>
      </c>
      <c r="J58" s="6" t="s">
        <v>501</v>
      </c>
      <c r="K58" s="6">
        <v>42.99</v>
      </c>
      <c r="L58" s="6">
        <v>180193.2</v>
      </c>
      <c r="M58" s="9">
        <v>4708</v>
      </c>
      <c r="N58" s="9">
        <v>5288</v>
      </c>
      <c r="O58" s="5">
        <v>4.4000000000000004</v>
      </c>
      <c r="P58" s="5" t="s">
        <v>120</v>
      </c>
      <c r="Q58" s="22" t="s">
        <v>120</v>
      </c>
    </row>
    <row r="59" spans="1:17" ht="18.25" customHeight="1" x14ac:dyDescent="0.2">
      <c r="A59" s="7">
        <v>3</v>
      </c>
      <c r="B59" s="5" t="s">
        <v>253</v>
      </c>
      <c r="C59" s="10" t="s">
        <v>254</v>
      </c>
      <c r="D59" s="11" t="s">
        <v>255</v>
      </c>
      <c r="E59" s="6" t="s">
        <v>211</v>
      </c>
      <c r="F59" s="6"/>
      <c r="G59" s="6" t="s">
        <v>504</v>
      </c>
      <c r="H59" s="6" t="s">
        <v>488</v>
      </c>
      <c r="I59" s="6" t="s">
        <v>495</v>
      </c>
      <c r="J59" s="6" t="s">
        <v>501</v>
      </c>
      <c r="K59" s="6">
        <v>22.99</v>
      </c>
      <c r="L59" s="6">
        <v>50110.879999999997</v>
      </c>
      <c r="M59" s="9">
        <v>2575</v>
      </c>
      <c r="N59" s="9">
        <v>137</v>
      </c>
      <c r="O59" s="5">
        <v>4.3</v>
      </c>
      <c r="P59" s="5" t="s">
        <v>256</v>
      </c>
      <c r="Q59" s="22" t="s">
        <v>256</v>
      </c>
    </row>
    <row r="60" spans="1:17" ht="18.25" customHeight="1" x14ac:dyDescent="0.2">
      <c r="A60" s="7">
        <v>4</v>
      </c>
      <c r="B60" s="5" t="s">
        <v>231</v>
      </c>
      <c r="C60" s="10" t="s">
        <v>232</v>
      </c>
      <c r="D60" s="11" t="s">
        <v>103</v>
      </c>
      <c r="E60" s="6" t="s">
        <v>211</v>
      </c>
      <c r="F60" s="6"/>
      <c r="G60" s="6" t="s">
        <v>504</v>
      </c>
      <c r="H60" s="6" t="s">
        <v>488</v>
      </c>
      <c r="I60" s="6" t="s">
        <v>495</v>
      </c>
      <c r="J60" s="6" t="s">
        <v>501</v>
      </c>
      <c r="K60" s="6">
        <v>35.99</v>
      </c>
      <c r="L60" s="6">
        <v>87777.71</v>
      </c>
      <c r="M60" s="9">
        <v>2507</v>
      </c>
      <c r="N60" s="9">
        <v>1085</v>
      </c>
      <c r="O60" s="5">
        <v>4.3</v>
      </c>
      <c r="P60" s="5" t="s">
        <v>233</v>
      </c>
      <c r="Q60" s="22" t="s">
        <v>233</v>
      </c>
    </row>
    <row r="61" spans="1:17" ht="18.25" customHeight="1" x14ac:dyDescent="0.2">
      <c r="A61" s="7">
        <v>5</v>
      </c>
      <c r="B61" s="5" t="s">
        <v>241</v>
      </c>
      <c r="C61" s="10" t="s">
        <v>242</v>
      </c>
      <c r="D61" s="11" t="s">
        <v>243</v>
      </c>
      <c r="E61" s="6" t="s">
        <v>210</v>
      </c>
      <c r="F61" s="6" t="s">
        <v>503</v>
      </c>
      <c r="G61" s="6" t="s">
        <v>487</v>
      </c>
      <c r="H61" s="6" t="s">
        <v>488</v>
      </c>
      <c r="I61" s="6" t="s">
        <v>489</v>
      </c>
      <c r="J61" s="6" t="s">
        <v>501</v>
      </c>
      <c r="K61" s="6">
        <v>28.49</v>
      </c>
      <c r="L61" s="6">
        <v>69483.37</v>
      </c>
      <c r="M61" s="9">
        <v>2390</v>
      </c>
      <c r="N61" s="9">
        <v>233</v>
      </c>
      <c r="O61" s="5">
        <v>4.5</v>
      </c>
      <c r="P61" s="5" t="s">
        <v>244</v>
      </c>
      <c r="Q61" s="22" t="s">
        <v>244</v>
      </c>
    </row>
    <row r="62" spans="1:17" ht="18.25" customHeight="1" x14ac:dyDescent="0.2">
      <c r="A62" s="7">
        <v>6</v>
      </c>
      <c r="B62" s="5" t="s">
        <v>117</v>
      </c>
      <c r="C62" s="10" t="s">
        <v>245</v>
      </c>
      <c r="D62" s="11" t="s">
        <v>116</v>
      </c>
      <c r="E62" s="6" t="s">
        <v>211</v>
      </c>
      <c r="F62" s="6"/>
      <c r="G62" s="6" t="s">
        <v>504</v>
      </c>
      <c r="H62" s="6" t="s">
        <v>488</v>
      </c>
      <c r="I62" s="6" t="s">
        <v>489</v>
      </c>
      <c r="J62" s="6" t="s">
        <v>501</v>
      </c>
      <c r="K62" s="6">
        <v>23.99</v>
      </c>
      <c r="L62" s="6">
        <v>62751.69</v>
      </c>
      <c r="M62" s="9">
        <v>2273</v>
      </c>
      <c r="N62" s="9">
        <v>5278</v>
      </c>
      <c r="O62" s="5">
        <v>4.4000000000000004</v>
      </c>
      <c r="P62" s="5" t="s">
        <v>118</v>
      </c>
      <c r="Q62" s="22" t="s">
        <v>118</v>
      </c>
    </row>
    <row r="63" spans="1:17" ht="18.25" customHeight="1" x14ac:dyDescent="0.2">
      <c r="A63" s="7">
        <v>7</v>
      </c>
      <c r="B63" s="5" t="s">
        <v>44</v>
      </c>
      <c r="C63" s="10" t="s">
        <v>220</v>
      </c>
      <c r="D63" s="11" t="s">
        <v>35</v>
      </c>
      <c r="E63" s="6" t="s">
        <v>219</v>
      </c>
      <c r="F63" s="6" t="s">
        <v>485</v>
      </c>
      <c r="G63" s="6" t="s">
        <v>487</v>
      </c>
      <c r="H63" s="6" t="s">
        <v>492</v>
      </c>
      <c r="I63" s="6" t="s">
        <v>489</v>
      </c>
      <c r="J63" s="6" t="s">
        <v>493</v>
      </c>
      <c r="K63" s="6">
        <v>139.38999999999999</v>
      </c>
      <c r="L63" s="6">
        <v>300981.94</v>
      </c>
      <c r="M63" s="9">
        <v>2210</v>
      </c>
      <c r="N63" s="9">
        <v>1468</v>
      </c>
      <c r="O63" s="5">
        <v>4.5999999999999996</v>
      </c>
      <c r="P63" s="5" t="s">
        <v>45</v>
      </c>
      <c r="Q63" s="22" t="s">
        <v>45</v>
      </c>
    </row>
    <row r="64" spans="1:17" ht="18.25" customHeight="1" x14ac:dyDescent="0.2">
      <c r="A64" s="7">
        <v>8</v>
      </c>
      <c r="B64" s="5" t="s">
        <v>65</v>
      </c>
      <c r="C64" s="10" t="s">
        <v>240</v>
      </c>
      <c r="D64" s="11" t="s">
        <v>36</v>
      </c>
      <c r="E64" s="6" t="s">
        <v>209</v>
      </c>
      <c r="F64" s="6" t="s">
        <v>503</v>
      </c>
      <c r="G64" s="6" t="s">
        <v>487</v>
      </c>
      <c r="H64" s="6" t="s">
        <v>488</v>
      </c>
      <c r="I64" s="6" t="s">
        <v>489</v>
      </c>
      <c r="J64" s="6" t="s">
        <v>501</v>
      </c>
      <c r="K64" s="6">
        <v>39.99</v>
      </c>
      <c r="L64" s="6">
        <v>72545.94</v>
      </c>
      <c r="M64" s="9">
        <v>2107</v>
      </c>
      <c r="N64" s="9">
        <v>1810</v>
      </c>
      <c r="O64" s="5">
        <v>4.4000000000000004</v>
      </c>
      <c r="P64" s="5" t="s">
        <v>66</v>
      </c>
      <c r="Q64" s="22" t="s">
        <v>66</v>
      </c>
    </row>
    <row r="65" spans="1:17" ht="18.25" customHeight="1" x14ac:dyDescent="0.2">
      <c r="A65" s="7">
        <v>9</v>
      </c>
      <c r="B65" s="5" t="s">
        <v>73</v>
      </c>
      <c r="C65" s="10" t="s">
        <v>74</v>
      </c>
      <c r="D65" s="11" t="s">
        <v>39</v>
      </c>
      <c r="E65" s="6" t="s">
        <v>211</v>
      </c>
      <c r="F65" s="6"/>
      <c r="G65" s="6" t="s">
        <v>504</v>
      </c>
      <c r="H65" s="6" t="s">
        <v>488</v>
      </c>
      <c r="I65" s="6" t="s">
        <v>495</v>
      </c>
      <c r="J65" s="6" t="s">
        <v>501</v>
      </c>
      <c r="K65" s="6">
        <v>35.99</v>
      </c>
      <c r="L65" s="6">
        <v>56990.09</v>
      </c>
      <c r="M65" s="9">
        <v>2048</v>
      </c>
      <c r="N65" s="9">
        <v>1132</v>
      </c>
      <c r="O65" s="5">
        <v>4.4000000000000004</v>
      </c>
      <c r="P65" s="5" t="s">
        <v>75</v>
      </c>
      <c r="Q65" s="22" t="s">
        <v>75</v>
      </c>
    </row>
    <row r="66" spans="1:17" ht="18.25" customHeight="1" x14ac:dyDescent="0.2">
      <c r="A66" s="7">
        <v>10</v>
      </c>
      <c r="B66" s="5" t="s">
        <v>53</v>
      </c>
      <c r="C66" s="10" t="s">
        <v>54</v>
      </c>
      <c r="D66" s="11" t="s">
        <v>37</v>
      </c>
      <c r="E66" s="6" t="s">
        <v>209</v>
      </c>
      <c r="F66" s="6" t="s">
        <v>503</v>
      </c>
      <c r="G66" s="6" t="s">
        <v>487</v>
      </c>
      <c r="H66" s="6" t="s">
        <v>488</v>
      </c>
      <c r="I66" s="6" t="s">
        <v>489</v>
      </c>
      <c r="J66" s="6" t="s">
        <v>501</v>
      </c>
      <c r="K66" s="6">
        <v>37.950000000000003</v>
      </c>
      <c r="L66" s="6">
        <v>64529.13</v>
      </c>
      <c r="M66" s="9">
        <v>1956</v>
      </c>
      <c r="N66" s="9">
        <v>1082</v>
      </c>
      <c r="O66" s="5">
        <v>4.5</v>
      </c>
      <c r="P66" s="5" t="s">
        <v>55</v>
      </c>
      <c r="Q66" s="22" t="s">
        <v>55</v>
      </c>
    </row>
    <row r="67" spans="1:17" ht="18.25" customHeight="1" x14ac:dyDescent="0.2">
      <c r="A67" s="7">
        <v>11</v>
      </c>
      <c r="B67" s="5" t="s">
        <v>56</v>
      </c>
      <c r="C67" s="10" t="s">
        <v>249</v>
      </c>
      <c r="D67" s="11" t="s">
        <v>36</v>
      </c>
      <c r="E67" s="6" t="s">
        <v>210</v>
      </c>
      <c r="F67" s="6" t="s">
        <v>503</v>
      </c>
      <c r="G67" s="6" t="s">
        <v>487</v>
      </c>
      <c r="H67" s="6" t="s">
        <v>488</v>
      </c>
      <c r="I67" s="6" t="s">
        <v>489</v>
      </c>
      <c r="J67" s="6" t="s">
        <v>501</v>
      </c>
      <c r="K67" s="6">
        <v>32.979999999999997</v>
      </c>
      <c r="L67" s="6">
        <v>57070.35</v>
      </c>
      <c r="M67" s="9">
        <v>1595</v>
      </c>
      <c r="N67" s="9">
        <v>3741</v>
      </c>
      <c r="O67" s="5">
        <v>4.4000000000000004</v>
      </c>
      <c r="P67" s="5" t="s">
        <v>57</v>
      </c>
      <c r="Q67" s="22" t="s">
        <v>57</v>
      </c>
    </row>
    <row r="68" spans="1:17" ht="18.25" customHeight="1" x14ac:dyDescent="0.2">
      <c r="A68" s="7">
        <v>12</v>
      </c>
      <c r="B68" s="5" t="s">
        <v>46</v>
      </c>
      <c r="C68" s="10" t="s">
        <v>230</v>
      </c>
      <c r="D68" s="11" t="s">
        <v>34</v>
      </c>
      <c r="E68" s="6" t="s">
        <v>210</v>
      </c>
      <c r="F68" s="6"/>
      <c r="G68" s="6" t="s">
        <v>487</v>
      </c>
      <c r="H68" s="6" t="s">
        <v>488</v>
      </c>
      <c r="I68" s="6" t="s">
        <v>495</v>
      </c>
      <c r="J68" s="6" t="s">
        <v>501</v>
      </c>
      <c r="K68" s="6">
        <v>69.989999999999995</v>
      </c>
      <c r="L68" s="6">
        <v>99914.55</v>
      </c>
      <c r="M68" s="9">
        <v>1428</v>
      </c>
      <c r="N68" s="9">
        <v>6721</v>
      </c>
      <c r="O68" s="5">
        <v>4.5</v>
      </c>
      <c r="P68" s="5" t="s">
        <v>47</v>
      </c>
      <c r="Q68" s="22" t="s">
        <v>47</v>
      </c>
    </row>
    <row r="69" spans="1:17" ht="18.25" customHeight="1" x14ac:dyDescent="0.2">
      <c r="A69" s="7">
        <v>13</v>
      </c>
      <c r="B69" s="5" t="s">
        <v>96</v>
      </c>
      <c r="C69" s="10" t="s">
        <v>97</v>
      </c>
      <c r="D69" s="11" t="s">
        <v>40</v>
      </c>
      <c r="E69" s="6" t="s">
        <v>211</v>
      </c>
      <c r="F69" s="6"/>
      <c r="G69" s="6" t="s">
        <v>504</v>
      </c>
      <c r="H69" s="6" t="s">
        <v>488</v>
      </c>
      <c r="I69" s="6" t="s">
        <v>489</v>
      </c>
      <c r="J69" s="6" t="s">
        <v>501</v>
      </c>
      <c r="K69" s="6">
        <v>22.43</v>
      </c>
      <c r="L69" s="6">
        <v>30076.21</v>
      </c>
      <c r="M69" s="9">
        <v>1350</v>
      </c>
      <c r="N69" s="9">
        <v>2034</v>
      </c>
      <c r="O69" s="5">
        <v>4.4000000000000004</v>
      </c>
      <c r="P69" s="5" t="s">
        <v>98</v>
      </c>
      <c r="Q69" s="22" t="s">
        <v>98</v>
      </c>
    </row>
    <row r="70" spans="1:17" ht="18.25" customHeight="1" x14ac:dyDescent="0.2">
      <c r="A70" s="7">
        <v>14</v>
      </c>
      <c r="B70" s="5" t="s">
        <v>277</v>
      </c>
      <c r="C70" s="10" t="s">
        <v>278</v>
      </c>
      <c r="D70" s="11" t="s">
        <v>33</v>
      </c>
      <c r="E70" s="6" t="s">
        <v>211</v>
      </c>
      <c r="F70" s="6"/>
      <c r="G70" s="6" t="s">
        <v>504</v>
      </c>
      <c r="H70" s="6" t="s">
        <v>488</v>
      </c>
      <c r="I70" s="6" t="s">
        <v>489</v>
      </c>
      <c r="J70" s="6" t="s">
        <v>494</v>
      </c>
      <c r="K70" s="6">
        <v>29.99</v>
      </c>
      <c r="L70" s="6">
        <v>32368.85</v>
      </c>
      <c r="M70" s="9">
        <v>1080</v>
      </c>
      <c r="N70" s="9">
        <v>911</v>
      </c>
      <c r="O70" s="5">
        <v>4.4000000000000004</v>
      </c>
      <c r="P70" s="5" t="s">
        <v>279</v>
      </c>
      <c r="Q70" s="22" t="s">
        <v>279</v>
      </c>
    </row>
    <row r="71" spans="1:17" ht="18.25" customHeight="1" x14ac:dyDescent="0.2">
      <c r="A71" s="7">
        <v>15</v>
      </c>
      <c r="B71" s="5" t="s">
        <v>48</v>
      </c>
      <c r="C71" s="10" t="s">
        <v>228</v>
      </c>
      <c r="D71" s="11" t="s">
        <v>34</v>
      </c>
      <c r="E71" s="6" t="s">
        <v>210</v>
      </c>
      <c r="F71" s="6"/>
      <c r="G71" s="6" t="s">
        <v>496</v>
      </c>
      <c r="H71" s="6" t="s">
        <v>488</v>
      </c>
      <c r="I71" s="6" t="s">
        <v>499</v>
      </c>
      <c r="J71" s="6" t="s">
        <v>500</v>
      </c>
      <c r="K71" s="6">
        <v>129.99</v>
      </c>
      <c r="L71" s="6">
        <v>125621.04</v>
      </c>
      <c r="M71" s="9">
        <v>1058</v>
      </c>
      <c r="N71" s="9">
        <v>1394</v>
      </c>
      <c r="O71" s="5">
        <v>4.3</v>
      </c>
      <c r="P71" s="5" t="s">
        <v>49</v>
      </c>
      <c r="Q71" s="22" t="s">
        <v>49</v>
      </c>
    </row>
    <row r="72" spans="1:17" ht="18.25" customHeight="1" x14ac:dyDescent="0.2">
      <c r="A72" s="7">
        <v>16</v>
      </c>
      <c r="B72" s="5" t="s">
        <v>81</v>
      </c>
      <c r="C72" s="10" t="s">
        <v>290</v>
      </c>
      <c r="D72" s="11" t="s">
        <v>82</v>
      </c>
      <c r="E72" s="6" t="s">
        <v>211</v>
      </c>
      <c r="F72" s="6"/>
      <c r="G72" s="6" t="s">
        <v>504</v>
      </c>
      <c r="H72" s="6" t="s">
        <v>488</v>
      </c>
      <c r="I72" s="6" t="s">
        <v>489</v>
      </c>
      <c r="J72" s="6" t="s">
        <v>501</v>
      </c>
      <c r="K72" s="6">
        <v>25.99</v>
      </c>
      <c r="L72" s="6">
        <v>26488.62</v>
      </c>
      <c r="M72" s="9">
        <v>1020</v>
      </c>
      <c r="N72" s="9">
        <v>831</v>
      </c>
      <c r="O72" s="5">
        <v>4.3</v>
      </c>
      <c r="P72" s="5" t="s">
        <v>83</v>
      </c>
      <c r="Q72" s="22" t="s">
        <v>83</v>
      </c>
    </row>
    <row r="73" spans="1:17" ht="18.25" customHeight="1" x14ac:dyDescent="0.2">
      <c r="A73" s="7">
        <v>17</v>
      </c>
      <c r="B73" s="5" t="s">
        <v>222</v>
      </c>
      <c r="C73" s="10" t="s">
        <v>223</v>
      </c>
      <c r="D73" s="11" t="s">
        <v>33</v>
      </c>
      <c r="E73" s="6" t="s">
        <v>219</v>
      </c>
      <c r="F73" s="6" t="s">
        <v>485</v>
      </c>
      <c r="G73" s="6" t="s">
        <v>496</v>
      </c>
      <c r="H73" s="6" t="s">
        <v>497</v>
      </c>
      <c r="I73" s="6" t="s">
        <v>489</v>
      </c>
      <c r="J73" s="6" t="s">
        <v>490</v>
      </c>
      <c r="K73" s="6">
        <v>106.39</v>
      </c>
      <c r="L73" s="6">
        <v>128609.35</v>
      </c>
      <c r="M73" s="9">
        <v>924</v>
      </c>
      <c r="N73" s="9">
        <v>177</v>
      </c>
      <c r="O73" s="5">
        <v>4.5999999999999996</v>
      </c>
      <c r="P73" s="5" t="s">
        <v>224</v>
      </c>
      <c r="Q73" s="22" t="s">
        <v>224</v>
      </c>
    </row>
    <row r="74" spans="1:17" ht="18.25" customHeight="1" x14ac:dyDescent="0.2">
      <c r="A74" s="7">
        <v>18</v>
      </c>
      <c r="B74" s="5" t="s">
        <v>143</v>
      </c>
      <c r="C74" s="10" t="s">
        <v>276</v>
      </c>
      <c r="D74" s="11" t="s">
        <v>116</v>
      </c>
      <c r="E74" s="6" t="s">
        <v>211</v>
      </c>
      <c r="F74" s="6"/>
      <c r="G74" s="6" t="s">
        <v>504</v>
      </c>
      <c r="H74" s="6" t="s">
        <v>488</v>
      </c>
      <c r="I74" s="6" t="s">
        <v>489</v>
      </c>
      <c r="J74" s="6" t="s">
        <v>506</v>
      </c>
      <c r="K74" s="6">
        <v>40.99</v>
      </c>
      <c r="L74" s="6">
        <v>33366.730000000003</v>
      </c>
      <c r="M74" s="9">
        <v>915</v>
      </c>
      <c r="N74" s="9">
        <v>5287</v>
      </c>
      <c r="O74" s="5">
        <v>4.4000000000000004</v>
      </c>
      <c r="P74" s="5" t="s">
        <v>144</v>
      </c>
      <c r="Q74" s="22" t="s">
        <v>144</v>
      </c>
    </row>
    <row r="75" spans="1:17" ht="18.25" customHeight="1" x14ac:dyDescent="0.2">
      <c r="A75" s="7">
        <v>19</v>
      </c>
      <c r="B75" s="5" t="s">
        <v>225</v>
      </c>
      <c r="C75" s="10" t="s">
        <v>226</v>
      </c>
      <c r="D75" s="11" t="s">
        <v>35</v>
      </c>
      <c r="E75" s="6" t="s">
        <v>219</v>
      </c>
      <c r="F75" s="6" t="s">
        <v>485</v>
      </c>
      <c r="G75" s="6" t="s">
        <v>496</v>
      </c>
      <c r="H75" s="6" t="s">
        <v>488</v>
      </c>
      <c r="I75" s="6" t="s">
        <v>495</v>
      </c>
      <c r="J75" s="6" t="s">
        <v>490</v>
      </c>
      <c r="K75" s="6">
        <v>159.99</v>
      </c>
      <c r="L75" s="6">
        <v>127974.16</v>
      </c>
      <c r="M75" s="9">
        <v>910</v>
      </c>
      <c r="N75" s="9">
        <v>428</v>
      </c>
      <c r="O75" s="5">
        <v>4.5</v>
      </c>
      <c r="P75" s="5" t="s">
        <v>227</v>
      </c>
      <c r="Q75" s="22" t="s">
        <v>227</v>
      </c>
    </row>
    <row r="76" spans="1:17" ht="18.25" customHeight="1" x14ac:dyDescent="0.2">
      <c r="A76" s="7">
        <v>20</v>
      </c>
      <c r="B76" s="5" t="s">
        <v>271</v>
      </c>
      <c r="C76" s="10" t="s">
        <v>272</v>
      </c>
      <c r="D76" s="11" t="s">
        <v>273</v>
      </c>
      <c r="E76" s="6" t="s">
        <v>209</v>
      </c>
      <c r="F76" s="6" t="s">
        <v>503</v>
      </c>
      <c r="G76" s="6" t="s">
        <v>496</v>
      </c>
      <c r="H76" s="6" t="s">
        <v>488</v>
      </c>
      <c r="I76" s="6" t="s">
        <v>495</v>
      </c>
      <c r="J76" s="6" t="s">
        <v>501</v>
      </c>
      <c r="K76" s="6">
        <v>49.99</v>
      </c>
      <c r="L76" s="6">
        <v>36045.72</v>
      </c>
      <c r="M76" s="9">
        <v>899</v>
      </c>
      <c r="N76" s="9">
        <v>191</v>
      </c>
      <c r="O76" s="5">
        <v>4.5999999999999996</v>
      </c>
      <c r="P76" s="5" t="s">
        <v>274</v>
      </c>
      <c r="Q76" s="22" t="s">
        <v>274</v>
      </c>
    </row>
    <row r="77" spans="1:17" ht="18.25" customHeight="1" x14ac:dyDescent="0.2">
      <c r="A77" s="7">
        <v>21</v>
      </c>
      <c r="B77" s="5" t="s">
        <v>63</v>
      </c>
      <c r="C77" s="10" t="s">
        <v>229</v>
      </c>
      <c r="D77" s="11" t="s">
        <v>33</v>
      </c>
      <c r="E77" s="6" t="s">
        <v>219</v>
      </c>
      <c r="F77" s="6" t="s">
        <v>485</v>
      </c>
      <c r="G77" s="6" t="s">
        <v>486</v>
      </c>
      <c r="H77" s="6" t="s">
        <v>488</v>
      </c>
      <c r="I77" s="6" t="s">
        <v>495</v>
      </c>
      <c r="J77" s="6" t="s">
        <v>490</v>
      </c>
      <c r="K77" s="6">
        <v>149.99</v>
      </c>
      <c r="L77" s="6">
        <v>115523.95</v>
      </c>
      <c r="M77" s="9">
        <v>839</v>
      </c>
      <c r="N77" s="9">
        <v>318</v>
      </c>
      <c r="O77" s="5">
        <v>4.4000000000000004</v>
      </c>
      <c r="P77" s="5" t="s">
        <v>64</v>
      </c>
      <c r="Q77" s="22" t="s">
        <v>64</v>
      </c>
    </row>
    <row r="78" spans="1:17" ht="18.25" customHeight="1" x14ac:dyDescent="0.2">
      <c r="A78" s="7">
        <v>22</v>
      </c>
      <c r="B78" s="5" t="s">
        <v>151</v>
      </c>
      <c r="C78" s="10" t="s">
        <v>267</v>
      </c>
      <c r="D78" s="11" t="s">
        <v>33</v>
      </c>
      <c r="E78" s="6" t="s">
        <v>210</v>
      </c>
      <c r="F78" s="6"/>
      <c r="G78" s="6" t="s">
        <v>487</v>
      </c>
      <c r="H78" s="6" t="s">
        <v>488</v>
      </c>
      <c r="I78" s="6" t="s">
        <v>489</v>
      </c>
      <c r="J78" s="6" t="s">
        <v>501</v>
      </c>
      <c r="K78" s="6">
        <v>37.99</v>
      </c>
      <c r="L78" s="6">
        <v>39438.44</v>
      </c>
      <c r="M78" s="9">
        <v>803</v>
      </c>
      <c r="N78" s="9">
        <v>234</v>
      </c>
      <c r="O78" s="5">
        <v>4.5</v>
      </c>
      <c r="P78" s="5" t="s">
        <v>152</v>
      </c>
      <c r="Q78" s="22" t="s">
        <v>152</v>
      </c>
    </row>
    <row r="79" spans="1:17" ht="18.25" customHeight="1" x14ac:dyDescent="0.2">
      <c r="A79" s="7">
        <v>23</v>
      </c>
      <c r="B79" s="5" t="s">
        <v>286</v>
      </c>
      <c r="C79" s="10" t="s">
        <v>287</v>
      </c>
      <c r="D79" s="11" t="s">
        <v>288</v>
      </c>
      <c r="E79" s="6" t="s">
        <v>210</v>
      </c>
      <c r="F79" s="6" t="s">
        <v>503</v>
      </c>
      <c r="G79" s="6" t="s">
        <v>487</v>
      </c>
      <c r="H79" s="6" t="s">
        <v>488</v>
      </c>
      <c r="I79" s="6" t="s">
        <v>495</v>
      </c>
      <c r="J79" s="6" t="s">
        <v>501</v>
      </c>
      <c r="K79" s="6">
        <v>39.99</v>
      </c>
      <c r="L79" s="6">
        <v>27920.55</v>
      </c>
      <c r="M79" s="9">
        <v>794</v>
      </c>
      <c r="N79" s="9">
        <v>694</v>
      </c>
      <c r="O79" s="5">
        <v>4.7</v>
      </c>
      <c r="P79" s="5" t="s">
        <v>289</v>
      </c>
      <c r="Q79" s="22" t="s">
        <v>289</v>
      </c>
    </row>
    <row r="80" spans="1:17" ht="18.25" customHeight="1" x14ac:dyDescent="0.2">
      <c r="A80" s="7">
        <v>24</v>
      </c>
      <c r="B80" s="5" t="s">
        <v>291</v>
      </c>
      <c r="C80" s="10" t="s">
        <v>292</v>
      </c>
      <c r="D80" s="11" t="s">
        <v>293</v>
      </c>
      <c r="E80" s="6" t="s">
        <v>210</v>
      </c>
      <c r="F80" s="6" t="s">
        <v>503</v>
      </c>
      <c r="G80" s="6" t="s">
        <v>487</v>
      </c>
      <c r="H80" s="6" t="s">
        <v>488</v>
      </c>
      <c r="I80" s="6" t="s">
        <v>489</v>
      </c>
      <c r="J80" s="6" t="s">
        <v>501</v>
      </c>
      <c r="K80" s="6">
        <v>19.55</v>
      </c>
      <c r="L80" s="6">
        <v>15836.17</v>
      </c>
      <c r="M80" s="9">
        <v>744</v>
      </c>
      <c r="N80" s="9">
        <v>1762</v>
      </c>
      <c r="O80" s="5">
        <v>4.4000000000000004</v>
      </c>
      <c r="P80" s="5" t="s">
        <v>294</v>
      </c>
      <c r="Q80" s="22" t="s">
        <v>294</v>
      </c>
    </row>
    <row r="81" spans="1:17" ht="18.25" customHeight="1" x14ac:dyDescent="0.2">
      <c r="A81" s="7">
        <v>25</v>
      </c>
      <c r="B81" s="5" t="s">
        <v>78</v>
      </c>
      <c r="C81" s="10" t="s">
        <v>295</v>
      </c>
      <c r="D81" s="11" t="s">
        <v>79</v>
      </c>
      <c r="E81" s="6" t="s">
        <v>210</v>
      </c>
      <c r="F81" s="6" t="s">
        <v>503</v>
      </c>
      <c r="G81" s="6" t="s">
        <v>487</v>
      </c>
      <c r="H81" s="6" t="s">
        <v>488</v>
      </c>
      <c r="I81" s="6" t="s">
        <v>489</v>
      </c>
      <c r="J81" s="6" t="s">
        <v>501</v>
      </c>
      <c r="K81" s="6">
        <v>20</v>
      </c>
      <c r="L81" s="6">
        <v>18882.490000000002</v>
      </c>
      <c r="M81" s="9">
        <v>743</v>
      </c>
      <c r="N81" s="9">
        <v>2350</v>
      </c>
      <c r="O81" s="5">
        <v>4.4000000000000004</v>
      </c>
      <c r="P81" s="5" t="s">
        <v>80</v>
      </c>
      <c r="Q81" s="22" t="s">
        <v>80</v>
      </c>
    </row>
    <row r="82" spans="1:17" ht="18.25" customHeight="1" x14ac:dyDescent="0.2">
      <c r="A82" s="7">
        <v>26</v>
      </c>
      <c r="B82" s="5" t="s">
        <v>234</v>
      </c>
      <c r="C82" s="10" t="s">
        <v>235</v>
      </c>
      <c r="D82" s="11" t="s">
        <v>34</v>
      </c>
      <c r="E82" s="6" t="s">
        <v>210</v>
      </c>
      <c r="F82" s="6"/>
      <c r="G82" s="6" t="s">
        <v>496</v>
      </c>
      <c r="H82" s="6" t="s">
        <v>488</v>
      </c>
      <c r="I82" s="6" t="s">
        <v>499</v>
      </c>
      <c r="J82" s="6" t="s">
        <v>500</v>
      </c>
      <c r="K82" s="6">
        <v>137.79</v>
      </c>
      <c r="L82" s="6">
        <v>85121.94</v>
      </c>
      <c r="M82" s="9">
        <v>718</v>
      </c>
      <c r="N82" s="9">
        <v>253</v>
      </c>
      <c r="O82" s="5">
        <v>4.3</v>
      </c>
      <c r="P82" s="5" t="s">
        <v>236</v>
      </c>
      <c r="Q82" s="22" t="s">
        <v>236</v>
      </c>
    </row>
    <row r="83" spans="1:17" ht="18.25" customHeight="1" x14ac:dyDescent="0.2">
      <c r="A83" s="7">
        <v>27</v>
      </c>
      <c r="B83" s="5" t="s">
        <v>87</v>
      </c>
      <c r="C83" s="10" t="s">
        <v>88</v>
      </c>
      <c r="D83" s="11" t="s">
        <v>89</v>
      </c>
      <c r="E83" s="6" t="s">
        <v>211</v>
      </c>
      <c r="F83" s="6"/>
      <c r="G83" s="6" t="s">
        <v>504</v>
      </c>
      <c r="H83" s="6" t="s">
        <v>488</v>
      </c>
      <c r="I83" s="6" t="s">
        <v>495</v>
      </c>
      <c r="J83" s="6" t="s">
        <v>501</v>
      </c>
      <c r="K83" s="6">
        <v>26.25</v>
      </c>
      <c r="L83" s="6">
        <v>16191.91</v>
      </c>
      <c r="M83" s="9">
        <v>704</v>
      </c>
      <c r="N83" s="9">
        <v>942</v>
      </c>
      <c r="O83" s="5">
        <v>4.3</v>
      </c>
      <c r="P83" s="5" t="s">
        <v>90</v>
      </c>
      <c r="Q83" s="22" t="s">
        <v>90</v>
      </c>
    </row>
    <row r="84" spans="1:17" ht="18.25" customHeight="1" x14ac:dyDescent="0.2">
      <c r="A84" s="7">
        <v>28</v>
      </c>
      <c r="B84" s="5" t="s">
        <v>556</v>
      </c>
      <c r="C84" s="10" t="s">
        <v>557</v>
      </c>
      <c r="D84" s="11" t="s">
        <v>273</v>
      </c>
      <c r="E84" s="6" t="s">
        <v>209</v>
      </c>
      <c r="F84" s="6" t="s">
        <v>503</v>
      </c>
      <c r="G84" s="6" t="s">
        <v>487</v>
      </c>
      <c r="H84" s="6" t="s">
        <v>488</v>
      </c>
      <c r="I84" s="6" t="s">
        <v>489</v>
      </c>
      <c r="J84" s="6" t="s">
        <v>501</v>
      </c>
      <c r="K84" s="6">
        <v>35.99</v>
      </c>
      <c r="L84" s="6">
        <v>23745.040000000001</v>
      </c>
      <c r="M84" s="9">
        <v>660</v>
      </c>
      <c r="N84" s="9">
        <v>156</v>
      </c>
      <c r="O84" s="5">
        <v>4.5999999999999996</v>
      </c>
      <c r="P84" s="5" t="s">
        <v>558</v>
      </c>
      <c r="Q84" s="22" t="s">
        <v>558</v>
      </c>
    </row>
    <row r="85" spans="1:17" ht="18.25" customHeight="1" x14ac:dyDescent="0.2">
      <c r="A85" s="7">
        <v>29</v>
      </c>
      <c r="B85" s="5" t="s">
        <v>67</v>
      </c>
      <c r="C85" s="10" t="s">
        <v>68</v>
      </c>
      <c r="D85" s="11" t="s">
        <v>34</v>
      </c>
      <c r="E85" s="6" t="s">
        <v>212</v>
      </c>
      <c r="F85" s="6"/>
      <c r="G85" s="6"/>
      <c r="H85" s="6" t="s">
        <v>488</v>
      </c>
      <c r="I85" s="6" t="s">
        <v>495</v>
      </c>
      <c r="J85" s="6" t="s">
        <v>501</v>
      </c>
      <c r="K85" s="6">
        <v>54.99</v>
      </c>
      <c r="L85" s="6">
        <v>36197.11</v>
      </c>
      <c r="M85" s="9">
        <v>658</v>
      </c>
      <c r="N85" s="9">
        <v>2461</v>
      </c>
      <c r="O85" s="5">
        <v>4.3</v>
      </c>
      <c r="P85" s="5" t="s">
        <v>69</v>
      </c>
      <c r="Q85" s="22" t="s">
        <v>69</v>
      </c>
    </row>
    <row r="86" spans="1:17" ht="18.25" customHeight="1" x14ac:dyDescent="0.2">
      <c r="A86" s="7">
        <v>30</v>
      </c>
      <c r="B86" s="5" t="s">
        <v>58</v>
      </c>
      <c r="C86" s="10" t="s">
        <v>59</v>
      </c>
      <c r="D86" s="11" t="s">
        <v>33</v>
      </c>
      <c r="E86" s="6" t="s">
        <v>209</v>
      </c>
      <c r="F86" s="6"/>
      <c r="G86" s="6" t="s">
        <v>496</v>
      </c>
      <c r="H86" s="6" t="s">
        <v>497</v>
      </c>
      <c r="I86" s="6" t="s">
        <v>495</v>
      </c>
      <c r="J86" s="6" t="s">
        <v>501</v>
      </c>
      <c r="K86" s="6">
        <v>159.99</v>
      </c>
      <c r="L86" s="6">
        <v>104232.74</v>
      </c>
      <c r="M86" s="9">
        <v>651</v>
      </c>
      <c r="N86" s="9">
        <v>3542</v>
      </c>
      <c r="O86" s="5">
        <v>4.5999999999999996</v>
      </c>
      <c r="P86" s="5" t="s">
        <v>60</v>
      </c>
      <c r="Q86" s="22" t="s">
        <v>60</v>
      </c>
    </row>
    <row r="87" spans="1:17" ht="18.25" customHeight="1" x14ac:dyDescent="0.2">
      <c r="A87" s="7">
        <v>31</v>
      </c>
      <c r="B87" s="5" t="s">
        <v>296</v>
      </c>
      <c r="C87" s="10" t="s">
        <v>297</v>
      </c>
      <c r="D87" s="11" t="s">
        <v>39</v>
      </c>
      <c r="E87" s="6" t="s">
        <v>211</v>
      </c>
      <c r="F87" s="6"/>
      <c r="G87" s="6" t="s">
        <v>504</v>
      </c>
      <c r="H87" s="6" t="s">
        <v>488</v>
      </c>
      <c r="I87" s="6" t="s">
        <v>495</v>
      </c>
      <c r="J87" s="6" t="s">
        <v>530</v>
      </c>
      <c r="K87" s="6">
        <v>29.99</v>
      </c>
      <c r="L87" s="6">
        <v>16586.2</v>
      </c>
      <c r="M87" s="9">
        <v>646</v>
      </c>
      <c r="N87" s="9">
        <v>1119</v>
      </c>
      <c r="O87" s="5">
        <v>4.4000000000000004</v>
      </c>
      <c r="P87" s="5" t="s">
        <v>298</v>
      </c>
      <c r="Q87" s="22" t="s">
        <v>298</v>
      </c>
    </row>
    <row r="88" spans="1:17" ht="18.25" customHeight="1" x14ac:dyDescent="0.2">
      <c r="A88" s="7">
        <v>32</v>
      </c>
      <c r="B88" s="5" t="s">
        <v>559</v>
      </c>
      <c r="C88" s="10" t="s">
        <v>560</v>
      </c>
      <c r="D88" s="11" t="s">
        <v>273</v>
      </c>
      <c r="E88" s="6" t="s">
        <v>210</v>
      </c>
      <c r="F88" s="6" t="s">
        <v>503</v>
      </c>
      <c r="G88" s="6" t="s">
        <v>487</v>
      </c>
      <c r="H88" s="6" t="s">
        <v>488</v>
      </c>
      <c r="I88" s="6" t="s">
        <v>495</v>
      </c>
      <c r="J88" s="6" t="s">
        <v>501</v>
      </c>
      <c r="K88" s="6">
        <v>39.99</v>
      </c>
      <c r="L88" s="6">
        <v>21474.78</v>
      </c>
      <c r="M88" s="9">
        <v>646</v>
      </c>
      <c r="N88" s="9">
        <v>341</v>
      </c>
      <c r="O88" s="5">
        <v>4.5</v>
      </c>
      <c r="P88" s="5" t="s">
        <v>561</v>
      </c>
      <c r="Q88" s="22" t="s">
        <v>561</v>
      </c>
    </row>
    <row r="89" spans="1:17" ht="18.25" customHeight="1" x14ac:dyDescent="0.2">
      <c r="A89" s="7">
        <v>33</v>
      </c>
      <c r="B89" s="5" t="s">
        <v>50</v>
      </c>
      <c r="C89" s="10" t="s">
        <v>51</v>
      </c>
      <c r="D89" s="11" t="s">
        <v>38</v>
      </c>
      <c r="E89" s="6" t="s">
        <v>219</v>
      </c>
      <c r="F89" s="6" t="s">
        <v>485</v>
      </c>
      <c r="G89" s="6" t="s">
        <v>487</v>
      </c>
      <c r="H89" s="6" t="s">
        <v>488</v>
      </c>
      <c r="I89" s="6" t="s">
        <v>489</v>
      </c>
      <c r="J89" s="6" t="s">
        <v>493</v>
      </c>
      <c r="K89" s="6">
        <v>105.99</v>
      </c>
      <c r="L89" s="6">
        <v>59592.67</v>
      </c>
      <c r="M89" s="9">
        <v>627</v>
      </c>
      <c r="N89" s="9">
        <v>300</v>
      </c>
      <c r="O89" s="5">
        <v>4.5999999999999996</v>
      </c>
      <c r="P89" s="5" t="s">
        <v>52</v>
      </c>
      <c r="Q89" s="22" t="s">
        <v>52</v>
      </c>
    </row>
    <row r="90" spans="1:17" ht="18.25" customHeight="1" x14ac:dyDescent="0.2">
      <c r="A90" s="7">
        <v>34</v>
      </c>
      <c r="B90" s="5" t="s">
        <v>91</v>
      </c>
      <c r="C90" s="10" t="s">
        <v>92</v>
      </c>
      <c r="D90" s="11" t="s">
        <v>37</v>
      </c>
      <c r="E90" s="6" t="s">
        <v>210</v>
      </c>
      <c r="F90" s="6" t="s">
        <v>503</v>
      </c>
      <c r="G90" s="6" t="s">
        <v>487</v>
      </c>
      <c r="H90" s="6" t="s">
        <v>488</v>
      </c>
      <c r="I90" s="6" t="s">
        <v>489</v>
      </c>
      <c r="J90" s="6" t="s">
        <v>501</v>
      </c>
      <c r="K90" s="6">
        <v>28.9</v>
      </c>
      <c r="L90" s="6">
        <v>22156.79</v>
      </c>
      <c r="M90" s="9">
        <v>621</v>
      </c>
      <c r="N90" s="9">
        <v>374</v>
      </c>
      <c r="O90" s="5">
        <v>4.5</v>
      </c>
      <c r="P90" s="5" t="s">
        <v>93</v>
      </c>
      <c r="Q90" s="22" t="s">
        <v>93</v>
      </c>
    </row>
    <row r="91" spans="1:17" ht="18.25" customHeight="1" x14ac:dyDescent="0.2">
      <c r="A91" s="7">
        <v>35</v>
      </c>
      <c r="B91" s="5" t="s">
        <v>257</v>
      </c>
      <c r="C91" s="10" t="s">
        <v>258</v>
      </c>
      <c r="D91" s="11" t="s">
        <v>259</v>
      </c>
      <c r="E91" s="6" t="s">
        <v>219</v>
      </c>
      <c r="F91" s="6" t="s">
        <v>485</v>
      </c>
      <c r="G91" s="6" t="s">
        <v>487</v>
      </c>
      <c r="H91" s="6" t="s">
        <v>488</v>
      </c>
      <c r="I91" s="6" t="s">
        <v>489</v>
      </c>
      <c r="J91" s="6" t="s">
        <v>493</v>
      </c>
      <c r="K91" s="6">
        <v>79.989999999999995</v>
      </c>
      <c r="L91" s="6">
        <v>46412.67</v>
      </c>
      <c r="M91" s="9">
        <v>616</v>
      </c>
      <c r="N91" s="9">
        <v>164</v>
      </c>
      <c r="O91" s="5">
        <v>4.5</v>
      </c>
      <c r="P91" s="5" t="s">
        <v>260</v>
      </c>
      <c r="Q91" s="22" t="s">
        <v>260</v>
      </c>
    </row>
    <row r="92" spans="1:17" ht="18.25" customHeight="1" x14ac:dyDescent="0.2">
      <c r="A92" s="7">
        <v>36</v>
      </c>
      <c r="B92" s="5" t="s">
        <v>562</v>
      </c>
      <c r="C92" s="10" t="s">
        <v>563</v>
      </c>
      <c r="D92" s="11" t="s">
        <v>40</v>
      </c>
      <c r="E92" s="6" t="s">
        <v>209</v>
      </c>
      <c r="F92" s="6" t="s">
        <v>503</v>
      </c>
      <c r="G92" s="6" t="s">
        <v>564</v>
      </c>
      <c r="H92" s="6" t="s">
        <v>488</v>
      </c>
      <c r="I92" s="6" t="s">
        <v>489</v>
      </c>
      <c r="J92" s="6" t="s">
        <v>501</v>
      </c>
      <c r="K92" s="6">
        <v>29.9</v>
      </c>
      <c r="L92" s="6">
        <v>17916.11</v>
      </c>
      <c r="M92" s="9">
        <v>599</v>
      </c>
      <c r="N92" s="9">
        <v>1305</v>
      </c>
      <c r="O92" s="5">
        <v>4.5</v>
      </c>
      <c r="P92" s="5" t="s">
        <v>565</v>
      </c>
      <c r="Q92" s="22" t="s">
        <v>565</v>
      </c>
    </row>
    <row r="93" spans="1:17" ht="18.25" customHeight="1" x14ac:dyDescent="0.2">
      <c r="A93" s="7">
        <v>37</v>
      </c>
      <c r="B93" s="5" t="s">
        <v>566</v>
      </c>
      <c r="C93" s="10" t="s">
        <v>567</v>
      </c>
      <c r="D93" s="11" t="s">
        <v>568</v>
      </c>
      <c r="E93" s="6" t="s">
        <v>211</v>
      </c>
      <c r="F93" s="6"/>
      <c r="G93" s="6" t="s">
        <v>504</v>
      </c>
      <c r="H93" s="6" t="s">
        <v>488</v>
      </c>
      <c r="I93" s="6" t="s">
        <v>489</v>
      </c>
      <c r="J93" s="6" t="s">
        <v>494</v>
      </c>
      <c r="K93" s="6">
        <v>15.47</v>
      </c>
      <c r="L93" s="6">
        <v>10031.75</v>
      </c>
      <c r="M93" s="9">
        <v>595</v>
      </c>
      <c r="N93" s="9">
        <v>304</v>
      </c>
      <c r="O93" s="5">
        <v>4.3</v>
      </c>
      <c r="P93" s="5" t="s">
        <v>569</v>
      </c>
      <c r="Q93" s="22" t="s">
        <v>569</v>
      </c>
    </row>
    <row r="94" spans="1:17" ht="18.25" customHeight="1" x14ac:dyDescent="0.2">
      <c r="A94" s="7">
        <v>38</v>
      </c>
      <c r="B94" s="5" t="s">
        <v>76</v>
      </c>
      <c r="C94" s="10" t="s">
        <v>299</v>
      </c>
      <c r="D94" s="11" t="s">
        <v>33</v>
      </c>
      <c r="E94" s="6" t="s">
        <v>211</v>
      </c>
      <c r="F94" s="6"/>
      <c r="G94" s="6" t="s">
        <v>504</v>
      </c>
      <c r="H94" s="6" t="s">
        <v>492</v>
      </c>
      <c r="I94" s="6" t="s">
        <v>489</v>
      </c>
      <c r="J94" s="6" t="s">
        <v>500</v>
      </c>
      <c r="K94" s="6">
        <v>39.99</v>
      </c>
      <c r="L94" s="6">
        <v>20712.57</v>
      </c>
      <c r="M94" s="9">
        <v>590</v>
      </c>
      <c r="N94" s="9">
        <v>717</v>
      </c>
      <c r="O94" s="5">
        <v>4.0999999999999996</v>
      </c>
      <c r="P94" s="5" t="s">
        <v>77</v>
      </c>
      <c r="Q94" s="22" t="s">
        <v>77</v>
      </c>
    </row>
    <row r="95" spans="1:17" ht="18.25" customHeight="1" x14ac:dyDescent="0.2">
      <c r="A95" s="7">
        <v>39</v>
      </c>
      <c r="B95" s="5" t="s">
        <v>114</v>
      </c>
      <c r="C95" s="10" t="s">
        <v>300</v>
      </c>
      <c r="D95" s="11" t="s">
        <v>39</v>
      </c>
      <c r="E95" s="6" t="s">
        <v>211</v>
      </c>
      <c r="F95" s="6"/>
      <c r="G95" s="6" t="s">
        <v>504</v>
      </c>
      <c r="H95" s="6" t="s">
        <v>488</v>
      </c>
      <c r="I95" s="6" t="s">
        <v>495</v>
      </c>
      <c r="J95" s="6" t="s">
        <v>570</v>
      </c>
      <c r="K95" s="6">
        <v>39.99</v>
      </c>
      <c r="L95" s="6">
        <v>19298.900000000001</v>
      </c>
      <c r="M95" s="9">
        <v>581</v>
      </c>
      <c r="N95" s="9">
        <v>1132</v>
      </c>
      <c r="O95" s="5">
        <v>4.4000000000000004</v>
      </c>
      <c r="P95" s="5" t="s">
        <v>115</v>
      </c>
      <c r="Q95" s="22" t="s">
        <v>115</v>
      </c>
    </row>
    <row r="96" spans="1:17" ht="18.25" customHeight="1" x14ac:dyDescent="0.2">
      <c r="A96" s="7">
        <v>40</v>
      </c>
      <c r="B96" s="5" t="s">
        <v>301</v>
      </c>
      <c r="C96" s="10" t="s">
        <v>302</v>
      </c>
      <c r="D96" s="11" t="s">
        <v>243</v>
      </c>
      <c r="E96" s="6" t="s">
        <v>209</v>
      </c>
      <c r="F96" s="6" t="s">
        <v>503</v>
      </c>
      <c r="G96" s="6" t="s">
        <v>487</v>
      </c>
      <c r="H96" s="6" t="s">
        <v>488</v>
      </c>
      <c r="I96" s="6" t="s">
        <v>489</v>
      </c>
      <c r="J96" s="6" t="s">
        <v>501</v>
      </c>
      <c r="K96" s="6">
        <v>31.59</v>
      </c>
      <c r="L96" s="6">
        <v>16581.080000000002</v>
      </c>
      <c r="M96" s="9">
        <v>547</v>
      </c>
      <c r="N96" s="9">
        <v>53</v>
      </c>
      <c r="O96" s="5">
        <v>4.5999999999999996</v>
      </c>
      <c r="P96" s="5" t="s">
        <v>303</v>
      </c>
      <c r="Q96" s="22" t="s">
        <v>303</v>
      </c>
    </row>
    <row r="97" spans="1:17" ht="18.25" customHeight="1" x14ac:dyDescent="0.2">
      <c r="A97" s="7">
        <v>41</v>
      </c>
      <c r="B97" s="5" t="s">
        <v>571</v>
      </c>
      <c r="C97" s="10" t="s">
        <v>572</v>
      </c>
      <c r="D97" s="11" t="s">
        <v>573</v>
      </c>
      <c r="E97" s="6" t="s">
        <v>211</v>
      </c>
      <c r="F97" s="6"/>
      <c r="G97" s="6" t="s">
        <v>504</v>
      </c>
      <c r="H97" s="6" t="s">
        <v>488</v>
      </c>
      <c r="I97" s="6" t="s">
        <v>489</v>
      </c>
      <c r="J97" s="6" t="s">
        <v>501</v>
      </c>
      <c r="K97" s="6">
        <v>25.99</v>
      </c>
      <c r="L97" s="6">
        <v>13101.42</v>
      </c>
      <c r="M97" s="9">
        <v>544</v>
      </c>
      <c r="N97" s="9">
        <v>83</v>
      </c>
      <c r="O97" s="5">
        <v>4.4000000000000004</v>
      </c>
      <c r="P97" s="5" t="s">
        <v>574</v>
      </c>
      <c r="Q97" s="22" t="s">
        <v>574</v>
      </c>
    </row>
    <row r="98" spans="1:17" ht="18.25" customHeight="1" x14ac:dyDescent="0.2">
      <c r="A98" s="7">
        <v>42</v>
      </c>
      <c r="B98" s="5" t="s">
        <v>283</v>
      </c>
      <c r="C98" s="10" t="s">
        <v>284</v>
      </c>
      <c r="D98" s="11" t="s">
        <v>33</v>
      </c>
      <c r="E98" s="6" t="s">
        <v>210</v>
      </c>
      <c r="F98" s="6"/>
      <c r="G98" s="6" t="s">
        <v>487</v>
      </c>
      <c r="H98" s="6" t="s">
        <v>488</v>
      </c>
      <c r="I98" s="6" t="s">
        <v>495</v>
      </c>
      <c r="J98" s="6" t="s">
        <v>501</v>
      </c>
      <c r="K98" s="6">
        <v>59.99</v>
      </c>
      <c r="L98" s="6">
        <v>30537.74</v>
      </c>
      <c r="M98" s="9">
        <v>543</v>
      </c>
      <c r="N98" s="9">
        <v>57</v>
      </c>
      <c r="O98" s="5">
        <v>4.8</v>
      </c>
      <c r="P98" s="5" t="s">
        <v>285</v>
      </c>
      <c r="Q98" s="22" t="s">
        <v>285</v>
      </c>
    </row>
    <row r="99" spans="1:17" ht="18.25" customHeight="1" x14ac:dyDescent="0.2">
      <c r="A99" s="7">
        <v>43</v>
      </c>
      <c r="B99" s="5" t="s">
        <v>575</v>
      </c>
      <c r="C99" s="10" t="s">
        <v>576</v>
      </c>
      <c r="D99" s="11" t="s">
        <v>577</v>
      </c>
      <c r="E99" s="6" t="s">
        <v>209</v>
      </c>
      <c r="F99" s="6" t="s">
        <v>503</v>
      </c>
      <c r="G99" s="6" t="s">
        <v>487</v>
      </c>
      <c r="H99" s="6" t="s">
        <v>505</v>
      </c>
      <c r="I99" s="6" t="s">
        <v>489</v>
      </c>
      <c r="J99" s="6" t="s">
        <v>490</v>
      </c>
      <c r="K99" s="6">
        <v>39.979999999999997</v>
      </c>
      <c r="L99" s="6">
        <v>21020.51</v>
      </c>
      <c r="M99" s="9">
        <v>533</v>
      </c>
      <c r="N99" s="9">
        <v>363</v>
      </c>
      <c r="O99" s="5">
        <v>4.7</v>
      </c>
      <c r="P99" s="5" t="s">
        <v>578</v>
      </c>
      <c r="Q99" s="22" t="s">
        <v>578</v>
      </c>
    </row>
    <row r="100" spans="1:17" ht="18.25" customHeight="1" x14ac:dyDescent="0.2">
      <c r="A100" s="7">
        <v>44</v>
      </c>
      <c r="B100" s="5" t="s">
        <v>579</v>
      </c>
      <c r="C100" s="10" t="s">
        <v>580</v>
      </c>
      <c r="D100" s="11" t="s">
        <v>79</v>
      </c>
      <c r="E100" s="6" t="s">
        <v>211</v>
      </c>
      <c r="F100" s="6"/>
      <c r="G100" s="6" t="s">
        <v>504</v>
      </c>
      <c r="H100" s="6" t="s">
        <v>488</v>
      </c>
      <c r="I100" s="6" t="s">
        <v>489</v>
      </c>
      <c r="J100" s="6" t="s">
        <v>501</v>
      </c>
      <c r="K100" s="6">
        <v>19.440000000000001</v>
      </c>
      <c r="L100" s="6">
        <v>9732.4500000000007</v>
      </c>
      <c r="M100" s="9">
        <v>525</v>
      </c>
      <c r="N100" s="9">
        <v>2151</v>
      </c>
      <c r="O100" s="5">
        <v>4.5999999999999996</v>
      </c>
      <c r="P100" s="5" t="s">
        <v>581</v>
      </c>
      <c r="Q100" s="22" t="s">
        <v>581</v>
      </c>
    </row>
    <row r="101" spans="1:17" ht="18.25" customHeight="1" x14ac:dyDescent="0.2">
      <c r="A101" s="7">
        <v>45</v>
      </c>
      <c r="B101" s="5" t="s">
        <v>304</v>
      </c>
      <c r="C101" s="10" t="s">
        <v>305</v>
      </c>
      <c r="D101" s="11" t="s">
        <v>116</v>
      </c>
      <c r="E101" s="6" t="s">
        <v>211</v>
      </c>
      <c r="F101" s="6"/>
      <c r="G101" s="6" t="s">
        <v>504</v>
      </c>
      <c r="H101" s="6" t="s">
        <v>488</v>
      </c>
      <c r="I101" s="6" t="s">
        <v>495</v>
      </c>
      <c r="J101" s="6" t="s">
        <v>501</v>
      </c>
      <c r="K101" s="6">
        <v>25.99</v>
      </c>
      <c r="L101" s="6">
        <v>17968.77</v>
      </c>
      <c r="M101" s="9">
        <v>517</v>
      </c>
      <c r="N101" s="9">
        <v>5288</v>
      </c>
      <c r="O101" s="5">
        <v>4.4000000000000004</v>
      </c>
      <c r="P101" s="5" t="s">
        <v>306</v>
      </c>
      <c r="Q101" s="22" t="s">
        <v>306</v>
      </c>
    </row>
    <row r="102" spans="1:17" ht="18.25" customHeight="1" x14ac:dyDescent="0.2">
      <c r="A102" s="7">
        <v>46</v>
      </c>
      <c r="B102" s="5" t="s">
        <v>307</v>
      </c>
      <c r="C102" s="10" t="s">
        <v>308</v>
      </c>
      <c r="D102" s="11" t="s">
        <v>116</v>
      </c>
      <c r="E102" s="6" t="s">
        <v>211</v>
      </c>
      <c r="F102" s="6"/>
      <c r="G102" s="6" t="s">
        <v>504</v>
      </c>
      <c r="H102" s="6" t="s">
        <v>488</v>
      </c>
      <c r="I102" s="6" t="s">
        <v>489</v>
      </c>
      <c r="J102" s="6" t="s">
        <v>501</v>
      </c>
      <c r="K102" s="6">
        <v>25.99</v>
      </c>
      <c r="L102" s="6">
        <v>17879.27</v>
      </c>
      <c r="M102" s="9">
        <v>515</v>
      </c>
      <c r="N102" s="9">
        <v>5288</v>
      </c>
      <c r="O102" s="5">
        <v>4.4000000000000004</v>
      </c>
      <c r="P102" s="5" t="s">
        <v>309</v>
      </c>
      <c r="Q102" s="22" t="s">
        <v>309</v>
      </c>
    </row>
    <row r="103" spans="1:17" ht="18.25" customHeight="1" x14ac:dyDescent="0.2">
      <c r="A103" s="7">
        <v>47</v>
      </c>
      <c r="B103" s="5" t="s">
        <v>246</v>
      </c>
      <c r="C103" s="10" t="s">
        <v>247</v>
      </c>
      <c r="D103" s="11" t="s">
        <v>34</v>
      </c>
      <c r="E103" s="6" t="s">
        <v>219</v>
      </c>
      <c r="F103" s="6" t="s">
        <v>485</v>
      </c>
      <c r="G103" s="6" t="s">
        <v>486</v>
      </c>
      <c r="H103" s="6" t="s">
        <v>488</v>
      </c>
      <c r="I103" s="6" t="s">
        <v>495</v>
      </c>
      <c r="J103" s="6" t="s">
        <v>490</v>
      </c>
      <c r="K103" s="6">
        <v>129.99</v>
      </c>
      <c r="L103" s="6">
        <v>57984.25</v>
      </c>
      <c r="M103" s="9">
        <v>510</v>
      </c>
      <c r="N103" s="9">
        <v>245</v>
      </c>
      <c r="O103" s="5">
        <v>4.5999999999999996</v>
      </c>
      <c r="P103" s="5" t="s">
        <v>248</v>
      </c>
      <c r="Q103" s="22" t="s">
        <v>248</v>
      </c>
    </row>
    <row r="104" spans="1:17" ht="18.25" customHeight="1" x14ac:dyDescent="0.2">
      <c r="A104" s="7">
        <v>48</v>
      </c>
      <c r="B104" s="5" t="s">
        <v>582</v>
      </c>
      <c r="C104" s="10" t="s">
        <v>583</v>
      </c>
      <c r="D104" s="11" t="s">
        <v>584</v>
      </c>
      <c r="E104" s="6" t="s">
        <v>210</v>
      </c>
      <c r="F104" s="6" t="s">
        <v>503</v>
      </c>
      <c r="G104" s="6" t="s">
        <v>487</v>
      </c>
      <c r="H104" s="6" t="s">
        <v>488</v>
      </c>
      <c r="I104" s="6" t="s">
        <v>489</v>
      </c>
      <c r="J104" s="6" t="s">
        <v>501</v>
      </c>
      <c r="K104" s="6">
        <v>29.99</v>
      </c>
      <c r="L104" s="6">
        <v>16731.259999999998</v>
      </c>
      <c r="M104" s="9">
        <v>505</v>
      </c>
      <c r="N104" s="9">
        <v>2637</v>
      </c>
      <c r="O104" s="5">
        <v>4.4000000000000004</v>
      </c>
      <c r="P104" s="5" t="s">
        <v>585</v>
      </c>
      <c r="Q104" s="22" t="s">
        <v>585</v>
      </c>
    </row>
    <row r="105" spans="1:17" ht="18.25" customHeight="1" x14ac:dyDescent="0.2">
      <c r="A105" s="7">
        <v>49</v>
      </c>
      <c r="B105" s="5" t="s">
        <v>586</v>
      </c>
      <c r="C105" s="10" t="s">
        <v>587</v>
      </c>
      <c r="D105" s="11" t="s">
        <v>588</v>
      </c>
      <c r="E105" s="6" t="s">
        <v>211</v>
      </c>
      <c r="F105" s="6"/>
      <c r="G105" s="6" t="s">
        <v>504</v>
      </c>
      <c r="H105" s="6" t="s">
        <v>488</v>
      </c>
      <c r="I105" s="6" t="s">
        <v>489</v>
      </c>
      <c r="J105" s="6" t="s">
        <v>501</v>
      </c>
      <c r="K105" s="6">
        <v>18.989999999999998</v>
      </c>
      <c r="L105" s="6">
        <v>9187.0300000000007</v>
      </c>
      <c r="M105" s="9">
        <v>481</v>
      </c>
      <c r="N105" s="9">
        <v>120</v>
      </c>
      <c r="O105" s="5">
        <v>4.5999999999999996</v>
      </c>
      <c r="P105" s="5" t="s">
        <v>589</v>
      </c>
      <c r="Q105" s="22" t="s">
        <v>589</v>
      </c>
    </row>
    <row r="106" spans="1:17" ht="18.25" customHeight="1" x14ac:dyDescent="0.2">
      <c r="A106" s="7">
        <v>50</v>
      </c>
      <c r="B106" s="5" t="s">
        <v>590</v>
      </c>
      <c r="C106" s="10" t="s">
        <v>295</v>
      </c>
      <c r="D106" s="11" t="s">
        <v>79</v>
      </c>
      <c r="E106" s="6" t="s">
        <v>210</v>
      </c>
      <c r="F106" s="6" t="s">
        <v>503</v>
      </c>
      <c r="G106" s="6" t="s">
        <v>487</v>
      </c>
      <c r="H106" s="6" t="s">
        <v>488</v>
      </c>
      <c r="I106" s="6" t="s">
        <v>489</v>
      </c>
      <c r="J106" s="6" t="s">
        <v>501</v>
      </c>
      <c r="K106" s="6">
        <v>29.9</v>
      </c>
      <c r="L106" s="6">
        <v>12513.44</v>
      </c>
      <c r="M106" s="9">
        <v>442</v>
      </c>
      <c r="N106" s="9">
        <v>2151</v>
      </c>
      <c r="O106" s="5">
        <v>4.5999999999999996</v>
      </c>
      <c r="P106" s="5" t="s">
        <v>591</v>
      </c>
      <c r="Q106" s="22" t="s">
        <v>591</v>
      </c>
    </row>
  </sheetData>
  <mergeCells count="2">
    <mergeCell ref="A1:Q1"/>
    <mergeCell ref="A55:Q55"/>
  </mergeCells>
  <phoneticPr fontId="17" type="noConversion"/>
  <hyperlinks>
    <hyperlink ref="Q49" r:id="rId1" display="https://amazon.com/dp/B0DSW1DKTZ" xr:uid="{E74A9437-E449-45D2-8ED2-A9D921CBA820}"/>
    <hyperlink ref="Q48" r:id="rId2" display="https://amazon.com/dp/B0F13BKB4P" xr:uid="{C0002B08-7589-47F6-89B3-5701B40419C3}"/>
    <hyperlink ref="Q47" r:id="rId3" display="https://amazon.com/dp/B0C9GR791B" xr:uid="{9C2E70B4-4DA5-4EF8-9A5C-834A2DB06911}"/>
    <hyperlink ref="Q46" r:id="rId4" display="https://amazon.com/dp/B0FBX2NSHL" xr:uid="{C8B6063B-AAD5-4B87-B62A-674FCFA49376}"/>
    <hyperlink ref="Q45" r:id="rId5" display="https://amazon.com/dp/B0CC27QRQ6" xr:uid="{BECADF6E-210D-415A-910C-A4DF8FCB068B}"/>
    <hyperlink ref="Q44" r:id="rId6" display="https://amazon.com/dp/B0DYDXH1NQ" xr:uid="{6D08724A-D17E-42F9-9A99-1948E6CEBB4F}"/>
    <hyperlink ref="Q43" r:id="rId7" display="https://amazon.com/dp/B0DT45G8F3" xr:uid="{08F37D3E-03A5-4617-B99D-E61E4CD775FF}"/>
    <hyperlink ref="Q42" r:id="rId8" display="https://amazon.com/dp/B0D54NQWZH" xr:uid="{BB69E8F2-AC0F-4316-9746-E0827454F92A}"/>
    <hyperlink ref="Q41" r:id="rId9" display="https://amazon.com/dp/B0B1BF85DS" xr:uid="{3FE30C17-D2B3-40B8-AB72-57D554ADAEF6}"/>
    <hyperlink ref="Q40" r:id="rId10" display="https://amazon.com/dp/B0DTHZDGYD" xr:uid="{BB0DD41A-B096-4E9B-ACAA-D7A665C7AF5B}"/>
    <hyperlink ref="Q39" r:id="rId11" display="https://amazon.com/dp/B0DGXLYP21" xr:uid="{90AC0EF1-A970-47B1-8B26-770BA61A6492}"/>
    <hyperlink ref="Q38" r:id="rId12" display="https://amazon.com/dp/B0C1GFBTDC" xr:uid="{226F3ED6-C34D-4A93-BFFC-32EAD47E55EA}"/>
    <hyperlink ref="Q37" r:id="rId13" display="https://amazon.com/dp/B0CM3FBXJT" xr:uid="{BA2E2715-C324-4B15-8E01-13282D212354}"/>
    <hyperlink ref="Q36" r:id="rId14" display="https://amazon.com/dp/B07Q86XGN2" xr:uid="{8C80863A-87AB-4D09-BB7E-240588FB655F}"/>
    <hyperlink ref="Q35" r:id="rId15" display="https://amazon.com/dp/B0D9M3Q7FK" xr:uid="{FE103BD3-DE71-40C0-806C-50A4DCE9C54F}"/>
    <hyperlink ref="Q34" r:id="rId16" display="https://amazon.com/dp/B0BF64PP4F" xr:uid="{67F39D9E-2567-43C6-885B-4D942AC0ED97}"/>
    <hyperlink ref="Q33" r:id="rId17" display="https://amazon.com/dp/B0D5M89BT1" xr:uid="{5B589987-FB2E-40C4-ABE4-761FFA88C229}"/>
    <hyperlink ref="Q32" r:id="rId18" xr:uid="{97CB39AB-8157-41E3-8248-FC4DA692E7F9}"/>
    <hyperlink ref="Q31" r:id="rId19" xr:uid="{C83AF66F-9553-4ACC-8509-FC0765D9BA9D}"/>
    <hyperlink ref="Q30" r:id="rId20" xr:uid="{DE742666-3A25-450D-BCAC-F7F1C55C1716}"/>
    <hyperlink ref="Q29" r:id="rId21" xr:uid="{F4CC0F41-28DA-4F03-9B96-58A2DADDFDA4}"/>
    <hyperlink ref="Q28" r:id="rId22" xr:uid="{809468D9-2CBC-41B3-8AF4-64571471CD3D}"/>
    <hyperlink ref="Q27" r:id="rId23" xr:uid="{7D8D6B76-FE6F-4AD0-8FD5-E08032608DAF}"/>
    <hyperlink ref="Q26" r:id="rId24" xr:uid="{172250C2-5BBD-4B4B-8F8B-58CEB96EF50D}"/>
    <hyperlink ref="Q25" r:id="rId25" xr:uid="{7DA8FBAB-AECB-4638-A022-A77B97F40F62}"/>
    <hyperlink ref="Q24" r:id="rId26" xr:uid="{AB0BE716-0D2B-4220-9F39-59645452252A}"/>
    <hyperlink ref="Q23" r:id="rId27" xr:uid="{EB706FC4-02EB-4F50-8167-30826750782E}"/>
    <hyperlink ref="Q22" r:id="rId28" xr:uid="{7661CD12-11E4-4F8F-B0B3-518C7E73066F}"/>
    <hyperlink ref="Q21" r:id="rId29" xr:uid="{3824081F-587E-4E94-91B4-72F112E431E1}"/>
    <hyperlink ref="Q20" r:id="rId30" xr:uid="{6240613E-0E90-4CE9-80C6-D6B2B3B28266}"/>
    <hyperlink ref="Q19" r:id="rId31" xr:uid="{591F2CC8-EC0C-403D-96E2-4056AD7E1CCD}"/>
    <hyperlink ref="Q18" r:id="rId32" xr:uid="{BB21B32F-31E2-45B5-A3CA-8A08EE02719C}"/>
    <hyperlink ref="Q17" r:id="rId33" xr:uid="{1332BA1B-96E9-4F58-A396-37000B7183E1}"/>
    <hyperlink ref="Q16" r:id="rId34" xr:uid="{B593A0E1-3D49-4D9E-8791-79D2C364CB66}"/>
    <hyperlink ref="Q15" r:id="rId35" xr:uid="{E61F9984-21AB-4691-A25A-DE22200CDE5C}"/>
    <hyperlink ref="Q14" r:id="rId36" xr:uid="{B8303794-015B-4E8E-85F2-CF8BA8AD0AD1}"/>
    <hyperlink ref="Q13" r:id="rId37" xr:uid="{56106663-5BFD-4548-AD8C-6C1FE11A2ED6}"/>
    <hyperlink ref="Q12" r:id="rId38" xr:uid="{859F50F4-C651-4A7A-A5A7-D9E012A5EEF8}"/>
    <hyperlink ref="Q11" r:id="rId39" xr:uid="{EF32FC86-CA3C-47DA-9E50-57CFCCFEE2D7}"/>
    <hyperlink ref="Q10" r:id="rId40" xr:uid="{CABE900C-A32A-4DFE-ABBA-319DBAE066EE}"/>
    <hyperlink ref="Q9" r:id="rId41" xr:uid="{8D11C104-C768-49F1-89B9-2BB9F5FC3C15}"/>
    <hyperlink ref="Q8" r:id="rId42" xr:uid="{EC94B2DD-64D4-4CBF-998F-DC5BCA35D879}"/>
    <hyperlink ref="Q5" r:id="rId43" xr:uid="{6CCF1378-09BF-471C-955F-80A1DC978043}"/>
    <hyperlink ref="Q4" r:id="rId44" xr:uid="{CA40F201-2679-49B9-9F04-537299D22DB9}"/>
    <hyperlink ref="Q3" r:id="rId45" xr:uid="{6387BADB-0175-45E8-A1FD-4BEB176BC1F6}"/>
    <hyperlink ref="Q52" r:id="rId46" display="https://amazon.com/dp/B0DLDS8N7D" xr:uid="{74F9724B-0E53-4FE7-A1CB-09AA328CBD8A}"/>
    <hyperlink ref="Q51" r:id="rId47" display="https://amazon.com/dp/B0DH24P6NY" xr:uid="{F05CA0F9-3A6D-4874-84CC-0623A9370128}"/>
    <hyperlink ref="Q50" r:id="rId48" display="https://amazon.com/dp/B0CG46T9ZF" xr:uid="{A3842582-9EF4-4EAC-901E-98BF7C51BF1F}"/>
    <hyperlink ref="Q85" r:id="rId49" xr:uid="{E90E9743-544D-4784-8143-8F0B9AAB6973}"/>
    <hyperlink ref="Q68" r:id="rId50" xr:uid="{BDA752AD-4709-4C20-94A7-78614A756C88}"/>
    <hyperlink ref="Q75" r:id="rId51" xr:uid="{BCF5F9ED-B121-4278-B3FE-BE7615E22478}"/>
    <hyperlink ref="Q73" r:id="rId52" xr:uid="{E85BE21F-8FCC-423A-8893-470BF2D8F2DF}"/>
    <hyperlink ref="Q63" r:id="rId53" xr:uid="{3CE37AB4-A76F-43C3-A7D6-F9A6AF09FEE9}"/>
    <hyperlink ref="Q57" r:id="rId54" xr:uid="{79976857-9EA5-410E-BA64-FDB9412DFC32}"/>
    <hyperlink ref="Q106" r:id="rId55" xr:uid="{FE5335CD-6DA6-1040-886B-D96E4EA594DD}"/>
    <hyperlink ref="Q105" r:id="rId56" xr:uid="{6E12B4D6-E9AE-794F-AB73-C2682DAC1EA3}"/>
    <hyperlink ref="Q104" r:id="rId57" xr:uid="{3A1E447D-1236-F541-B1C9-536EC992D1FD}"/>
    <hyperlink ref="Q102" r:id="rId58" xr:uid="{495AC3DA-A02A-674F-9D78-75C03FC9CF4F}"/>
    <hyperlink ref="Q101" r:id="rId59" xr:uid="{B8633383-5A41-2740-A07F-5A0EBF9A0465}"/>
    <hyperlink ref="Q100" r:id="rId60" xr:uid="{CE6E322B-1A07-5645-B9CA-521D1EEDA932}"/>
    <hyperlink ref="Q99" r:id="rId61" xr:uid="{C6206CC2-C022-D742-A822-95492D54DC3E}"/>
    <hyperlink ref="Q98" r:id="rId62" xr:uid="{C1561B93-318B-804B-9673-2BFE76038719}"/>
    <hyperlink ref="Q97" r:id="rId63" xr:uid="{52D45A26-6FBA-C149-9BF6-DB3C041024DB}"/>
    <hyperlink ref="Q96" r:id="rId64" xr:uid="{FBC59C95-F4BE-434C-84F4-44AB496EB84F}"/>
    <hyperlink ref="Q95" r:id="rId65" xr:uid="{701FAC1F-2383-A94C-B702-DACFD7664B87}"/>
    <hyperlink ref="Q94" r:id="rId66" xr:uid="{4FC4336F-018C-1042-ACB5-5EDAB3AFA826}"/>
    <hyperlink ref="Q93" r:id="rId67" xr:uid="{7A86C1B8-BCB3-6247-98C3-683653305887}"/>
    <hyperlink ref="Q92" r:id="rId68" xr:uid="{F37A51A7-687D-F140-BB9A-9A4C9BD74B5A}"/>
    <hyperlink ref="Q91" r:id="rId69" xr:uid="{CEFE3012-EB77-E245-8E0E-3AA361DDBF34}"/>
    <hyperlink ref="Q90" r:id="rId70" xr:uid="{51CAC3E0-3A7C-7E4E-B5CC-3D68FD622B9A}"/>
    <hyperlink ref="Q88" r:id="rId71" display="https://amazon.com/dp/B0DGFBJYG2" xr:uid="{E3AF355A-41FA-5B41-9078-B0D59B0553D8}"/>
    <hyperlink ref="Q87" r:id="rId72" display="https://amazon.com/dp/B0DH1XWTKK" xr:uid="{08C3E125-6459-D64B-814B-E2E0C4678D76}"/>
    <hyperlink ref="Q84" r:id="rId73" xr:uid="{AC3430F5-13A7-5644-AD50-7809CAFD3507}"/>
    <hyperlink ref="Q83" r:id="rId74" xr:uid="{B54942AE-E75F-A14B-912C-FF25DD0E6132}"/>
    <hyperlink ref="Q81" r:id="rId75" xr:uid="{BBF002D3-2663-1941-B24D-F93A9F917968}"/>
    <hyperlink ref="Q80" r:id="rId76" xr:uid="{1EFBC42B-5B3C-3D4B-8D72-02F7B9F1BB2B}"/>
  </hyperlinks>
  <pageMargins left="0.7" right="0.7" top="0.75" bottom="0.75" header="0.3" footer="0.3"/>
  <tableParts count="2">
    <tablePart r:id="rId77"/>
    <tablePart r:id="rId7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96F3F-594D-4560-8E35-82B79ABDDFD9}">
  <dimension ref="A1:F36"/>
  <sheetViews>
    <sheetView zoomScale="125" workbookViewId="0">
      <selection activeCell="J33" sqref="J33"/>
    </sheetView>
  </sheetViews>
  <sheetFormatPr baseColWidth="10" defaultColWidth="8.83203125" defaultRowHeight="16" x14ac:dyDescent="0.2"/>
  <cols>
    <col min="1" max="2" width="15.33203125" customWidth="1"/>
    <col min="3" max="3" width="23.6640625" customWidth="1"/>
    <col min="4" max="4" width="20.83203125" style="13" customWidth="1"/>
    <col min="5" max="5" width="19.83203125" customWidth="1"/>
    <col min="6" max="6" width="15.33203125" customWidth="1"/>
  </cols>
  <sheetData>
    <row r="1" spans="1:6" ht="26" x14ac:dyDescent="0.25">
      <c r="A1" s="108" t="s">
        <v>217</v>
      </c>
      <c r="B1" s="108"/>
      <c r="C1" s="108"/>
      <c r="D1" s="108"/>
      <c r="E1" s="108"/>
      <c r="F1" s="108"/>
    </row>
    <row r="2" spans="1:6" x14ac:dyDescent="0.2">
      <c r="A2" s="61" t="s">
        <v>208</v>
      </c>
      <c r="B2" s="62" t="s">
        <v>11</v>
      </c>
      <c r="C2" s="62" t="s">
        <v>213</v>
      </c>
      <c r="D2" s="63" t="s">
        <v>214</v>
      </c>
      <c r="E2" s="64" t="s">
        <v>215</v>
      </c>
      <c r="F2" s="65" t="s">
        <v>216</v>
      </c>
    </row>
    <row r="3" spans="1:6" x14ac:dyDescent="0.2">
      <c r="A3" s="76" t="s">
        <v>219</v>
      </c>
      <c r="B3" s="77">
        <v>203.65315789473681</v>
      </c>
      <c r="C3" s="78">
        <v>14504</v>
      </c>
      <c r="D3" s="79">
        <v>0.28859661340708759</v>
      </c>
      <c r="E3" s="80">
        <v>1976226.94</v>
      </c>
      <c r="F3" s="79">
        <v>0.54328326342448119</v>
      </c>
    </row>
    <row r="4" spans="1:6" x14ac:dyDescent="0.2">
      <c r="A4" s="66" t="s">
        <v>209</v>
      </c>
      <c r="B4" s="67">
        <v>94.649999999999991</v>
      </c>
      <c r="C4" s="68">
        <v>6099</v>
      </c>
      <c r="D4" s="69">
        <v>0.1213562289830272</v>
      </c>
      <c r="E4" s="70">
        <v>335863.59</v>
      </c>
      <c r="F4" s="69">
        <v>9.2332041197992154E-2</v>
      </c>
    </row>
    <row r="5" spans="1:6" x14ac:dyDescent="0.2">
      <c r="A5" s="76" t="s">
        <v>210</v>
      </c>
      <c r="B5" s="77">
        <v>81.019000000000005</v>
      </c>
      <c r="C5" s="78">
        <v>9783</v>
      </c>
      <c r="D5" s="79">
        <v>0.19465945042481639</v>
      </c>
      <c r="E5" s="80">
        <v>591804.72</v>
      </c>
      <c r="F5" s="79">
        <v>0.1626926508711653</v>
      </c>
    </row>
    <row r="6" spans="1:6" x14ac:dyDescent="0.2">
      <c r="A6" s="66" t="s">
        <v>535</v>
      </c>
      <c r="B6" s="67">
        <v>120.89</v>
      </c>
      <c r="C6" s="68">
        <v>252</v>
      </c>
      <c r="D6" s="69">
        <v>5.0142268738683172E-3</v>
      </c>
      <c r="E6" s="70">
        <v>30628.240000000002</v>
      </c>
      <c r="F6" s="69">
        <v>8.4199895484413506E-3</v>
      </c>
    </row>
    <row r="7" spans="1:6" x14ac:dyDescent="0.2">
      <c r="A7" s="76" t="s">
        <v>521</v>
      </c>
      <c r="B7" s="77">
        <v>659.99</v>
      </c>
      <c r="C7" s="78">
        <v>48</v>
      </c>
      <c r="D7" s="79">
        <v>9.5509083311777466E-4</v>
      </c>
      <c r="E7" s="80">
        <v>33096.25</v>
      </c>
      <c r="F7" s="79">
        <v>9.0984685732057105E-3</v>
      </c>
    </row>
    <row r="8" spans="1:6" x14ac:dyDescent="0.2">
      <c r="A8" s="76" t="s">
        <v>211</v>
      </c>
      <c r="B8" s="77">
        <v>31.261111111111109</v>
      </c>
      <c r="C8" s="78">
        <v>18476</v>
      </c>
      <c r="D8" s="79">
        <v>0.3676303798475834</v>
      </c>
      <c r="E8" s="80">
        <v>560123.98</v>
      </c>
      <c r="F8" s="79">
        <v>0.153983319231904</v>
      </c>
    </row>
    <row r="9" spans="1:6" x14ac:dyDescent="0.2">
      <c r="A9" s="76" t="s">
        <v>212</v>
      </c>
      <c r="B9" s="77">
        <v>54.99</v>
      </c>
      <c r="C9" s="78">
        <v>658</v>
      </c>
      <c r="D9" s="79">
        <v>1.309270350398949E-2</v>
      </c>
      <c r="E9" s="80">
        <v>36197.11</v>
      </c>
      <c r="F9" s="79">
        <v>9.950923980084455E-3</v>
      </c>
    </row>
    <row r="10" spans="1:6" x14ac:dyDescent="0.2">
      <c r="A10" s="76"/>
      <c r="B10" s="77">
        <v>181.98666666666671</v>
      </c>
      <c r="C10" s="78">
        <v>437</v>
      </c>
      <c r="D10" s="79">
        <v>8.6953061265097401E-3</v>
      </c>
      <c r="E10" s="80">
        <v>73621.88</v>
      </c>
      <c r="F10" s="79">
        <v>2.023934317272567E-2</v>
      </c>
    </row>
    <row r="11" spans="1:6" x14ac:dyDescent="0.2">
      <c r="A11" s="71" t="s">
        <v>4</v>
      </c>
      <c r="B11" s="72">
        <v>178.5549919590643</v>
      </c>
      <c r="C11" s="73">
        <v>50257</v>
      </c>
      <c r="D11" s="74">
        <v>1</v>
      </c>
      <c r="E11" s="75">
        <v>3637562.71</v>
      </c>
      <c r="F11" s="74">
        <v>1</v>
      </c>
    </row>
    <row r="29" spans="1:6" ht="26" x14ac:dyDescent="0.25">
      <c r="A29" s="108" t="s">
        <v>218</v>
      </c>
      <c r="B29" s="108"/>
      <c r="C29" s="108"/>
      <c r="D29" s="108"/>
      <c r="E29" s="108"/>
      <c r="F29" s="108"/>
    </row>
    <row r="30" spans="1:6" x14ac:dyDescent="0.2">
      <c r="A30" s="61" t="s">
        <v>208</v>
      </c>
      <c r="B30" s="62" t="s">
        <v>11</v>
      </c>
      <c r="C30" s="62" t="s">
        <v>213</v>
      </c>
      <c r="D30" s="63" t="s">
        <v>214</v>
      </c>
      <c r="E30" s="64" t="s">
        <v>215</v>
      </c>
      <c r="F30" s="65" t="s">
        <v>216</v>
      </c>
    </row>
    <row r="31" spans="1:6" x14ac:dyDescent="0.2">
      <c r="A31" s="76" t="s">
        <v>219</v>
      </c>
      <c r="B31" s="77">
        <v>125.215</v>
      </c>
      <c r="C31" s="78">
        <v>12014</v>
      </c>
      <c r="D31" s="79">
        <v>0.20775402919001179</v>
      </c>
      <c r="E31" s="80">
        <v>1536111.87</v>
      </c>
      <c r="F31" s="79">
        <v>0.4679783155738596</v>
      </c>
    </row>
    <row r="32" spans="1:6" x14ac:dyDescent="0.2">
      <c r="A32" s="66" t="s">
        <v>209</v>
      </c>
      <c r="B32" s="67">
        <v>53.172499999999999</v>
      </c>
      <c r="C32" s="68">
        <v>7952</v>
      </c>
      <c r="D32" s="69">
        <v>0.1375112402296465</v>
      </c>
      <c r="E32" s="70">
        <v>356616.27</v>
      </c>
      <c r="F32" s="69">
        <v>0.1086435725158694</v>
      </c>
    </row>
    <row r="33" spans="1:6" x14ac:dyDescent="0.2">
      <c r="A33" s="76" t="s">
        <v>210</v>
      </c>
      <c r="B33" s="77">
        <v>50.395714285714277</v>
      </c>
      <c r="C33" s="78">
        <v>13030</v>
      </c>
      <c r="D33" s="79">
        <v>0.22532337276060041</v>
      </c>
      <c r="E33" s="80">
        <v>642702.91</v>
      </c>
      <c r="F33" s="79">
        <v>0.1958002090278867</v>
      </c>
    </row>
    <row r="34" spans="1:6" x14ac:dyDescent="0.2">
      <c r="A34" s="76" t="s">
        <v>211</v>
      </c>
      <c r="B34" s="77">
        <v>28.917894736842111</v>
      </c>
      <c r="C34" s="78">
        <v>24174</v>
      </c>
      <c r="D34" s="79">
        <v>0.41803278688524592</v>
      </c>
      <c r="E34" s="80">
        <v>710814.25</v>
      </c>
      <c r="F34" s="79">
        <v>0.21655041009538989</v>
      </c>
    </row>
    <row r="35" spans="1:6" x14ac:dyDescent="0.2">
      <c r="A35" s="76" t="s">
        <v>212</v>
      </c>
      <c r="B35" s="77">
        <v>54.99</v>
      </c>
      <c r="C35" s="78">
        <v>658</v>
      </c>
      <c r="D35" s="79">
        <v>1.1378570934495401E-2</v>
      </c>
      <c r="E35" s="80">
        <v>36197.11</v>
      </c>
      <c r="F35" s="79">
        <v>1.1027492786994549E-2</v>
      </c>
    </row>
    <row r="36" spans="1:6" x14ac:dyDescent="0.2">
      <c r="A36" s="71" t="s">
        <v>4</v>
      </c>
      <c r="B36" s="72">
        <v>62.538221804511281</v>
      </c>
      <c r="C36" s="73">
        <v>57828</v>
      </c>
      <c r="D36" s="74">
        <v>1</v>
      </c>
      <c r="E36" s="75">
        <v>3282442.41</v>
      </c>
      <c r="F36" s="74">
        <v>1</v>
      </c>
    </row>
  </sheetData>
  <mergeCells count="2">
    <mergeCell ref="A1:F1"/>
    <mergeCell ref="A29:F29"/>
  </mergeCells>
  <conditionalFormatting sqref="C3:F11 C31:F36">
    <cfRule type="expression" dxfId="5" priority="1">
      <formula>C3&lt;0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5609A-14E2-4747-8AD4-6AFEAE1E7026}">
  <dimension ref="A1:F30"/>
  <sheetViews>
    <sheetView zoomScale="57" workbookViewId="0">
      <selection activeCell="I25" sqref="I25"/>
    </sheetView>
  </sheetViews>
  <sheetFormatPr baseColWidth="10" defaultColWidth="8.83203125" defaultRowHeight="16" x14ac:dyDescent="0.2"/>
  <cols>
    <col min="1" max="2" width="15.33203125" customWidth="1"/>
    <col min="3" max="3" width="23.6640625" customWidth="1"/>
    <col min="4" max="4" width="20.83203125" style="13" customWidth="1"/>
    <col min="5" max="5" width="19.83203125" customWidth="1"/>
    <col min="6" max="6" width="15.33203125" customWidth="1"/>
  </cols>
  <sheetData>
    <row r="1" spans="1:6" ht="26" x14ac:dyDescent="0.25">
      <c r="A1" s="108" t="s">
        <v>217</v>
      </c>
      <c r="B1" s="108"/>
      <c r="C1" s="108"/>
      <c r="D1" s="108"/>
      <c r="E1" s="108"/>
      <c r="F1" s="108"/>
    </row>
    <row r="2" spans="1:6" x14ac:dyDescent="0.2">
      <c r="A2" s="61" t="s">
        <v>484</v>
      </c>
      <c r="B2" s="62" t="s">
        <v>11</v>
      </c>
      <c r="C2" s="62" t="s">
        <v>213</v>
      </c>
      <c r="D2" s="63" t="s">
        <v>214</v>
      </c>
      <c r="E2" s="64" t="s">
        <v>215</v>
      </c>
      <c r="F2" s="65" t="s">
        <v>216</v>
      </c>
    </row>
    <row r="3" spans="1:6" x14ac:dyDescent="0.2">
      <c r="A3" s="76" t="s">
        <v>485</v>
      </c>
      <c r="B3" s="77">
        <v>151.215</v>
      </c>
      <c r="C3" s="78">
        <v>14280</v>
      </c>
      <c r="D3" s="79">
        <v>0.28413952285253802</v>
      </c>
      <c r="E3" s="80">
        <v>1876739.62</v>
      </c>
      <c r="F3" s="79">
        <v>0.51593326895524494</v>
      </c>
    </row>
    <row r="4" spans="1:6" x14ac:dyDescent="0.2">
      <c r="A4" s="66" t="s">
        <v>491</v>
      </c>
      <c r="B4" s="67">
        <v>483.32333333333332</v>
      </c>
      <c r="C4" s="68">
        <v>224</v>
      </c>
      <c r="D4" s="69">
        <v>4.4570905545496149E-3</v>
      </c>
      <c r="E4" s="70">
        <v>99487.319999999992</v>
      </c>
      <c r="F4" s="69">
        <v>2.7349994469236239E-2</v>
      </c>
    </row>
    <row r="5" spans="1:6" x14ac:dyDescent="0.2">
      <c r="A5" s="76" t="s">
        <v>503</v>
      </c>
      <c r="B5" s="77">
        <v>38.231666666666669</v>
      </c>
      <c r="C5" s="78">
        <v>9741</v>
      </c>
      <c r="D5" s="79">
        <v>0.1938237459458384</v>
      </c>
      <c r="E5" s="80">
        <v>327595.06</v>
      </c>
      <c r="F5" s="79">
        <v>9.0058944990669298E-2</v>
      </c>
    </row>
    <row r="6" spans="1:6" x14ac:dyDescent="0.2">
      <c r="A6" s="66"/>
      <c r="B6" s="67">
        <v>112.4752</v>
      </c>
      <c r="C6" s="68">
        <v>26012</v>
      </c>
      <c r="D6" s="69">
        <v>0.51757964064707407</v>
      </c>
      <c r="E6" s="70">
        <v>1333740.71</v>
      </c>
      <c r="F6" s="69">
        <v>0.36665779158484929</v>
      </c>
    </row>
    <row r="7" spans="1:6" x14ac:dyDescent="0.2">
      <c r="A7" s="71" t="s">
        <v>4</v>
      </c>
      <c r="B7" s="72">
        <v>196.31129999999999</v>
      </c>
      <c r="C7" s="73">
        <v>50257</v>
      </c>
      <c r="D7" s="74">
        <v>1</v>
      </c>
      <c r="E7" s="75">
        <v>3637562.71</v>
      </c>
      <c r="F7" s="74">
        <v>1</v>
      </c>
    </row>
    <row r="25" spans="1:6" ht="26" x14ac:dyDescent="0.25">
      <c r="A25" s="108" t="s">
        <v>218</v>
      </c>
      <c r="B25" s="108"/>
      <c r="C25" s="108"/>
      <c r="D25" s="108"/>
      <c r="E25" s="108"/>
      <c r="F25" s="108"/>
    </row>
    <row r="26" spans="1:6" x14ac:dyDescent="0.2">
      <c r="A26" s="61" t="s">
        <v>484</v>
      </c>
      <c r="B26" s="62" t="s">
        <v>11</v>
      </c>
      <c r="C26" s="62" t="s">
        <v>213</v>
      </c>
      <c r="D26" s="63" t="s">
        <v>214</v>
      </c>
      <c r="E26" s="64" t="s">
        <v>215</v>
      </c>
      <c r="F26" s="65" t="s">
        <v>216</v>
      </c>
    </row>
    <row r="27" spans="1:6" x14ac:dyDescent="0.2">
      <c r="A27" s="76" t="s">
        <v>485</v>
      </c>
      <c r="B27" s="77">
        <v>125.215</v>
      </c>
      <c r="C27" s="78">
        <v>12014</v>
      </c>
      <c r="D27" s="79">
        <v>0.20775402919001179</v>
      </c>
      <c r="E27" s="80">
        <v>1536111.87</v>
      </c>
      <c r="F27" s="79">
        <v>0.4679783155738596</v>
      </c>
    </row>
    <row r="28" spans="1:6" x14ac:dyDescent="0.2">
      <c r="A28" s="66" t="s">
        <v>503</v>
      </c>
      <c r="B28" s="67">
        <v>33.448749999999997</v>
      </c>
      <c r="C28" s="68">
        <v>15781</v>
      </c>
      <c r="D28" s="69">
        <v>0.27289548315694823</v>
      </c>
      <c r="E28" s="70">
        <v>514452.73</v>
      </c>
      <c r="F28" s="69">
        <v>0.15672863853839861</v>
      </c>
    </row>
    <row r="29" spans="1:6" x14ac:dyDescent="0.2">
      <c r="A29" s="76"/>
      <c r="B29" s="77">
        <v>46.160384615384608</v>
      </c>
      <c r="C29" s="78">
        <v>30033</v>
      </c>
      <c r="D29" s="79">
        <v>0.51935048765304004</v>
      </c>
      <c r="E29" s="80">
        <v>1231877.81</v>
      </c>
      <c r="F29" s="79">
        <v>0.37529304588774193</v>
      </c>
    </row>
    <row r="30" spans="1:6" x14ac:dyDescent="0.2">
      <c r="A30" s="71" t="s">
        <v>4</v>
      </c>
      <c r="B30" s="72">
        <v>68.274711538461531</v>
      </c>
      <c r="C30" s="73">
        <v>57828</v>
      </c>
      <c r="D30" s="74">
        <v>1</v>
      </c>
      <c r="E30" s="75">
        <v>3282442.41</v>
      </c>
      <c r="F30" s="74">
        <v>1</v>
      </c>
    </row>
  </sheetData>
  <mergeCells count="2">
    <mergeCell ref="A1:F1"/>
    <mergeCell ref="A25:F25"/>
  </mergeCells>
  <conditionalFormatting sqref="C3:F7 C27:F30">
    <cfRule type="expression" dxfId="4" priority="1">
      <formula>C3&lt;0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687CB-E330-B749-A47E-BF87BFD925A3}">
  <dimension ref="A1:F36"/>
  <sheetViews>
    <sheetView topLeftCell="A21" zoomScale="85" workbookViewId="0">
      <selection activeCell="I42" sqref="I42"/>
    </sheetView>
  </sheetViews>
  <sheetFormatPr baseColWidth="10" defaultColWidth="8.83203125" defaultRowHeight="16" x14ac:dyDescent="0.2"/>
  <cols>
    <col min="1" max="2" width="15.33203125" customWidth="1"/>
    <col min="3" max="3" width="23.6640625" customWidth="1"/>
    <col min="4" max="4" width="20.83203125" style="13" customWidth="1"/>
    <col min="5" max="5" width="19.83203125" customWidth="1"/>
    <col min="6" max="6" width="15.33203125" customWidth="1"/>
  </cols>
  <sheetData>
    <row r="1" spans="1:6" ht="26" x14ac:dyDescent="0.25">
      <c r="A1" s="108" t="s">
        <v>217</v>
      </c>
      <c r="B1" s="108"/>
      <c r="C1" s="108"/>
      <c r="D1" s="108"/>
      <c r="E1" s="108"/>
      <c r="F1" s="108"/>
    </row>
    <row r="2" spans="1:6" x14ac:dyDescent="0.2">
      <c r="A2" s="61" t="s">
        <v>480</v>
      </c>
      <c r="B2" s="62" t="s">
        <v>11</v>
      </c>
      <c r="C2" s="62" t="s">
        <v>213</v>
      </c>
      <c r="D2" s="63" t="s">
        <v>214</v>
      </c>
      <c r="E2" s="64" t="s">
        <v>215</v>
      </c>
      <c r="F2" s="65" t="s">
        <v>216</v>
      </c>
    </row>
    <row r="3" spans="1:6" x14ac:dyDescent="0.2">
      <c r="A3" s="76" t="s">
        <v>487</v>
      </c>
      <c r="B3" s="77">
        <v>90.504705882352937</v>
      </c>
      <c r="C3" s="78">
        <v>16596</v>
      </c>
      <c r="D3" s="79">
        <v>0.33022265555047059</v>
      </c>
      <c r="E3" s="80">
        <v>1058372.78</v>
      </c>
      <c r="F3" s="79">
        <v>0.29095657295211269</v>
      </c>
    </row>
    <row r="4" spans="1:6" x14ac:dyDescent="0.2">
      <c r="A4" s="66" t="s">
        <v>486</v>
      </c>
      <c r="B4" s="67">
        <v>142.49</v>
      </c>
      <c r="C4" s="68">
        <v>7113</v>
      </c>
      <c r="D4" s="69">
        <v>0.1415325228326402</v>
      </c>
      <c r="E4" s="70">
        <v>927695.57</v>
      </c>
      <c r="F4" s="69">
        <v>0.25503218609803702</v>
      </c>
    </row>
    <row r="5" spans="1:6" x14ac:dyDescent="0.2">
      <c r="A5" s="76" t="s">
        <v>496</v>
      </c>
      <c r="B5" s="77">
        <v>189.22076923076921</v>
      </c>
      <c r="C5" s="78">
        <v>6508</v>
      </c>
      <c r="D5" s="79">
        <v>0.12949439879021829</v>
      </c>
      <c r="E5" s="80">
        <v>877990.86</v>
      </c>
      <c r="F5" s="79">
        <v>0.24136789658259941</v>
      </c>
    </row>
    <row r="6" spans="1:6" x14ac:dyDescent="0.2">
      <c r="A6" s="66" t="s">
        <v>498</v>
      </c>
      <c r="B6" s="67">
        <v>699.99</v>
      </c>
      <c r="C6" s="68">
        <v>58</v>
      </c>
      <c r="D6" s="69">
        <v>1.1540680900173109E-3</v>
      </c>
      <c r="E6" s="70">
        <v>40745.769999999997</v>
      </c>
      <c r="F6" s="69">
        <v>1.1201393143817439E-2</v>
      </c>
    </row>
    <row r="7" spans="1:6" x14ac:dyDescent="0.2">
      <c r="A7" s="76" t="s">
        <v>522</v>
      </c>
      <c r="B7" s="77">
        <v>659.99</v>
      </c>
      <c r="C7" s="78">
        <v>48</v>
      </c>
      <c r="D7" s="79">
        <v>9.5509083311777466E-4</v>
      </c>
      <c r="E7" s="80">
        <v>33096.25</v>
      </c>
      <c r="F7" s="79">
        <v>9.0984685732057105E-3</v>
      </c>
    </row>
    <row r="8" spans="1:6" x14ac:dyDescent="0.2">
      <c r="A8" s="76" t="s">
        <v>504</v>
      </c>
      <c r="B8" s="77">
        <v>38.134</v>
      </c>
      <c r="C8" s="78">
        <v>18839</v>
      </c>
      <c r="D8" s="79">
        <v>0.37485325427303662</v>
      </c>
      <c r="E8" s="80">
        <v>589842.49</v>
      </c>
      <c r="F8" s="79">
        <v>0.16215321549741751</v>
      </c>
    </row>
    <row r="9" spans="1:6" x14ac:dyDescent="0.2">
      <c r="A9" s="66"/>
      <c r="B9" s="67">
        <v>150.23750000000001</v>
      </c>
      <c r="C9" s="68">
        <v>1095</v>
      </c>
      <c r="D9" s="69">
        <v>2.178800963049923E-2</v>
      </c>
      <c r="E9" s="70">
        <v>109818.99</v>
      </c>
      <c r="F9" s="69">
        <v>3.0190267152810129E-2</v>
      </c>
    </row>
    <row r="10" spans="1:6" x14ac:dyDescent="0.2">
      <c r="A10" s="71" t="s">
        <v>4</v>
      </c>
      <c r="B10" s="72">
        <v>281.50956787330318</v>
      </c>
      <c r="C10" s="73">
        <v>50257</v>
      </c>
      <c r="D10" s="74">
        <v>1</v>
      </c>
      <c r="E10" s="75">
        <v>3637562.71</v>
      </c>
      <c r="F10" s="74">
        <v>1</v>
      </c>
    </row>
    <row r="28" spans="1:6" ht="26" x14ac:dyDescent="0.25">
      <c r="A28" s="108" t="s">
        <v>218</v>
      </c>
      <c r="B28" s="108"/>
      <c r="C28" s="108"/>
      <c r="D28" s="108"/>
      <c r="E28" s="108"/>
      <c r="F28" s="108"/>
    </row>
    <row r="29" spans="1:6" x14ac:dyDescent="0.2">
      <c r="A29" s="61" t="s">
        <v>480</v>
      </c>
      <c r="B29" s="62" t="s">
        <v>11</v>
      </c>
      <c r="C29" s="62" t="s">
        <v>213</v>
      </c>
      <c r="D29" s="63" t="s">
        <v>214</v>
      </c>
      <c r="E29" s="64" t="s">
        <v>215</v>
      </c>
      <c r="F29" s="65" t="s">
        <v>216</v>
      </c>
    </row>
    <row r="30" spans="1:6" x14ac:dyDescent="0.2">
      <c r="A30" s="76" t="s">
        <v>564</v>
      </c>
      <c r="B30" s="77">
        <v>29.9</v>
      </c>
      <c r="C30" s="78">
        <v>599</v>
      </c>
      <c r="D30" s="79">
        <v>1.0358303935809641E-2</v>
      </c>
      <c r="E30" s="80">
        <v>17916.11</v>
      </c>
      <c r="F30" s="79">
        <v>5.4581643063769704E-3</v>
      </c>
    </row>
    <row r="31" spans="1:6" x14ac:dyDescent="0.2">
      <c r="A31" s="66" t="s">
        <v>487</v>
      </c>
      <c r="B31" s="67">
        <v>47.4315</v>
      </c>
      <c r="C31" s="68">
        <v>20510</v>
      </c>
      <c r="D31" s="69">
        <v>0.35467247700076088</v>
      </c>
      <c r="E31" s="70">
        <v>1037368.91</v>
      </c>
      <c r="F31" s="69">
        <v>0.31603567722609338</v>
      </c>
    </row>
    <row r="32" spans="1:6" x14ac:dyDescent="0.2">
      <c r="A32" s="76" t="s">
        <v>486</v>
      </c>
      <c r="B32" s="77">
        <v>136.65666666666669</v>
      </c>
      <c r="C32" s="78">
        <v>6727</v>
      </c>
      <c r="D32" s="79">
        <v>0.1163277305111711</v>
      </c>
      <c r="E32" s="80">
        <v>872541.08</v>
      </c>
      <c r="F32" s="79">
        <v>0.26582068198418141</v>
      </c>
    </row>
    <row r="33" spans="1:6" x14ac:dyDescent="0.2">
      <c r="A33" s="66" t="s">
        <v>496</v>
      </c>
      <c r="B33" s="67">
        <v>124.0233333333333</v>
      </c>
      <c r="C33" s="68">
        <v>5160</v>
      </c>
      <c r="D33" s="69">
        <v>8.9230130732517121E-2</v>
      </c>
      <c r="E33" s="70">
        <v>607604.94999999995</v>
      </c>
      <c r="F33" s="69">
        <v>0.1851075736009638</v>
      </c>
    </row>
    <row r="34" spans="1:6" x14ac:dyDescent="0.2">
      <c r="A34" s="76" t="s">
        <v>504</v>
      </c>
      <c r="B34" s="77">
        <v>28.917894736842111</v>
      </c>
      <c r="C34" s="78">
        <v>24174</v>
      </c>
      <c r="D34" s="79">
        <v>0.41803278688524592</v>
      </c>
      <c r="E34" s="80">
        <v>710814.25</v>
      </c>
      <c r="F34" s="79">
        <v>0.21655041009538989</v>
      </c>
    </row>
    <row r="35" spans="1:6" x14ac:dyDescent="0.2">
      <c r="A35" s="66"/>
      <c r="B35" s="67">
        <v>54.99</v>
      </c>
      <c r="C35" s="68">
        <v>658</v>
      </c>
      <c r="D35" s="69">
        <v>1.1378570934495401E-2</v>
      </c>
      <c r="E35" s="70">
        <v>36197.11</v>
      </c>
      <c r="F35" s="69">
        <v>1.1027492786994549E-2</v>
      </c>
    </row>
    <row r="36" spans="1:6" x14ac:dyDescent="0.2">
      <c r="A36" s="71" t="s">
        <v>4</v>
      </c>
      <c r="B36" s="72">
        <v>70.31989912280703</v>
      </c>
      <c r="C36" s="73">
        <v>57828</v>
      </c>
      <c r="D36" s="74">
        <v>1</v>
      </c>
      <c r="E36" s="75">
        <v>3282442.41</v>
      </c>
      <c r="F36" s="74">
        <v>1</v>
      </c>
    </row>
  </sheetData>
  <mergeCells count="2">
    <mergeCell ref="A1:F1"/>
    <mergeCell ref="A28:F28"/>
  </mergeCells>
  <conditionalFormatting sqref="C3:F10 C30:F36">
    <cfRule type="expression" dxfId="3" priority="1">
      <formula>C3&lt;0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0539B-D13D-4D4F-A989-E109630BDFE3}">
  <dimension ref="A1:F37"/>
  <sheetViews>
    <sheetView zoomScale="75" zoomScaleNormal="342" workbookViewId="0">
      <selection activeCell="I61" sqref="I61:I62"/>
    </sheetView>
  </sheetViews>
  <sheetFormatPr baseColWidth="10" defaultColWidth="8.83203125" defaultRowHeight="16" x14ac:dyDescent="0.2"/>
  <cols>
    <col min="1" max="2" width="15.33203125" customWidth="1"/>
    <col min="3" max="3" width="23.6640625" customWidth="1"/>
    <col min="4" max="4" width="20.83203125" style="13" customWidth="1"/>
    <col min="5" max="5" width="19.83203125" customWidth="1"/>
    <col min="6" max="6" width="15.33203125" customWidth="1"/>
  </cols>
  <sheetData>
    <row r="1" spans="1:6" ht="26" x14ac:dyDescent="0.25">
      <c r="A1" s="108" t="s">
        <v>217</v>
      </c>
      <c r="B1" s="108"/>
      <c r="C1" s="108"/>
      <c r="D1" s="108"/>
      <c r="E1" s="108"/>
      <c r="F1" s="108"/>
    </row>
    <row r="2" spans="1:6" x14ac:dyDescent="0.2">
      <c r="A2" s="61" t="s">
        <v>481</v>
      </c>
      <c r="B2" s="62" t="s">
        <v>11</v>
      </c>
      <c r="C2" s="62" t="s">
        <v>213</v>
      </c>
      <c r="D2" s="63" t="s">
        <v>214</v>
      </c>
      <c r="E2" s="64" t="s">
        <v>215</v>
      </c>
      <c r="F2" s="65" t="s">
        <v>216</v>
      </c>
    </row>
    <row r="3" spans="1:6" x14ac:dyDescent="0.2">
      <c r="A3" s="76" t="s">
        <v>523</v>
      </c>
      <c r="B3" s="77">
        <v>659.99</v>
      </c>
      <c r="C3" s="78">
        <v>48</v>
      </c>
      <c r="D3" s="79">
        <v>9.5509083311777466E-4</v>
      </c>
      <c r="E3" s="80">
        <v>33096.25</v>
      </c>
      <c r="F3" s="79">
        <v>9.0984685732057105E-3</v>
      </c>
    </row>
    <row r="4" spans="1:6" x14ac:dyDescent="0.2">
      <c r="A4" s="66" t="s">
        <v>505</v>
      </c>
      <c r="B4" s="67">
        <v>699.99</v>
      </c>
      <c r="C4" s="68">
        <v>58</v>
      </c>
      <c r="D4" s="69">
        <v>1.1540680900173109E-3</v>
      </c>
      <c r="E4" s="70">
        <v>40745.769999999997</v>
      </c>
      <c r="F4" s="69">
        <v>1.1201393143817439E-2</v>
      </c>
    </row>
    <row r="5" spans="1:6" x14ac:dyDescent="0.2">
      <c r="A5" s="76" t="s">
        <v>497</v>
      </c>
      <c r="B5" s="77">
        <v>134.84</v>
      </c>
      <c r="C5" s="78">
        <v>2029</v>
      </c>
      <c r="D5" s="79">
        <v>4.0372485424915942E-2</v>
      </c>
      <c r="E5" s="80">
        <v>289538.83</v>
      </c>
      <c r="F5" s="79">
        <v>7.959693153991014E-2</v>
      </c>
    </row>
    <row r="6" spans="1:6" x14ac:dyDescent="0.2">
      <c r="A6" s="76" t="s">
        <v>511</v>
      </c>
      <c r="B6" s="77">
        <v>149.99</v>
      </c>
      <c r="C6" s="78">
        <v>595</v>
      </c>
      <c r="D6" s="79">
        <v>1.1839146785522409E-2</v>
      </c>
      <c r="E6" s="80">
        <v>65856.69</v>
      </c>
      <c r="F6" s="79">
        <v>1.8104619837605491E-2</v>
      </c>
    </row>
    <row r="7" spans="1:6" x14ac:dyDescent="0.2">
      <c r="A7" s="76" t="s">
        <v>544</v>
      </c>
      <c r="B7" s="77">
        <v>84.89</v>
      </c>
      <c r="C7" s="78">
        <v>298</v>
      </c>
      <c r="D7" s="79">
        <v>5.9295222556061842E-3</v>
      </c>
      <c r="E7" s="80">
        <v>28620.75</v>
      </c>
      <c r="F7" s="79">
        <v>7.868111777514895E-3</v>
      </c>
    </row>
    <row r="8" spans="1:6" x14ac:dyDescent="0.2">
      <c r="A8" s="76" t="s">
        <v>502</v>
      </c>
      <c r="B8" s="77">
        <v>299.99</v>
      </c>
      <c r="C8" s="78">
        <v>348</v>
      </c>
      <c r="D8" s="79">
        <v>6.9244085401038661E-3</v>
      </c>
      <c r="E8" s="80">
        <v>102859.3</v>
      </c>
      <c r="F8" s="79">
        <v>2.82769832990728E-2</v>
      </c>
    </row>
    <row r="9" spans="1:6" x14ac:dyDescent="0.2">
      <c r="A9" s="66" t="s">
        <v>526</v>
      </c>
      <c r="B9" s="67">
        <v>449.99</v>
      </c>
      <c r="C9" s="68">
        <v>71</v>
      </c>
      <c r="D9" s="69">
        <v>1.4127385239867079E-3</v>
      </c>
      <c r="E9" s="70">
        <v>31681.51</v>
      </c>
      <c r="F9" s="69">
        <v>8.7095433194607375E-3</v>
      </c>
    </row>
    <row r="10" spans="1:6" x14ac:dyDescent="0.2">
      <c r="A10" s="76" t="s">
        <v>492</v>
      </c>
      <c r="B10" s="77">
        <v>139.38999999999999</v>
      </c>
      <c r="C10" s="78">
        <v>2210</v>
      </c>
      <c r="D10" s="79">
        <v>4.3973973774797538E-2</v>
      </c>
      <c r="E10" s="80">
        <v>300981.94</v>
      </c>
      <c r="F10" s="79">
        <v>8.2742749471389862E-2</v>
      </c>
    </row>
    <row r="11" spans="1:6" x14ac:dyDescent="0.2">
      <c r="A11" s="76" t="s">
        <v>488</v>
      </c>
      <c r="B11" s="77">
        <v>85.033823529411762</v>
      </c>
      <c r="C11" s="78">
        <v>44163</v>
      </c>
      <c r="D11" s="79">
        <v>0.87874325964542255</v>
      </c>
      <c r="E11" s="80">
        <v>2670559.79</v>
      </c>
      <c r="F11" s="79">
        <v>0.73416185586529714</v>
      </c>
    </row>
    <row r="12" spans="1:6" x14ac:dyDescent="0.2">
      <c r="A12" s="66"/>
      <c r="B12" s="67">
        <v>181.98666666666671</v>
      </c>
      <c r="C12" s="68">
        <v>437</v>
      </c>
      <c r="D12" s="69">
        <v>8.6953061265097401E-3</v>
      </c>
      <c r="E12" s="70">
        <v>73621.88</v>
      </c>
      <c r="F12" s="69">
        <v>2.023934317272567E-2</v>
      </c>
    </row>
    <row r="13" spans="1:6" x14ac:dyDescent="0.2">
      <c r="A13" s="71" t="s">
        <v>4</v>
      </c>
      <c r="B13" s="72">
        <v>288.60904901960782</v>
      </c>
      <c r="C13" s="73">
        <v>50257</v>
      </c>
      <c r="D13" s="74">
        <v>1</v>
      </c>
      <c r="E13" s="75">
        <v>3637562.71</v>
      </c>
      <c r="F13" s="74">
        <v>1</v>
      </c>
    </row>
    <row r="31" spans="1:6" ht="26" x14ac:dyDescent="0.25">
      <c r="A31" s="108" t="s">
        <v>218</v>
      </c>
      <c r="B31" s="108"/>
      <c r="C31" s="108"/>
      <c r="D31" s="108"/>
      <c r="E31" s="108"/>
      <c r="F31" s="108"/>
    </row>
    <row r="32" spans="1:6" x14ac:dyDescent="0.2">
      <c r="A32" s="61" t="s">
        <v>481</v>
      </c>
      <c r="B32" s="62" t="s">
        <v>11</v>
      </c>
      <c r="C32" s="62" t="s">
        <v>213</v>
      </c>
      <c r="D32" s="63" t="s">
        <v>214</v>
      </c>
      <c r="E32" s="64" t="s">
        <v>215</v>
      </c>
      <c r="F32" s="65" t="s">
        <v>216</v>
      </c>
    </row>
    <row r="33" spans="1:6" x14ac:dyDescent="0.2">
      <c r="A33" s="76" t="s">
        <v>505</v>
      </c>
      <c r="B33" s="77">
        <v>39.979999999999997</v>
      </c>
      <c r="C33" s="78">
        <v>533</v>
      </c>
      <c r="D33" s="79">
        <v>9.2169883101611682E-3</v>
      </c>
      <c r="E33" s="80">
        <v>21020.51</v>
      </c>
      <c r="F33" s="79">
        <v>6.4039234735576061E-3</v>
      </c>
    </row>
    <row r="34" spans="1:6" x14ac:dyDescent="0.2">
      <c r="A34" s="66" t="s">
        <v>497</v>
      </c>
      <c r="B34" s="67">
        <v>133.19</v>
      </c>
      <c r="C34" s="68">
        <v>1575</v>
      </c>
      <c r="D34" s="69">
        <v>2.7235941066611331E-2</v>
      </c>
      <c r="E34" s="70">
        <v>232842.09</v>
      </c>
      <c r="F34" s="69">
        <v>7.0935620771485228E-2</v>
      </c>
    </row>
    <row r="35" spans="1:6" x14ac:dyDescent="0.2">
      <c r="A35" s="76" t="s">
        <v>492</v>
      </c>
      <c r="B35" s="77">
        <v>89.69</v>
      </c>
      <c r="C35" s="78">
        <v>2800</v>
      </c>
      <c r="D35" s="79">
        <v>4.8419450785086811E-2</v>
      </c>
      <c r="E35" s="80">
        <v>321694.51</v>
      </c>
      <c r="F35" s="79">
        <v>9.8004616629359248E-2</v>
      </c>
    </row>
    <row r="36" spans="1:6" x14ac:dyDescent="0.2">
      <c r="A36" s="76" t="s">
        <v>488</v>
      </c>
      <c r="B36" s="77">
        <v>50.029555555555547</v>
      </c>
      <c r="C36" s="78">
        <v>52920</v>
      </c>
      <c r="D36" s="79">
        <v>0.91512761983814073</v>
      </c>
      <c r="E36" s="80">
        <v>2706885.3</v>
      </c>
      <c r="F36" s="79">
        <v>0.82465583912559792</v>
      </c>
    </row>
    <row r="37" spans="1:6" x14ac:dyDescent="0.2">
      <c r="A37" s="71" t="s">
        <v>4</v>
      </c>
      <c r="B37" s="72">
        <v>78.222388888888887</v>
      </c>
      <c r="C37" s="73">
        <v>57828</v>
      </c>
      <c r="D37" s="74">
        <v>1</v>
      </c>
      <c r="E37" s="75">
        <v>3282442.41</v>
      </c>
      <c r="F37" s="74">
        <v>1</v>
      </c>
    </row>
  </sheetData>
  <mergeCells count="2">
    <mergeCell ref="A1:F1"/>
    <mergeCell ref="A31:F31"/>
  </mergeCells>
  <conditionalFormatting sqref="C3:F13 C33:F37">
    <cfRule type="expression" dxfId="2" priority="1">
      <formula>C3&lt;0</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0C597-5A7A-0E46-AF45-EC7B63771778}">
  <dimension ref="A1:F30"/>
  <sheetViews>
    <sheetView zoomScale="75" workbookViewId="0">
      <selection activeCell="H25" sqref="H25"/>
    </sheetView>
  </sheetViews>
  <sheetFormatPr baseColWidth="10" defaultColWidth="8.83203125" defaultRowHeight="16" x14ac:dyDescent="0.2"/>
  <cols>
    <col min="1" max="2" width="15.33203125" customWidth="1"/>
    <col min="3" max="3" width="23.6640625" customWidth="1"/>
    <col min="4" max="4" width="20.83203125" style="13" customWidth="1"/>
    <col min="5" max="5" width="19.83203125" customWidth="1"/>
    <col min="6" max="6" width="15.33203125" customWidth="1"/>
  </cols>
  <sheetData>
    <row r="1" spans="1:6" ht="26" x14ac:dyDescent="0.25">
      <c r="A1" s="108" t="s">
        <v>217</v>
      </c>
      <c r="B1" s="108"/>
      <c r="C1" s="108"/>
      <c r="D1" s="108"/>
      <c r="E1" s="108"/>
      <c r="F1" s="108"/>
    </row>
    <row r="2" spans="1:6" x14ac:dyDescent="0.2">
      <c r="A2" s="61" t="s">
        <v>483</v>
      </c>
      <c r="B2" s="62" t="s">
        <v>11</v>
      </c>
      <c r="C2" s="62" t="s">
        <v>213</v>
      </c>
      <c r="D2" s="63" t="s">
        <v>214</v>
      </c>
      <c r="E2" s="64" t="s">
        <v>215</v>
      </c>
      <c r="F2" s="65" t="s">
        <v>216</v>
      </c>
    </row>
    <row r="3" spans="1:6" x14ac:dyDescent="0.2">
      <c r="A3" s="76" t="s">
        <v>495</v>
      </c>
      <c r="B3" s="77">
        <v>113.49</v>
      </c>
      <c r="C3" s="78">
        <v>20239</v>
      </c>
      <c r="D3" s="79">
        <v>0.40271007023897171</v>
      </c>
      <c r="E3" s="80">
        <v>1220047.49</v>
      </c>
      <c r="F3" s="79">
        <v>0.33540246238119148</v>
      </c>
    </row>
    <row r="4" spans="1:6" x14ac:dyDescent="0.2">
      <c r="A4" s="66" t="s">
        <v>489</v>
      </c>
      <c r="B4" s="67">
        <v>150.12960000000001</v>
      </c>
      <c r="C4" s="68">
        <v>27353</v>
      </c>
      <c r="D4" s="69">
        <v>0.54426249079730182</v>
      </c>
      <c r="E4" s="70">
        <v>2069390.53</v>
      </c>
      <c r="F4" s="69">
        <v>0.5688948053901729</v>
      </c>
    </row>
    <row r="5" spans="1:6" x14ac:dyDescent="0.2">
      <c r="A5" s="76" t="s">
        <v>499</v>
      </c>
      <c r="B5" s="77">
        <v>142.16499999999999</v>
      </c>
      <c r="C5" s="78">
        <v>2228</v>
      </c>
      <c r="D5" s="79">
        <v>4.4332132837216709E-2</v>
      </c>
      <c r="E5" s="80">
        <v>274502.81</v>
      </c>
      <c r="F5" s="79">
        <v>7.5463389055909907E-2</v>
      </c>
    </row>
    <row r="6" spans="1:6" x14ac:dyDescent="0.2">
      <c r="A6" s="76"/>
      <c r="B6" s="77">
        <v>181.98666666666671</v>
      </c>
      <c r="C6" s="78">
        <v>437</v>
      </c>
      <c r="D6" s="79">
        <v>8.6953061265097401E-3</v>
      </c>
      <c r="E6" s="80">
        <v>73621.88</v>
      </c>
      <c r="F6" s="79">
        <v>2.023934317272567E-2</v>
      </c>
    </row>
    <row r="7" spans="1:6" x14ac:dyDescent="0.2">
      <c r="A7" s="71" t="s">
        <v>4</v>
      </c>
      <c r="B7" s="72">
        <v>146.94281666666669</v>
      </c>
      <c r="C7" s="73">
        <v>50257</v>
      </c>
      <c r="D7" s="74">
        <v>1</v>
      </c>
      <c r="E7" s="75">
        <v>3637562.71</v>
      </c>
      <c r="F7" s="74">
        <v>1</v>
      </c>
    </row>
    <row r="25" spans="1:6" ht="26" x14ac:dyDescent="0.25">
      <c r="A25" s="108" t="s">
        <v>218</v>
      </c>
      <c r="B25" s="108"/>
      <c r="C25" s="108"/>
      <c r="D25" s="108"/>
      <c r="E25" s="108"/>
      <c r="F25" s="108"/>
    </row>
    <row r="26" spans="1:6" x14ac:dyDescent="0.2">
      <c r="A26" s="61" t="s">
        <v>483</v>
      </c>
      <c r="B26" s="62" t="s">
        <v>11</v>
      </c>
      <c r="C26" s="62" t="s">
        <v>213</v>
      </c>
      <c r="D26" s="63" t="s">
        <v>214</v>
      </c>
      <c r="E26" s="64" t="s">
        <v>215</v>
      </c>
      <c r="F26" s="65" t="s">
        <v>216</v>
      </c>
    </row>
    <row r="27" spans="1:6" x14ac:dyDescent="0.2">
      <c r="A27" s="76" t="s">
        <v>495</v>
      </c>
      <c r="B27" s="77">
        <v>65.282222222222231</v>
      </c>
      <c r="C27" s="78">
        <v>22164</v>
      </c>
      <c r="D27" s="79">
        <v>0.38327453828595143</v>
      </c>
      <c r="E27" s="80">
        <v>1102923.21</v>
      </c>
      <c r="F27" s="79">
        <v>0.33600687300405679</v>
      </c>
    </row>
    <row r="28" spans="1:6" x14ac:dyDescent="0.2">
      <c r="A28" s="66" t="s">
        <v>489</v>
      </c>
      <c r="B28" s="67">
        <v>43.140333333333338</v>
      </c>
      <c r="C28" s="68">
        <v>33888</v>
      </c>
      <c r="D28" s="69">
        <v>0.58601369578750773</v>
      </c>
      <c r="E28" s="70">
        <v>1968776.22</v>
      </c>
      <c r="F28" s="69">
        <v>0.59979002647604718</v>
      </c>
    </row>
    <row r="29" spans="1:6" x14ac:dyDescent="0.2">
      <c r="A29" s="76" t="s">
        <v>499</v>
      </c>
      <c r="B29" s="77">
        <v>133.88999999999999</v>
      </c>
      <c r="C29" s="78">
        <v>1776</v>
      </c>
      <c r="D29" s="79">
        <v>3.071176592654078E-2</v>
      </c>
      <c r="E29" s="80">
        <v>210742.98</v>
      </c>
      <c r="F29" s="79">
        <v>6.4203100519896097E-2</v>
      </c>
    </row>
    <row r="30" spans="1:6" x14ac:dyDescent="0.2">
      <c r="A30" s="71" t="s">
        <v>4</v>
      </c>
      <c r="B30" s="72">
        <v>80.770851851851845</v>
      </c>
      <c r="C30" s="73">
        <v>57828</v>
      </c>
      <c r="D30" s="74">
        <v>1</v>
      </c>
      <c r="E30" s="75">
        <v>3282442.41</v>
      </c>
      <c r="F30" s="74">
        <v>1</v>
      </c>
    </row>
  </sheetData>
  <mergeCells count="2">
    <mergeCell ref="A1:F1"/>
    <mergeCell ref="A25:F25"/>
  </mergeCells>
  <conditionalFormatting sqref="C3:F7 C27:F30">
    <cfRule type="expression" dxfId="1" priority="1">
      <formula>C3&lt;0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1480-4B95-FB4D-A02A-764101F8EE68}">
  <dimension ref="A1:F42"/>
  <sheetViews>
    <sheetView zoomScale="75" workbookViewId="0">
      <selection activeCell="H38" sqref="H38"/>
    </sheetView>
  </sheetViews>
  <sheetFormatPr baseColWidth="10" defaultColWidth="8.83203125" defaultRowHeight="16" x14ac:dyDescent="0.2"/>
  <cols>
    <col min="1" max="2" width="15.33203125" customWidth="1"/>
    <col min="3" max="3" width="23.6640625" customWidth="1"/>
    <col min="4" max="4" width="20.83203125" style="13" customWidth="1"/>
    <col min="5" max="5" width="19.83203125" customWidth="1"/>
    <col min="6" max="6" width="15.33203125" customWidth="1"/>
  </cols>
  <sheetData>
    <row r="1" spans="1:6" ht="26" x14ac:dyDescent="0.25">
      <c r="A1" s="108" t="s">
        <v>217</v>
      </c>
      <c r="B1" s="108"/>
      <c r="C1" s="108"/>
      <c r="D1" s="108"/>
      <c r="E1" s="108"/>
      <c r="F1" s="108"/>
    </row>
    <row r="2" spans="1:6" x14ac:dyDescent="0.2">
      <c r="A2" s="61" t="s">
        <v>482</v>
      </c>
      <c r="B2" s="62" t="s">
        <v>11</v>
      </c>
      <c r="C2" s="62" t="s">
        <v>213</v>
      </c>
      <c r="D2" s="63" t="s">
        <v>214</v>
      </c>
      <c r="E2" s="64" t="s">
        <v>215</v>
      </c>
      <c r="F2" s="65" t="s">
        <v>216</v>
      </c>
    </row>
    <row r="3" spans="1:6" x14ac:dyDescent="0.2">
      <c r="A3" s="76" t="s">
        <v>494</v>
      </c>
      <c r="B3" s="77">
        <v>120.95666666666671</v>
      </c>
      <c r="C3" s="78">
        <v>1678</v>
      </c>
      <c r="D3" s="79">
        <v>3.3388383707742213E-2</v>
      </c>
      <c r="E3" s="80">
        <v>126034.43</v>
      </c>
      <c r="F3" s="79">
        <v>3.464804322232564E-2</v>
      </c>
    </row>
    <row r="4" spans="1:6" x14ac:dyDescent="0.2">
      <c r="A4" s="66" t="s">
        <v>501</v>
      </c>
      <c r="B4" s="67">
        <v>52.773684210526319</v>
      </c>
      <c r="C4" s="68">
        <v>30505</v>
      </c>
      <c r="D4" s="69">
        <v>0.60698012217203579</v>
      </c>
      <c r="E4" s="70">
        <v>1165435.6299999999</v>
      </c>
      <c r="F4" s="69">
        <v>0.32038915144915808</v>
      </c>
    </row>
    <row r="5" spans="1:6" x14ac:dyDescent="0.2">
      <c r="A5" s="76" t="s">
        <v>524</v>
      </c>
      <c r="B5" s="77">
        <v>659.99</v>
      </c>
      <c r="C5" s="78">
        <v>48</v>
      </c>
      <c r="D5" s="79">
        <v>9.5509083311777466E-4</v>
      </c>
      <c r="E5" s="80">
        <v>33096.25</v>
      </c>
      <c r="F5" s="79">
        <v>9.0984685732057105E-3</v>
      </c>
    </row>
    <row r="6" spans="1:6" x14ac:dyDescent="0.2">
      <c r="A6" s="76" t="s">
        <v>506</v>
      </c>
      <c r="B6" s="77">
        <v>40.99</v>
      </c>
      <c r="C6" s="78">
        <v>915</v>
      </c>
      <c r="D6" s="79">
        <v>1.8206419006307581E-2</v>
      </c>
      <c r="E6" s="80">
        <v>33366.730000000003</v>
      </c>
      <c r="F6" s="79">
        <v>9.1728260541795587E-3</v>
      </c>
    </row>
    <row r="7" spans="1:6" x14ac:dyDescent="0.2">
      <c r="A7" s="76" t="s">
        <v>512</v>
      </c>
      <c r="B7" s="77">
        <v>199.99</v>
      </c>
      <c r="C7" s="78">
        <v>232</v>
      </c>
      <c r="D7" s="79">
        <v>4.6162723600692438E-3</v>
      </c>
      <c r="E7" s="80">
        <v>36138.18</v>
      </c>
      <c r="F7" s="79">
        <v>9.9347235720920381E-3</v>
      </c>
    </row>
    <row r="8" spans="1:6" x14ac:dyDescent="0.2">
      <c r="A8" s="76" t="s">
        <v>493</v>
      </c>
      <c r="B8" s="77">
        <v>108.45666666666671</v>
      </c>
      <c r="C8" s="78">
        <v>3453</v>
      </c>
      <c r="D8" s="79">
        <v>6.8706846807409919E-2</v>
      </c>
      <c r="E8" s="80">
        <v>406987.28</v>
      </c>
      <c r="F8" s="79">
        <v>0.111884608581772</v>
      </c>
    </row>
    <row r="9" spans="1:6" x14ac:dyDescent="0.2">
      <c r="A9" s="76" t="s">
        <v>540</v>
      </c>
      <c r="B9" s="77">
        <v>99.99</v>
      </c>
      <c r="C9" s="78">
        <v>363</v>
      </c>
      <c r="D9" s="79">
        <v>7.2228744254531707E-3</v>
      </c>
      <c r="E9" s="80">
        <v>29718.51</v>
      </c>
      <c r="F9" s="79">
        <v>8.1698962655134526E-3</v>
      </c>
    </row>
    <row r="10" spans="1:6" x14ac:dyDescent="0.2">
      <c r="A10" s="66" t="s">
        <v>500</v>
      </c>
      <c r="B10" s="67">
        <v>122.16500000000001</v>
      </c>
      <c r="C10" s="68">
        <v>2314</v>
      </c>
      <c r="D10" s="69">
        <v>4.6043337246552719E-2</v>
      </c>
      <c r="E10" s="70">
        <v>266749.69</v>
      </c>
      <c r="F10" s="69">
        <v>7.3331983876643594E-2</v>
      </c>
    </row>
    <row r="11" spans="1:6" x14ac:dyDescent="0.2">
      <c r="A11" s="76" t="s">
        <v>490</v>
      </c>
      <c r="B11" s="77">
        <v>242.59833333333339</v>
      </c>
      <c r="C11" s="78">
        <v>9858</v>
      </c>
      <c r="D11" s="79">
        <v>0.19615177985156301</v>
      </c>
      <c r="E11" s="80">
        <v>1409717.39</v>
      </c>
      <c r="F11" s="79">
        <v>0.38754449129483182</v>
      </c>
    </row>
    <row r="12" spans="1:6" x14ac:dyDescent="0.2">
      <c r="A12" s="76" t="s">
        <v>530</v>
      </c>
      <c r="B12" s="77">
        <v>136.49</v>
      </c>
      <c r="C12" s="78">
        <v>454</v>
      </c>
      <c r="D12" s="79">
        <v>9.0335674632389517E-3</v>
      </c>
      <c r="E12" s="80">
        <v>56696.740000000013</v>
      </c>
      <c r="F12" s="79">
        <v>1.55864639375523E-2</v>
      </c>
    </row>
    <row r="13" spans="1:6" x14ac:dyDescent="0.2">
      <c r="A13" s="66"/>
      <c r="B13" s="67">
        <v>181.98666666666671</v>
      </c>
      <c r="C13" s="68">
        <v>437</v>
      </c>
      <c r="D13" s="69">
        <v>8.6953061265097401E-3</v>
      </c>
      <c r="E13" s="70">
        <v>73621.88</v>
      </c>
      <c r="F13" s="69">
        <v>2.023934317272567E-2</v>
      </c>
    </row>
    <row r="14" spans="1:6" x14ac:dyDescent="0.2">
      <c r="A14" s="71" t="s">
        <v>4</v>
      </c>
      <c r="B14" s="72">
        <v>178.76245614035091</v>
      </c>
      <c r="C14" s="73">
        <v>50257</v>
      </c>
      <c r="D14" s="74">
        <v>1</v>
      </c>
      <c r="E14" s="75">
        <v>3637562.71</v>
      </c>
      <c r="F14" s="74">
        <v>1</v>
      </c>
    </row>
    <row r="32" spans="1:6" ht="26" x14ac:dyDescent="0.25">
      <c r="A32" s="108" t="s">
        <v>218</v>
      </c>
      <c r="B32" s="108"/>
      <c r="C32" s="108"/>
      <c r="D32" s="108"/>
      <c r="E32" s="108"/>
      <c r="F32" s="108"/>
    </row>
    <row r="33" spans="1:6" x14ac:dyDescent="0.2">
      <c r="A33" s="61" t="s">
        <v>482</v>
      </c>
      <c r="B33" s="62" t="s">
        <v>11</v>
      </c>
      <c r="C33" s="62" t="s">
        <v>213</v>
      </c>
      <c r="D33" s="63" t="s">
        <v>214</v>
      </c>
      <c r="E33" s="64" t="s">
        <v>215</v>
      </c>
      <c r="F33" s="65" t="s">
        <v>216</v>
      </c>
    </row>
    <row r="34" spans="1:6" x14ac:dyDescent="0.2">
      <c r="A34" s="76" t="s">
        <v>494</v>
      </c>
      <c r="B34" s="77">
        <v>22.73</v>
      </c>
      <c r="C34" s="78">
        <v>1675</v>
      </c>
      <c r="D34" s="79">
        <v>2.896520716607872E-2</v>
      </c>
      <c r="E34" s="80">
        <v>42400.6</v>
      </c>
      <c r="F34" s="79">
        <v>1.291739342351478E-2</v>
      </c>
    </row>
    <row r="35" spans="1:6" x14ac:dyDescent="0.2">
      <c r="A35" s="66" t="s">
        <v>501</v>
      </c>
      <c r="B35" s="67">
        <v>37.308181818181822</v>
      </c>
      <c r="C35" s="68">
        <v>39098</v>
      </c>
      <c r="D35" s="69">
        <v>0.67610845956975862</v>
      </c>
      <c r="E35" s="70">
        <v>1382202.05</v>
      </c>
      <c r="F35" s="69">
        <v>0.42108950511640508</v>
      </c>
    </row>
    <row r="36" spans="1:6" x14ac:dyDescent="0.2">
      <c r="A36" s="76" t="s">
        <v>506</v>
      </c>
      <c r="B36" s="77">
        <v>40.99</v>
      </c>
      <c r="C36" s="78">
        <v>915</v>
      </c>
      <c r="D36" s="79">
        <v>1.582278481012658E-2</v>
      </c>
      <c r="E36" s="80">
        <v>33366.730000000003</v>
      </c>
      <c r="F36" s="79">
        <v>1.016521414004031E-2</v>
      </c>
    </row>
    <row r="37" spans="1:6" x14ac:dyDescent="0.2">
      <c r="A37" s="76" t="s">
        <v>570</v>
      </c>
      <c r="B37" s="77">
        <v>39.99</v>
      </c>
      <c r="C37" s="78">
        <v>581</v>
      </c>
      <c r="D37" s="79">
        <v>1.0047036037905511E-2</v>
      </c>
      <c r="E37" s="80">
        <v>19298.900000000001</v>
      </c>
      <c r="F37" s="79">
        <v>5.8794329311629883E-3</v>
      </c>
    </row>
    <row r="38" spans="1:6" x14ac:dyDescent="0.2">
      <c r="A38" s="76" t="s">
        <v>493</v>
      </c>
      <c r="B38" s="77">
        <v>108.45666666666671</v>
      </c>
      <c r="C38" s="78">
        <v>3453</v>
      </c>
      <c r="D38" s="79">
        <v>5.9711558414608838E-2</v>
      </c>
      <c r="E38" s="80">
        <v>406987.28</v>
      </c>
      <c r="F38" s="79">
        <v>0.12398916086390679</v>
      </c>
    </row>
    <row r="39" spans="1:6" x14ac:dyDescent="0.2">
      <c r="A39" s="76" t="s">
        <v>500</v>
      </c>
      <c r="B39" s="77">
        <v>102.59</v>
      </c>
      <c r="C39" s="78">
        <v>2366</v>
      </c>
      <c r="D39" s="79">
        <v>4.0914435913398363E-2</v>
      </c>
      <c r="E39" s="80">
        <v>231455.55</v>
      </c>
      <c r="F39" s="79">
        <v>7.0513209704721067E-2</v>
      </c>
    </row>
    <row r="40" spans="1:6" x14ac:dyDescent="0.2">
      <c r="A40" s="66" t="s">
        <v>490</v>
      </c>
      <c r="B40" s="67">
        <v>119.38833333333331</v>
      </c>
      <c r="C40" s="68">
        <v>9094</v>
      </c>
      <c r="D40" s="69">
        <v>0.1572594590855641</v>
      </c>
      <c r="E40" s="70">
        <v>1150145.1000000001</v>
      </c>
      <c r="F40" s="69">
        <v>0.3503930781835104</v>
      </c>
    </row>
    <row r="41" spans="1:6" x14ac:dyDescent="0.2">
      <c r="A41" s="76" t="s">
        <v>530</v>
      </c>
      <c r="B41" s="77">
        <v>29.99</v>
      </c>
      <c r="C41" s="78">
        <v>646</v>
      </c>
      <c r="D41" s="79">
        <v>1.1171059002559309E-2</v>
      </c>
      <c r="E41" s="80">
        <v>16586.2</v>
      </c>
      <c r="F41" s="79">
        <v>5.0530056367386507E-3</v>
      </c>
    </row>
    <row r="42" spans="1:6" x14ac:dyDescent="0.2">
      <c r="A42" s="71" t="s">
        <v>4</v>
      </c>
      <c r="B42" s="72">
        <v>62.68039772727272</v>
      </c>
      <c r="C42" s="73">
        <v>57828</v>
      </c>
      <c r="D42" s="74">
        <v>1</v>
      </c>
      <c r="E42" s="75">
        <v>3282442.41</v>
      </c>
      <c r="F42" s="74">
        <v>1</v>
      </c>
    </row>
  </sheetData>
  <mergeCells count="2">
    <mergeCell ref="A1:F1"/>
    <mergeCell ref="A32:F32"/>
  </mergeCells>
  <conditionalFormatting sqref="C3:F14 C34:F42">
    <cfRule type="expression" dxfId="0" priority="1">
      <formula>C3&lt;0</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A1E91-8784-40E5-BD41-FAFC4A1B10B9}">
  <dimension ref="A1:K136"/>
  <sheetViews>
    <sheetView workbookViewId="0">
      <selection activeCell="L10" sqref="L10"/>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19"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28.33203125" style="19" hidden="1" customWidth="1"/>
    <col min="11" max="11" width="35.6640625" style="19" customWidth="1"/>
    <col min="12" max="16384" width="12.6640625" style="19"/>
  </cols>
  <sheetData>
    <row r="1" spans="1:11" x14ac:dyDescent="0.2">
      <c r="A1" s="112" t="e" vm="1">
        <v>#VALUE!</v>
      </c>
      <c r="B1" s="112"/>
      <c r="C1" s="112"/>
      <c r="D1" s="112"/>
      <c r="E1" s="112"/>
      <c r="F1" s="112"/>
      <c r="G1" s="112"/>
      <c r="H1" s="112"/>
      <c r="I1" s="112"/>
      <c r="J1" s="112"/>
      <c r="K1" s="112"/>
    </row>
    <row r="2" spans="1:11" x14ac:dyDescent="0.2">
      <c r="A2" s="112"/>
      <c r="B2" s="112"/>
      <c r="C2" s="112"/>
      <c r="D2" s="112"/>
      <c r="E2" s="112"/>
      <c r="F2" s="112"/>
      <c r="G2" s="112"/>
      <c r="H2" s="112"/>
      <c r="I2" s="112"/>
      <c r="J2" s="112"/>
      <c r="K2" s="112"/>
    </row>
    <row r="3" spans="1:11" x14ac:dyDescent="0.2">
      <c r="A3" s="112"/>
      <c r="B3" s="112"/>
      <c r="C3" s="112"/>
      <c r="D3" s="112"/>
      <c r="E3" s="112"/>
      <c r="F3" s="112"/>
      <c r="G3" s="112"/>
      <c r="H3" s="112"/>
      <c r="I3" s="112"/>
      <c r="J3" s="112"/>
      <c r="K3" s="112"/>
    </row>
    <row r="4" spans="1:11" x14ac:dyDescent="0.2">
      <c r="A4" s="112"/>
      <c r="B4" s="112"/>
      <c r="C4" s="112"/>
      <c r="D4" s="112"/>
      <c r="E4" s="112"/>
      <c r="F4" s="112"/>
      <c r="G4" s="112"/>
      <c r="H4" s="112"/>
      <c r="I4" s="112"/>
      <c r="J4" s="112"/>
      <c r="K4" s="112"/>
    </row>
    <row r="5" spans="1:11" x14ac:dyDescent="0.2">
      <c r="A5" s="112"/>
      <c r="B5" s="112"/>
      <c r="C5" s="112"/>
      <c r="D5" s="112"/>
      <c r="E5" s="112"/>
      <c r="F5" s="112"/>
      <c r="G5" s="112"/>
      <c r="H5" s="112"/>
      <c r="I5" s="112"/>
      <c r="J5" s="112"/>
      <c r="K5" s="112"/>
    </row>
    <row r="6" spans="1:11" x14ac:dyDescent="0.2">
      <c r="A6" s="17"/>
      <c r="B6" s="17"/>
      <c r="C6" s="33"/>
      <c r="D6" s="34"/>
      <c r="E6" s="34"/>
      <c r="F6" s="34"/>
      <c r="G6" s="34"/>
      <c r="H6" s="35"/>
      <c r="I6" s="36"/>
    </row>
    <row r="7" spans="1:11" x14ac:dyDescent="0.2">
      <c r="A7" s="111" t="s">
        <v>14</v>
      </c>
      <c r="B7" s="111"/>
      <c r="C7" s="111"/>
      <c r="D7" s="111"/>
      <c r="E7" s="111"/>
      <c r="F7" s="111"/>
      <c r="G7" s="111"/>
      <c r="H7" s="111"/>
      <c r="I7" s="111"/>
      <c r="J7" s="111"/>
      <c r="K7" s="111"/>
    </row>
    <row r="8" spans="1:11" ht="17" x14ac:dyDescent="0.2">
      <c r="A8" s="24" t="s">
        <v>6</v>
      </c>
      <c r="B8" s="25" t="s">
        <v>5</v>
      </c>
      <c r="C8" s="26" t="s">
        <v>11</v>
      </c>
      <c r="D8" s="27" t="s">
        <v>2</v>
      </c>
      <c r="E8" s="25" t="s">
        <v>27</v>
      </c>
      <c r="F8" s="29" t="s">
        <v>13</v>
      </c>
      <c r="G8" s="32" t="s">
        <v>28</v>
      </c>
      <c r="H8" s="29" t="s">
        <v>8</v>
      </c>
      <c r="I8" s="30" t="s">
        <v>12</v>
      </c>
      <c r="J8" s="30" t="s">
        <v>22</v>
      </c>
      <c r="K8" s="31" t="s">
        <v>10</v>
      </c>
    </row>
    <row r="9" spans="1:11" ht="45" x14ac:dyDescent="0.2">
      <c r="A9" s="18" t="s">
        <v>42</v>
      </c>
      <c r="B9" s="18" t="s">
        <v>41</v>
      </c>
      <c r="C9" s="41">
        <v>129.99</v>
      </c>
      <c r="D9" s="42">
        <v>8388394.5600000015</v>
      </c>
      <c r="E9" s="43">
        <v>699032.88</v>
      </c>
      <c r="F9" s="44">
        <v>64536</v>
      </c>
      <c r="G9" s="44">
        <v>5378</v>
      </c>
      <c r="H9" s="44">
        <v>1078</v>
      </c>
      <c r="I9" s="45">
        <v>4.7</v>
      </c>
      <c r="J9" s="45" t="s">
        <v>43</v>
      </c>
      <c r="K9" s="56" t="str">
        <f t="shared" ref="K9" si="0">HYPERLINK(J9)</f>
        <v>https://amazon.com/dp/B0CJY5C9QX</v>
      </c>
    </row>
    <row r="10" spans="1:11" ht="45" x14ac:dyDescent="0.2">
      <c r="A10" s="18" t="s">
        <v>223</v>
      </c>
      <c r="B10" s="18" t="s">
        <v>222</v>
      </c>
      <c r="C10" s="41">
        <v>106.39</v>
      </c>
      <c r="D10" s="42">
        <v>1543312.2</v>
      </c>
      <c r="E10" s="43">
        <v>128609.35</v>
      </c>
      <c r="F10" s="44">
        <v>11088</v>
      </c>
      <c r="G10" s="44">
        <v>924</v>
      </c>
      <c r="H10" s="44">
        <v>177</v>
      </c>
      <c r="I10" s="45">
        <v>4.5999999999999996</v>
      </c>
      <c r="J10" s="45" t="s">
        <v>224</v>
      </c>
      <c r="K10" s="56" t="str">
        <f t="shared" ref="K10" si="1">HYPERLINK(J10)</f>
        <v>https://amazon.com/dp/B0DT4H7QQM</v>
      </c>
    </row>
    <row r="11" spans="1:11" ht="45" x14ac:dyDescent="0.2">
      <c r="A11" s="18" t="s">
        <v>229</v>
      </c>
      <c r="B11" s="18" t="s">
        <v>63</v>
      </c>
      <c r="C11" s="41">
        <v>149.99</v>
      </c>
      <c r="D11" s="42">
        <v>1386287.4</v>
      </c>
      <c r="E11" s="43">
        <v>115523.95</v>
      </c>
      <c r="F11" s="44">
        <v>10068</v>
      </c>
      <c r="G11" s="44">
        <v>839</v>
      </c>
      <c r="H11" s="44">
        <v>318</v>
      </c>
      <c r="I11" s="45">
        <v>4.4000000000000004</v>
      </c>
      <c r="J11" s="45" t="s">
        <v>64</v>
      </c>
      <c r="K11" s="56" t="str">
        <f t="shared" ref="K11" si="2">HYPERLINK(J11)</f>
        <v>https://amazon.com/dp/B0CJY6SWBN</v>
      </c>
    </row>
    <row r="12" spans="1:11" ht="60" x14ac:dyDescent="0.2">
      <c r="A12" s="18" t="s">
        <v>59</v>
      </c>
      <c r="B12" s="18" t="s">
        <v>58</v>
      </c>
      <c r="C12" s="41">
        <v>159.99</v>
      </c>
      <c r="D12" s="42">
        <v>1250792.8799999999</v>
      </c>
      <c r="E12" s="43">
        <v>104232.74</v>
      </c>
      <c r="F12" s="44">
        <v>7812</v>
      </c>
      <c r="G12" s="44">
        <v>651</v>
      </c>
      <c r="H12" s="44">
        <v>3542</v>
      </c>
      <c r="I12" s="45">
        <v>4.5999999999999996</v>
      </c>
      <c r="J12" s="45" t="s">
        <v>60</v>
      </c>
      <c r="K12" s="56" t="str">
        <f t="shared" ref="K12:K18" si="3">HYPERLINK(J12)</f>
        <v>https://amazon.com/dp/B07TV2BFVR</v>
      </c>
    </row>
    <row r="13" spans="1:11" ht="45" x14ac:dyDescent="0.2">
      <c r="A13" s="18" t="s">
        <v>238</v>
      </c>
      <c r="B13" s="18" t="s">
        <v>237</v>
      </c>
      <c r="C13" s="41">
        <v>299.99</v>
      </c>
      <c r="D13" s="42">
        <v>909591.11999999988</v>
      </c>
      <c r="E13" s="43">
        <v>75799.259999999995</v>
      </c>
      <c r="F13" s="44">
        <v>3036</v>
      </c>
      <c r="G13" s="44">
        <v>253</v>
      </c>
      <c r="H13" s="44">
        <v>184</v>
      </c>
      <c r="I13" s="45">
        <v>4.2</v>
      </c>
      <c r="J13" s="45" t="s">
        <v>239</v>
      </c>
      <c r="K13" s="56" t="str">
        <f t="shared" si="3"/>
        <v>https://amazon.com/dp/B0CHW4FLS7</v>
      </c>
    </row>
    <row r="14" spans="1:11" ht="45" x14ac:dyDescent="0.2">
      <c r="A14" s="18" t="s">
        <v>262</v>
      </c>
      <c r="B14" s="18" t="s">
        <v>261</v>
      </c>
      <c r="C14" s="41">
        <v>279.99</v>
      </c>
      <c r="D14" s="42">
        <v>521574.24</v>
      </c>
      <c r="E14" s="43">
        <v>43464.52</v>
      </c>
      <c r="F14" s="44">
        <v>2148</v>
      </c>
      <c r="G14" s="44">
        <v>179</v>
      </c>
      <c r="H14" s="44">
        <v>549</v>
      </c>
      <c r="I14" s="45">
        <v>4.7</v>
      </c>
      <c r="J14" s="45" t="s">
        <v>263</v>
      </c>
      <c r="K14" s="56" t="str">
        <f t="shared" si="3"/>
        <v>https://amazon.com/dp/B09ZV7KJHL</v>
      </c>
    </row>
    <row r="15" spans="1:11" ht="45" x14ac:dyDescent="0.2">
      <c r="A15" s="18" t="s">
        <v>265</v>
      </c>
      <c r="B15" s="18" t="s">
        <v>264</v>
      </c>
      <c r="C15" s="41">
        <v>699.99</v>
      </c>
      <c r="D15" s="42">
        <v>488949.24</v>
      </c>
      <c r="E15" s="43">
        <v>40745.769999999997</v>
      </c>
      <c r="F15" s="44">
        <v>696</v>
      </c>
      <c r="G15" s="44">
        <v>58</v>
      </c>
      <c r="H15" s="44">
        <v>21</v>
      </c>
      <c r="I15" s="45">
        <v>4.5999999999999996</v>
      </c>
      <c r="J15" s="45" t="s">
        <v>266</v>
      </c>
      <c r="K15" s="56" t="str">
        <f t="shared" si="3"/>
        <v>https://amazon.com/dp/B0D7PYRRKD</v>
      </c>
    </row>
    <row r="16" spans="1:11" ht="45" x14ac:dyDescent="0.2">
      <c r="A16" s="18" t="s">
        <v>267</v>
      </c>
      <c r="B16" s="18" t="s">
        <v>151</v>
      </c>
      <c r="C16" s="41">
        <v>37.99</v>
      </c>
      <c r="D16" s="42">
        <v>473261.28</v>
      </c>
      <c r="E16" s="43">
        <v>39438.44</v>
      </c>
      <c r="F16" s="44">
        <v>9636</v>
      </c>
      <c r="G16" s="44">
        <v>803</v>
      </c>
      <c r="H16" s="44">
        <v>234</v>
      </c>
      <c r="I16" s="45">
        <v>4.5</v>
      </c>
      <c r="J16" s="45" t="s">
        <v>152</v>
      </c>
      <c r="K16" s="56" t="str">
        <f t="shared" si="3"/>
        <v>https://amazon.com/dp/B0DK965BZP</v>
      </c>
    </row>
    <row r="17" spans="1:11" ht="45" x14ac:dyDescent="0.2">
      <c r="A17" s="18" t="s">
        <v>185</v>
      </c>
      <c r="B17" s="18" t="s">
        <v>186</v>
      </c>
      <c r="C17" s="41">
        <v>179.99</v>
      </c>
      <c r="D17" s="42">
        <v>397579.08</v>
      </c>
      <c r="E17" s="43">
        <v>33131.589999999997</v>
      </c>
      <c r="F17" s="44">
        <v>2400</v>
      </c>
      <c r="G17" s="44">
        <v>200</v>
      </c>
      <c r="H17" s="44">
        <v>339</v>
      </c>
      <c r="I17" s="45">
        <v>4.5</v>
      </c>
      <c r="J17" s="45" t="s">
        <v>187</v>
      </c>
      <c r="K17" s="56" t="str">
        <f t="shared" si="3"/>
        <v>https://amazon.com/dp/B07Q86XGN2</v>
      </c>
    </row>
    <row r="18" spans="1:11" ht="45" x14ac:dyDescent="0.2">
      <c r="A18" s="18" t="s">
        <v>278</v>
      </c>
      <c r="B18" s="18" t="s">
        <v>277</v>
      </c>
      <c r="C18" s="41">
        <v>29.99</v>
      </c>
      <c r="D18" s="42">
        <v>388426.2</v>
      </c>
      <c r="E18" s="43">
        <v>32368.85</v>
      </c>
      <c r="F18" s="44">
        <v>12960</v>
      </c>
      <c r="G18" s="44">
        <v>1080</v>
      </c>
      <c r="H18" s="44">
        <v>911</v>
      </c>
      <c r="I18" s="45">
        <v>4.4000000000000004</v>
      </c>
      <c r="J18" s="45" t="s">
        <v>279</v>
      </c>
      <c r="K18" s="56" t="str">
        <f t="shared" si="3"/>
        <v>https://amazon.com/dp/B0C1GFBTDC</v>
      </c>
    </row>
    <row r="19" spans="1:11" ht="45" x14ac:dyDescent="0.2">
      <c r="A19" s="18" t="s">
        <v>281</v>
      </c>
      <c r="B19" s="18" t="s">
        <v>280</v>
      </c>
      <c r="C19" s="41">
        <v>449.99</v>
      </c>
      <c r="D19" s="42">
        <v>380178.12</v>
      </c>
      <c r="E19" s="43">
        <v>31681.51</v>
      </c>
      <c r="F19" s="44">
        <v>852</v>
      </c>
      <c r="G19" s="44">
        <v>71</v>
      </c>
      <c r="H19" s="44">
        <v>28</v>
      </c>
      <c r="I19" s="45">
        <v>4.7</v>
      </c>
      <c r="J19" s="45" t="s">
        <v>282</v>
      </c>
      <c r="K19" s="56" t="str">
        <f t="shared" ref="K19:K25" si="4">HYPERLINK(J19)</f>
        <v>https://amazon.com/dp/B0DTHZDGYD</v>
      </c>
    </row>
    <row r="20" spans="1:11" ht="45" x14ac:dyDescent="0.2">
      <c r="A20" s="18" t="s">
        <v>284</v>
      </c>
      <c r="B20" s="18" t="s">
        <v>283</v>
      </c>
      <c r="C20" s="41">
        <v>59.99</v>
      </c>
      <c r="D20" s="42">
        <v>366452.88</v>
      </c>
      <c r="E20" s="43">
        <v>30537.74</v>
      </c>
      <c r="F20" s="44">
        <v>6516</v>
      </c>
      <c r="G20" s="44">
        <v>543</v>
      </c>
      <c r="H20" s="44">
        <v>57</v>
      </c>
      <c r="I20" s="45">
        <v>4.8</v>
      </c>
      <c r="J20" s="45" t="s">
        <v>285</v>
      </c>
      <c r="K20" s="56" t="str">
        <f t="shared" si="4"/>
        <v>https://amazon.com/dp/B0DYDXH1NQ</v>
      </c>
    </row>
    <row r="21" spans="1:11" ht="45" x14ac:dyDescent="0.2">
      <c r="A21" s="18" t="s">
        <v>172</v>
      </c>
      <c r="B21" s="18" t="s">
        <v>173</v>
      </c>
      <c r="C21" s="41">
        <v>99.99</v>
      </c>
      <c r="D21" s="42">
        <v>304541.64</v>
      </c>
      <c r="E21" s="43">
        <v>25378.47</v>
      </c>
      <c r="F21" s="44">
        <v>3432</v>
      </c>
      <c r="G21" s="44">
        <v>286</v>
      </c>
      <c r="H21" s="44">
        <v>106</v>
      </c>
      <c r="I21" s="45">
        <v>4.4000000000000004</v>
      </c>
      <c r="J21" s="45" t="s">
        <v>174</v>
      </c>
      <c r="K21" s="56" t="str">
        <f t="shared" si="4"/>
        <v>https://amazon.com/dp/B0DH24P6NY</v>
      </c>
    </row>
    <row r="22" spans="1:11" ht="60" x14ac:dyDescent="0.2">
      <c r="A22" s="18" t="s">
        <v>108</v>
      </c>
      <c r="B22" s="18" t="s">
        <v>107</v>
      </c>
      <c r="C22" s="41">
        <v>139.99</v>
      </c>
      <c r="D22" s="42">
        <v>290713.44</v>
      </c>
      <c r="E22" s="43">
        <v>24226.12</v>
      </c>
      <c r="F22" s="44">
        <v>2076</v>
      </c>
      <c r="G22" s="44">
        <v>173</v>
      </c>
      <c r="H22" s="44">
        <v>3542</v>
      </c>
      <c r="I22" s="45">
        <v>4.5999999999999996</v>
      </c>
      <c r="J22" s="45" t="s">
        <v>109</v>
      </c>
      <c r="K22" s="56" t="str">
        <f t="shared" si="4"/>
        <v>https://amazon.com/dp/B08519F2W9</v>
      </c>
    </row>
    <row r="23" spans="1:11" ht="45" x14ac:dyDescent="0.2">
      <c r="A23" s="18" t="s">
        <v>391</v>
      </c>
      <c r="B23" s="18" t="s">
        <v>392</v>
      </c>
      <c r="C23" s="41">
        <v>349.99</v>
      </c>
      <c r="D23" s="42">
        <v>278458.56</v>
      </c>
      <c r="E23" s="43">
        <v>23204.880000000001</v>
      </c>
      <c r="F23" s="44">
        <v>792</v>
      </c>
      <c r="G23" s="44">
        <v>66</v>
      </c>
      <c r="H23" s="44">
        <v>94</v>
      </c>
      <c r="I23" s="45">
        <v>4</v>
      </c>
      <c r="J23" s="45" t="s">
        <v>393</v>
      </c>
      <c r="K23" s="56" t="str">
        <f t="shared" si="4"/>
        <v>https://amazon.com/dp/B0CLG4LHWP</v>
      </c>
    </row>
    <row r="24" spans="1:11" ht="45" x14ac:dyDescent="0.2">
      <c r="A24" s="18" t="s">
        <v>394</v>
      </c>
      <c r="B24" s="18" t="s">
        <v>395</v>
      </c>
      <c r="C24" s="41">
        <v>499.99</v>
      </c>
      <c r="D24" s="42">
        <v>271819.44</v>
      </c>
      <c r="E24" s="43">
        <v>22651.62</v>
      </c>
      <c r="F24" s="44">
        <v>540</v>
      </c>
      <c r="G24" s="44">
        <v>45</v>
      </c>
      <c r="H24" s="44">
        <v>7</v>
      </c>
      <c r="I24" s="45">
        <v>4.2</v>
      </c>
      <c r="J24" s="45" t="s">
        <v>396</v>
      </c>
      <c r="K24" s="56" t="str">
        <f t="shared" si="4"/>
        <v>https://amazon.com/dp/B0FFGZC3WX</v>
      </c>
    </row>
    <row r="25" spans="1:11" ht="45" x14ac:dyDescent="0.2">
      <c r="A25" s="18" t="s">
        <v>397</v>
      </c>
      <c r="B25" s="18" t="s">
        <v>398</v>
      </c>
      <c r="C25" s="41">
        <v>65.989999999999995</v>
      </c>
      <c r="D25" s="42">
        <v>268233.36</v>
      </c>
      <c r="E25" s="43">
        <v>22352.78</v>
      </c>
      <c r="F25" s="44">
        <v>4068</v>
      </c>
      <c r="G25" s="44">
        <v>339</v>
      </c>
      <c r="H25" s="44">
        <v>114</v>
      </c>
      <c r="I25" s="45">
        <v>4.3</v>
      </c>
      <c r="J25" s="45" t="s">
        <v>399</v>
      </c>
      <c r="K25" s="56" t="str">
        <f t="shared" si="4"/>
        <v>https://amazon.com/dp/B0DRP8LPF8</v>
      </c>
    </row>
    <row r="26" spans="1:11" ht="45" x14ac:dyDescent="0.2">
      <c r="A26" s="18" t="s">
        <v>85</v>
      </c>
      <c r="B26" s="18" t="s">
        <v>84</v>
      </c>
      <c r="C26" s="41">
        <v>55.99</v>
      </c>
      <c r="D26" s="42">
        <v>256079.4</v>
      </c>
      <c r="E26" s="43">
        <v>21339.95</v>
      </c>
      <c r="F26" s="44">
        <v>4572</v>
      </c>
      <c r="G26" s="44">
        <v>381</v>
      </c>
      <c r="H26" s="44">
        <v>2098</v>
      </c>
      <c r="I26" s="45">
        <v>4.4000000000000004</v>
      </c>
      <c r="J26" s="45" t="s">
        <v>86</v>
      </c>
      <c r="K26" s="56" t="str">
        <f t="shared" ref="K26:K32" si="5">HYPERLINK(J26)</f>
        <v>https://amazon.com/dp/B07TTQF24F</v>
      </c>
    </row>
    <row r="27" spans="1:11" ht="45" x14ac:dyDescent="0.2">
      <c r="A27" s="18" t="s">
        <v>299</v>
      </c>
      <c r="B27" s="18" t="s">
        <v>76</v>
      </c>
      <c r="C27" s="41">
        <v>39.99</v>
      </c>
      <c r="D27" s="42">
        <v>248550.84</v>
      </c>
      <c r="E27" s="43">
        <v>20712.57</v>
      </c>
      <c r="F27" s="44">
        <v>7080</v>
      </c>
      <c r="G27" s="44">
        <v>590</v>
      </c>
      <c r="H27" s="44">
        <v>717</v>
      </c>
      <c r="I27" s="45">
        <v>4.0999999999999996</v>
      </c>
      <c r="J27" s="45" t="s">
        <v>77</v>
      </c>
      <c r="K27" s="56" t="str">
        <f t="shared" si="5"/>
        <v>https://amazon.com/dp/B0CL4KT182</v>
      </c>
    </row>
    <row r="28" spans="1:11" ht="45" x14ac:dyDescent="0.2">
      <c r="A28" s="18" t="s">
        <v>400</v>
      </c>
      <c r="B28" s="18" t="s">
        <v>401</v>
      </c>
      <c r="C28" s="41">
        <v>269.99</v>
      </c>
      <c r="D28" s="42">
        <v>199480.32000000001</v>
      </c>
      <c r="E28" s="43">
        <v>16623.36</v>
      </c>
      <c r="F28" s="44">
        <v>780</v>
      </c>
      <c r="G28" s="44">
        <v>65</v>
      </c>
      <c r="H28" s="44">
        <v>618</v>
      </c>
      <c r="I28" s="45">
        <v>4.7</v>
      </c>
      <c r="J28" s="45" t="s">
        <v>402</v>
      </c>
      <c r="K28" s="56" t="str">
        <f t="shared" si="5"/>
        <v>https://amazon.com/dp/B07SQ4FLYX</v>
      </c>
    </row>
    <row r="29" spans="1:11" ht="45" x14ac:dyDescent="0.2">
      <c r="A29" s="18" t="s">
        <v>403</v>
      </c>
      <c r="B29" s="18" t="s">
        <v>404</v>
      </c>
      <c r="C29" s="41">
        <v>79.989999999999995</v>
      </c>
      <c r="D29" s="42">
        <v>195915.84</v>
      </c>
      <c r="E29" s="43">
        <v>16326.32</v>
      </c>
      <c r="F29" s="44">
        <v>2448</v>
      </c>
      <c r="G29" s="44">
        <v>204</v>
      </c>
      <c r="H29" s="44">
        <v>93</v>
      </c>
      <c r="I29" s="45">
        <v>4.4000000000000004</v>
      </c>
      <c r="J29" s="45" t="s">
        <v>405</v>
      </c>
      <c r="K29" s="56" t="str">
        <f t="shared" si="5"/>
        <v>https://amazon.com/dp/B0F2H49C2D</v>
      </c>
    </row>
    <row r="30" spans="1:11" ht="45" x14ac:dyDescent="0.2">
      <c r="A30" s="18" t="s">
        <v>406</v>
      </c>
      <c r="B30" s="18" t="s">
        <v>153</v>
      </c>
      <c r="C30" s="41">
        <v>79.989999999999995</v>
      </c>
      <c r="D30" s="42">
        <v>181677.6</v>
      </c>
      <c r="E30" s="43">
        <v>15139.8</v>
      </c>
      <c r="F30" s="44">
        <v>2580</v>
      </c>
      <c r="G30" s="44">
        <v>215</v>
      </c>
      <c r="H30" s="44">
        <v>2302</v>
      </c>
      <c r="I30" s="45">
        <v>4.3</v>
      </c>
      <c r="J30" s="45" t="s">
        <v>154</v>
      </c>
      <c r="K30" s="56" t="str">
        <f t="shared" si="5"/>
        <v>https://amazon.com/dp/B086X1XGN1</v>
      </c>
    </row>
    <row r="31" spans="1:11" ht="45" x14ac:dyDescent="0.2">
      <c r="A31" s="18" t="s">
        <v>407</v>
      </c>
      <c r="B31" s="18" t="s">
        <v>408</v>
      </c>
      <c r="C31" s="41">
        <v>329.99</v>
      </c>
      <c r="D31" s="42">
        <v>165543.24</v>
      </c>
      <c r="E31" s="43">
        <v>13795.27</v>
      </c>
      <c r="F31" s="44">
        <v>504</v>
      </c>
      <c r="G31" s="44">
        <v>42</v>
      </c>
      <c r="H31" s="44">
        <v>60</v>
      </c>
      <c r="I31" s="45">
        <v>4.2</v>
      </c>
      <c r="J31" s="45" t="s">
        <v>409</v>
      </c>
      <c r="K31" s="56" t="str">
        <f t="shared" si="5"/>
        <v>https://amazon.com/dp/B0C4H7RJY7</v>
      </c>
    </row>
    <row r="32" spans="1:11" ht="60" x14ac:dyDescent="0.2">
      <c r="A32" s="18" t="s">
        <v>145</v>
      </c>
      <c r="B32" s="18" t="s">
        <v>146</v>
      </c>
      <c r="C32" s="41">
        <v>149.99</v>
      </c>
      <c r="D32" s="42">
        <v>156304.92000000001</v>
      </c>
      <c r="E32" s="43">
        <v>13025.41</v>
      </c>
      <c r="F32" s="44">
        <v>1044</v>
      </c>
      <c r="G32" s="44">
        <v>87</v>
      </c>
      <c r="H32" s="44">
        <v>3543</v>
      </c>
      <c r="I32" s="45">
        <v>4.5999999999999996</v>
      </c>
      <c r="J32" s="45" t="s">
        <v>147</v>
      </c>
      <c r="K32" s="56" t="str">
        <f t="shared" si="5"/>
        <v>https://amazon.com/dp/B08519V6GW</v>
      </c>
    </row>
    <row r="33" spans="1:11" ht="45" x14ac:dyDescent="0.2">
      <c r="A33" s="18" t="s">
        <v>155</v>
      </c>
      <c r="B33" s="18" t="s">
        <v>156</v>
      </c>
      <c r="C33" s="41">
        <v>109.99</v>
      </c>
      <c r="D33" s="42">
        <v>138252.24</v>
      </c>
      <c r="E33" s="43">
        <v>11521.02</v>
      </c>
      <c r="F33" s="44">
        <v>1404</v>
      </c>
      <c r="G33" s="44">
        <v>117</v>
      </c>
      <c r="H33" s="44">
        <v>2302</v>
      </c>
      <c r="I33" s="45">
        <v>4.3</v>
      </c>
      <c r="J33" s="45" t="s">
        <v>157</v>
      </c>
      <c r="K33" s="56" t="str">
        <f t="shared" ref="K33:K54" si="6">HYPERLINK(J33)</f>
        <v>https://amazon.com/dp/B08QCMT89N</v>
      </c>
    </row>
    <row r="34" spans="1:11" ht="45" x14ac:dyDescent="0.2">
      <c r="A34" s="18" t="s">
        <v>166</v>
      </c>
      <c r="B34" s="18" t="s">
        <v>167</v>
      </c>
      <c r="C34" s="41">
        <v>179.99</v>
      </c>
      <c r="D34" s="42">
        <v>127021.68</v>
      </c>
      <c r="E34" s="43">
        <v>10585.14</v>
      </c>
      <c r="F34" s="44">
        <v>708</v>
      </c>
      <c r="G34" s="44">
        <v>59</v>
      </c>
      <c r="H34" s="44">
        <v>120</v>
      </c>
      <c r="I34" s="45">
        <v>4.8</v>
      </c>
      <c r="J34" s="45" t="s">
        <v>168</v>
      </c>
      <c r="K34" s="56" t="str">
        <f t="shared" si="6"/>
        <v>https://amazon.com/dp/B095HN3VQZ</v>
      </c>
    </row>
    <row r="35" spans="1:11" ht="45" x14ac:dyDescent="0.2">
      <c r="A35" s="18" t="s">
        <v>148</v>
      </c>
      <c r="B35" s="18" t="s">
        <v>149</v>
      </c>
      <c r="C35" s="41">
        <v>95.99</v>
      </c>
      <c r="D35" s="42">
        <v>126414.84</v>
      </c>
      <c r="E35" s="43">
        <v>10534.57</v>
      </c>
      <c r="F35" s="44">
        <v>1320</v>
      </c>
      <c r="G35" s="44">
        <v>110</v>
      </c>
      <c r="H35" s="44">
        <v>720</v>
      </c>
      <c r="I35" s="45">
        <v>4.5</v>
      </c>
      <c r="J35" s="45" t="s">
        <v>150</v>
      </c>
      <c r="K35" s="56" t="str">
        <f t="shared" si="6"/>
        <v>https://amazon.com/dp/B09Y1F2MPB</v>
      </c>
    </row>
    <row r="36" spans="1:11" ht="45" x14ac:dyDescent="0.2">
      <c r="A36" s="18" t="s">
        <v>175</v>
      </c>
      <c r="B36" s="18" t="s">
        <v>176</v>
      </c>
      <c r="C36" s="41">
        <v>169.99</v>
      </c>
      <c r="D36" s="42">
        <v>111674.16</v>
      </c>
      <c r="E36" s="43">
        <v>9306.18</v>
      </c>
      <c r="F36" s="44">
        <v>720</v>
      </c>
      <c r="G36" s="44">
        <v>60</v>
      </c>
      <c r="H36" s="44">
        <v>339</v>
      </c>
      <c r="I36" s="45">
        <v>4.5</v>
      </c>
      <c r="J36" s="45" t="s">
        <v>177</v>
      </c>
      <c r="K36" s="56" t="str">
        <f t="shared" si="6"/>
        <v>https://amazon.com/dp/B0CNPWHCQG</v>
      </c>
    </row>
    <row r="37" spans="1:11" ht="45" x14ac:dyDescent="0.2">
      <c r="A37" s="18" t="s">
        <v>160</v>
      </c>
      <c r="B37" s="18" t="s">
        <v>161</v>
      </c>
      <c r="C37" s="41">
        <v>159.99</v>
      </c>
      <c r="D37" s="42">
        <v>109937.52</v>
      </c>
      <c r="E37" s="43">
        <v>9161.4599999999991</v>
      </c>
      <c r="F37" s="44">
        <v>744</v>
      </c>
      <c r="G37" s="44">
        <v>62</v>
      </c>
      <c r="H37" s="44">
        <v>339</v>
      </c>
      <c r="I37" s="45">
        <v>4.5</v>
      </c>
      <c r="J37" s="45" t="s">
        <v>162</v>
      </c>
      <c r="K37" s="56" t="str">
        <f t="shared" si="6"/>
        <v>https://amazon.com/dp/B09NBRQ4ST</v>
      </c>
    </row>
    <row r="38" spans="1:11" ht="45" x14ac:dyDescent="0.2">
      <c r="A38" s="18" t="s">
        <v>410</v>
      </c>
      <c r="B38" s="18" t="s">
        <v>411</v>
      </c>
      <c r="C38" s="41">
        <v>149.99</v>
      </c>
      <c r="D38" s="42">
        <v>100460.88</v>
      </c>
      <c r="E38" s="43">
        <v>8371.74</v>
      </c>
      <c r="F38" s="44">
        <v>672</v>
      </c>
      <c r="G38" s="44">
        <v>56</v>
      </c>
      <c r="H38" s="44">
        <v>388</v>
      </c>
      <c r="I38" s="45">
        <v>4.7</v>
      </c>
      <c r="J38" s="45" t="s">
        <v>412</v>
      </c>
      <c r="K38" s="56" t="str">
        <f t="shared" si="6"/>
        <v>https://amazon.com/dp/B08D9GDQD5</v>
      </c>
    </row>
    <row r="39" spans="1:11" ht="45" x14ac:dyDescent="0.2">
      <c r="A39" s="18" t="s">
        <v>188</v>
      </c>
      <c r="B39" s="18" t="s">
        <v>189</v>
      </c>
      <c r="C39" s="41">
        <v>49.99</v>
      </c>
      <c r="D39" s="42">
        <v>82657.08</v>
      </c>
      <c r="E39" s="43">
        <v>6888.09</v>
      </c>
      <c r="F39" s="44">
        <v>1728</v>
      </c>
      <c r="G39" s="44">
        <v>144</v>
      </c>
      <c r="H39" s="44">
        <v>101</v>
      </c>
      <c r="I39" s="45">
        <v>4.0999999999999996</v>
      </c>
      <c r="J39" s="45" t="s">
        <v>190</v>
      </c>
      <c r="K39" s="56" t="str">
        <f t="shared" si="6"/>
        <v>https://amazon.com/dp/B0DL621NQ2</v>
      </c>
    </row>
    <row r="40" spans="1:11" ht="45" x14ac:dyDescent="0.2">
      <c r="A40" s="18" t="s">
        <v>413</v>
      </c>
      <c r="B40" s="18" t="s">
        <v>414</v>
      </c>
      <c r="C40" s="41">
        <v>109.99</v>
      </c>
      <c r="D40" s="42">
        <v>82385.52</v>
      </c>
      <c r="E40" s="43">
        <v>6865.46</v>
      </c>
      <c r="F40" s="44">
        <v>744</v>
      </c>
      <c r="G40" s="44">
        <v>62</v>
      </c>
      <c r="H40" s="44">
        <v>30</v>
      </c>
      <c r="I40" s="45">
        <v>4.8</v>
      </c>
      <c r="J40" s="45" t="s">
        <v>415</v>
      </c>
      <c r="K40" s="56" t="str">
        <f t="shared" si="6"/>
        <v>https://amazon.com/dp/B0DRP5MDLL</v>
      </c>
    </row>
    <row r="41" spans="1:11" ht="45" x14ac:dyDescent="0.2">
      <c r="A41" s="18" t="s">
        <v>416</v>
      </c>
      <c r="B41" s="18" t="s">
        <v>417</v>
      </c>
      <c r="C41" s="41">
        <v>89.99</v>
      </c>
      <c r="D41" s="42">
        <v>75828</v>
      </c>
      <c r="E41" s="43">
        <v>6319</v>
      </c>
      <c r="F41" s="44">
        <v>840</v>
      </c>
      <c r="G41" s="44">
        <v>70</v>
      </c>
      <c r="H41" s="44">
        <v>46</v>
      </c>
      <c r="I41" s="45">
        <v>4.5</v>
      </c>
      <c r="J41" s="45" t="s">
        <v>418</v>
      </c>
      <c r="K41" s="56" t="str">
        <f t="shared" si="6"/>
        <v>https://amazon.com/dp/B08QCCZHC6</v>
      </c>
    </row>
    <row r="42" spans="1:11" ht="45" x14ac:dyDescent="0.2">
      <c r="A42" s="18" t="s">
        <v>419</v>
      </c>
      <c r="B42" s="18" t="s">
        <v>420</v>
      </c>
      <c r="C42" s="41">
        <v>309.99</v>
      </c>
      <c r="D42" s="42">
        <v>69595.799999999988</v>
      </c>
      <c r="E42" s="43">
        <v>5799.65</v>
      </c>
      <c r="F42" s="44">
        <v>228</v>
      </c>
      <c r="G42" s="44">
        <v>19</v>
      </c>
      <c r="H42" s="44">
        <v>41</v>
      </c>
      <c r="I42" s="45">
        <v>4.7</v>
      </c>
      <c r="J42" s="45" t="s">
        <v>421</v>
      </c>
      <c r="K42" s="56" t="str">
        <f t="shared" si="6"/>
        <v>https://amazon.com/dp/B0D97DVVN3</v>
      </c>
    </row>
    <row r="43" spans="1:11" ht="45" x14ac:dyDescent="0.2">
      <c r="A43" s="18" t="s">
        <v>422</v>
      </c>
      <c r="B43" s="18" t="s">
        <v>423</v>
      </c>
      <c r="C43" s="41">
        <v>169.99</v>
      </c>
      <c r="D43" s="42">
        <v>63905.16</v>
      </c>
      <c r="E43" s="43">
        <v>5325.43</v>
      </c>
      <c r="F43" s="44">
        <v>324</v>
      </c>
      <c r="G43" s="44">
        <v>27</v>
      </c>
      <c r="H43" s="44">
        <v>140</v>
      </c>
      <c r="I43" s="45">
        <v>4.8</v>
      </c>
      <c r="J43" s="45" t="s">
        <v>424</v>
      </c>
      <c r="K43" s="56" t="str">
        <f t="shared" si="6"/>
        <v>https://amazon.com/dp/B095HLSYJ6</v>
      </c>
    </row>
    <row r="44" spans="1:11" ht="45" x14ac:dyDescent="0.2">
      <c r="A44" s="18" t="s">
        <v>425</v>
      </c>
      <c r="B44" s="18" t="s">
        <v>181</v>
      </c>
      <c r="C44" s="41">
        <v>69.989999999999995</v>
      </c>
      <c r="D44" s="42">
        <v>63425.52</v>
      </c>
      <c r="E44" s="43">
        <v>5285.46</v>
      </c>
      <c r="F44" s="44">
        <v>1020</v>
      </c>
      <c r="G44" s="44">
        <v>85</v>
      </c>
      <c r="H44" s="44">
        <v>106</v>
      </c>
      <c r="I44" s="45">
        <v>4.4000000000000004</v>
      </c>
      <c r="J44" s="45" t="s">
        <v>182</v>
      </c>
      <c r="K44" s="56" t="str">
        <f t="shared" si="6"/>
        <v>https://amazon.com/dp/B0DH1ZGT5X</v>
      </c>
    </row>
    <row r="45" spans="1:11" ht="45" x14ac:dyDescent="0.2">
      <c r="A45" s="18" t="s">
        <v>426</v>
      </c>
      <c r="B45" s="18" t="s">
        <v>427</v>
      </c>
      <c r="C45" s="41">
        <v>36.99</v>
      </c>
      <c r="D45" s="42">
        <v>62748.12</v>
      </c>
      <c r="E45" s="43">
        <v>5229.01</v>
      </c>
      <c r="F45" s="44">
        <v>1692</v>
      </c>
      <c r="G45" s="44">
        <v>141</v>
      </c>
      <c r="H45" s="44">
        <v>294</v>
      </c>
      <c r="I45" s="45">
        <v>4.3</v>
      </c>
      <c r="J45" s="45" t="s">
        <v>428</v>
      </c>
      <c r="K45" s="56" t="str">
        <f t="shared" si="6"/>
        <v>https://amazon.com/dp/B0CF1VCDBD</v>
      </c>
    </row>
    <row r="46" spans="1:11" ht="45" x14ac:dyDescent="0.2">
      <c r="A46" s="18" t="s">
        <v>163</v>
      </c>
      <c r="B46" s="18" t="s">
        <v>164</v>
      </c>
      <c r="C46" s="41">
        <v>89.99</v>
      </c>
      <c r="D46" s="42">
        <v>61026.84</v>
      </c>
      <c r="E46" s="43">
        <v>5085.57</v>
      </c>
      <c r="F46" s="44">
        <v>672</v>
      </c>
      <c r="G46" s="44">
        <v>56</v>
      </c>
      <c r="H46" s="44">
        <v>165</v>
      </c>
      <c r="I46" s="45">
        <v>4.4000000000000004</v>
      </c>
      <c r="J46" s="45" t="s">
        <v>165</v>
      </c>
      <c r="K46" s="56" t="str">
        <f t="shared" si="6"/>
        <v>https://amazon.com/dp/B09YGNWL44</v>
      </c>
    </row>
    <row r="47" spans="1:11" ht="45" x14ac:dyDescent="0.2">
      <c r="A47" s="18" t="s">
        <v>429</v>
      </c>
      <c r="B47" s="18" t="s">
        <v>183</v>
      </c>
      <c r="C47" s="41">
        <v>79.989999999999995</v>
      </c>
      <c r="D47" s="42">
        <v>60345</v>
      </c>
      <c r="E47" s="43">
        <v>5028.75</v>
      </c>
      <c r="F47" s="44">
        <v>852</v>
      </c>
      <c r="G47" s="44">
        <v>71</v>
      </c>
      <c r="H47" s="44">
        <v>104</v>
      </c>
      <c r="I47" s="45">
        <v>4.4000000000000004</v>
      </c>
      <c r="J47" s="45" t="s">
        <v>184</v>
      </c>
      <c r="K47" s="56" t="str">
        <f t="shared" si="6"/>
        <v>https://amazon.com/dp/B0DGGM7X88</v>
      </c>
    </row>
    <row r="48" spans="1:11" ht="45" x14ac:dyDescent="0.2">
      <c r="A48" s="18" t="s">
        <v>430</v>
      </c>
      <c r="B48" s="18" t="s">
        <v>158</v>
      </c>
      <c r="C48" s="41">
        <v>119.99</v>
      </c>
      <c r="D48" s="42">
        <v>55990.8</v>
      </c>
      <c r="E48" s="43">
        <v>4665.8999999999996</v>
      </c>
      <c r="F48" s="44">
        <v>468</v>
      </c>
      <c r="G48" s="44">
        <v>39</v>
      </c>
      <c r="H48" s="44">
        <v>86</v>
      </c>
      <c r="I48" s="45">
        <v>4.4000000000000004</v>
      </c>
      <c r="J48" s="45" t="s">
        <v>159</v>
      </c>
      <c r="K48" s="56" t="str">
        <f t="shared" si="6"/>
        <v>https://amazon.com/dp/B0BG27Q1JS</v>
      </c>
    </row>
    <row r="49" spans="1:11" ht="45" x14ac:dyDescent="0.2">
      <c r="A49" s="18" t="s">
        <v>431</v>
      </c>
      <c r="B49" s="18" t="s">
        <v>432</v>
      </c>
      <c r="C49" s="41">
        <v>49.99</v>
      </c>
      <c r="D49" s="42">
        <v>36394.080000000002</v>
      </c>
      <c r="E49" s="43">
        <v>3032.84</v>
      </c>
      <c r="F49" s="44">
        <v>732</v>
      </c>
      <c r="G49" s="44">
        <v>61</v>
      </c>
      <c r="H49" s="44">
        <v>911</v>
      </c>
      <c r="I49" s="45">
        <v>4.4000000000000004</v>
      </c>
      <c r="J49" s="45" t="s">
        <v>433</v>
      </c>
      <c r="K49" s="56" t="str">
        <f t="shared" si="6"/>
        <v>https://amazon.com/dp/B0FNMZP57S</v>
      </c>
    </row>
    <row r="50" spans="1:11" ht="45" x14ac:dyDescent="0.2">
      <c r="A50" s="18" t="s">
        <v>434</v>
      </c>
      <c r="B50" s="18" t="s">
        <v>435</v>
      </c>
      <c r="C50" s="41">
        <v>329.99</v>
      </c>
      <c r="D50" s="42">
        <v>35470.32</v>
      </c>
      <c r="E50" s="43">
        <v>2955.86</v>
      </c>
      <c r="F50" s="44">
        <v>108</v>
      </c>
      <c r="G50" s="44">
        <v>9</v>
      </c>
      <c r="H50" s="44">
        <v>19</v>
      </c>
      <c r="I50" s="45">
        <v>4.5999999999999996</v>
      </c>
      <c r="J50" s="45" t="s">
        <v>436</v>
      </c>
      <c r="K50" s="56" t="str">
        <f t="shared" si="6"/>
        <v>https://amazon.com/dp/B0DRNW1YY9</v>
      </c>
    </row>
    <row r="51" spans="1:11" ht="45" x14ac:dyDescent="0.2">
      <c r="A51" s="18" t="s">
        <v>169</v>
      </c>
      <c r="B51" s="18" t="s">
        <v>170</v>
      </c>
      <c r="C51" s="41">
        <v>30.99</v>
      </c>
      <c r="D51" s="42">
        <v>35460.480000000003</v>
      </c>
      <c r="E51" s="43">
        <v>2955.04</v>
      </c>
      <c r="F51" s="44">
        <v>1140</v>
      </c>
      <c r="G51" s="44">
        <v>95</v>
      </c>
      <c r="H51" s="44">
        <v>252</v>
      </c>
      <c r="I51" s="45">
        <v>4.3</v>
      </c>
      <c r="J51" s="45" t="s">
        <v>171</v>
      </c>
      <c r="K51" s="56" t="str">
        <f t="shared" si="6"/>
        <v>https://amazon.com/dp/B0C9L75QQ9</v>
      </c>
    </row>
    <row r="52" spans="1:11" ht="45" x14ac:dyDescent="0.2">
      <c r="A52" s="18" t="s">
        <v>437</v>
      </c>
      <c r="B52" s="18" t="s">
        <v>197</v>
      </c>
      <c r="C52" s="41">
        <v>89.99</v>
      </c>
      <c r="D52" s="42">
        <v>33646.68</v>
      </c>
      <c r="E52" s="43">
        <v>2803.89</v>
      </c>
      <c r="F52" s="44">
        <v>420</v>
      </c>
      <c r="G52" s="44">
        <v>35</v>
      </c>
      <c r="H52" s="44">
        <v>2302</v>
      </c>
      <c r="I52" s="45">
        <v>4.3</v>
      </c>
      <c r="J52" s="45" t="s">
        <v>198</v>
      </c>
      <c r="K52" s="56" t="str">
        <f t="shared" si="6"/>
        <v>https://amazon.com/dp/B0DH1MDYG9</v>
      </c>
    </row>
    <row r="53" spans="1:11" ht="45" x14ac:dyDescent="0.2">
      <c r="A53" s="18" t="s">
        <v>178</v>
      </c>
      <c r="B53" s="18" t="s">
        <v>179</v>
      </c>
      <c r="C53" s="41">
        <v>49.99</v>
      </c>
      <c r="D53" s="42">
        <v>30478.68</v>
      </c>
      <c r="E53" s="43">
        <v>2539.89</v>
      </c>
      <c r="F53" s="44">
        <v>612</v>
      </c>
      <c r="G53" s="44">
        <v>51</v>
      </c>
      <c r="H53" s="44">
        <v>374</v>
      </c>
      <c r="I53" s="45">
        <v>4.0999999999999996</v>
      </c>
      <c r="J53" s="45" t="s">
        <v>180</v>
      </c>
      <c r="K53" s="56" t="str">
        <f t="shared" si="6"/>
        <v>https://amazon.com/dp/B07HVT2XZL</v>
      </c>
    </row>
    <row r="54" spans="1:11" ht="45" x14ac:dyDescent="0.2">
      <c r="A54" s="18" t="s">
        <v>191</v>
      </c>
      <c r="B54" s="18" t="s">
        <v>192</v>
      </c>
      <c r="C54" s="41">
        <v>42.99</v>
      </c>
      <c r="D54" s="42">
        <v>22342.32</v>
      </c>
      <c r="E54" s="43">
        <v>1861.86</v>
      </c>
      <c r="F54" s="44">
        <v>516</v>
      </c>
      <c r="G54" s="44">
        <v>43</v>
      </c>
      <c r="H54" s="44">
        <v>68</v>
      </c>
      <c r="I54" s="45">
        <v>4.2</v>
      </c>
      <c r="J54" s="45" t="s">
        <v>193</v>
      </c>
      <c r="K54" s="56" t="str">
        <f t="shared" si="6"/>
        <v>https://amazon.com/dp/B0DL8LJTWM</v>
      </c>
    </row>
    <row r="55" spans="1:11" ht="30" x14ac:dyDescent="0.2">
      <c r="A55" s="18" t="s">
        <v>438</v>
      </c>
      <c r="B55" s="18" t="s">
        <v>439</v>
      </c>
      <c r="C55" s="41">
        <v>59.99</v>
      </c>
      <c r="D55" s="42">
        <v>18033.36</v>
      </c>
      <c r="E55" s="43">
        <v>1502.78</v>
      </c>
      <c r="F55" s="44">
        <v>300</v>
      </c>
      <c r="G55" s="44">
        <v>25</v>
      </c>
      <c r="H55" s="44">
        <v>9</v>
      </c>
      <c r="I55" s="45">
        <v>4.5</v>
      </c>
      <c r="J55" s="45" t="s">
        <v>440</v>
      </c>
      <c r="K55" s="56" t="str">
        <f t="shared" ref="K55:K69" si="7">HYPERLINK(J55)</f>
        <v>https://amazon.com/dp/B0BTNSJ4PZ</v>
      </c>
    </row>
    <row r="56" spans="1:11" ht="45" x14ac:dyDescent="0.2">
      <c r="A56" s="18" t="s">
        <v>194</v>
      </c>
      <c r="B56" s="18" t="s">
        <v>195</v>
      </c>
      <c r="C56" s="41">
        <v>129.99</v>
      </c>
      <c r="D56" s="42">
        <v>16422.240000000002</v>
      </c>
      <c r="E56" s="43">
        <v>1368.52</v>
      </c>
      <c r="F56" s="44">
        <v>132</v>
      </c>
      <c r="G56" s="44">
        <v>11</v>
      </c>
      <c r="H56" s="44">
        <v>720</v>
      </c>
      <c r="I56" s="45">
        <v>4.5</v>
      </c>
      <c r="J56" s="45" t="s">
        <v>196</v>
      </c>
      <c r="K56" s="56" t="str">
        <f t="shared" si="7"/>
        <v>https://amazon.com/dp/B08PTVBGBQ</v>
      </c>
    </row>
    <row r="57" spans="1:11" ht="45" x14ac:dyDescent="0.2">
      <c r="A57" s="18" t="s">
        <v>441</v>
      </c>
      <c r="B57" s="18" t="s">
        <v>442</v>
      </c>
      <c r="C57" s="41">
        <v>69.989999999999995</v>
      </c>
      <c r="D57" s="42">
        <v>14882.64</v>
      </c>
      <c r="E57" s="43">
        <v>1240.22</v>
      </c>
      <c r="F57" s="44">
        <v>216</v>
      </c>
      <c r="G57" s="44">
        <v>18</v>
      </c>
      <c r="H57" s="44">
        <v>1</v>
      </c>
      <c r="I57" s="45">
        <v>5</v>
      </c>
      <c r="J57" s="45" t="s">
        <v>443</v>
      </c>
      <c r="K57" s="56" t="str">
        <f t="shared" si="7"/>
        <v>https://amazon.com/dp/B0DBHT4HVX</v>
      </c>
    </row>
    <row r="58" spans="1:11" ht="30" x14ac:dyDescent="0.2">
      <c r="A58" s="18" t="s">
        <v>202</v>
      </c>
      <c r="B58" s="18" t="s">
        <v>203</v>
      </c>
      <c r="C58" s="41">
        <v>79.989999999999995</v>
      </c>
      <c r="D58" s="42">
        <v>7192.7999999999993</v>
      </c>
      <c r="E58" s="43">
        <v>599.4</v>
      </c>
      <c r="F58" s="44">
        <v>96</v>
      </c>
      <c r="G58" s="44">
        <v>8</v>
      </c>
      <c r="H58" s="44">
        <v>9</v>
      </c>
      <c r="I58" s="45">
        <v>4.7</v>
      </c>
      <c r="J58" s="45" t="s">
        <v>204</v>
      </c>
      <c r="K58" s="56" t="str">
        <f t="shared" si="7"/>
        <v>https://amazon.com/dp/B09P4WNYBB</v>
      </c>
    </row>
    <row r="59" spans="1:11" ht="45" x14ac:dyDescent="0.2">
      <c r="A59" s="18" t="s">
        <v>199</v>
      </c>
      <c r="B59" s="18" t="s">
        <v>200</v>
      </c>
      <c r="C59" s="41">
        <v>39.99</v>
      </c>
      <c r="D59" s="42">
        <v>6565.5599999999986</v>
      </c>
      <c r="E59" s="43">
        <v>547.13</v>
      </c>
      <c r="F59" s="44">
        <v>168</v>
      </c>
      <c r="G59" s="44">
        <v>14</v>
      </c>
      <c r="H59" s="44">
        <v>294</v>
      </c>
      <c r="I59" s="45">
        <v>4.3</v>
      </c>
      <c r="J59" s="45" t="s">
        <v>201</v>
      </c>
      <c r="K59" s="56" t="str">
        <f t="shared" si="7"/>
        <v>https://amazon.com/dp/B0CL4MJ6NK</v>
      </c>
    </row>
    <row r="60" spans="1:11" ht="45" x14ac:dyDescent="0.2">
      <c r="A60" s="18" t="s">
        <v>444</v>
      </c>
      <c r="B60" s="18" t="s">
        <v>445</v>
      </c>
      <c r="C60" s="41">
        <v>99.99</v>
      </c>
      <c r="D60" s="42">
        <v>6552.84</v>
      </c>
      <c r="E60" s="43">
        <v>546.07000000000005</v>
      </c>
      <c r="F60" s="44">
        <v>60</v>
      </c>
      <c r="G60" s="44">
        <v>5</v>
      </c>
      <c r="H60" s="44">
        <v>7</v>
      </c>
      <c r="I60" s="45">
        <v>4.5</v>
      </c>
      <c r="J60" s="45" t="s">
        <v>446</v>
      </c>
      <c r="K60" s="56" t="str">
        <f t="shared" si="7"/>
        <v>https://amazon.com/dp/B09WMFVTWJ</v>
      </c>
    </row>
    <row r="61" spans="1:11" ht="45" x14ac:dyDescent="0.2">
      <c r="A61" s="18" t="s">
        <v>447</v>
      </c>
      <c r="B61" s="18" t="s">
        <v>448</v>
      </c>
      <c r="C61" s="41">
        <v>29.99</v>
      </c>
      <c r="D61" s="42">
        <v>6090.84</v>
      </c>
      <c r="E61" s="43">
        <v>507.57</v>
      </c>
      <c r="F61" s="44">
        <v>204</v>
      </c>
      <c r="G61" s="44">
        <v>17</v>
      </c>
      <c r="H61" s="44">
        <v>9</v>
      </c>
      <c r="I61" s="45">
        <v>4.2</v>
      </c>
      <c r="J61" s="45" t="s">
        <v>449</v>
      </c>
      <c r="K61" s="56" t="str">
        <f t="shared" si="7"/>
        <v>https://amazon.com/dp/B0DYH3JJL5</v>
      </c>
    </row>
    <row r="62" spans="1:11" ht="45" x14ac:dyDescent="0.2">
      <c r="A62" s="18" t="s">
        <v>450</v>
      </c>
      <c r="B62" s="18" t="s">
        <v>451</v>
      </c>
      <c r="C62" s="41">
        <v>289.99</v>
      </c>
      <c r="D62" s="42">
        <v>6030.96</v>
      </c>
      <c r="E62" s="43">
        <v>502.58</v>
      </c>
      <c r="F62" s="44">
        <v>24</v>
      </c>
      <c r="G62" s="44">
        <v>2</v>
      </c>
      <c r="H62" s="44">
        <v>21</v>
      </c>
      <c r="I62" s="45">
        <v>4.8</v>
      </c>
      <c r="J62" s="45" t="s">
        <v>452</v>
      </c>
      <c r="K62" s="56" t="str">
        <f t="shared" si="7"/>
        <v>https://amazon.com/dp/B0D9JFTZX5</v>
      </c>
    </row>
    <row r="63" spans="1:11" ht="45" x14ac:dyDescent="0.2">
      <c r="A63" s="18" t="s">
        <v>453</v>
      </c>
      <c r="B63" s="18" t="s">
        <v>454</v>
      </c>
      <c r="C63" s="41">
        <v>99.99</v>
      </c>
      <c r="D63" s="42">
        <v>5334.48</v>
      </c>
      <c r="E63" s="43">
        <v>444.54</v>
      </c>
      <c r="F63" s="44">
        <v>48</v>
      </c>
      <c r="G63" s="44">
        <v>4</v>
      </c>
      <c r="H63" s="44">
        <v>13</v>
      </c>
      <c r="I63" s="45">
        <v>5</v>
      </c>
      <c r="J63" s="45" t="s">
        <v>455</v>
      </c>
      <c r="K63" s="56" t="str">
        <f t="shared" si="7"/>
        <v>https://amazon.com/dp/B08QCN6B9G</v>
      </c>
    </row>
    <row r="64" spans="1:11" ht="45" x14ac:dyDescent="0.2">
      <c r="A64" s="18" t="s">
        <v>456</v>
      </c>
      <c r="B64" s="18" t="s">
        <v>457</v>
      </c>
      <c r="C64" s="41">
        <v>59.99</v>
      </c>
      <c r="D64" s="42">
        <v>3957.84</v>
      </c>
      <c r="E64" s="43">
        <v>329.82</v>
      </c>
      <c r="F64" s="44">
        <v>72</v>
      </c>
      <c r="G64" s="44">
        <v>6</v>
      </c>
      <c r="H64" s="44">
        <v>18</v>
      </c>
      <c r="I64" s="45">
        <v>4.8</v>
      </c>
      <c r="J64" s="45" t="s">
        <v>458</v>
      </c>
      <c r="K64" s="56" t="str">
        <f t="shared" si="7"/>
        <v>https://amazon.com/dp/B08QCP8YFM</v>
      </c>
    </row>
    <row r="65" spans="1:11" ht="30" x14ac:dyDescent="0.2">
      <c r="A65" s="18" t="s">
        <v>205</v>
      </c>
      <c r="B65" s="18" t="s">
        <v>206</v>
      </c>
      <c r="C65" s="41">
        <v>19.989999999999998</v>
      </c>
      <c r="D65" s="42">
        <v>2267.2800000000002</v>
      </c>
      <c r="E65" s="43">
        <v>188.94</v>
      </c>
      <c r="F65" s="44">
        <v>108</v>
      </c>
      <c r="G65" s="44">
        <v>9</v>
      </c>
      <c r="H65" s="44">
        <v>3</v>
      </c>
      <c r="I65" s="45">
        <v>3.7</v>
      </c>
      <c r="J65" s="45" t="s">
        <v>207</v>
      </c>
      <c r="K65" s="56" t="str">
        <f t="shared" si="7"/>
        <v>https://amazon.com/dp/B0CX4C3QXK</v>
      </c>
    </row>
    <row r="66" spans="1:11" ht="30" x14ac:dyDescent="0.2">
      <c r="A66" s="18" t="s">
        <v>459</v>
      </c>
      <c r="B66" s="18" t="s">
        <v>460</v>
      </c>
      <c r="C66" s="41">
        <v>19.899999999999999</v>
      </c>
      <c r="D66" s="42">
        <v>2187.48</v>
      </c>
      <c r="E66" s="43">
        <v>182.29</v>
      </c>
      <c r="F66" s="44">
        <v>108</v>
      </c>
      <c r="G66" s="44">
        <v>9</v>
      </c>
      <c r="H66" s="44">
        <v>3</v>
      </c>
      <c r="I66" s="45">
        <v>3.6</v>
      </c>
      <c r="J66" s="45" t="s">
        <v>461</v>
      </c>
      <c r="K66" s="56" t="str">
        <f t="shared" si="7"/>
        <v>https://amazon.com/dp/B0F2SD9VBX</v>
      </c>
    </row>
    <row r="67" spans="1:11" ht="45" x14ac:dyDescent="0.2">
      <c r="A67" s="18" t="s">
        <v>462</v>
      </c>
      <c r="B67" s="18" t="s">
        <v>463</v>
      </c>
      <c r="C67" s="41">
        <v>89.99</v>
      </c>
      <c r="D67" s="42">
        <v>2134.56</v>
      </c>
      <c r="E67" s="43">
        <v>177.88</v>
      </c>
      <c r="F67" s="44">
        <v>24</v>
      </c>
      <c r="G67" s="44">
        <v>2</v>
      </c>
      <c r="H67" s="44">
        <v>2</v>
      </c>
      <c r="I67" s="45">
        <v>4</v>
      </c>
      <c r="J67" s="45" t="s">
        <v>464</v>
      </c>
      <c r="K67" s="56" t="str">
        <f t="shared" si="7"/>
        <v>https://amazon.com/dp/B08QCCLCKW</v>
      </c>
    </row>
    <row r="68" spans="1:11" ht="45" x14ac:dyDescent="0.2">
      <c r="A68" s="18" t="s">
        <v>465</v>
      </c>
      <c r="B68" s="18" t="s">
        <v>466</v>
      </c>
      <c r="C68" s="41">
        <v>69.989999999999995</v>
      </c>
      <c r="D68" s="42">
        <v>2012.16</v>
      </c>
      <c r="E68" s="43">
        <v>167.68</v>
      </c>
      <c r="F68" s="44">
        <v>24</v>
      </c>
      <c r="G68" s="44">
        <v>2</v>
      </c>
      <c r="H68" s="44">
        <v>3</v>
      </c>
      <c r="I68" s="45">
        <v>4.7</v>
      </c>
      <c r="J68" s="45" t="s">
        <v>467</v>
      </c>
      <c r="K68" s="56" t="str">
        <f t="shared" si="7"/>
        <v>https://amazon.com/dp/B08QCZQMJ4</v>
      </c>
    </row>
    <row r="69" spans="1:11" ht="30" x14ac:dyDescent="0.2">
      <c r="A69" s="18" t="s">
        <v>468</v>
      </c>
      <c r="B69" s="18" t="s">
        <v>469</v>
      </c>
      <c r="C69" s="41">
        <v>59.99</v>
      </c>
      <c r="D69" s="42"/>
      <c r="E69" s="43"/>
      <c r="F69" s="44">
        <v>0</v>
      </c>
      <c r="G69" s="44">
        <v>0</v>
      </c>
      <c r="H69" s="44"/>
      <c r="I69" s="45"/>
      <c r="J69" s="45" t="s">
        <v>470</v>
      </c>
      <c r="K69" s="56" t="str">
        <f t="shared" si="7"/>
        <v>https://amazon.com/dp/B0D9JGJG5R</v>
      </c>
    </row>
    <row r="70" spans="1:11" ht="17" x14ac:dyDescent="0.2">
      <c r="A70" s="21" t="s">
        <v>4</v>
      </c>
      <c r="B70" s="21"/>
      <c r="C70" s="57"/>
      <c r="D70" s="58">
        <f>SUM(D9:D69)</f>
        <v>20997244.559999995</v>
      </c>
      <c r="E70" s="58">
        <f>SUM(E9:E69)</f>
        <v>1749770.3800000001</v>
      </c>
      <c r="F70" s="59"/>
      <c r="G70" s="59"/>
      <c r="H70" s="59"/>
      <c r="I70" s="60"/>
      <c r="J70" s="21"/>
    </row>
    <row r="71" spans="1:11" x14ac:dyDescent="0.2">
      <c r="A71" s="18"/>
      <c r="B71" s="18"/>
      <c r="C71" s="42"/>
      <c r="D71" s="42"/>
      <c r="E71" s="44"/>
      <c r="F71" s="44"/>
      <c r="G71" s="44"/>
      <c r="H71" s="45"/>
      <c r="I71" s="18"/>
    </row>
    <row r="72" spans="1:11" x14ac:dyDescent="0.2">
      <c r="A72" s="18"/>
      <c r="B72" s="18"/>
      <c r="C72" s="42"/>
      <c r="D72" s="42"/>
      <c r="E72" s="44"/>
      <c r="F72" s="44"/>
      <c r="G72" s="44"/>
      <c r="H72" s="45"/>
      <c r="I72" s="18"/>
    </row>
    <row r="73" spans="1:11" x14ac:dyDescent="0.2">
      <c r="A73" s="111" t="s">
        <v>17</v>
      </c>
      <c r="B73" s="111"/>
      <c r="C73" s="111"/>
      <c r="D73" s="111"/>
      <c r="E73" s="111"/>
      <c r="F73" s="111"/>
      <c r="G73" s="111"/>
      <c r="H73" s="111"/>
      <c r="I73" s="111"/>
      <c r="J73" s="111"/>
      <c r="K73" s="111"/>
    </row>
    <row r="74" spans="1:11" ht="17" x14ac:dyDescent="0.2">
      <c r="A74" s="24" t="s">
        <v>6</v>
      </c>
      <c r="B74" s="25" t="s">
        <v>5</v>
      </c>
      <c r="C74" s="26" t="s">
        <v>11</v>
      </c>
      <c r="D74" s="27" t="s">
        <v>2</v>
      </c>
      <c r="E74" s="25" t="s">
        <v>27</v>
      </c>
      <c r="F74" s="29" t="s">
        <v>13</v>
      </c>
      <c r="G74" s="32" t="s">
        <v>28</v>
      </c>
      <c r="H74" s="29" t="s">
        <v>8</v>
      </c>
      <c r="I74" s="30" t="s">
        <v>12</v>
      </c>
      <c r="J74" s="30" t="s">
        <v>22</v>
      </c>
      <c r="K74" s="31" t="s">
        <v>10</v>
      </c>
    </row>
    <row r="75" spans="1:11" ht="45" x14ac:dyDescent="0.2">
      <c r="A75" s="18" t="s">
        <v>42</v>
      </c>
      <c r="B75" s="18" t="s">
        <v>41</v>
      </c>
      <c r="C75" s="41">
        <v>129.99</v>
      </c>
      <c r="D75" s="42">
        <v>8388394.5600000015</v>
      </c>
      <c r="E75" s="42">
        <v>699032.88</v>
      </c>
      <c r="F75" s="44">
        <v>64536</v>
      </c>
      <c r="G75" s="46">
        <v>5378</v>
      </c>
      <c r="H75" s="44">
        <v>1078</v>
      </c>
      <c r="I75" s="45">
        <v>4.7</v>
      </c>
      <c r="J75" s="45" t="s">
        <v>43</v>
      </c>
      <c r="K75" s="22" t="str">
        <f>HYPERLINK(J75)</f>
        <v>https://amazon.com/dp/B0CJY5C9QX</v>
      </c>
    </row>
    <row r="76" spans="1:11" ht="45" x14ac:dyDescent="0.2">
      <c r="A76" s="18" t="s">
        <v>278</v>
      </c>
      <c r="B76" s="18" t="s">
        <v>277</v>
      </c>
      <c r="C76" s="41">
        <v>29.99</v>
      </c>
      <c r="D76" s="42">
        <v>388426.2</v>
      </c>
      <c r="E76" s="42">
        <v>32368.85</v>
      </c>
      <c r="F76" s="44">
        <v>12960</v>
      </c>
      <c r="G76" s="46">
        <v>1080</v>
      </c>
      <c r="H76" s="44">
        <v>911</v>
      </c>
      <c r="I76" s="45">
        <v>4.4000000000000004</v>
      </c>
      <c r="J76" s="45" t="s">
        <v>279</v>
      </c>
      <c r="K76" s="22" t="str">
        <f t="shared" ref="K76:K98" si="8">HYPERLINK(J76)</f>
        <v>https://amazon.com/dp/B0C1GFBTDC</v>
      </c>
    </row>
    <row r="77" spans="1:11" ht="45" x14ac:dyDescent="0.2">
      <c r="A77" s="18" t="s">
        <v>223</v>
      </c>
      <c r="B77" s="18" t="s">
        <v>222</v>
      </c>
      <c r="C77" s="41">
        <v>106.39</v>
      </c>
      <c r="D77" s="42">
        <v>1543312.2</v>
      </c>
      <c r="E77" s="42">
        <v>128609.35</v>
      </c>
      <c r="F77" s="44">
        <v>11088</v>
      </c>
      <c r="G77" s="46">
        <v>924</v>
      </c>
      <c r="H77" s="44">
        <v>177</v>
      </c>
      <c r="I77" s="45">
        <v>4.5999999999999996</v>
      </c>
      <c r="J77" s="45" t="s">
        <v>224</v>
      </c>
      <c r="K77" s="22" t="str">
        <f t="shared" si="8"/>
        <v>https://amazon.com/dp/B0DT4H7QQM</v>
      </c>
    </row>
    <row r="78" spans="1:11" ht="45" x14ac:dyDescent="0.2">
      <c r="A78" s="18" t="s">
        <v>229</v>
      </c>
      <c r="B78" s="18" t="s">
        <v>63</v>
      </c>
      <c r="C78" s="41">
        <v>149.99</v>
      </c>
      <c r="D78" s="42">
        <v>1386287.4</v>
      </c>
      <c r="E78" s="42">
        <v>115523.95</v>
      </c>
      <c r="F78" s="44">
        <v>10068</v>
      </c>
      <c r="G78" s="46">
        <v>839</v>
      </c>
      <c r="H78" s="44">
        <v>318</v>
      </c>
      <c r="I78" s="45">
        <v>4.4000000000000004</v>
      </c>
      <c r="J78" s="45" t="s">
        <v>64</v>
      </c>
      <c r="K78" s="22" t="str">
        <f t="shared" si="8"/>
        <v>https://amazon.com/dp/B0CJY6SWBN</v>
      </c>
    </row>
    <row r="79" spans="1:11" ht="45" x14ac:dyDescent="0.2">
      <c r="A79" s="18" t="s">
        <v>267</v>
      </c>
      <c r="B79" s="18" t="s">
        <v>151</v>
      </c>
      <c r="C79" s="41">
        <v>37.99</v>
      </c>
      <c r="D79" s="42">
        <v>473261.28</v>
      </c>
      <c r="E79" s="42">
        <v>39438.44</v>
      </c>
      <c r="F79" s="44">
        <v>9636</v>
      </c>
      <c r="G79" s="46">
        <v>803</v>
      </c>
      <c r="H79" s="44">
        <v>234</v>
      </c>
      <c r="I79" s="45">
        <v>4.5</v>
      </c>
      <c r="J79" s="45" t="s">
        <v>152</v>
      </c>
      <c r="K79" s="22" t="str">
        <f t="shared" ref="K79:K87" si="9">HYPERLINK(J79)</f>
        <v>https://amazon.com/dp/B0DK965BZP</v>
      </c>
    </row>
    <row r="80" spans="1:11" ht="60" x14ac:dyDescent="0.2">
      <c r="A80" s="18" t="s">
        <v>59</v>
      </c>
      <c r="B80" s="18" t="s">
        <v>58</v>
      </c>
      <c r="C80" s="41">
        <v>159.99</v>
      </c>
      <c r="D80" s="42">
        <v>1250792.8799999999</v>
      </c>
      <c r="E80" s="42">
        <v>104232.74</v>
      </c>
      <c r="F80" s="44">
        <v>7812</v>
      </c>
      <c r="G80" s="46">
        <v>651</v>
      </c>
      <c r="H80" s="44">
        <v>3542</v>
      </c>
      <c r="I80" s="45">
        <v>4.5999999999999996</v>
      </c>
      <c r="J80" s="45" t="s">
        <v>60</v>
      </c>
      <c r="K80" s="22" t="str">
        <f t="shared" si="9"/>
        <v>https://amazon.com/dp/B07TV2BFVR</v>
      </c>
    </row>
    <row r="81" spans="1:11" ht="45" x14ac:dyDescent="0.2">
      <c r="A81" s="18" t="s">
        <v>299</v>
      </c>
      <c r="B81" s="18" t="s">
        <v>76</v>
      </c>
      <c r="C81" s="41">
        <v>39.99</v>
      </c>
      <c r="D81" s="42">
        <v>248550.84</v>
      </c>
      <c r="E81" s="42">
        <v>20712.57</v>
      </c>
      <c r="F81" s="44">
        <v>7080</v>
      </c>
      <c r="G81" s="46">
        <v>590</v>
      </c>
      <c r="H81" s="44">
        <v>717</v>
      </c>
      <c r="I81" s="45">
        <v>4.0999999999999996</v>
      </c>
      <c r="J81" s="45" t="s">
        <v>77</v>
      </c>
      <c r="K81" s="22" t="str">
        <f t="shared" si="9"/>
        <v>https://amazon.com/dp/B0CL4KT182</v>
      </c>
    </row>
    <row r="82" spans="1:11" ht="45" x14ac:dyDescent="0.2">
      <c r="A82" s="18" t="s">
        <v>284</v>
      </c>
      <c r="B82" s="18" t="s">
        <v>283</v>
      </c>
      <c r="C82" s="41">
        <v>59.99</v>
      </c>
      <c r="D82" s="42">
        <v>366452.88</v>
      </c>
      <c r="E82" s="42">
        <v>30537.74</v>
      </c>
      <c r="F82" s="44">
        <v>6516</v>
      </c>
      <c r="G82" s="46">
        <v>543</v>
      </c>
      <c r="H82" s="44">
        <v>57</v>
      </c>
      <c r="I82" s="45">
        <v>4.8</v>
      </c>
      <c r="J82" s="45" t="s">
        <v>285</v>
      </c>
      <c r="K82" s="22" t="str">
        <f t="shared" si="9"/>
        <v>https://amazon.com/dp/B0DYDXH1NQ</v>
      </c>
    </row>
    <row r="83" spans="1:11" ht="45" x14ac:dyDescent="0.2">
      <c r="A83" s="18" t="s">
        <v>85</v>
      </c>
      <c r="B83" s="18" t="s">
        <v>84</v>
      </c>
      <c r="C83" s="41">
        <v>55.99</v>
      </c>
      <c r="D83" s="42">
        <v>256079.4</v>
      </c>
      <c r="E83" s="42">
        <v>21339.95</v>
      </c>
      <c r="F83" s="44">
        <v>4572</v>
      </c>
      <c r="G83" s="46">
        <v>381</v>
      </c>
      <c r="H83" s="44">
        <v>2098</v>
      </c>
      <c r="I83" s="45">
        <v>4.4000000000000004</v>
      </c>
      <c r="J83" s="45" t="s">
        <v>86</v>
      </c>
      <c r="K83" s="22" t="str">
        <f t="shared" si="9"/>
        <v>https://amazon.com/dp/B07TTQF24F</v>
      </c>
    </row>
    <row r="84" spans="1:11" ht="45" x14ac:dyDescent="0.2">
      <c r="A84" s="18" t="s">
        <v>397</v>
      </c>
      <c r="B84" s="18" t="s">
        <v>398</v>
      </c>
      <c r="C84" s="41">
        <v>65.989999999999995</v>
      </c>
      <c r="D84" s="42">
        <v>268233.36</v>
      </c>
      <c r="E84" s="42">
        <v>22352.78</v>
      </c>
      <c r="F84" s="44">
        <v>4068</v>
      </c>
      <c r="G84" s="46">
        <v>339</v>
      </c>
      <c r="H84" s="44">
        <v>114</v>
      </c>
      <c r="I84" s="45">
        <v>4.3</v>
      </c>
      <c r="J84" s="45" t="s">
        <v>399</v>
      </c>
      <c r="K84" s="22" t="str">
        <f t="shared" si="9"/>
        <v>https://amazon.com/dp/B0DRP8LPF8</v>
      </c>
    </row>
    <row r="85" spans="1:11" ht="45" x14ac:dyDescent="0.2">
      <c r="A85" s="18" t="s">
        <v>172</v>
      </c>
      <c r="B85" s="18" t="s">
        <v>173</v>
      </c>
      <c r="C85" s="41">
        <v>99.99</v>
      </c>
      <c r="D85" s="42">
        <v>304541.64</v>
      </c>
      <c r="E85" s="42">
        <v>25378.47</v>
      </c>
      <c r="F85" s="44">
        <v>3432</v>
      </c>
      <c r="G85" s="46">
        <v>286</v>
      </c>
      <c r="H85" s="44">
        <v>106</v>
      </c>
      <c r="I85" s="45">
        <v>4.4000000000000004</v>
      </c>
      <c r="J85" s="45" t="s">
        <v>174</v>
      </c>
      <c r="K85" s="22" t="str">
        <f t="shared" si="9"/>
        <v>https://amazon.com/dp/B0DH24P6NY</v>
      </c>
    </row>
    <row r="86" spans="1:11" ht="45" x14ac:dyDescent="0.2">
      <c r="A86" s="18" t="s">
        <v>238</v>
      </c>
      <c r="B86" s="18" t="s">
        <v>237</v>
      </c>
      <c r="C86" s="41">
        <v>299.99</v>
      </c>
      <c r="D86" s="42">
        <v>909591.11999999988</v>
      </c>
      <c r="E86" s="42">
        <v>75799.259999999995</v>
      </c>
      <c r="F86" s="44">
        <v>3036</v>
      </c>
      <c r="G86" s="46">
        <v>253</v>
      </c>
      <c r="H86" s="44">
        <v>184</v>
      </c>
      <c r="I86" s="45">
        <v>4.2</v>
      </c>
      <c r="J86" s="45" t="s">
        <v>239</v>
      </c>
      <c r="K86" s="22" t="str">
        <f t="shared" si="9"/>
        <v>https://amazon.com/dp/B0CHW4FLS7</v>
      </c>
    </row>
    <row r="87" spans="1:11" ht="45" x14ac:dyDescent="0.2">
      <c r="A87" s="18" t="s">
        <v>406</v>
      </c>
      <c r="B87" s="18" t="s">
        <v>153</v>
      </c>
      <c r="C87" s="41">
        <v>79.989999999999995</v>
      </c>
      <c r="D87" s="42">
        <v>181677.6</v>
      </c>
      <c r="E87" s="42">
        <v>15139.8</v>
      </c>
      <c r="F87" s="44">
        <v>2580</v>
      </c>
      <c r="G87" s="46">
        <v>215</v>
      </c>
      <c r="H87" s="44">
        <v>2302</v>
      </c>
      <c r="I87" s="45">
        <v>4.3</v>
      </c>
      <c r="J87" s="45" t="s">
        <v>154</v>
      </c>
      <c r="K87" s="22" t="str">
        <f t="shared" si="9"/>
        <v>https://amazon.com/dp/B086X1XGN1</v>
      </c>
    </row>
    <row r="88" spans="1:11" ht="45" x14ac:dyDescent="0.2">
      <c r="A88" s="18" t="s">
        <v>403</v>
      </c>
      <c r="B88" s="18" t="s">
        <v>404</v>
      </c>
      <c r="C88" s="41">
        <v>79.989999999999995</v>
      </c>
      <c r="D88" s="42">
        <v>195915.84</v>
      </c>
      <c r="E88" s="42">
        <v>16326.32</v>
      </c>
      <c r="F88" s="44">
        <v>2448</v>
      </c>
      <c r="G88" s="46">
        <v>204</v>
      </c>
      <c r="H88" s="44">
        <v>93</v>
      </c>
      <c r="I88" s="45">
        <v>4.4000000000000004</v>
      </c>
      <c r="J88" s="45" t="s">
        <v>405</v>
      </c>
      <c r="K88" s="22" t="str">
        <f t="shared" si="8"/>
        <v>https://amazon.com/dp/B0F2H49C2D</v>
      </c>
    </row>
    <row r="89" spans="1:11" ht="45" x14ac:dyDescent="0.2">
      <c r="A89" s="18" t="s">
        <v>185</v>
      </c>
      <c r="B89" s="18" t="s">
        <v>186</v>
      </c>
      <c r="C89" s="41">
        <v>179.99</v>
      </c>
      <c r="D89" s="42">
        <v>397579.08</v>
      </c>
      <c r="E89" s="42">
        <v>33131.589999999997</v>
      </c>
      <c r="F89" s="44">
        <v>2400</v>
      </c>
      <c r="G89" s="46">
        <v>200</v>
      </c>
      <c r="H89" s="44">
        <v>339</v>
      </c>
      <c r="I89" s="45">
        <v>4.5</v>
      </c>
      <c r="J89" s="45" t="s">
        <v>187</v>
      </c>
      <c r="K89" s="22" t="str">
        <f t="shared" si="8"/>
        <v>https://amazon.com/dp/B07Q86XGN2</v>
      </c>
    </row>
    <row r="90" spans="1:11" ht="45" x14ac:dyDescent="0.2">
      <c r="A90" s="18" t="s">
        <v>262</v>
      </c>
      <c r="B90" s="18" t="s">
        <v>261</v>
      </c>
      <c r="C90" s="41">
        <v>279.99</v>
      </c>
      <c r="D90" s="42">
        <v>521574.24</v>
      </c>
      <c r="E90" s="42">
        <v>43464.52</v>
      </c>
      <c r="F90" s="44">
        <v>2148</v>
      </c>
      <c r="G90" s="46">
        <v>179</v>
      </c>
      <c r="H90" s="44">
        <v>549</v>
      </c>
      <c r="I90" s="45">
        <v>4.7</v>
      </c>
      <c r="J90" s="45" t="s">
        <v>263</v>
      </c>
      <c r="K90" s="22" t="str">
        <f t="shared" si="8"/>
        <v>https://amazon.com/dp/B09ZV7KJHL</v>
      </c>
    </row>
    <row r="91" spans="1:11" ht="60" x14ac:dyDescent="0.2">
      <c r="A91" s="18" t="s">
        <v>108</v>
      </c>
      <c r="B91" s="18" t="s">
        <v>107</v>
      </c>
      <c r="C91" s="41">
        <v>139.99</v>
      </c>
      <c r="D91" s="42">
        <v>290713.44</v>
      </c>
      <c r="E91" s="42">
        <v>24226.12</v>
      </c>
      <c r="F91" s="44">
        <v>2076</v>
      </c>
      <c r="G91" s="46">
        <v>173</v>
      </c>
      <c r="H91" s="44">
        <v>3542</v>
      </c>
      <c r="I91" s="45">
        <v>4.5999999999999996</v>
      </c>
      <c r="J91" s="45" t="s">
        <v>109</v>
      </c>
      <c r="K91" s="22" t="str">
        <f t="shared" si="8"/>
        <v>https://amazon.com/dp/B08519F2W9</v>
      </c>
    </row>
    <row r="92" spans="1:11" ht="45" x14ac:dyDescent="0.2">
      <c r="A92" s="18" t="s">
        <v>188</v>
      </c>
      <c r="B92" s="18" t="s">
        <v>189</v>
      </c>
      <c r="C92" s="41">
        <v>49.99</v>
      </c>
      <c r="D92" s="42">
        <v>82657.08</v>
      </c>
      <c r="E92" s="42">
        <v>6888.09</v>
      </c>
      <c r="F92" s="44">
        <v>1728</v>
      </c>
      <c r="G92" s="46">
        <v>144</v>
      </c>
      <c r="H92" s="44">
        <v>101</v>
      </c>
      <c r="I92" s="45">
        <v>4.0999999999999996</v>
      </c>
      <c r="J92" s="45" t="s">
        <v>190</v>
      </c>
      <c r="K92" s="22" t="str">
        <f t="shared" si="8"/>
        <v>https://amazon.com/dp/B0DL621NQ2</v>
      </c>
    </row>
    <row r="93" spans="1:11" ht="45" x14ac:dyDescent="0.2">
      <c r="A93" s="18" t="s">
        <v>426</v>
      </c>
      <c r="B93" s="18" t="s">
        <v>427</v>
      </c>
      <c r="C93" s="41">
        <v>36.99</v>
      </c>
      <c r="D93" s="42">
        <v>62748.12</v>
      </c>
      <c r="E93" s="42">
        <v>5229.01</v>
      </c>
      <c r="F93" s="44">
        <v>1692</v>
      </c>
      <c r="G93" s="46">
        <v>141</v>
      </c>
      <c r="H93" s="44">
        <v>294</v>
      </c>
      <c r="I93" s="45">
        <v>4.3</v>
      </c>
      <c r="J93" s="45" t="s">
        <v>428</v>
      </c>
      <c r="K93" s="22" t="str">
        <f t="shared" si="8"/>
        <v>https://amazon.com/dp/B0CF1VCDBD</v>
      </c>
    </row>
    <row r="94" spans="1:11" ht="45" x14ac:dyDescent="0.2">
      <c r="A94" s="18" t="s">
        <v>155</v>
      </c>
      <c r="B94" s="18" t="s">
        <v>156</v>
      </c>
      <c r="C94" s="41">
        <v>109.99</v>
      </c>
      <c r="D94" s="42">
        <v>138252.24</v>
      </c>
      <c r="E94" s="42">
        <v>11521.02</v>
      </c>
      <c r="F94" s="44">
        <v>1404</v>
      </c>
      <c r="G94" s="46">
        <v>117</v>
      </c>
      <c r="H94" s="44">
        <v>2302</v>
      </c>
      <c r="I94" s="45">
        <v>4.3</v>
      </c>
      <c r="J94" s="45" t="s">
        <v>157</v>
      </c>
      <c r="K94" s="22" t="str">
        <f t="shared" si="8"/>
        <v>https://amazon.com/dp/B08QCMT89N</v>
      </c>
    </row>
    <row r="95" spans="1:11" ht="45" x14ac:dyDescent="0.2">
      <c r="A95" s="18" t="s">
        <v>148</v>
      </c>
      <c r="B95" s="18" t="s">
        <v>149</v>
      </c>
      <c r="C95" s="41">
        <v>95.99</v>
      </c>
      <c r="D95" s="42">
        <v>126414.84</v>
      </c>
      <c r="E95" s="42">
        <v>10534.57</v>
      </c>
      <c r="F95" s="44">
        <v>1320</v>
      </c>
      <c r="G95" s="46">
        <v>110</v>
      </c>
      <c r="H95" s="44">
        <v>720</v>
      </c>
      <c r="I95" s="45">
        <v>4.5</v>
      </c>
      <c r="J95" s="45" t="s">
        <v>150</v>
      </c>
      <c r="K95" s="22" t="str">
        <f t="shared" si="8"/>
        <v>https://amazon.com/dp/B09Y1F2MPB</v>
      </c>
    </row>
    <row r="96" spans="1:11" ht="45" x14ac:dyDescent="0.2">
      <c r="A96" s="18" t="s">
        <v>169</v>
      </c>
      <c r="B96" s="18" t="s">
        <v>170</v>
      </c>
      <c r="C96" s="41">
        <v>30.99</v>
      </c>
      <c r="D96" s="42">
        <v>35460.480000000003</v>
      </c>
      <c r="E96" s="42">
        <v>2955.04</v>
      </c>
      <c r="F96" s="44">
        <v>1140</v>
      </c>
      <c r="G96" s="46">
        <v>95</v>
      </c>
      <c r="H96" s="44">
        <v>252</v>
      </c>
      <c r="I96" s="45">
        <v>4.3</v>
      </c>
      <c r="J96" s="45" t="s">
        <v>171</v>
      </c>
      <c r="K96" s="22" t="str">
        <f t="shared" si="8"/>
        <v>https://amazon.com/dp/B0C9L75QQ9</v>
      </c>
    </row>
    <row r="97" spans="1:11" ht="60" x14ac:dyDescent="0.2">
      <c r="A97" s="18" t="s">
        <v>145</v>
      </c>
      <c r="B97" s="18" t="s">
        <v>146</v>
      </c>
      <c r="C97" s="41">
        <v>149.99</v>
      </c>
      <c r="D97" s="42">
        <v>156304.92000000001</v>
      </c>
      <c r="E97" s="42">
        <v>13025.41</v>
      </c>
      <c r="F97" s="44">
        <v>1044</v>
      </c>
      <c r="G97" s="46">
        <v>87</v>
      </c>
      <c r="H97" s="44">
        <v>3543</v>
      </c>
      <c r="I97" s="45">
        <v>4.5999999999999996</v>
      </c>
      <c r="J97" s="45" t="s">
        <v>147</v>
      </c>
      <c r="K97" s="22" t="str">
        <f t="shared" si="8"/>
        <v>https://amazon.com/dp/B08519V6GW</v>
      </c>
    </row>
    <row r="98" spans="1:11" ht="45" x14ac:dyDescent="0.2">
      <c r="A98" s="18" t="s">
        <v>425</v>
      </c>
      <c r="B98" s="18" t="s">
        <v>181</v>
      </c>
      <c r="C98" s="41">
        <v>69.989999999999995</v>
      </c>
      <c r="D98" s="42">
        <v>63425.52</v>
      </c>
      <c r="E98" s="42">
        <v>5285.46</v>
      </c>
      <c r="F98" s="44">
        <v>1020</v>
      </c>
      <c r="G98" s="46">
        <v>85</v>
      </c>
      <c r="H98" s="44">
        <v>106</v>
      </c>
      <c r="I98" s="45">
        <v>4.4000000000000004</v>
      </c>
      <c r="J98" s="45" t="s">
        <v>182</v>
      </c>
      <c r="K98" s="22" t="str">
        <f t="shared" si="8"/>
        <v>https://amazon.com/dp/B0DH1ZGT5X</v>
      </c>
    </row>
    <row r="99" spans="1:11" ht="45" x14ac:dyDescent="0.2">
      <c r="A99" s="18" t="s">
        <v>281</v>
      </c>
      <c r="B99" s="18" t="s">
        <v>280</v>
      </c>
      <c r="C99" s="41">
        <v>449.99</v>
      </c>
      <c r="D99" s="42">
        <v>380178.12</v>
      </c>
      <c r="E99" s="42">
        <v>31681.51</v>
      </c>
      <c r="F99" s="44">
        <v>852</v>
      </c>
      <c r="G99" s="46">
        <v>71</v>
      </c>
      <c r="H99" s="44">
        <v>28</v>
      </c>
      <c r="I99" s="45">
        <v>4.7</v>
      </c>
      <c r="J99" s="45" t="s">
        <v>282</v>
      </c>
      <c r="K99" s="22" t="str">
        <f t="shared" ref="K99:K112" si="10">HYPERLINK(J99)</f>
        <v>https://amazon.com/dp/B0DTHZDGYD</v>
      </c>
    </row>
    <row r="100" spans="1:11" ht="45" x14ac:dyDescent="0.2">
      <c r="A100" s="18" t="s">
        <v>429</v>
      </c>
      <c r="B100" s="18" t="s">
        <v>183</v>
      </c>
      <c r="C100" s="41">
        <v>79.989999999999995</v>
      </c>
      <c r="D100" s="42">
        <v>60345</v>
      </c>
      <c r="E100" s="42">
        <v>5028.75</v>
      </c>
      <c r="F100" s="44">
        <v>852</v>
      </c>
      <c r="G100" s="46">
        <v>71</v>
      </c>
      <c r="H100" s="44">
        <v>104</v>
      </c>
      <c r="I100" s="45">
        <v>4.4000000000000004</v>
      </c>
      <c r="J100" s="45" t="s">
        <v>184</v>
      </c>
      <c r="K100" s="22" t="str">
        <f t="shared" si="10"/>
        <v>https://amazon.com/dp/B0DGGM7X88</v>
      </c>
    </row>
    <row r="101" spans="1:11" ht="45" x14ac:dyDescent="0.2">
      <c r="A101" s="18" t="s">
        <v>416</v>
      </c>
      <c r="B101" s="18" t="s">
        <v>417</v>
      </c>
      <c r="C101" s="41">
        <v>89.99</v>
      </c>
      <c r="D101" s="42">
        <v>75828</v>
      </c>
      <c r="E101" s="42">
        <v>6319</v>
      </c>
      <c r="F101" s="44">
        <v>840</v>
      </c>
      <c r="G101" s="46">
        <v>70</v>
      </c>
      <c r="H101" s="44">
        <v>46</v>
      </c>
      <c r="I101" s="45">
        <v>4.5</v>
      </c>
      <c r="J101" s="45" t="s">
        <v>418</v>
      </c>
      <c r="K101" s="22" t="str">
        <f t="shared" si="10"/>
        <v>https://amazon.com/dp/B08QCCZHC6</v>
      </c>
    </row>
    <row r="102" spans="1:11" ht="45" x14ac:dyDescent="0.2">
      <c r="A102" s="18" t="s">
        <v>391</v>
      </c>
      <c r="B102" s="18" t="s">
        <v>392</v>
      </c>
      <c r="C102" s="41">
        <v>349.99</v>
      </c>
      <c r="D102" s="42">
        <v>278458.56</v>
      </c>
      <c r="E102" s="42">
        <v>23204.880000000001</v>
      </c>
      <c r="F102" s="44">
        <v>792</v>
      </c>
      <c r="G102" s="46">
        <v>66</v>
      </c>
      <c r="H102" s="44">
        <v>94</v>
      </c>
      <c r="I102" s="45">
        <v>4</v>
      </c>
      <c r="J102" s="45" t="s">
        <v>393</v>
      </c>
      <c r="K102" s="22" t="str">
        <f t="shared" si="10"/>
        <v>https://amazon.com/dp/B0CLG4LHWP</v>
      </c>
    </row>
    <row r="103" spans="1:11" ht="45" x14ac:dyDescent="0.2">
      <c r="A103" s="18" t="s">
        <v>400</v>
      </c>
      <c r="B103" s="18" t="s">
        <v>401</v>
      </c>
      <c r="C103" s="41">
        <v>269.99</v>
      </c>
      <c r="D103" s="42">
        <v>199480.32000000001</v>
      </c>
      <c r="E103" s="42">
        <v>16623.36</v>
      </c>
      <c r="F103" s="44">
        <v>780</v>
      </c>
      <c r="G103" s="46">
        <v>65</v>
      </c>
      <c r="H103" s="44">
        <v>618</v>
      </c>
      <c r="I103" s="45">
        <v>4.7</v>
      </c>
      <c r="J103" s="45" t="s">
        <v>402</v>
      </c>
      <c r="K103" s="22" t="str">
        <f t="shared" si="10"/>
        <v>https://amazon.com/dp/B07SQ4FLYX</v>
      </c>
    </row>
    <row r="104" spans="1:11" ht="45" x14ac:dyDescent="0.2">
      <c r="A104" s="18" t="s">
        <v>413</v>
      </c>
      <c r="B104" s="18" t="s">
        <v>414</v>
      </c>
      <c r="C104" s="41">
        <v>109.99</v>
      </c>
      <c r="D104" s="42">
        <v>82385.52</v>
      </c>
      <c r="E104" s="42">
        <v>6865.46</v>
      </c>
      <c r="F104" s="44">
        <v>744</v>
      </c>
      <c r="G104" s="46">
        <v>62</v>
      </c>
      <c r="H104" s="44">
        <v>30</v>
      </c>
      <c r="I104" s="45">
        <v>4.8</v>
      </c>
      <c r="J104" s="45" t="s">
        <v>415</v>
      </c>
      <c r="K104" s="22" t="str">
        <f t="shared" si="10"/>
        <v>https://amazon.com/dp/B0DRP5MDLL</v>
      </c>
    </row>
    <row r="105" spans="1:11" ht="45" x14ac:dyDescent="0.2">
      <c r="A105" s="18" t="s">
        <v>160</v>
      </c>
      <c r="B105" s="18" t="s">
        <v>161</v>
      </c>
      <c r="C105" s="41">
        <v>159.99</v>
      </c>
      <c r="D105" s="42">
        <v>109937.52</v>
      </c>
      <c r="E105" s="42">
        <v>9161.4599999999991</v>
      </c>
      <c r="F105" s="44">
        <v>744</v>
      </c>
      <c r="G105" s="46">
        <v>62</v>
      </c>
      <c r="H105" s="44">
        <v>339</v>
      </c>
      <c r="I105" s="45">
        <v>4.5</v>
      </c>
      <c r="J105" s="45" t="s">
        <v>162</v>
      </c>
      <c r="K105" s="22" t="str">
        <f t="shared" si="10"/>
        <v>https://amazon.com/dp/B09NBRQ4ST</v>
      </c>
    </row>
    <row r="106" spans="1:11" ht="45" x14ac:dyDescent="0.2">
      <c r="A106" s="18" t="s">
        <v>431</v>
      </c>
      <c r="B106" s="18" t="s">
        <v>432</v>
      </c>
      <c r="C106" s="41">
        <v>49.99</v>
      </c>
      <c r="D106" s="42">
        <v>36394.080000000002</v>
      </c>
      <c r="E106" s="42">
        <v>3032.84</v>
      </c>
      <c r="F106" s="44">
        <v>732</v>
      </c>
      <c r="G106" s="46">
        <v>61</v>
      </c>
      <c r="H106" s="44">
        <v>911</v>
      </c>
      <c r="I106" s="45">
        <v>4.4000000000000004</v>
      </c>
      <c r="J106" s="45" t="s">
        <v>433</v>
      </c>
      <c r="K106" s="22" t="str">
        <f t="shared" si="10"/>
        <v>https://amazon.com/dp/B0FNMZP57S</v>
      </c>
    </row>
    <row r="107" spans="1:11" ht="45" x14ac:dyDescent="0.2">
      <c r="A107" s="18" t="s">
        <v>175</v>
      </c>
      <c r="B107" s="18" t="s">
        <v>176</v>
      </c>
      <c r="C107" s="41">
        <v>169.99</v>
      </c>
      <c r="D107" s="42">
        <v>111674.16</v>
      </c>
      <c r="E107" s="42">
        <v>9306.18</v>
      </c>
      <c r="F107" s="44">
        <v>720</v>
      </c>
      <c r="G107" s="46">
        <v>60</v>
      </c>
      <c r="H107" s="44">
        <v>339</v>
      </c>
      <c r="I107" s="45">
        <v>4.5</v>
      </c>
      <c r="J107" s="45" t="s">
        <v>177</v>
      </c>
      <c r="K107" s="22" t="str">
        <f t="shared" si="10"/>
        <v>https://amazon.com/dp/B0CNPWHCQG</v>
      </c>
    </row>
    <row r="108" spans="1:11" ht="45" x14ac:dyDescent="0.2">
      <c r="A108" s="18" t="s">
        <v>166</v>
      </c>
      <c r="B108" s="18" t="s">
        <v>167</v>
      </c>
      <c r="C108" s="41">
        <v>179.99</v>
      </c>
      <c r="D108" s="42">
        <v>127021.68</v>
      </c>
      <c r="E108" s="42">
        <v>10585.14</v>
      </c>
      <c r="F108" s="44">
        <v>708</v>
      </c>
      <c r="G108" s="46">
        <v>59</v>
      </c>
      <c r="H108" s="44">
        <v>120</v>
      </c>
      <c r="I108" s="45">
        <v>4.8</v>
      </c>
      <c r="J108" s="45" t="s">
        <v>168</v>
      </c>
      <c r="K108" s="22" t="str">
        <f t="shared" si="10"/>
        <v>https://amazon.com/dp/B095HN3VQZ</v>
      </c>
    </row>
    <row r="109" spans="1:11" ht="45" x14ac:dyDescent="0.2">
      <c r="A109" s="18" t="s">
        <v>265</v>
      </c>
      <c r="B109" s="18" t="s">
        <v>264</v>
      </c>
      <c r="C109" s="41">
        <v>699.99</v>
      </c>
      <c r="D109" s="42">
        <v>488949.24</v>
      </c>
      <c r="E109" s="42">
        <v>40745.769999999997</v>
      </c>
      <c r="F109" s="44">
        <v>696</v>
      </c>
      <c r="G109" s="46">
        <v>58</v>
      </c>
      <c r="H109" s="44">
        <v>21</v>
      </c>
      <c r="I109" s="45">
        <v>4.5999999999999996</v>
      </c>
      <c r="J109" s="45" t="s">
        <v>266</v>
      </c>
      <c r="K109" s="22" t="str">
        <f t="shared" si="10"/>
        <v>https://amazon.com/dp/B0D7PYRRKD</v>
      </c>
    </row>
    <row r="110" spans="1:11" ht="45" x14ac:dyDescent="0.2">
      <c r="A110" s="18" t="s">
        <v>163</v>
      </c>
      <c r="B110" s="18" t="s">
        <v>164</v>
      </c>
      <c r="C110" s="41">
        <v>89.99</v>
      </c>
      <c r="D110" s="42">
        <v>61026.84</v>
      </c>
      <c r="E110" s="42">
        <v>5085.57</v>
      </c>
      <c r="F110" s="44">
        <v>672</v>
      </c>
      <c r="G110" s="46">
        <v>56</v>
      </c>
      <c r="H110" s="44">
        <v>165</v>
      </c>
      <c r="I110" s="45">
        <v>4.4000000000000004</v>
      </c>
      <c r="J110" s="45" t="s">
        <v>165</v>
      </c>
      <c r="K110" s="22" t="str">
        <f t="shared" si="10"/>
        <v>https://amazon.com/dp/B09YGNWL44</v>
      </c>
    </row>
    <row r="111" spans="1:11" ht="45" x14ac:dyDescent="0.2">
      <c r="A111" s="18" t="s">
        <v>410</v>
      </c>
      <c r="B111" s="18" t="s">
        <v>411</v>
      </c>
      <c r="C111" s="41">
        <v>149.99</v>
      </c>
      <c r="D111" s="42">
        <v>100460.88</v>
      </c>
      <c r="E111" s="42">
        <v>8371.74</v>
      </c>
      <c r="F111" s="44">
        <v>672</v>
      </c>
      <c r="G111" s="46">
        <v>56</v>
      </c>
      <c r="H111" s="44">
        <v>388</v>
      </c>
      <c r="I111" s="45">
        <v>4.7</v>
      </c>
      <c r="J111" s="45" t="s">
        <v>412</v>
      </c>
      <c r="K111" s="22" t="str">
        <f t="shared" si="10"/>
        <v>https://amazon.com/dp/B08D9GDQD5</v>
      </c>
    </row>
    <row r="112" spans="1:11" ht="45" x14ac:dyDescent="0.2">
      <c r="A112" s="18" t="s">
        <v>178</v>
      </c>
      <c r="B112" s="18" t="s">
        <v>179</v>
      </c>
      <c r="C112" s="41">
        <v>49.99</v>
      </c>
      <c r="D112" s="42">
        <v>30478.68</v>
      </c>
      <c r="E112" s="42">
        <v>2539.89</v>
      </c>
      <c r="F112" s="44">
        <v>612</v>
      </c>
      <c r="G112" s="46">
        <v>51</v>
      </c>
      <c r="H112" s="44">
        <v>374</v>
      </c>
      <c r="I112" s="45">
        <v>4.0999999999999996</v>
      </c>
      <c r="J112" s="45" t="s">
        <v>180</v>
      </c>
      <c r="K112" s="22" t="str">
        <f t="shared" si="10"/>
        <v>https://amazon.com/dp/B07HVT2XZL</v>
      </c>
    </row>
    <row r="113" spans="1:11" ht="45" x14ac:dyDescent="0.2">
      <c r="A113" s="18" t="s">
        <v>394</v>
      </c>
      <c r="B113" s="18" t="s">
        <v>395</v>
      </c>
      <c r="C113" s="41">
        <v>499.99</v>
      </c>
      <c r="D113" s="42">
        <v>271819.44</v>
      </c>
      <c r="E113" s="42">
        <v>22651.62</v>
      </c>
      <c r="F113" s="44">
        <v>540</v>
      </c>
      <c r="G113" s="46">
        <v>45</v>
      </c>
      <c r="H113" s="44">
        <v>7</v>
      </c>
      <c r="I113" s="45">
        <v>4.2</v>
      </c>
      <c r="J113" s="45" t="s">
        <v>396</v>
      </c>
      <c r="K113" s="22" t="str">
        <f t="shared" ref="K113:K126" si="11">HYPERLINK(J113)</f>
        <v>https://amazon.com/dp/B0FFGZC3WX</v>
      </c>
    </row>
    <row r="114" spans="1:11" ht="45" x14ac:dyDescent="0.2">
      <c r="A114" s="18" t="s">
        <v>191</v>
      </c>
      <c r="B114" s="18" t="s">
        <v>192</v>
      </c>
      <c r="C114" s="41">
        <v>42.99</v>
      </c>
      <c r="D114" s="42">
        <v>22342.32</v>
      </c>
      <c r="E114" s="42">
        <v>1861.86</v>
      </c>
      <c r="F114" s="44">
        <v>516</v>
      </c>
      <c r="G114" s="46">
        <v>43</v>
      </c>
      <c r="H114" s="44">
        <v>68</v>
      </c>
      <c r="I114" s="45">
        <v>4.2</v>
      </c>
      <c r="J114" s="45" t="s">
        <v>193</v>
      </c>
      <c r="K114" s="22" t="str">
        <f t="shared" si="11"/>
        <v>https://amazon.com/dp/B0DL8LJTWM</v>
      </c>
    </row>
    <row r="115" spans="1:11" ht="45" x14ac:dyDescent="0.2">
      <c r="A115" s="18" t="s">
        <v>407</v>
      </c>
      <c r="B115" s="18" t="s">
        <v>408</v>
      </c>
      <c r="C115" s="41">
        <v>329.99</v>
      </c>
      <c r="D115" s="42">
        <v>165543.24</v>
      </c>
      <c r="E115" s="42">
        <v>13795.27</v>
      </c>
      <c r="F115" s="44">
        <v>504</v>
      </c>
      <c r="G115" s="46">
        <v>42</v>
      </c>
      <c r="H115" s="44">
        <v>60</v>
      </c>
      <c r="I115" s="45">
        <v>4.2</v>
      </c>
      <c r="J115" s="45" t="s">
        <v>409</v>
      </c>
      <c r="K115" s="22" t="str">
        <f t="shared" si="11"/>
        <v>https://amazon.com/dp/B0C4H7RJY7</v>
      </c>
    </row>
    <row r="116" spans="1:11" ht="45" x14ac:dyDescent="0.2">
      <c r="A116" s="18" t="s">
        <v>430</v>
      </c>
      <c r="B116" s="18" t="s">
        <v>158</v>
      </c>
      <c r="C116" s="41">
        <v>119.99</v>
      </c>
      <c r="D116" s="42">
        <v>55990.8</v>
      </c>
      <c r="E116" s="42">
        <v>4665.8999999999996</v>
      </c>
      <c r="F116" s="44">
        <v>468</v>
      </c>
      <c r="G116" s="46">
        <v>39</v>
      </c>
      <c r="H116" s="44">
        <v>86</v>
      </c>
      <c r="I116" s="45">
        <v>4.4000000000000004</v>
      </c>
      <c r="J116" s="45" t="s">
        <v>159</v>
      </c>
      <c r="K116" s="22" t="str">
        <f t="shared" si="11"/>
        <v>https://amazon.com/dp/B0BG27Q1JS</v>
      </c>
    </row>
    <row r="117" spans="1:11" ht="45" x14ac:dyDescent="0.2">
      <c r="A117" s="18" t="s">
        <v>437</v>
      </c>
      <c r="B117" s="18" t="s">
        <v>197</v>
      </c>
      <c r="C117" s="41">
        <v>89.99</v>
      </c>
      <c r="D117" s="42">
        <v>33646.68</v>
      </c>
      <c r="E117" s="42">
        <v>2803.89</v>
      </c>
      <c r="F117" s="44">
        <v>420</v>
      </c>
      <c r="G117" s="46">
        <v>35</v>
      </c>
      <c r="H117" s="44">
        <v>2302</v>
      </c>
      <c r="I117" s="45">
        <v>4.3</v>
      </c>
      <c r="J117" s="45" t="s">
        <v>198</v>
      </c>
      <c r="K117" s="22" t="str">
        <f t="shared" si="11"/>
        <v>https://amazon.com/dp/B0DH1MDYG9</v>
      </c>
    </row>
    <row r="118" spans="1:11" ht="45" x14ac:dyDescent="0.2">
      <c r="A118" s="18" t="s">
        <v>422</v>
      </c>
      <c r="B118" s="18" t="s">
        <v>423</v>
      </c>
      <c r="C118" s="41">
        <v>169.99</v>
      </c>
      <c r="D118" s="42">
        <v>63905.16</v>
      </c>
      <c r="E118" s="42">
        <v>5325.43</v>
      </c>
      <c r="F118" s="44">
        <v>324</v>
      </c>
      <c r="G118" s="46">
        <v>27</v>
      </c>
      <c r="H118" s="44">
        <v>140</v>
      </c>
      <c r="I118" s="45">
        <v>4.8</v>
      </c>
      <c r="J118" s="45" t="s">
        <v>424</v>
      </c>
      <c r="K118" s="22" t="str">
        <f t="shared" si="11"/>
        <v>https://amazon.com/dp/B095HLSYJ6</v>
      </c>
    </row>
    <row r="119" spans="1:11" ht="30" x14ac:dyDescent="0.2">
      <c r="A119" s="18" t="s">
        <v>438</v>
      </c>
      <c r="B119" s="18" t="s">
        <v>439</v>
      </c>
      <c r="C119" s="41">
        <v>59.99</v>
      </c>
      <c r="D119" s="42">
        <v>18033.36</v>
      </c>
      <c r="E119" s="42">
        <v>1502.78</v>
      </c>
      <c r="F119" s="44">
        <v>300</v>
      </c>
      <c r="G119" s="46">
        <v>25</v>
      </c>
      <c r="H119" s="44">
        <v>9</v>
      </c>
      <c r="I119" s="45">
        <v>4.5</v>
      </c>
      <c r="J119" s="45" t="s">
        <v>440</v>
      </c>
      <c r="K119" s="22" t="str">
        <f t="shared" si="11"/>
        <v>https://amazon.com/dp/B0BTNSJ4PZ</v>
      </c>
    </row>
    <row r="120" spans="1:11" ht="45" x14ac:dyDescent="0.2">
      <c r="A120" s="18" t="s">
        <v>419</v>
      </c>
      <c r="B120" s="18" t="s">
        <v>420</v>
      </c>
      <c r="C120" s="41">
        <v>309.99</v>
      </c>
      <c r="D120" s="42">
        <v>69595.799999999988</v>
      </c>
      <c r="E120" s="42">
        <v>5799.65</v>
      </c>
      <c r="F120" s="44">
        <v>228</v>
      </c>
      <c r="G120" s="46">
        <v>19</v>
      </c>
      <c r="H120" s="44">
        <v>41</v>
      </c>
      <c r="I120" s="45">
        <v>4.7</v>
      </c>
      <c r="J120" s="45" t="s">
        <v>421</v>
      </c>
      <c r="K120" s="22" t="str">
        <f t="shared" si="11"/>
        <v>https://amazon.com/dp/B0D97DVVN3</v>
      </c>
    </row>
    <row r="121" spans="1:11" ht="45" x14ac:dyDescent="0.2">
      <c r="A121" s="18" t="s">
        <v>441</v>
      </c>
      <c r="B121" s="18" t="s">
        <v>442</v>
      </c>
      <c r="C121" s="41">
        <v>69.989999999999995</v>
      </c>
      <c r="D121" s="42">
        <v>14882.64</v>
      </c>
      <c r="E121" s="42">
        <v>1240.22</v>
      </c>
      <c r="F121" s="44">
        <v>216</v>
      </c>
      <c r="G121" s="46">
        <v>18</v>
      </c>
      <c r="H121" s="44">
        <v>1</v>
      </c>
      <c r="I121" s="45">
        <v>5</v>
      </c>
      <c r="J121" s="45" t="s">
        <v>443</v>
      </c>
      <c r="K121" s="22" t="str">
        <f t="shared" si="11"/>
        <v>https://amazon.com/dp/B0DBHT4HVX</v>
      </c>
    </row>
    <row r="122" spans="1:11" ht="45" x14ac:dyDescent="0.2">
      <c r="A122" s="18" t="s">
        <v>447</v>
      </c>
      <c r="B122" s="18" t="s">
        <v>448</v>
      </c>
      <c r="C122" s="41">
        <v>29.99</v>
      </c>
      <c r="D122" s="42">
        <v>6090.84</v>
      </c>
      <c r="E122" s="42">
        <v>507.57</v>
      </c>
      <c r="F122" s="44">
        <v>204</v>
      </c>
      <c r="G122" s="46">
        <v>17</v>
      </c>
      <c r="H122" s="44">
        <v>9</v>
      </c>
      <c r="I122" s="45">
        <v>4.2</v>
      </c>
      <c r="J122" s="45" t="s">
        <v>449</v>
      </c>
      <c r="K122" s="22" t="str">
        <f t="shared" si="11"/>
        <v>https://amazon.com/dp/B0DYH3JJL5</v>
      </c>
    </row>
    <row r="123" spans="1:11" ht="45" x14ac:dyDescent="0.2">
      <c r="A123" s="18" t="s">
        <v>199</v>
      </c>
      <c r="B123" s="18" t="s">
        <v>200</v>
      </c>
      <c r="C123" s="41">
        <v>39.99</v>
      </c>
      <c r="D123" s="42">
        <v>6565.5599999999986</v>
      </c>
      <c r="E123" s="42">
        <v>547.13</v>
      </c>
      <c r="F123" s="44">
        <v>168</v>
      </c>
      <c r="G123" s="46">
        <v>14</v>
      </c>
      <c r="H123" s="44">
        <v>294</v>
      </c>
      <c r="I123" s="45">
        <v>4.3</v>
      </c>
      <c r="J123" s="45" t="s">
        <v>201</v>
      </c>
      <c r="K123" s="22" t="str">
        <f t="shared" si="11"/>
        <v>https://amazon.com/dp/B0CL4MJ6NK</v>
      </c>
    </row>
    <row r="124" spans="1:11" ht="45" x14ac:dyDescent="0.2">
      <c r="A124" s="18" t="s">
        <v>194</v>
      </c>
      <c r="B124" s="18" t="s">
        <v>195</v>
      </c>
      <c r="C124" s="41">
        <v>129.99</v>
      </c>
      <c r="D124" s="42">
        <v>16422.240000000002</v>
      </c>
      <c r="E124" s="42">
        <v>1368.52</v>
      </c>
      <c r="F124" s="44">
        <v>132</v>
      </c>
      <c r="G124" s="46">
        <v>11</v>
      </c>
      <c r="H124" s="44">
        <v>720</v>
      </c>
      <c r="I124" s="45">
        <v>4.5</v>
      </c>
      <c r="J124" s="45" t="s">
        <v>196</v>
      </c>
      <c r="K124" s="22" t="str">
        <f t="shared" si="11"/>
        <v>https://amazon.com/dp/B08PTVBGBQ</v>
      </c>
    </row>
    <row r="125" spans="1:11" ht="30" x14ac:dyDescent="0.2">
      <c r="A125" s="18" t="s">
        <v>459</v>
      </c>
      <c r="B125" s="18" t="s">
        <v>460</v>
      </c>
      <c r="C125" s="41">
        <v>19.899999999999999</v>
      </c>
      <c r="D125" s="42">
        <v>2187.48</v>
      </c>
      <c r="E125" s="42">
        <v>182.29</v>
      </c>
      <c r="F125" s="44">
        <v>108</v>
      </c>
      <c r="G125" s="46">
        <v>9</v>
      </c>
      <c r="H125" s="44">
        <v>3</v>
      </c>
      <c r="I125" s="45">
        <v>3.6</v>
      </c>
      <c r="J125" s="45" t="s">
        <v>461</v>
      </c>
      <c r="K125" s="22" t="str">
        <f t="shared" si="11"/>
        <v>https://amazon.com/dp/B0F2SD9VBX</v>
      </c>
    </row>
    <row r="126" spans="1:11" ht="30" x14ac:dyDescent="0.2">
      <c r="A126" s="18" t="s">
        <v>205</v>
      </c>
      <c r="B126" s="18" t="s">
        <v>206</v>
      </c>
      <c r="C126" s="41">
        <v>19.989999999999998</v>
      </c>
      <c r="D126" s="42">
        <v>2267.2800000000002</v>
      </c>
      <c r="E126" s="42">
        <v>188.94</v>
      </c>
      <c r="F126" s="44">
        <v>108</v>
      </c>
      <c r="G126" s="46">
        <v>9</v>
      </c>
      <c r="H126" s="44">
        <v>3</v>
      </c>
      <c r="I126" s="45">
        <v>3.7</v>
      </c>
      <c r="J126" s="45" t="s">
        <v>207</v>
      </c>
      <c r="K126" s="22" t="str">
        <f t="shared" si="11"/>
        <v>https://amazon.com/dp/B0CX4C3QXK</v>
      </c>
    </row>
    <row r="127" spans="1:11" ht="45" x14ac:dyDescent="0.2">
      <c r="A127" s="18" t="s">
        <v>434</v>
      </c>
      <c r="B127" s="18" t="s">
        <v>435</v>
      </c>
      <c r="C127" s="41">
        <v>329.99</v>
      </c>
      <c r="D127" s="42">
        <v>35470.32</v>
      </c>
      <c r="E127" s="42">
        <v>2955.86</v>
      </c>
      <c r="F127" s="44">
        <v>108</v>
      </c>
      <c r="G127" s="46">
        <v>9</v>
      </c>
      <c r="H127" s="44">
        <v>19</v>
      </c>
      <c r="I127" s="45">
        <v>4.5999999999999996</v>
      </c>
      <c r="J127" s="45" t="s">
        <v>436</v>
      </c>
      <c r="K127" s="22" t="str">
        <f t="shared" ref="K127:K135" si="12">HYPERLINK(J127)</f>
        <v>https://amazon.com/dp/B0DRNW1YY9</v>
      </c>
    </row>
    <row r="128" spans="1:11" ht="30" x14ac:dyDescent="0.2">
      <c r="A128" s="18" t="s">
        <v>202</v>
      </c>
      <c r="B128" s="18" t="s">
        <v>203</v>
      </c>
      <c r="C128" s="41">
        <v>79.989999999999995</v>
      </c>
      <c r="D128" s="42">
        <v>7192.7999999999993</v>
      </c>
      <c r="E128" s="42">
        <v>599.4</v>
      </c>
      <c r="F128" s="44">
        <v>96</v>
      </c>
      <c r="G128" s="46">
        <v>8</v>
      </c>
      <c r="H128" s="44">
        <v>9</v>
      </c>
      <c r="I128" s="45">
        <v>4.7</v>
      </c>
      <c r="J128" s="45" t="s">
        <v>204</v>
      </c>
      <c r="K128" s="22" t="str">
        <f t="shared" si="12"/>
        <v>https://amazon.com/dp/B09P4WNYBB</v>
      </c>
    </row>
    <row r="129" spans="1:11" ht="45" x14ac:dyDescent="0.2">
      <c r="A129" s="18" t="s">
        <v>456</v>
      </c>
      <c r="B129" s="18" t="s">
        <v>457</v>
      </c>
      <c r="C129" s="41">
        <v>59.99</v>
      </c>
      <c r="D129" s="42">
        <v>3957.84</v>
      </c>
      <c r="E129" s="42">
        <v>329.82</v>
      </c>
      <c r="F129" s="44">
        <v>72</v>
      </c>
      <c r="G129" s="46">
        <v>6</v>
      </c>
      <c r="H129" s="44">
        <v>18</v>
      </c>
      <c r="I129" s="45">
        <v>4.8</v>
      </c>
      <c r="J129" s="45" t="s">
        <v>458</v>
      </c>
      <c r="K129" s="22" t="str">
        <f t="shared" si="12"/>
        <v>https://amazon.com/dp/B08QCP8YFM</v>
      </c>
    </row>
    <row r="130" spans="1:11" ht="45" x14ac:dyDescent="0.2">
      <c r="A130" s="18" t="s">
        <v>444</v>
      </c>
      <c r="B130" s="18" t="s">
        <v>445</v>
      </c>
      <c r="C130" s="41">
        <v>99.99</v>
      </c>
      <c r="D130" s="42">
        <v>6552.84</v>
      </c>
      <c r="E130" s="42">
        <v>546.07000000000005</v>
      </c>
      <c r="F130" s="44">
        <v>60</v>
      </c>
      <c r="G130" s="46">
        <v>5</v>
      </c>
      <c r="H130" s="44">
        <v>7</v>
      </c>
      <c r="I130" s="45">
        <v>4.5</v>
      </c>
      <c r="J130" s="45" t="s">
        <v>446</v>
      </c>
      <c r="K130" s="22" t="str">
        <f t="shared" si="12"/>
        <v>https://amazon.com/dp/B09WMFVTWJ</v>
      </c>
    </row>
    <row r="131" spans="1:11" ht="45" x14ac:dyDescent="0.2">
      <c r="A131" s="18" t="s">
        <v>453</v>
      </c>
      <c r="B131" s="18" t="s">
        <v>454</v>
      </c>
      <c r="C131" s="41">
        <v>99.99</v>
      </c>
      <c r="D131" s="42">
        <v>5334.48</v>
      </c>
      <c r="E131" s="42">
        <v>444.54</v>
      </c>
      <c r="F131" s="44">
        <v>48</v>
      </c>
      <c r="G131" s="46">
        <v>4</v>
      </c>
      <c r="H131" s="44">
        <v>13</v>
      </c>
      <c r="I131" s="45">
        <v>5</v>
      </c>
      <c r="J131" s="45" t="s">
        <v>455</v>
      </c>
      <c r="K131" s="22" t="str">
        <f t="shared" si="12"/>
        <v>https://amazon.com/dp/B08QCN6B9G</v>
      </c>
    </row>
    <row r="132" spans="1:11" ht="45" x14ac:dyDescent="0.2">
      <c r="A132" s="18" t="s">
        <v>462</v>
      </c>
      <c r="B132" s="18" t="s">
        <v>463</v>
      </c>
      <c r="C132" s="41">
        <v>89.99</v>
      </c>
      <c r="D132" s="42">
        <v>2134.56</v>
      </c>
      <c r="E132" s="42">
        <v>177.88</v>
      </c>
      <c r="F132" s="44">
        <v>24</v>
      </c>
      <c r="G132" s="46">
        <v>2</v>
      </c>
      <c r="H132" s="44">
        <v>2</v>
      </c>
      <c r="I132" s="45">
        <v>4</v>
      </c>
      <c r="J132" s="45" t="s">
        <v>464</v>
      </c>
      <c r="K132" s="22" t="str">
        <f t="shared" si="12"/>
        <v>https://amazon.com/dp/B08QCCLCKW</v>
      </c>
    </row>
    <row r="133" spans="1:11" ht="45" x14ac:dyDescent="0.2">
      <c r="A133" s="18" t="s">
        <v>450</v>
      </c>
      <c r="B133" s="18" t="s">
        <v>451</v>
      </c>
      <c r="C133" s="41">
        <v>289.99</v>
      </c>
      <c r="D133" s="42">
        <v>6030.96</v>
      </c>
      <c r="E133" s="42">
        <v>502.58</v>
      </c>
      <c r="F133" s="44">
        <v>24</v>
      </c>
      <c r="G133" s="46">
        <v>2</v>
      </c>
      <c r="H133" s="44">
        <v>21</v>
      </c>
      <c r="I133" s="45">
        <v>4.8</v>
      </c>
      <c r="J133" s="45" t="s">
        <v>452</v>
      </c>
      <c r="K133" s="22" t="str">
        <f t="shared" si="12"/>
        <v>https://amazon.com/dp/B0D9JFTZX5</v>
      </c>
    </row>
    <row r="134" spans="1:11" ht="45" x14ac:dyDescent="0.2">
      <c r="A134" s="18" t="s">
        <v>465</v>
      </c>
      <c r="B134" s="18" t="s">
        <v>466</v>
      </c>
      <c r="C134" s="41">
        <v>69.989999999999995</v>
      </c>
      <c r="D134" s="42">
        <v>2012.16</v>
      </c>
      <c r="E134" s="42">
        <v>167.68</v>
      </c>
      <c r="F134" s="44">
        <v>24</v>
      </c>
      <c r="G134" s="46">
        <v>2</v>
      </c>
      <c r="H134" s="44">
        <v>3</v>
      </c>
      <c r="I134" s="45">
        <v>4.7</v>
      </c>
      <c r="J134" s="45" t="s">
        <v>467</v>
      </c>
      <c r="K134" s="22" t="str">
        <f t="shared" si="12"/>
        <v>https://amazon.com/dp/B08QCZQMJ4</v>
      </c>
    </row>
    <row r="135" spans="1:11" ht="30" x14ac:dyDescent="0.2">
      <c r="A135" s="18" t="s">
        <v>468</v>
      </c>
      <c r="B135" s="18" t="s">
        <v>469</v>
      </c>
      <c r="C135" s="41">
        <v>59.99</v>
      </c>
      <c r="D135" s="42"/>
      <c r="E135" s="42"/>
      <c r="F135" s="44">
        <v>0</v>
      </c>
      <c r="G135" s="46">
        <v>0</v>
      </c>
      <c r="H135" s="44"/>
      <c r="I135" s="45"/>
      <c r="J135" s="45" t="s">
        <v>470</v>
      </c>
      <c r="K135" s="22" t="str">
        <f t="shared" si="12"/>
        <v>https://amazon.com/dp/B0D9JGJG5R</v>
      </c>
    </row>
    <row r="136" spans="1:11" ht="17" x14ac:dyDescent="0.2">
      <c r="A136" s="21" t="s">
        <v>4</v>
      </c>
      <c r="B136" s="21"/>
      <c r="C136" s="58"/>
      <c r="D136" s="58"/>
      <c r="E136" s="58"/>
      <c r="F136" s="59">
        <f>SUM(Table43161821[Estimated 12mo Units])</f>
        <v>180912</v>
      </c>
      <c r="G136" s="59">
        <f>SUM(Table43161821[Monthly Units])</f>
        <v>15076</v>
      </c>
      <c r="H136" s="59"/>
      <c r="I136" s="60"/>
      <c r="J136" s="21"/>
    </row>
  </sheetData>
  <mergeCells count="3">
    <mergeCell ref="A1:K5"/>
    <mergeCell ref="A7:K7"/>
    <mergeCell ref="A73:K73"/>
  </mergeCells>
  <hyperlinks>
    <hyperlink ref="K75" r:id="rId1" display="https://amazon.com/dp/B07S7H86Z1" xr:uid="{0B8ECF52-9DCE-4E06-9004-C4E201B62453}"/>
  </hyperlinks>
  <pageMargins left="0.7" right="0.7" top="0.75" bottom="0.75" header="0.3" footer="0.3"/>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06EF8-81A7-4E70-856D-5188FB94CB51}">
  <dimension ref="A1:K80"/>
  <sheetViews>
    <sheetView workbookViewId="0">
      <selection activeCell="L8" sqref="L8"/>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19"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28.1640625" style="19" hidden="1" customWidth="1"/>
    <col min="11" max="11" width="35.6640625" style="19" customWidth="1"/>
    <col min="12" max="16384" width="12.6640625" style="19"/>
  </cols>
  <sheetData>
    <row r="1" spans="1:11" x14ac:dyDescent="0.2">
      <c r="A1" s="112" t="e" vm="2">
        <v>#VALUE!</v>
      </c>
      <c r="B1" s="112"/>
      <c r="C1" s="112"/>
      <c r="D1" s="112"/>
      <c r="E1" s="112"/>
      <c r="F1" s="112"/>
      <c r="G1" s="112"/>
      <c r="H1" s="112"/>
      <c r="I1" s="112"/>
      <c r="J1" s="112"/>
      <c r="K1" s="112"/>
    </row>
    <row r="2" spans="1:11" x14ac:dyDescent="0.2">
      <c r="A2" s="112"/>
      <c r="B2" s="112"/>
      <c r="C2" s="112"/>
      <c r="D2" s="112"/>
      <c r="E2" s="112"/>
      <c r="F2" s="112"/>
      <c r="G2" s="112"/>
      <c r="H2" s="112"/>
      <c r="I2" s="112"/>
      <c r="J2" s="112"/>
      <c r="K2" s="112"/>
    </row>
    <row r="3" spans="1:11" x14ac:dyDescent="0.2">
      <c r="A3" s="112"/>
      <c r="B3" s="112"/>
      <c r="C3" s="112"/>
      <c r="D3" s="112"/>
      <c r="E3" s="112"/>
      <c r="F3" s="112"/>
      <c r="G3" s="112"/>
      <c r="H3" s="112"/>
      <c r="I3" s="112"/>
      <c r="J3" s="112"/>
      <c r="K3" s="112"/>
    </row>
    <row r="4" spans="1:11" x14ac:dyDescent="0.2">
      <c r="A4" s="112"/>
      <c r="B4" s="112"/>
      <c r="C4" s="112"/>
      <c r="D4" s="112"/>
      <c r="E4" s="112"/>
      <c r="F4" s="112"/>
      <c r="G4" s="112"/>
      <c r="H4" s="112"/>
      <c r="I4" s="112"/>
      <c r="J4" s="112"/>
      <c r="K4" s="112"/>
    </row>
    <row r="5" spans="1:11" x14ac:dyDescent="0.2">
      <c r="A5" s="112"/>
      <c r="B5" s="112"/>
      <c r="C5" s="112"/>
      <c r="D5" s="112"/>
      <c r="E5" s="112"/>
      <c r="F5" s="112"/>
      <c r="G5" s="112"/>
      <c r="H5" s="112"/>
      <c r="I5" s="112"/>
      <c r="J5" s="112"/>
      <c r="K5" s="112"/>
    </row>
    <row r="6" spans="1:11" x14ac:dyDescent="0.2">
      <c r="A6" s="17"/>
      <c r="B6" s="17"/>
      <c r="C6" s="33"/>
      <c r="D6" s="34"/>
      <c r="E6" s="34"/>
      <c r="F6" s="34"/>
      <c r="G6" s="34"/>
      <c r="H6" s="35"/>
      <c r="I6" s="36"/>
    </row>
    <row r="7" spans="1:11" x14ac:dyDescent="0.2">
      <c r="A7" s="111" t="s">
        <v>14</v>
      </c>
      <c r="B7" s="111"/>
      <c r="C7" s="111"/>
      <c r="D7" s="111"/>
      <c r="E7" s="111"/>
      <c r="F7" s="111"/>
      <c r="G7" s="111"/>
      <c r="H7" s="111"/>
      <c r="I7" s="111"/>
      <c r="J7" s="111"/>
      <c r="K7" s="111"/>
    </row>
    <row r="8" spans="1:11" ht="17" x14ac:dyDescent="0.2">
      <c r="A8" s="24" t="s">
        <v>6</v>
      </c>
      <c r="B8" s="25" t="s">
        <v>5</v>
      </c>
      <c r="C8" s="26" t="s">
        <v>11</v>
      </c>
      <c r="D8" s="27" t="s">
        <v>2</v>
      </c>
      <c r="E8" s="25" t="s">
        <v>27</v>
      </c>
      <c r="F8" s="29" t="s">
        <v>13</v>
      </c>
      <c r="G8" s="32" t="s">
        <v>28</v>
      </c>
      <c r="H8" s="29" t="s">
        <v>8</v>
      </c>
      <c r="I8" s="30" t="s">
        <v>12</v>
      </c>
      <c r="J8" s="30" t="s">
        <v>22</v>
      </c>
      <c r="K8" s="31" t="s">
        <v>10</v>
      </c>
    </row>
    <row r="9" spans="1:11" ht="45" x14ac:dyDescent="0.2">
      <c r="A9" s="18" t="s">
        <v>228</v>
      </c>
      <c r="B9" s="18" t="s">
        <v>48</v>
      </c>
      <c r="C9" s="41">
        <v>129.99</v>
      </c>
      <c r="D9" s="42">
        <v>1507452.48</v>
      </c>
      <c r="E9" s="43">
        <v>125621.04</v>
      </c>
      <c r="F9" s="44">
        <v>12696</v>
      </c>
      <c r="G9" s="44">
        <v>1058</v>
      </c>
      <c r="H9" s="44">
        <v>1394</v>
      </c>
      <c r="I9" s="45">
        <v>4.3</v>
      </c>
      <c r="J9" s="45" t="s">
        <v>49</v>
      </c>
      <c r="K9" s="56" t="str">
        <f t="shared" ref="K9" si="0">HYPERLINK(J9)</f>
        <v>https://amazon.com/dp/B0BS1CFFH8</v>
      </c>
    </row>
    <row r="10" spans="1:11" ht="45" x14ac:dyDescent="0.2">
      <c r="A10" s="18" t="s">
        <v>230</v>
      </c>
      <c r="B10" s="18" t="s">
        <v>46</v>
      </c>
      <c r="C10" s="41">
        <v>69.989999999999995</v>
      </c>
      <c r="D10" s="42">
        <v>1198974.6000000001</v>
      </c>
      <c r="E10" s="43">
        <v>99914.55</v>
      </c>
      <c r="F10" s="44">
        <v>17136</v>
      </c>
      <c r="G10" s="44">
        <v>1428</v>
      </c>
      <c r="H10" s="44">
        <v>6721</v>
      </c>
      <c r="I10" s="45">
        <v>4.5</v>
      </c>
      <c r="J10" s="45" t="s">
        <v>47</v>
      </c>
      <c r="K10" s="56" t="str">
        <f t="shared" ref="K10:K41" si="1">HYPERLINK(J10)</f>
        <v>https://amazon.com/dp/B0928Q3T42</v>
      </c>
    </row>
    <row r="11" spans="1:11" ht="45" x14ac:dyDescent="0.2">
      <c r="A11" s="18" t="s">
        <v>235</v>
      </c>
      <c r="B11" s="18" t="s">
        <v>234</v>
      </c>
      <c r="C11" s="41">
        <v>137.79</v>
      </c>
      <c r="D11" s="42">
        <v>1021463.28</v>
      </c>
      <c r="E11" s="43">
        <v>85121.94</v>
      </c>
      <c r="F11" s="44">
        <v>8616</v>
      </c>
      <c r="G11" s="44">
        <v>718</v>
      </c>
      <c r="H11" s="44">
        <v>253</v>
      </c>
      <c r="I11" s="45">
        <v>4.3</v>
      </c>
      <c r="J11" s="45" t="s">
        <v>236</v>
      </c>
      <c r="K11" s="56" t="str">
        <f t="shared" ref="K11:K17" si="2">HYPERLINK(J11)</f>
        <v>https://amazon.com/dp/B0DD6YVBHD</v>
      </c>
    </row>
    <row r="12" spans="1:11" ht="45" x14ac:dyDescent="0.2">
      <c r="A12" s="18" t="s">
        <v>247</v>
      </c>
      <c r="B12" s="18" t="s">
        <v>246</v>
      </c>
      <c r="C12" s="41">
        <v>129.99</v>
      </c>
      <c r="D12" s="42">
        <v>695811</v>
      </c>
      <c r="E12" s="43">
        <v>57984.25</v>
      </c>
      <c r="F12" s="44">
        <v>6120</v>
      </c>
      <c r="G12" s="44">
        <v>510</v>
      </c>
      <c r="H12" s="44">
        <v>245</v>
      </c>
      <c r="I12" s="45">
        <v>4.5999999999999996</v>
      </c>
      <c r="J12" s="45" t="s">
        <v>248</v>
      </c>
      <c r="K12" s="56" t="str">
        <f t="shared" si="2"/>
        <v>https://amazon.com/dp/B0DT16R78W</v>
      </c>
    </row>
    <row r="13" spans="1:11" ht="45" x14ac:dyDescent="0.2">
      <c r="A13" s="18" t="s">
        <v>251</v>
      </c>
      <c r="B13" s="18" t="s">
        <v>250</v>
      </c>
      <c r="C13" s="41">
        <v>159.99</v>
      </c>
      <c r="D13" s="42">
        <v>661853.88</v>
      </c>
      <c r="E13" s="43">
        <v>55154.49</v>
      </c>
      <c r="F13" s="44">
        <v>4632</v>
      </c>
      <c r="G13" s="44">
        <v>386</v>
      </c>
      <c r="H13" s="44">
        <v>252</v>
      </c>
      <c r="I13" s="45">
        <v>4.5999999999999996</v>
      </c>
      <c r="J13" s="45" t="s">
        <v>252</v>
      </c>
      <c r="K13" s="56" t="str">
        <f t="shared" si="2"/>
        <v>https://amazon.com/dp/B0F62WJY8N</v>
      </c>
    </row>
    <row r="14" spans="1:11" ht="60" x14ac:dyDescent="0.2">
      <c r="A14" s="18" t="s">
        <v>68</v>
      </c>
      <c r="B14" s="18" t="s">
        <v>67</v>
      </c>
      <c r="C14" s="41">
        <v>54.99</v>
      </c>
      <c r="D14" s="42">
        <v>434365.32</v>
      </c>
      <c r="E14" s="43">
        <v>36197.11</v>
      </c>
      <c r="F14" s="44">
        <v>7896</v>
      </c>
      <c r="G14" s="44">
        <v>658</v>
      </c>
      <c r="H14" s="44">
        <v>2461</v>
      </c>
      <c r="I14" s="45">
        <v>4.3</v>
      </c>
      <c r="J14" s="45" t="s">
        <v>69</v>
      </c>
      <c r="K14" s="56" t="str">
        <f t="shared" si="2"/>
        <v>https://amazon.com/dp/B08NJ8627V</v>
      </c>
    </row>
    <row r="15" spans="1:11" ht="45" x14ac:dyDescent="0.2">
      <c r="A15" s="18" t="s">
        <v>334</v>
      </c>
      <c r="B15" s="18" t="s">
        <v>335</v>
      </c>
      <c r="C15" s="41">
        <v>139.99</v>
      </c>
      <c r="D15" s="42">
        <v>293259.71999999997</v>
      </c>
      <c r="E15" s="43">
        <v>24438.31</v>
      </c>
      <c r="F15" s="44">
        <v>2136</v>
      </c>
      <c r="G15" s="44">
        <v>178</v>
      </c>
      <c r="H15" s="44">
        <v>84</v>
      </c>
      <c r="I15" s="45">
        <v>4.7</v>
      </c>
      <c r="J15" s="45" t="s">
        <v>336</v>
      </c>
      <c r="K15" s="56" t="str">
        <f t="shared" si="2"/>
        <v>https://amazon.com/dp/B0FD3NRZ5S</v>
      </c>
    </row>
    <row r="16" spans="1:11" ht="45" x14ac:dyDescent="0.2">
      <c r="A16" s="18" t="s">
        <v>337</v>
      </c>
      <c r="B16" s="18" t="s">
        <v>61</v>
      </c>
      <c r="C16" s="41">
        <v>69.989999999999995</v>
      </c>
      <c r="D16" s="42">
        <v>290535.12</v>
      </c>
      <c r="E16" s="43">
        <v>24211.26</v>
      </c>
      <c r="F16" s="44">
        <v>4272</v>
      </c>
      <c r="G16" s="44">
        <v>356</v>
      </c>
      <c r="H16" s="44">
        <v>1273</v>
      </c>
      <c r="I16" s="45">
        <v>4.5999999999999996</v>
      </c>
      <c r="J16" s="45" t="s">
        <v>62</v>
      </c>
      <c r="K16" s="56" t="str">
        <f t="shared" si="2"/>
        <v>https://amazon.com/dp/B0CT2CX59S</v>
      </c>
    </row>
    <row r="17" spans="1:11" ht="45" x14ac:dyDescent="0.2">
      <c r="A17" s="18" t="s">
        <v>338</v>
      </c>
      <c r="B17" s="18" t="s">
        <v>339</v>
      </c>
      <c r="C17" s="41">
        <v>74.989999999999995</v>
      </c>
      <c r="D17" s="42">
        <v>206101.08</v>
      </c>
      <c r="E17" s="43">
        <v>17175.09</v>
      </c>
      <c r="F17" s="44">
        <v>3204</v>
      </c>
      <c r="G17" s="44">
        <v>267</v>
      </c>
      <c r="H17" s="44">
        <v>85</v>
      </c>
      <c r="I17" s="45">
        <v>4.7</v>
      </c>
      <c r="J17" s="45" t="s">
        <v>340</v>
      </c>
      <c r="K17" s="56" t="str">
        <f t="shared" si="2"/>
        <v>https://amazon.com/dp/B0FKM8K5QX</v>
      </c>
    </row>
    <row r="18" spans="1:11" ht="45" x14ac:dyDescent="0.2">
      <c r="A18" s="18" t="s">
        <v>71</v>
      </c>
      <c r="B18" s="18" t="s">
        <v>70</v>
      </c>
      <c r="C18" s="41">
        <v>124.99</v>
      </c>
      <c r="D18" s="42">
        <v>146783.4</v>
      </c>
      <c r="E18" s="43">
        <v>12231.95</v>
      </c>
      <c r="F18" s="44">
        <v>1260</v>
      </c>
      <c r="G18" s="44">
        <v>105</v>
      </c>
      <c r="H18" s="44">
        <v>299</v>
      </c>
      <c r="I18" s="45">
        <v>4.5999999999999996</v>
      </c>
      <c r="J18" s="45" t="s">
        <v>72</v>
      </c>
      <c r="K18" s="101" t="str">
        <f t="shared" ref="K18:K24" si="3">HYPERLINK(J18)</f>
        <v>https://amazon.com/dp/B0DBZ6Q4YH</v>
      </c>
    </row>
    <row r="19" spans="1:11" ht="45" x14ac:dyDescent="0.2">
      <c r="A19" s="18" t="s">
        <v>341</v>
      </c>
      <c r="B19" s="18" t="s">
        <v>110</v>
      </c>
      <c r="C19" s="41">
        <v>139.99</v>
      </c>
      <c r="D19" s="42">
        <v>143746.79999999999</v>
      </c>
      <c r="E19" s="43">
        <v>11978.9</v>
      </c>
      <c r="F19" s="44">
        <v>1176</v>
      </c>
      <c r="G19" s="44">
        <v>98</v>
      </c>
      <c r="H19" s="44">
        <v>184</v>
      </c>
      <c r="I19" s="45">
        <v>4.5999999999999996</v>
      </c>
      <c r="J19" s="45" t="s">
        <v>111</v>
      </c>
      <c r="K19" s="101" t="str">
        <f t="shared" si="3"/>
        <v>https://amazon.com/dp/B0CT5L1H9B</v>
      </c>
    </row>
    <row r="20" spans="1:11" ht="45" x14ac:dyDescent="0.2">
      <c r="A20" s="18" t="s">
        <v>105</v>
      </c>
      <c r="B20" s="18" t="s">
        <v>104</v>
      </c>
      <c r="C20" s="41">
        <v>194.97</v>
      </c>
      <c r="D20" s="42">
        <v>135734.51999999999</v>
      </c>
      <c r="E20" s="43">
        <v>11311.21</v>
      </c>
      <c r="F20" s="44">
        <v>780</v>
      </c>
      <c r="G20" s="44">
        <v>65</v>
      </c>
      <c r="H20" s="44">
        <v>184</v>
      </c>
      <c r="I20" s="45">
        <v>4.5999999999999996</v>
      </c>
      <c r="J20" s="45" t="s">
        <v>106</v>
      </c>
      <c r="K20" s="101" t="str">
        <f t="shared" si="3"/>
        <v>https://amazon.com/dp/B0BVML78W1</v>
      </c>
    </row>
    <row r="21" spans="1:11" ht="45" x14ac:dyDescent="0.2">
      <c r="A21" s="18" t="s">
        <v>342</v>
      </c>
      <c r="B21" s="18" t="s">
        <v>343</v>
      </c>
      <c r="C21" s="41">
        <v>159.99</v>
      </c>
      <c r="D21" s="42">
        <v>116802.24000000001</v>
      </c>
      <c r="E21" s="43">
        <v>9733.52</v>
      </c>
      <c r="F21" s="44">
        <v>816</v>
      </c>
      <c r="G21" s="44">
        <v>68</v>
      </c>
      <c r="H21" s="44">
        <v>121</v>
      </c>
      <c r="I21" s="45">
        <v>4.7</v>
      </c>
      <c r="J21" s="45" t="s">
        <v>344</v>
      </c>
      <c r="K21" s="101" t="str">
        <f t="shared" si="3"/>
        <v>https://amazon.com/dp/B0DPX48VZB</v>
      </c>
    </row>
    <row r="22" spans="1:11" ht="45" x14ac:dyDescent="0.2">
      <c r="A22" s="18" t="s">
        <v>345</v>
      </c>
      <c r="B22" s="18" t="s">
        <v>99</v>
      </c>
      <c r="C22" s="41">
        <v>129.99</v>
      </c>
      <c r="D22" s="42">
        <v>114556.32</v>
      </c>
      <c r="E22" s="43">
        <v>9546.36</v>
      </c>
      <c r="F22" s="44">
        <v>912</v>
      </c>
      <c r="G22" s="44">
        <v>76</v>
      </c>
      <c r="H22" s="44">
        <v>1274</v>
      </c>
      <c r="I22" s="45">
        <v>4.5999999999999996</v>
      </c>
      <c r="J22" s="45" t="s">
        <v>100</v>
      </c>
      <c r="K22" s="101" t="str">
        <f t="shared" si="3"/>
        <v>https://amazon.com/dp/B0DD351NSB</v>
      </c>
    </row>
    <row r="23" spans="1:11" ht="45" x14ac:dyDescent="0.2">
      <c r="A23" s="18" t="s">
        <v>346</v>
      </c>
      <c r="B23" s="18" t="s">
        <v>94</v>
      </c>
      <c r="C23" s="41">
        <v>109.99</v>
      </c>
      <c r="D23" s="42">
        <v>105393.84</v>
      </c>
      <c r="E23" s="43">
        <v>8782.82</v>
      </c>
      <c r="F23" s="44">
        <v>948</v>
      </c>
      <c r="G23" s="44">
        <v>79</v>
      </c>
      <c r="H23" s="44">
        <v>957</v>
      </c>
      <c r="I23" s="45">
        <v>4.4000000000000004</v>
      </c>
      <c r="J23" s="45" t="s">
        <v>95</v>
      </c>
      <c r="K23" s="101" t="str">
        <f t="shared" si="3"/>
        <v>https://amazon.com/dp/B0BYF9J7V9</v>
      </c>
    </row>
    <row r="24" spans="1:11" ht="60" x14ac:dyDescent="0.2">
      <c r="A24" s="18" t="s">
        <v>347</v>
      </c>
      <c r="B24" s="18" t="s">
        <v>348</v>
      </c>
      <c r="C24" s="41">
        <v>49.99</v>
      </c>
      <c r="D24" s="42">
        <v>103971.12</v>
      </c>
      <c r="E24" s="43">
        <v>8664.26</v>
      </c>
      <c r="F24" s="44">
        <v>2076</v>
      </c>
      <c r="G24" s="44">
        <v>173</v>
      </c>
      <c r="H24" s="44">
        <v>4253</v>
      </c>
      <c r="I24" s="45">
        <v>4.4000000000000004</v>
      </c>
      <c r="J24" s="45" t="s">
        <v>349</v>
      </c>
      <c r="K24" s="101" t="str">
        <f t="shared" si="3"/>
        <v>https://amazon.com/dp/B094XGX6GQ</v>
      </c>
    </row>
    <row r="25" spans="1:11" ht="45" x14ac:dyDescent="0.2">
      <c r="A25" s="18" t="s">
        <v>350</v>
      </c>
      <c r="B25" s="18" t="s">
        <v>128</v>
      </c>
      <c r="C25" s="41">
        <v>129.99</v>
      </c>
      <c r="D25" s="42">
        <v>97215.84</v>
      </c>
      <c r="E25" s="43">
        <v>8101.32</v>
      </c>
      <c r="F25" s="44">
        <v>744</v>
      </c>
      <c r="G25" s="44">
        <v>62</v>
      </c>
      <c r="H25" s="44">
        <v>675</v>
      </c>
      <c r="I25" s="45">
        <v>4.5</v>
      </c>
      <c r="J25" s="45" t="s">
        <v>129</v>
      </c>
      <c r="K25" s="101" t="str">
        <f t="shared" ref="K25:K31" si="4">HYPERLINK(J25)</f>
        <v>https://amazon.com/dp/B0CMTX8ZM6</v>
      </c>
    </row>
    <row r="26" spans="1:11" ht="45" x14ac:dyDescent="0.2">
      <c r="A26" s="18" t="s">
        <v>351</v>
      </c>
      <c r="B26" s="18" t="s">
        <v>352</v>
      </c>
      <c r="C26" s="41">
        <v>109.99</v>
      </c>
      <c r="D26" s="42">
        <v>75388.680000000008</v>
      </c>
      <c r="E26" s="43">
        <v>6282.39</v>
      </c>
      <c r="F26" s="44">
        <v>744</v>
      </c>
      <c r="G26" s="44">
        <v>62</v>
      </c>
      <c r="H26" s="44">
        <v>1394</v>
      </c>
      <c r="I26" s="45">
        <v>4.3</v>
      </c>
      <c r="J26" s="45" t="s">
        <v>353</v>
      </c>
      <c r="K26" s="101" t="str">
        <f t="shared" si="4"/>
        <v>https://amazon.com/dp/B0BL7RK5JJ</v>
      </c>
    </row>
    <row r="27" spans="1:11" ht="45" x14ac:dyDescent="0.2">
      <c r="A27" s="18" t="s">
        <v>130</v>
      </c>
      <c r="B27" s="18" t="s">
        <v>131</v>
      </c>
      <c r="C27" s="41">
        <v>72.989999999999995</v>
      </c>
      <c r="D27" s="42">
        <v>66784.56</v>
      </c>
      <c r="E27" s="43">
        <v>5565.38</v>
      </c>
      <c r="F27" s="44">
        <v>912</v>
      </c>
      <c r="G27" s="44">
        <v>76</v>
      </c>
      <c r="H27" s="44">
        <v>6721</v>
      </c>
      <c r="I27" s="45">
        <v>4.5</v>
      </c>
      <c r="J27" s="45" t="s">
        <v>132</v>
      </c>
      <c r="K27" s="101" t="str">
        <f t="shared" si="4"/>
        <v>https://amazon.com/dp/B09DKKJGS7</v>
      </c>
    </row>
    <row r="28" spans="1:11" ht="45" x14ac:dyDescent="0.2">
      <c r="A28" s="18" t="s">
        <v>354</v>
      </c>
      <c r="B28" s="18" t="s">
        <v>355</v>
      </c>
      <c r="C28" s="41">
        <v>84.99</v>
      </c>
      <c r="D28" s="42">
        <v>48066.600000000013</v>
      </c>
      <c r="E28" s="43">
        <v>4005.55</v>
      </c>
      <c r="F28" s="44">
        <v>600</v>
      </c>
      <c r="G28" s="44">
        <v>50</v>
      </c>
      <c r="H28" s="44">
        <v>957</v>
      </c>
      <c r="I28" s="45">
        <v>4.4000000000000004</v>
      </c>
      <c r="J28" s="45" t="s">
        <v>356</v>
      </c>
      <c r="K28" s="101" t="str">
        <f t="shared" si="4"/>
        <v>https://amazon.com/dp/B0BFGP4MWB</v>
      </c>
    </row>
    <row r="29" spans="1:11" ht="45" x14ac:dyDescent="0.2">
      <c r="A29" s="18" t="s">
        <v>357</v>
      </c>
      <c r="B29" s="18" t="s">
        <v>101</v>
      </c>
      <c r="C29" s="41">
        <v>49.99</v>
      </c>
      <c r="D29" s="42">
        <v>45408.72</v>
      </c>
      <c r="E29" s="43">
        <v>3784.06</v>
      </c>
      <c r="F29" s="44">
        <v>912</v>
      </c>
      <c r="G29" s="44">
        <v>76</v>
      </c>
      <c r="H29" s="44">
        <v>248</v>
      </c>
      <c r="I29" s="45">
        <v>4.5</v>
      </c>
      <c r="J29" s="45" t="s">
        <v>102</v>
      </c>
      <c r="K29" s="101" t="str">
        <f t="shared" si="4"/>
        <v>https://amazon.com/dp/B0DD47VS7S</v>
      </c>
    </row>
    <row r="30" spans="1:11" ht="45" x14ac:dyDescent="0.2">
      <c r="A30" s="18" t="s">
        <v>358</v>
      </c>
      <c r="B30" s="18" t="s">
        <v>135</v>
      </c>
      <c r="C30" s="41">
        <v>103.99</v>
      </c>
      <c r="D30" s="42">
        <v>36534.36</v>
      </c>
      <c r="E30" s="43">
        <v>3044.53</v>
      </c>
      <c r="F30" s="44">
        <v>348</v>
      </c>
      <c r="G30" s="44">
        <v>29</v>
      </c>
      <c r="H30" s="44">
        <v>175</v>
      </c>
      <c r="I30" s="45">
        <v>4.4000000000000004</v>
      </c>
      <c r="J30" s="45" t="s">
        <v>136</v>
      </c>
      <c r="K30" s="101" t="str">
        <f t="shared" si="4"/>
        <v>https://amazon.com/dp/B0CT3HBT4Y</v>
      </c>
    </row>
    <row r="31" spans="1:11" ht="45" x14ac:dyDescent="0.2">
      <c r="A31" s="18" t="s">
        <v>359</v>
      </c>
      <c r="B31" s="18" t="s">
        <v>133</v>
      </c>
      <c r="C31" s="41">
        <v>84.99</v>
      </c>
      <c r="D31" s="42">
        <v>34831.800000000003</v>
      </c>
      <c r="E31" s="43">
        <v>2902.65</v>
      </c>
      <c r="F31" s="44">
        <v>408</v>
      </c>
      <c r="G31" s="44">
        <v>34</v>
      </c>
      <c r="H31" s="44">
        <v>190</v>
      </c>
      <c r="I31" s="45">
        <v>4.5</v>
      </c>
      <c r="J31" s="45" t="s">
        <v>134</v>
      </c>
      <c r="K31" s="101" t="str">
        <f t="shared" si="4"/>
        <v>https://amazon.com/dp/B0CF9C3QQF</v>
      </c>
    </row>
    <row r="32" spans="1:11" ht="45" x14ac:dyDescent="0.2">
      <c r="A32" s="18" t="s">
        <v>360</v>
      </c>
      <c r="B32" s="18" t="s">
        <v>361</v>
      </c>
      <c r="C32" s="41">
        <v>79.989999999999995</v>
      </c>
      <c r="D32" s="42">
        <v>30591.72</v>
      </c>
      <c r="E32" s="43">
        <v>2549.31</v>
      </c>
      <c r="F32" s="44">
        <v>384</v>
      </c>
      <c r="G32" s="44">
        <v>32</v>
      </c>
      <c r="H32" s="44">
        <v>168</v>
      </c>
      <c r="I32" s="45">
        <v>4.5999999999999996</v>
      </c>
      <c r="J32" s="45" t="s">
        <v>362</v>
      </c>
      <c r="K32" s="56" t="str">
        <f t="shared" si="1"/>
        <v>https://amazon.com/dp/B0CCS1KR5X</v>
      </c>
    </row>
    <row r="33" spans="1:11" ht="45" x14ac:dyDescent="0.2">
      <c r="A33" s="18" t="s">
        <v>137</v>
      </c>
      <c r="B33" s="18" t="s">
        <v>138</v>
      </c>
      <c r="C33" s="41">
        <v>21.99</v>
      </c>
      <c r="D33" s="42">
        <v>20624.64</v>
      </c>
      <c r="E33" s="43">
        <v>1718.72</v>
      </c>
      <c r="F33" s="44">
        <v>936</v>
      </c>
      <c r="G33" s="44">
        <v>78</v>
      </c>
      <c r="H33" s="44">
        <v>2963</v>
      </c>
      <c r="I33" s="45">
        <v>4.5999999999999996</v>
      </c>
      <c r="J33" s="45" t="s">
        <v>139</v>
      </c>
      <c r="K33" s="56" t="str">
        <f t="shared" si="1"/>
        <v>https://amazon.com/dp/B076D86Z7S</v>
      </c>
    </row>
    <row r="34" spans="1:11" ht="45" x14ac:dyDescent="0.2">
      <c r="A34" s="18" t="s">
        <v>363</v>
      </c>
      <c r="B34" s="18" t="s">
        <v>364</v>
      </c>
      <c r="C34" s="41">
        <v>49.99</v>
      </c>
      <c r="D34" s="42">
        <v>20067.599999999999</v>
      </c>
      <c r="E34" s="43">
        <v>1672.3</v>
      </c>
      <c r="F34" s="44">
        <v>396</v>
      </c>
      <c r="G34" s="44">
        <v>33</v>
      </c>
      <c r="H34" s="44">
        <v>4253</v>
      </c>
      <c r="I34" s="45">
        <v>4.4000000000000004</v>
      </c>
      <c r="J34" s="45" t="s">
        <v>365</v>
      </c>
      <c r="K34" s="56" t="str">
        <f t="shared" si="1"/>
        <v>https://amazon.com/dp/B095K8XHY2</v>
      </c>
    </row>
    <row r="35" spans="1:11" ht="45" x14ac:dyDescent="0.2">
      <c r="A35" s="18" t="s">
        <v>366</v>
      </c>
      <c r="B35" s="18" t="s">
        <v>367</v>
      </c>
      <c r="C35" s="41">
        <v>271.69</v>
      </c>
      <c r="D35" s="42">
        <v>19101.36</v>
      </c>
      <c r="E35" s="43">
        <v>1591.78</v>
      </c>
      <c r="F35" s="44">
        <v>84</v>
      </c>
      <c r="G35" s="44">
        <v>7</v>
      </c>
      <c r="H35" s="44">
        <v>144</v>
      </c>
      <c r="I35" s="45">
        <v>4.3</v>
      </c>
      <c r="J35" s="45" t="s">
        <v>368</v>
      </c>
      <c r="K35" s="56" t="str">
        <f t="shared" si="1"/>
        <v>https://amazon.com/dp/B0CXSTNWTW</v>
      </c>
    </row>
    <row r="36" spans="1:11" ht="45" x14ac:dyDescent="0.2">
      <c r="A36" s="18" t="s">
        <v>369</v>
      </c>
      <c r="B36" s="18" t="s">
        <v>370</v>
      </c>
      <c r="C36" s="41">
        <v>19.989999999999998</v>
      </c>
      <c r="D36" s="42">
        <v>18554.52</v>
      </c>
      <c r="E36" s="43">
        <v>1546.21</v>
      </c>
      <c r="F36" s="44">
        <v>924</v>
      </c>
      <c r="G36" s="44">
        <v>77</v>
      </c>
      <c r="H36" s="44">
        <v>41</v>
      </c>
      <c r="I36" s="45">
        <v>4.7</v>
      </c>
      <c r="J36" s="45" t="s">
        <v>371</v>
      </c>
      <c r="K36" s="56" t="str">
        <f t="shared" si="1"/>
        <v>https://amazon.com/dp/B0CKZ1G66F</v>
      </c>
    </row>
    <row r="37" spans="1:11" ht="45" x14ac:dyDescent="0.2">
      <c r="A37" s="18" t="s">
        <v>372</v>
      </c>
      <c r="B37" s="18" t="s">
        <v>373</v>
      </c>
      <c r="C37" s="41">
        <v>119.99</v>
      </c>
      <c r="D37" s="42">
        <v>11771.04</v>
      </c>
      <c r="E37" s="43">
        <v>980.92</v>
      </c>
      <c r="F37" s="44">
        <v>96</v>
      </c>
      <c r="G37" s="44">
        <v>8</v>
      </c>
      <c r="H37" s="44">
        <v>143</v>
      </c>
      <c r="I37" s="45">
        <v>4.2</v>
      </c>
      <c r="J37" s="45" t="s">
        <v>374</v>
      </c>
      <c r="K37" s="56" t="str">
        <f t="shared" si="1"/>
        <v>https://amazon.com/dp/B0CHMT32JF</v>
      </c>
    </row>
    <row r="38" spans="1:11" ht="60" x14ac:dyDescent="0.2">
      <c r="A38" s="18" t="s">
        <v>140</v>
      </c>
      <c r="B38" s="18" t="s">
        <v>141</v>
      </c>
      <c r="C38" s="41">
        <v>39.99</v>
      </c>
      <c r="D38" s="42">
        <v>7824.12</v>
      </c>
      <c r="E38" s="43">
        <v>652.01</v>
      </c>
      <c r="F38" s="44">
        <v>192</v>
      </c>
      <c r="G38" s="44">
        <v>16</v>
      </c>
      <c r="H38" s="44">
        <v>224</v>
      </c>
      <c r="I38" s="45">
        <v>4.5</v>
      </c>
      <c r="J38" s="45" t="s">
        <v>142</v>
      </c>
      <c r="K38" s="56" t="str">
        <f t="shared" si="1"/>
        <v>https://amazon.com/dp/B0CJM3HDR1</v>
      </c>
    </row>
    <row r="39" spans="1:11" ht="45" x14ac:dyDescent="0.2">
      <c r="A39" s="18" t="s">
        <v>375</v>
      </c>
      <c r="B39" s="18" t="s">
        <v>376</v>
      </c>
      <c r="C39" s="41">
        <v>159.99</v>
      </c>
      <c r="D39" s="42"/>
      <c r="E39" s="43"/>
      <c r="F39" s="44">
        <v>0</v>
      </c>
      <c r="G39" s="44">
        <v>0</v>
      </c>
      <c r="H39" s="44">
        <v>15</v>
      </c>
      <c r="I39" s="45">
        <v>4.5999999999999996</v>
      </c>
      <c r="J39" s="45" t="s">
        <v>377</v>
      </c>
      <c r="K39" s="56" t="str">
        <f t="shared" si="1"/>
        <v>https://amazon.com/dp/B0FQC32XV7</v>
      </c>
    </row>
    <row r="40" spans="1:11" ht="45" x14ac:dyDescent="0.2">
      <c r="A40" s="18" t="s">
        <v>378</v>
      </c>
      <c r="B40" s="18" t="s">
        <v>379</v>
      </c>
      <c r="C40" s="41">
        <v>129.99</v>
      </c>
      <c r="D40" s="42"/>
      <c r="E40" s="43"/>
      <c r="F40" s="44">
        <v>0</v>
      </c>
      <c r="G40" s="44">
        <v>0</v>
      </c>
      <c r="H40" s="44">
        <v>2</v>
      </c>
      <c r="I40" s="45">
        <v>5</v>
      </c>
      <c r="J40" s="45" t="s">
        <v>380</v>
      </c>
      <c r="K40" s="56" t="str">
        <f t="shared" si="1"/>
        <v>https://amazon.com/dp/B0FS68V4ZV</v>
      </c>
    </row>
    <row r="41" spans="1:11" ht="45" x14ac:dyDescent="0.2">
      <c r="A41" s="18" t="s">
        <v>381</v>
      </c>
      <c r="B41" s="18" t="s">
        <v>382</v>
      </c>
      <c r="C41" s="41">
        <v>25.49</v>
      </c>
      <c r="D41" s="42"/>
      <c r="E41" s="43"/>
      <c r="F41" s="44">
        <v>0</v>
      </c>
      <c r="G41" s="44">
        <v>0</v>
      </c>
      <c r="H41" s="44">
        <v>170</v>
      </c>
      <c r="I41" s="45">
        <v>4.3</v>
      </c>
      <c r="J41" s="45" t="s">
        <v>383</v>
      </c>
      <c r="K41" s="56" t="str">
        <f t="shared" si="1"/>
        <v>https://amazon.com/dp/B0CT8MDJQD</v>
      </c>
    </row>
    <row r="42" spans="1:11" ht="17" x14ac:dyDescent="0.2">
      <c r="A42" s="21" t="s">
        <v>4</v>
      </c>
      <c r="B42" s="21"/>
      <c r="C42" s="57"/>
      <c r="D42" s="58">
        <f>SUM(D9:D41)</f>
        <v>7709570.2799999984</v>
      </c>
      <c r="E42" s="58">
        <f>SUM(E9:E41)</f>
        <v>642464.19000000018</v>
      </c>
      <c r="F42" s="59"/>
      <c r="G42" s="59"/>
      <c r="H42" s="59"/>
      <c r="I42" s="60"/>
      <c r="J42" s="21"/>
    </row>
    <row r="43" spans="1:11" x14ac:dyDescent="0.2">
      <c r="A43" s="18"/>
      <c r="B43" s="18"/>
      <c r="C43" s="42"/>
      <c r="D43" s="42"/>
      <c r="E43" s="44"/>
      <c r="F43" s="44"/>
      <c r="G43" s="44"/>
      <c r="H43" s="45"/>
      <c r="I43" s="18"/>
    </row>
    <row r="44" spans="1:11" x14ac:dyDescent="0.2">
      <c r="A44" s="18"/>
      <c r="B44" s="18"/>
      <c r="C44" s="42"/>
      <c r="D44" s="42"/>
      <c r="E44" s="44"/>
      <c r="F44" s="44"/>
      <c r="G44" s="44"/>
      <c r="H44" s="45"/>
      <c r="I44" s="18"/>
    </row>
    <row r="45" spans="1:11" x14ac:dyDescent="0.2">
      <c r="A45" s="111" t="s">
        <v>17</v>
      </c>
      <c r="B45" s="111"/>
      <c r="C45" s="111"/>
      <c r="D45" s="111"/>
      <c r="E45" s="111"/>
      <c r="F45" s="111"/>
      <c r="G45" s="111"/>
      <c r="H45" s="111"/>
      <c r="I45" s="111"/>
      <c r="J45" s="111"/>
      <c r="K45" s="111"/>
    </row>
    <row r="46" spans="1:11" ht="17" x14ac:dyDescent="0.2">
      <c r="A46" s="24" t="s">
        <v>6</v>
      </c>
      <c r="B46" s="25" t="s">
        <v>5</v>
      </c>
      <c r="C46" s="26" t="s">
        <v>11</v>
      </c>
      <c r="D46" s="27" t="s">
        <v>2</v>
      </c>
      <c r="E46" s="25" t="s">
        <v>27</v>
      </c>
      <c r="F46" s="29" t="s">
        <v>13</v>
      </c>
      <c r="G46" s="32" t="s">
        <v>28</v>
      </c>
      <c r="H46" s="29" t="s">
        <v>8</v>
      </c>
      <c r="I46" s="30" t="s">
        <v>12</v>
      </c>
      <c r="J46" s="30" t="s">
        <v>22</v>
      </c>
      <c r="K46" s="31" t="s">
        <v>10</v>
      </c>
    </row>
    <row r="47" spans="1:11" ht="45" x14ac:dyDescent="0.2">
      <c r="A47" s="18" t="s">
        <v>230</v>
      </c>
      <c r="B47" s="18" t="s">
        <v>46</v>
      </c>
      <c r="C47" s="41">
        <v>69.989999999999995</v>
      </c>
      <c r="D47" s="42">
        <v>1198974.6000000001</v>
      </c>
      <c r="E47" s="42">
        <v>99914.55</v>
      </c>
      <c r="F47" s="44">
        <v>17136</v>
      </c>
      <c r="G47" s="46">
        <v>1428</v>
      </c>
      <c r="H47" s="44">
        <v>6721</v>
      </c>
      <c r="I47" s="45">
        <v>4.5</v>
      </c>
      <c r="J47" s="45" t="s">
        <v>47</v>
      </c>
      <c r="K47" s="22" t="str">
        <f>HYPERLINK(J47)</f>
        <v>https://amazon.com/dp/B0928Q3T42</v>
      </c>
    </row>
    <row r="48" spans="1:11" ht="45" x14ac:dyDescent="0.2">
      <c r="A48" s="18" t="s">
        <v>228</v>
      </c>
      <c r="B48" s="18" t="s">
        <v>48</v>
      </c>
      <c r="C48" s="41">
        <v>129.99</v>
      </c>
      <c r="D48" s="42">
        <v>1507452.48</v>
      </c>
      <c r="E48" s="42">
        <v>125621.04</v>
      </c>
      <c r="F48" s="44">
        <v>12696</v>
      </c>
      <c r="G48" s="46">
        <v>1058</v>
      </c>
      <c r="H48" s="44">
        <v>1394</v>
      </c>
      <c r="I48" s="45">
        <v>4.3</v>
      </c>
      <c r="J48" s="45" t="s">
        <v>49</v>
      </c>
      <c r="K48" s="22" t="str">
        <f t="shared" ref="K48" si="5">HYPERLINK(J48)</f>
        <v>https://amazon.com/dp/B0BS1CFFH8</v>
      </c>
    </row>
    <row r="49" spans="1:11" ht="45" x14ac:dyDescent="0.2">
      <c r="A49" s="18" t="s">
        <v>235</v>
      </c>
      <c r="B49" s="18" t="s">
        <v>234</v>
      </c>
      <c r="C49" s="41">
        <v>137.79</v>
      </c>
      <c r="D49" s="42">
        <v>1021463.28</v>
      </c>
      <c r="E49" s="42">
        <v>85121.94</v>
      </c>
      <c r="F49" s="44">
        <v>8616</v>
      </c>
      <c r="G49" s="46">
        <v>718</v>
      </c>
      <c r="H49" s="44">
        <v>253</v>
      </c>
      <c r="I49" s="45">
        <v>4.3</v>
      </c>
      <c r="J49" s="45" t="s">
        <v>236</v>
      </c>
      <c r="K49" s="102" t="str">
        <f t="shared" ref="K49:K65" si="6">HYPERLINK(J49)</f>
        <v>https://amazon.com/dp/B0DD6YVBHD</v>
      </c>
    </row>
    <row r="50" spans="1:11" ht="60" x14ac:dyDescent="0.2">
      <c r="A50" s="18" t="s">
        <v>68</v>
      </c>
      <c r="B50" s="18" t="s">
        <v>67</v>
      </c>
      <c r="C50" s="41">
        <v>54.99</v>
      </c>
      <c r="D50" s="42">
        <v>434365.32</v>
      </c>
      <c r="E50" s="42">
        <v>36197.11</v>
      </c>
      <c r="F50" s="44">
        <v>7896</v>
      </c>
      <c r="G50" s="46">
        <v>658</v>
      </c>
      <c r="H50" s="44">
        <v>2461</v>
      </c>
      <c r="I50" s="45">
        <v>4.3</v>
      </c>
      <c r="J50" s="45" t="s">
        <v>69</v>
      </c>
      <c r="K50" s="22" t="str">
        <f t="shared" ref="K50:K55" si="7">HYPERLINK(J50)</f>
        <v>https://amazon.com/dp/B08NJ8627V</v>
      </c>
    </row>
    <row r="51" spans="1:11" ht="45" x14ac:dyDescent="0.2">
      <c r="A51" s="18" t="s">
        <v>247</v>
      </c>
      <c r="B51" s="18" t="s">
        <v>246</v>
      </c>
      <c r="C51" s="41">
        <v>129.99</v>
      </c>
      <c r="D51" s="42">
        <v>695811</v>
      </c>
      <c r="E51" s="42">
        <v>57984.25</v>
      </c>
      <c r="F51" s="44">
        <v>6120</v>
      </c>
      <c r="G51" s="46">
        <v>510</v>
      </c>
      <c r="H51" s="44">
        <v>245</v>
      </c>
      <c r="I51" s="45">
        <v>4.5999999999999996</v>
      </c>
      <c r="J51" s="45" t="s">
        <v>248</v>
      </c>
      <c r="K51" s="22" t="str">
        <f t="shared" si="7"/>
        <v>https://amazon.com/dp/B0DT16R78W</v>
      </c>
    </row>
    <row r="52" spans="1:11" ht="45" x14ac:dyDescent="0.2">
      <c r="A52" s="18" t="s">
        <v>251</v>
      </c>
      <c r="B52" s="18" t="s">
        <v>250</v>
      </c>
      <c r="C52" s="41">
        <v>159.99</v>
      </c>
      <c r="D52" s="42">
        <v>661853.88</v>
      </c>
      <c r="E52" s="42">
        <v>55154.49</v>
      </c>
      <c r="F52" s="44">
        <v>4632</v>
      </c>
      <c r="G52" s="46">
        <v>386</v>
      </c>
      <c r="H52" s="44">
        <v>252</v>
      </c>
      <c r="I52" s="45">
        <v>4.5999999999999996</v>
      </c>
      <c r="J52" s="45" t="s">
        <v>252</v>
      </c>
      <c r="K52" s="22" t="str">
        <f t="shared" si="7"/>
        <v>https://amazon.com/dp/B0F62WJY8N</v>
      </c>
    </row>
    <row r="53" spans="1:11" ht="45" x14ac:dyDescent="0.2">
      <c r="A53" s="18" t="s">
        <v>337</v>
      </c>
      <c r="B53" s="18" t="s">
        <v>61</v>
      </c>
      <c r="C53" s="41">
        <v>69.989999999999995</v>
      </c>
      <c r="D53" s="42">
        <v>290535.12</v>
      </c>
      <c r="E53" s="42">
        <v>24211.26</v>
      </c>
      <c r="F53" s="44">
        <v>4272</v>
      </c>
      <c r="G53" s="46">
        <v>356</v>
      </c>
      <c r="H53" s="44">
        <v>1273</v>
      </c>
      <c r="I53" s="45">
        <v>4.5999999999999996</v>
      </c>
      <c r="J53" s="45" t="s">
        <v>62</v>
      </c>
      <c r="K53" s="22" t="str">
        <f t="shared" si="7"/>
        <v>https://amazon.com/dp/B0CT2CX59S</v>
      </c>
    </row>
    <row r="54" spans="1:11" ht="45" x14ac:dyDescent="0.2">
      <c r="A54" s="18" t="s">
        <v>338</v>
      </c>
      <c r="B54" s="18" t="s">
        <v>339</v>
      </c>
      <c r="C54" s="41">
        <v>74.989999999999995</v>
      </c>
      <c r="D54" s="42">
        <v>206101.08</v>
      </c>
      <c r="E54" s="42">
        <v>17175.09</v>
      </c>
      <c r="F54" s="44">
        <v>3204</v>
      </c>
      <c r="G54" s="46">
        <v>267</v>
      </c>
      <c r="H54" s="44">
        <v>85</v>
      </c>
      <c r="I54" s="45">
        <v>4.7</v>
      </c>
      <c r="J54" s="45" t="s">
        <v>340</v>
      </c>
      <c r="K54" s="22" t="str">
        <f t="shared" si="7"/>
        <v>https://amazon.com/dp/B0FKM8K5QX</v>
      </c>
    </row>
    <row r="55" spans="1:11" ht="45" x14ac:dyDescent="0.2">
      <c r="A55" s="18" t="s">
        <v>334</v>
      </c>
      <c r="B55" s="18" t="s">
        <v>335</v>
      </c>
      <c r="C55" s="41">
        <v>139.99</v>
      </c>
      <c r="D55" s="42">
        <v>293259.71999999997</v>
      </c>
      <c r="E55" s="42">
        <v>24438.31</v>
      </c>
      <c r="F55" s="44">
        <v>2136</v>
      </c>
      <c r="G55" s="46">
        <v>178</v>
      </c>
      <c r="H55" s="44">
        <v>84</v>
      </c>
      <c r="I55" s="45">
        <v>4.7</v>
      </c>
      <c r="J55" s="45" t="s">
        <v>336</v>
      </c>
      <c r="K55" s="22" t="str">
        <f t="shared" si="7"/>
        <v>https://amazon.com/dp/B0FD3NRZ5S</v>
      </c>
    </row>
    <row r="56" spans="1:11" ht="60" x14ac:dyDescent="0.2">
      <c r="A56" s="18" t="s">
        <v>347</v>
      </c>
      <c r="B56" s="18" t="s">
        <v>348</v>
      </c>
      <c r="C56" s="41">
        <v>49.99</v>
      </c>
      <c r="D56" s="42">
        <v>103971.12</v>
      </c>
      <c r="E56" s="42">
        <v>8664.26</v>
      </c>
      <c r="F56" s="44">
        <v>2076</v>
      </c>
      <c r="G56" s="46">
        <v>173</v>
      </c>
      <c r="H56" s="44">
        <v>4253</v>
      </c>
      <c r="I56" s="45">
        <v>4.4000000000000004</v>
      </c>
      <c r="J56" s="45" t="s">
        <v>349</v>
      </c>
      <c r="K56" s="102" t="str">
        <f t="shared" si="6"/>
        <v>https://amazon.com/dp/B094XGX6GQ</v>
      </c>
    </row>
    <row r="57" spans="1:11" ht="45" x14ac:dyDescent="0.2">
      <c r="A57" s="18" t="s">
        <v>71</v>
      </c>
      <c r="B57" s="18" t="s">
        <v>70</v>
      </c>
      <c r="C57" s="41">
        <v>124.99</v>
      </c>
      <c r="D57" s="42">
        <v>146783.4</v>
      </c>
      <c r="E57" s="42">
        <v>12231.95</v>
      </c>
      <c r="F57" s="44">
        <v>1260</v>
      </c>
      <c r="G57" s="46">
        <v>105</v>
      </c>
      <c r="H57" s="44">
        <v>299</v>
      </c>
      <c r="I57" s="45">
        <v>4.5999999999999996</v>
      </c>
      <c r="J57" s="45" t="s">
        <v>72</v>
      </c>
      <c r="K57" s="102" t="str">
        <f t="shared" si="6"/>
        <v>https://amazon.com/dp/B0DBZ6Q4YH</v>
      </c>
    </row>
    <row r="58" spans="1:11" ht="45" x14ac:dyDescent="0.2">
      <c r="A58" s="18" t="s">
        <v>341</v>
      </c>
      <c r="B58" s="18" t="s">
        <v>110</v>
      </c>
      <c r="C58" s="41">
        <v>139.99</v>
      </c>
      <c r="D58" s="42">
        <v>143746.79999999999</v>
      </c>
      <c r="E58" s="42">
        <v>11978.9</v>
      </c>
      <c r="F58" s="44">
        <v>1176</v>
      </c>
      <c r="G58" s="46">
        <v>98</v>
      </c>
      <c r="H58" s="44">
        <v>184</v>
      </c>
      <c r="I58" s="45">
        <v>4.5999999999999996</v>
      </c>
      <c r="J58" s="45" t="s">
        <v>111</v>
      </c>
      <c r="K58" s="102" t="str">
        <f t="shared" si="6"/>
        <v>https://amazon.com/dp/B0CT5L1H9B</v>
      </c>
    </row>
    <row r="59" spans="1:11" ht="45" x14ac:dyDescent="0.2">
      <c r="A59" s="18" t="s">
        <v>346</v>
      </c>
      <c r="B59" s="18" t="s">
        <v>94</v>
      </c>
      <c r="C59" s="41">
        <v>109.99</v>
      </c>
      <c r="D59" s="42">
        <v>105393.84</v>
      </c>
      <c r="E59" s="42">
        <v>8782.82</v>
      </c>
      <c r="F59" s="44">
        <v>948</v>
      </c>
      <c r="G59" s="46">
        <v>79</v>
      </c>
      <c r="H59" s="44">
        <v>957</v>
      </c>
      <c r="I59" s="45">
        <v>4.4000000000000004</v>
      </c>
      <c r="J59" s="45" t="s">
        <v>95</v>
      </c>
      <c r="K59" s="102" t="str">
        <f t="shared" si="6"/>
        <v>https://amazon.com/dp/B0BYF9J7V9</v>
      </c>
    </row>
    <row r="60" spans="1:11" ht="45" x14ac:dyDescent="0.2">
      <c r="A60" s="18" t="s">
        <v>137</v>
      </c>
      <c r="B60" s="18" t="s">
        <v>138</v>
      </c>
      <c r="C60" s="41">
        <v>21.99</v>
      </c>
      <c r="D60" s="42">
        <v>20624.64</v>
      </c>
      <c r="E60" s="42">
        <v>1718.72</v>
      </c>
      <c r="F60" s="44">
        <v>936</v>
      </c>
      <c r="G60" s="46">
        <v>78</v>
      </c>
      <c r="H60" s="44">
        <v>2963</v>
      </c>
      <c r="I60" s="45">
        <v>4.5999999999999996</v>
      </c>
      <c r="J60" s="45" t="s">
        <v>139</v>
      </c>
      <c r="K60" s="102" t="str">
        <f t="shared" si="6"/>
        <v>https://amazon.com/dp/B076D86Z7S</v>
      </c>
    </row>
    <row r="61" spans="1:11" ht="45" x14ac:dyDescent="0.2">
      <c r="A61" s="18" t="s">
        <v>369</v>
      </c>
      <c r="B61" s="18" t="s">
        <v>370</v>
      </c>
      <c r="C61" s="41">
        <v>19.989999999999998</v>
      </c>
      <c r="D61" s="42">
        <v>18554.52</v>
      </c>
      <c r="E61" s="42">
        <v>1546.21</v>
      </c>
      <c r="F61" s="44">
        <v>924</v>
      </c>
      <c r="G61" s="46">
        <v>77</v>
      </c>
      <c r="H61" s="44">
        <v>41</v>
      </c>
      <c r="I61" s="45">
        <v>4.7</v>
      </c>
      <c r="J61" s="45" t="s">
        <v>371</v>
      </c>
      <c r="K61" s="102" t="str">
        <f t="shared" si="6"/>
        <v>https://amazon.com/dp/B0CKZ1G66F</v>
      </c>
    </row>
    <row r="62" spans="1:11" ht="45" x14ac:dyDescent="0.2">
      <c r="A62" s="18" t="s">
        <v>130</v>
      </c>
      <c r="B62" s="18" t="s">
        <v>131</v>
      </c>
      <c r="C62" s="41">
        <v>72.989999999999995</v>
      </c>
      <c r="D62" s="42">
        <v>66784.56</v>
      </c>
      <c r="E62" s="42">
        <v>5565.38</v>
      </c>
      <c r="F62" s="44">
        <v>912</v>
      </c>
      <c r="G62" s="46">
        <v>76</v>
      </c>
      <c r="H62" s="44">
        <v>6721</v>
      </c>
      <c r="I62" s="45">
        <v>4.5</v>
      </c>
      <c r="J62" s="45" t="s">
        <v>132</v>
      </c>
      <c r="K62" s="102" t="str">
        <f t="shared" si="6"/>
        <v>https://amazon.com/dp/B09DKKJGS7</v>
      </c>
    </row>
    <row r="63" spans="1:11" ht="45" x14ac:dyDescent="0.2">
      <c r="A63" s="18" t="s">
        <v>357</v>
      </c>
      <c r="B63" s="18" t="s">
        <v>101</v>
      </c>
      <c r="C63" s="41">
        <v>49.99</v>
      </c>
      <c r="D63" s="42">
        <v>45408.72</v>
      </c>
      <c r="E63" s="42">
        <v>3784.06</v>
      </c>
      <c r="F63" s="44">
        <v>912</v>
      </c>
      <c r="G63" s="46">
        <v>76</v>
      </c>
      <c r="H63" s="44">
        <v>248</v>
      </c>
      <c r="I63" s="45">
        <v>4.5</v>
      </c>
      <c r="J63" s="45" t="s">
        <v>102</v>
      </c>
      <c r="K63" s="102" t="str">
        <f t="shared" si="6"/>
        <v>https://amazon.com/dp/B0DD47VS7S</v>
      </c>
    </row>
    <row r="64" spans="1:11" ht="45" x14ac:dyDescent="0.2">
      <c r="A64" s="18" t="s">
        <v>345</v>
      </c>
      <c r="B64" s="18" t="s">
        <v>99</v>
      </c>
      <c r="C64" s="41">
        <v>129.99</v>
      </c>
      <c r="D64" s="42">
        <v>114556.32</v>
      </c>
      <c r="E64" s="42">
        <v>9546.36</v>
      </c>
      <c r="F64" s="44">
        <v>912</v>
      </c>
      <c r="G64" s="46">
        <v>76</v>
      </c>
      <c r="H64" s="44">
        <v>1274</v>
      </c>
      <c r="I64" s="45">
        <v>4.5999999999999996</v>
      </c>
      <c r="J64" s="45" t="s">
        <v>100</v>
      </c>
      <c r="K64" s="102" t="str">
        <f t="shared" si="6"/>
        <v>https://amazon.com/dp/B0DD351NSB</v>
      </c>
    </row>
    <row r="65" spans="1:11" ht="45" x14ac:dyDescent="0.2">
      <c r="A65" s="18" t="s">
        <v>342</v>
      </c>
      <c r="B65" s="18" t="s">
        <v>343</v>
      </c>
      <c r="C65" s="41">
        <v>159.99</v>
      </c>
      <c r="D65" s="42">
        <v>116802.24000000001</v>
      </c>
      <c r="E65" s="42">
        <v>9733.52</v>
      </c>
      <c r="F65" s="44">
        <v>816</v>
      </c>
      <c r="G65" s="46">
        <v>68</v>
      </c>
      <c r="H65" s="44">
        <v>121</v>
      </c>
      <c r="I65" s="45">
        <v>4.7</v>
      </c>
      <c r="J65" s="45" t="s">
        <v>344</v>
      </c>
      <c r="K65" s="102" t="str">
        <f t="shared" si="6"/>
        <v>https://amazon.com/dp/B0DPX48VZB</v>
      </c>
    </row>
    <row r="66" spans="1:11" ht="45" x14ac:dyDescent="0.2">
      <c r="A66" s="18" t="s">
        <v>105</v>
      </c>
      <c r="B66" s="18" t="s">
        <v>104</v>
      </c>
      <c r="C66" s="41">
        <v>194.97</v>
      </c>
      <c r="D66" s="42">
        <v>135734.51999999999</v>
      </c>
      <c r="E66" s="42">
        <v>11311.21</v>
      </c>
      <c r="F66" s="44">
        <v>780</v>
      </c>
      <c r="G66" s="46">
        <v>65</v>
      </c>
      <c r="H66" s="44">
        <v>184</v>
      </c>
      <c r="I66" s="45">
        <v>4.5999999999999996</v>
      </c>
      <c r="J66" s="45" t="s">
        <v>106</v>
      </c>
      <c r="K66" s="102" t="str">
        <f t="shared" ref="K66:K76" si="8">HYPERLINK(J66)</f>
        <v>https://amazon.com/dp/B0BVML78W1</v>
      </c>
    </row>
    <row r="67" spans="1:11" ht="45" x14ac:dyDescent="0.2">
      <c r="A67" s="18" t="s">
        <v>351</v>
      </c>
      <c r="B67" s="18" t="s">
        <v>352</v>
      </c>
      <c r="C67" s="41">
        <v>109.99</v>
      </c>
      <c r="D67" s="42">
        <v>75388.680000000008</v>
      </c>
      <c r="E67" s="42">
        <v>6282.39</v>
      </c>
      <c r="F67" s="44">
        <v>744</v>
      </c>
      <c r="G67" s="46">
        <v>62</v>
      </c>
      <c r="H67" s="44">
        <v>1394</v>
      </c>
      <c r="I67" s="45">
        <v>4.3</v>
      </c>
      <c r="J67" s="45" t="s">
        <v>353</v>
      </c>
      <c r="K67" s="102" t="str">
        <f t="shared" si="8"/>
        <v>https://amazon.com/dp/B0BL7RK5JJ</v>
      </c>
    </row>
    <row r="68" spans="1:11" ht="45" x14ac:dyDescent="0.2">
      <c r="A68" s="18" t="s">
        <v>350</v>
      </c>
      <c r="B68" s="18" t="s">
        <v>128</v>
      </c>
      <c r="C68" s="41">
        <v>129.99</v>
      </c>
      <c r="D68" s="42">
        <v>97215.84</v>
      </c>
      <c r="E68" s="42">
        <v>8101.32</v>
      </c>
      <c r="F68" s="44">
        <v>744</v>
      </c>
      <c r="G68" s="46">
        <v>62</v>
      </c>
      <c r="H68" s="44">
        <v>675</v>
      </c>
      <c r="I68" s="45">
        <v>4.5</v>
      </c>
      <c r="J68" s="45" t="s">
        <v>129</v>
      </c>
      <c r="K68" s="102" t="str">
        <f t="shared" si="8"/>
        <v>https://amazon.com/dp/B0CMTX8ZM6</v>
      </c>
    </row>
    <row r="69" spans="1:11" ht="45" x14ac:dyDescent="0.2">
      <c r="A69" s="18" t="s">
        <v>354</v>
      </c>
      <c r="B69" s="18" t="s">
        <v>355</v>
      </c>
      <c r="C69" s="41">
        <v>84.99</v>
      </c>
      <c r="D69" s="42">
        <v>48066.600000000013</v>
      </c>
      <c r="E69" s="42">
        <v>4005.55</v>
      </c>
      <c r="F69" s="44">
        <v>600</v>
      </c>
      <c r="G69" s="46">
        <v>50</v>
      </c>
      <c r="H69" s="44">
        <v>957</v>
      </c>
      <c r="I69" s="45">
        <v>4.4000000000000004</v>
      </c>
      <c r="J69" s="45" t="s">
        <v>356</v>
      </c>
      <c r="K69" s="102" t="str">
        <f t="shared" si="8"/>
        <v>https://amazon.com/dp/B0BFGP4MWB</v>
      </c>
    </row>
    <row r="70" spans="1:11" ht="45" x14ac:dyDescent="0.2">
      <c r="A70" s="18" t="s">
        <v>359</v>
      </c>
      <c r="B70" s="18" t="s">
        <v>133</v>
      </c>
      <c r="C70" s="41">
        <v>84.99</v>
      </c>
      <c r="D70" s="42">
        <v>34831.800000000003</v>
      </c>
      <c r="E70" s="42">
        <v>2902.65</v>
      </c>
      <c r="F70" s="44">
        <v>408</v>
      </c>
      <c r="G70" s="46">
        <v>34</v>
      </c>
      <c r="H70" s="44">
        <v>190</v>
      </c>
      <c r="I70" s="45">
        <v>4.5</v>
      </c>
      <c r="J70" s="45" t="s">
        <v>134</v>
      </c>
      <c r="K70" s="102" t="str">
        <f t="shared" si="8"/>
        <v>https://amazon.com/dp/B0CF9C3QQF</v>
      </c>
    </row>
    <row r="71" spans="1:11" ht="45" x14ac:dyDescent="0.2">
      <c r="A71" s="18" t="s">
        <v>363</v>
      </c>
      <c r="B71" s="18" t="s">
        <v>364</v>
      </c>
      <c r="C71" s="41">
        <v>49.99</v>
      </c>
      <c r="D71" s="42">
        <v>20067.599999999999</v>
      </c>
      <c r="E71" s="42">
        <v>1672.3</v>
      </c>
      <c r="F71" s="44">
        <v>396</v>
      </c>
      <c r="G71" s="46">
        <v>33</v>
      </c>
      <c r="H71" s="44">
        <v>4253</v>
      </c>
      <c r="I71" s="45">
        <v>4.4000000000000004</v>
      </c>
      <c r="J71" s="45" t="s">
        <v>365</v>
      </c>
      <c r="K71" s="102" t="str">
        <f t="shared" si="8"/>
        <v>https://amazon.com/dp/B095K8XHY2</v>
      </c>
    </row>
    <row r="72" spans="1:11" ht="45" x14ac:dyDescent="0.2">
      <c r="A72" s="18" t="s">
        <v>360</v>
      </c>
      <c r="B72" s="18" t="s">
        <v>361</v>
      </c>
      <c r="C72" s="41">
        <v>79.989999999999995</v>
      </c>
      <c r="D72" s="42">
        <v>30591.72</v>
      </c>
      <c r="E72" s="42">
        <v>2549.31</v>
      </c>
      <c r="F72" s="44">
        <v>384</v>
      </c>
      <c r="G72" s="46">
        <v>32</v>
      </c>
      <c r="H72" s="44">
        <v>168</v>
      </c>
      <c r="I72" s="45">
        <v>4.5999999999999996</v>
      </c>
      <c r="J72" s="45" t="s">
        <v>362</v>
      </c>
      <c r="K72" s="102" t="str">
        <f t="shared" si="8"/>
        <v>https://amazon.com/dp/B0CCS1KR5X</v>
      </c>
    </row>
    <row r="73" spans="1:11" ht="45" x14ac:dyDescent="0.2">
      <c r="A73" s="18" t="s">
        <v>358</v>
      </c>
      <c r="B73" s="18" t="s">
        <v>135</v>
      </c>
      <c r="C73" s="41">
        <v>103.99</v>
      </c>
      <c r="D73" s="42">
        <v>36534.36</v>
      </c>
      <c r="E73" s="42">
        <v>3044.53</v>
      </c>
      <c r="F73" s="44">
        <v>348</v>
      </c>
      <c r="G73" s="46">
        <v>29</v>
      </c>
      <c r="H73" s="44">
        <v>175</v>
      </c>
      <c r="I73" s="45">
        <v>4.4000000000000004</v>
      </c>
      <c r="J73" s="45" t="s">
        <v>136</v>
      </c>
      <c r="K73" s="102" t="str">
        <f t="shared" si="8"/>
        <v>https://amazon.com/dp/B0CT3HBT4Y</v>
      </c>
    </row>
    <row r="74" spans="1:11" ht="60" x14ac:dyDescent="0.2">
      <c r="A74" s="18" t="s">
        <v>140</v>
      </c>
      <c r="B74" s="18" t="s">
        <v>141</v>
      </c>
      <c r="C74" s="41">
        <v>39.99</v>
      </c>
      <c r="D74" s="42">
        <v>7824.12</v>
      </c>
      <c r="E74" s="42">
        <v>652.01</v>
      </c>
      <c r="F74" s="44">
        <v>192</v>
      </c>
      <c r="G74" s="46">
        <v>16</v>
      </c>
      <c r="H74" s="44">
        <v>224</v>
      </c>
      <c r="I74" s="45">
        <v>4.5</v>
      </c>
      <c r="J74" s="45" t="s">
        <v>142</v>
      </c>
      <c r="K74" s="102" t="str">
        <f t="shared" si="8"/>
        <v>https://amazon.com/dp/B0CJM3HDR1</v>
      </c>
    </row>
    <row r="75" spans="1:11" ht="45" x14ac:dyDescent="0.2">
      <c r="A75" s="18" t="s">
        <v>372</v>
      </c>
      <c r="B75" s="18" t="s">
        <v>373</v>
      </c>
      <c r="C75" s="41">
        <v>119.99</v>
      </c>
      <c r="D75" s="42">
        <v>11771.04</v>
      </c>
      <c r="E75" s="42">
        <v>980.92</v>
      </c>
      <c r="F75" s="44">
        <v>96</v>
      </c>
      <c r="G75" s="46">
        <v>8</v>
      </c>
      <c r="H75" s="44">
        <v>143</v>
      </c>
      <c r="I75" s="45">
        <v>4.2</v>
      </c>
      <c r="J75" s="45" t="s">
        <v>374</v>
      </c>
      <c r="K75" s="102" t="str">
        <f t="shared" si="8"/>
        <v>https://amazon.com/dp/B0CHMT32JF</v>
      </c>
    </row>
    <row r="76" spans="1:11" ht="45" x14ac:dyDescent="0.2">
      <c r="A76" s="18" t="s">
        <v>366</v>
      </c>
      <c r="B76" s="18" t="s">
        <v>367</v>
      </c>
      <c r="C76" s="41">
        <v>271.69</v>
      </c>
      <c r="D76" s="42">
        <v>19101.36</v>
      </c>
      <c r="E76" s="42">
        <v>1591.78</v>
      </c>
      <c r="F76" s="44">
        <v>84</v>
      </c>
      <c r="G76" s="46">
        <v>7</v>
      </c>
      <c r="H76" s="44">
        <v>144</v>
      </c>
      <c r="I76" s="45">
        <v>4.3</v>
      </c>
      <c r="J76" s="45" t="s">
        <v>368</v>
      </c>
      <c r="K76" s="102" t="str">
        <f t="shared" si="8"/>
        <v>https://amazon.com/dp/B0CXSTNWTW</v>
      </c>
    </row>
    <row r="77" spans="1:11" ht="45" x14ac:dyDescent="0.2">
      <c r="A77" s="18" t="s">
        <v>378</v>
      </c>
      <c r="B77" s="18" t="s">
        <v>379</v>
      </c>
      <c r="C77" s="41">
        <v>129.99</v>
      </c>
      <c r="D77" s="42"/>
      <c r="E77" s="42"/>
      <c r="F77" s="44">
        <v>0</v>
      </c>
      <c r="G77" s="46">
        <v>0</v>
      </c>
      <c r="H77" s="44">
        <v>2</v>
      </c>
      <c r="I77" s="45">
        <v>5</v>
      </c>
      <c r="J77" s="45" t="s">
        <v>380</v>
      </c>
      <c r="K77" s="22" t="str">
        <f>HYPERLINK(J77)</f>
        <v>https://amazon.com/dp/B0FS68V4ZV</v>
      </c>
    </row>
    <row r="78" spans="1:11" ht="45" x14ac:dyDescent="0.2">
      <c r="A78" s="18" t="s">
        <v>375</v>
      </c>
      <c r="B78" s="18" t="s">
        <v>376</v>
      </c>
      <c r="C78" s="41">
        <v>159.99</v>
      </c>
      <c r="D78" s="42"/>
      <c r="E78" s="42"/>
      <c r="F78" s="44">
        <v>0</v>
      </c>
      <c r="G78" s="46">
        <v>0</v>
      </c>
      <c r="H78" s="44">
        <v>15</v>
      </c>
      <c r="I78" s="45">
        <v>4.5999999999999996</v>
      </c>
      <c r="J78" s="45" t="s">
        <v>377</v>
      </c>
      <c r="K78" s="22" t="str">
        <f>HYPERLINK(J78)</f>
        <v>https://amazon.com/dp/B0FQC32XV7</v>
      </c>
    </row>
    <row r="79" spans="1:11" ht="45" x14ac:dyDescent="0.2">
      <c r="A79" s="18" t="s">
        <v>381</v>
      </c>
      <c r="B79" s="18" t="s">
        <v>382</v>
      </c>
      <c r="C79" s="41">
        <v>25.49</v>
      </c>
      <c r="D79" s="42"/>
      <c r="E79" s="42"/>
      <c r="F79" s="44">
        <v>0</v>
      </c>
      <c r="G79" s="46">
        <v>0</v>
      </c>
      <c r="H79" s="44">
        <v>170</v>
      </c>
      <c r="I79" s="45">
        <v>4.3</v>
      </c>
      <c r="J79" s="45" t="s">
        <v>383</v>
      </c>
      <c r="K79" s="22" t="str">
        <f>HYPERLINK(J79)</f>
        <v>https://amazon.com/dp/B0CT8MDJQD</v>
      </c>
    </row>
    <row r="80" spans="1:11" ht="17" x14ac:dyDescent="0.2">
      <c r="A80" s="21" t="s">
        <v>4</v>
      </c>
      <c r="B80" s="21"/>
      <c r="C80" s="58"/>
      <c r="D80" s="58"/>
      <c r="E80" s="58"/>
      <c r="F80" s="59">
        <f>SUM(Table4316[Estimated 12mo Units])</f>
        <v>82356</v>
      </c>
      <c r="G80" s="59">
        <f>SUM(Table4316[Monthly Units])</f>
        <v>6863</v>
      </c>
      <c r="H80" s="59"/>
      <c r="I80" s="60"/>
      <c r="J80" s="21"/>
    </row>
  </sheetData>
  <mergeCells count="3">
    <mergeCell ref="A1:K5"/>
    <mergeCell ref="A7:K7"/>
    <mergeCell ref="A45:K45"/>
  </mergeCells>
  <hyperlinks>
    <hyperlink ref="K47" r:id="rId1" display="https://amazon.com/dp/B07S7H86Z1" xr:uid="{24A42D11-B4CF-4ABC-9EF1-99ED994D9EBD}"/>
    <hyperlink ref="K48" r:id="rId2" display="https://amazon.com/dp/B07S7H86Z1" xr:uid="{AED6CD60-1FEF-4238-9622-75D6413A695D}"/>
  </hyperlinks>
  <pageMargins left="0.7" right="0.7" top="0.75" bottom="0.75" header="0.3" footer="0.3"/>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A8B25-22B6-4514-BF27-278B540B9960}">
  <dimension ref="A1:K26"/>
  <sheetViews>
    <sheetView workbookViewId="0">
      <selection activeCell="L10" sqref="L10"/>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19" bestFit="1" customWidth="1"/>
    <col min="5" max="5" width="17.6640625" style="48" bestFit="1" customWidth="1"/>
    <col min="6" max="6" width="21.6640625" style="48" bestFit="1" customWidth="1"/>
    <col min="7" max="7" width="19.1640625" style="48" bestFit="1" customWidth="1"/>
    <col min="8" max="8" width="13.5" style="23" bestFit="1" customWidth="1"/>
    <col min="9" max="9" width="13" style="19" bestFit="1" customWidth="1"/>
    <col min="10" max="10" width="28" style="19" hidden="1" customWidth="1"/>
    <col min="11" max="11" width="35.6640625" style="19" customWidth="1"/>
    <col min="12" max="16384" width="12.6640625" style="19"/>
  </cols>
  <sheetData>
    <row r="1" spans="1:11" x14ac:dyDescent="0.2">
      <c r="A1" s="112" t="e" vm="3">
        <v>#VALUE!</v>
      </c>
      <c r="B1" s="112"/>
      <c r="C1" s="112"/>
      <c r="D1" s="112"/>
      <c r="E1" s="112"/>
      <c r="F1" s="112"/>
      <c r="G1" s="112"/>
      <c r="H1" s="112"/>
      <c r="I1" s="112"/>
      <c r="J1" s="112"/>
      <c r="K1" s="112"/>
    </row>
    <row r="2" spans="1:11" x14ac:dyDescent="0.2">
      <c r="A2" s="112"/>
      <c r="B2" s="112"/>
      <c r="C2" s="112"/>
      <c r="D2" s="112"/>
      <c r="E2" s="112"/>
      <c r="F2" s="112"/>
      <c r="G2" s="112"/>
      <c r="H2" s="112"/>
      <c r="I2" s="112"/>
      <c r="J2" s="112"/>
      <c r="K2" s="112"/>
    </row>
    <row r="3" spans="1:11" x14ac:dyDescent="0.2">
      <c r="A3" s="112"/>
      <c r="B3" s="112"/>
      <c r="C3" s="112"/>
      <c r="D3" s="112"/>
      <c r="E3" s="112"/>
      <c r="F3" s="112"/>
      <c r="G3" s="112"/>
      <c r="H3" s="112"/>
      <c r="I3" s="112"/>
      <c r="J3" s="112"/>
      <c r="K3" s="112"/>
    </row>
    <row r="4" spans="1:11" x14ac:dyDescent="0.2">
      <c r="A4" s="112"/>
      <c r="B4" s="112"/>
      <c r="C4" s="112"/>
      <c r="D4" s="112"/>
      <c r="E4" s="112"/>
      <c r="F4" s="112"/>
      <c r="G4" s="112"/>
      <c r="H4" s="112"/>
      <c r="I4" s="112"/>
      <c r="J4" s="112"/>
      <c r="K4" s="112"/>
    </row>
    <row r="5" spans="1:11" x14ac:dyDescent="0.2">
      <c r="A5" s="112"/>
      <c r="B5" s="112"/>
      <c r="C5" s="112"/>
      <c r="D5" s="112"/>
      <c r="E5" s="112"/>
      <c r="F5" s="112"/>
      <c r="G5" s="112"/>
      <c r="H5" s="112"/>
      <c r="I5" s="112"/>
      <c r="J5" s="112"/>
      <c r="K5" s="112"/>
    </row>
    <row r="6" spans="1:11" x14ac:dyDescent="0.2">
      <c r="A6" s="17"/>
      <c r="B6" s="17"/>
      <c r="C6" s="33"/>
      <c r="D6" s="34"/>
      <c r="E6" s="34"/>
      <c r="F6" s="34"/>
      <c r="G6" s="34"/>
      <c r="H6" s="35"/>
      <c r="I6" s="36"/>
    </row>
    <row r="7" spans="1:11" x14ac:dyDescent="0.2">
      <c r="A7" s="111" t="s">
        <v>14</v>
      </c>
      <c r="B7" s="111"/>
      <c r="C7" s="111"/>
      <c r="D7" s="111"/>
      <c r="E7" s="111"/>
      <c r="F7" s="111"/>
      <c r="G7" s="111"/>
      <c r="H7" s="111"/>
      <c r="I7" s="111"/>
      <c r="J7" s="111"/>
      <c r="K7" s="111"/>
    </row>
    <row r="8" spans="1:11" ht="17" x14ac:dyDescent="0.2">
      <c r="A8" s="24" t="s">
        <v>6</v>
      </c>
      <c r="B8" s="25" t="s">
        <v>5</v>
      </c>
      <c r="C8" s="26" t="s">
        <v>11</v>
      </c>
      <c r="D8" s="27" t="s">
        <v>2</v>
      </c>
      <c r="E8" s="25" t="s">
        <v>27</v>
      </c>
      <c r="F8" s="29" t="s">
        <v>13</v>
      </c>
      <c r="G8" s="32" t="s">
        <v>28</v>
      </c>
      <c r="H8" s="29" t="s">
        <v>8</v>
      </c>
      <c r="I8" s="30" t="s">
        <v>12</v>
      </c>
      <c r="J8" s="30" t="s">
        <v>22</v>
      </c>
      <c r="K8" s="31" t="s">
        <v>10</v>
      </c>
    </row>
    <row r="9" spans="1:11" ht="45" x14ac:dyDescent="0.2">
      <c r="A9" s="18" t="s">
        <v>221</v>
      </c>
      <c r="B9" s="18" t="s">
        <v>119</v>
      </c>
      <c r="C9" s="41">
        <v>42.99</v>
      </c>
      <c r="D9" s="42">
        <v>2162318.4</v>
      </c>
      <c r="E9" s="43">
        <v>180193.2</v>
      </c>
      <c r="F9" s="44">
        <v>56496</v>
      </c>
      <c r="G9" s="44">
        <v>4708</v>
      </c>
      <c r="H9" s="44">
        <v>5288</v>
      </c>
      <c r="I9" s="45">
        <v>4.4000000000000004</v>
      </c>
      <c r="J9" s="45" t="s">
        <v>120</v>
      </c>
      <c r="K9" s="56" t="str">
        <f t="shared" ref="K9" si="0">HYPERLINK(J9)</f>
        <v>https://amazon.com/dp/B0C9JR3N4W</v>
      </c>
    </row>
    <row r="10" spans="1:11" ht="45" x14ac:dyDescent="0.2">
      <c r="A10" s="18" t="s">
        <v>245</v>
      </c>
      <c r="B10" s="18" t="s">
        <v>117</v>
      </c>
      <c r="C10" s="41">
        <v>23.99</v>
      </c>
      <c r="D10" s="42">
        <v>753020.28</v>
      </c>
      <c r="E10" s="43">
        <v>62751.69</v>
      </c>
      <c r="F10" s="44">
        <v>27276</v>
      </c>
      <c r="G10" s="44">
        <v>2273</v>
      </c>
      <c r="H10" s="44">
        <v>5278</v>
      </c>
      <c r="I10" s="45">
        <v>4.4000000000000004</v>
      </c>
      <c r="J10" s="45" t="s">
        <v>118</v>
      </c>
      <c r="K10" s="101" t="str">
        <f t="shared" ref="K10:K12" si="1">HYPERLINK(J10)</f>
        <v>https://amazon.com/dp/B0C4V5LWWL</v>
      </c>
    </row>
    <row r="11" spans="1:11" ht="45" x14ac:dyDescent="0.2">
      <c r="A11" s="18" t="s">
        <v>276</v>
      </c>
      <c r="B11" s="18" t="s">
        <v>143</v>
      </c>
      <c r="C11" s="41">
        <v>40.99</v>
      </c>
      <c r="D11" s="42">
        <v>400400.76</v>
      </c>
      <c r="E11" s="43">
        <v>33366.730000000003</v>
      </c>
      <c r="F11" s="44">
        <v>10980</v>
      </c>
      <c r="G11" s="44">
        <v>915</v>
      </c>
      <c r="H11" s="44">
        <v>5287</v>
      </c>
      <c r="I11" s="45">
        <v>4.4000000000000004</v>
      </c>
      <c r="J11" s="45" t="s">
        <v>144</v>
      </c>
      <c r="K11" s="101" t="str">
        <f t="shared" si="1"/>
        <v>https://amazon.com/dp/B0BF64PP4F</v>
      </c>
    </row>
    <row r="12" spans="1:11" ht="45" x14ac:dyDescent="0.2">
      <c r="A12" s="18" t="s">
        <v>305</v>
      </c>
      <c r="B12" s="18" t="s">
        <v>304</v>
      </c>
      <c r="C12" s="41">
        <v>25.99</v>
      </c>
      <c r="D12" s="42">
        <v>215625.24</v>
      </c>
      <c r="E12" s="43">
        <v>17968.77</v>
      </c>
      <c r="F12" s="44">
        <v>6204</v>
      </c>
      <c r="G12" s="44">
        <v>517</v>
      </c>
      <c r="H12" s="44">
        <v>5288</v>
      </c>
      <c r="I12" s="45">
        <v>4.4000000000000004</v>
      </c>
      <c r="J12" s="45" t="s">
        <v>306</v>
      </c>
      <c r="K12" s="101" t="str">
        <f t="shared" si="1"/>
        <v>https://amazon.com/dp/B0FJ2CFSHR</v>
      </c>
    </row>
    <row r="13" spans="1:11" ht="45" x14ac:dyDescent="0.2">
      <c r="A13" s="18" t="s">
        <v>308</v>
      </c>
      <c r="B13" s="18" t="s">
        <v>307</v>
      </c>
      <c r="C13" s="41">
        <v>25.99</v>
      </c>
      <c r="D13" s="42">
        <v>214551.24</v>
      </c>
      <c r="E13" s="43">
        <v>17879.27</v>
      </c>
      <c r="F13" s="44">
        <v>6180</v>
      </c>
      <c r="G13" s="44">
        <v>515</v>
      </c>
      <c r="H13" s="44">
        <v>5288</v>
      </c>
      <c r="I13" s="45">
        <v>4.4000000000000004</v>
      </c>
      <c r="J13" s="45" t="s">
        <v>309</v>
      </c>
      <c r="K13" s="101" t="str">
        <f t="shared" ref="K13:K14" si="2">HYPERLINK(J13)</f>
        <v>https://amazon.com/dp/B0FJ29BJZ7</v>
      </c>
    </row>
    <row r="14" spans="1:11" ht="30" x14ac:dyDescent="0.2">
      <c r="A14" s="18" t="s">
        <v>388</v>
      </c>
      <c r="B14" s="18" t="s">
        <v>389</v>
      </c>
      <c r="C14" s="41">
        <v>9.99</v>
      </c>
      <c r="D14" s="42">
        <v>5634.36</v>
      </c>
      <c r="E14" s="43">
        <v>469.53</v>
      </c>
      <c r="F14" s="44">
        <v>564</v>
      </c>
      <c r="G14" s="44">
        <v>47</v>
      </c>
      <c r="H14" s="44">
        <v>17</v>
      </c>
      <c r="I14" s="45">
        <v>4.4000000000000004</v>
      </c>
      <c r="J14" s="45" t="s">
        <v>390</v>
      </c>
      <c r="K14" s="101" t="str">
        <f t="shared" si="2"/>
        <v>https://amazon.com/dp/B0DBDJ3FK2</v>
      </c>
    </row>
    <row r="15" spans="1:11" ht="17" x14ac:dyDescent="0.2">
      <c r="A15" s="21" t="s">
        <v>4</v>
      </c>
      <c r="B15" s="21"/>
      <c r="C15" s="57"/>
      <c r="D15" s="106">
        <f>SUM(D9:D14)</f>
        <v>3751550.28</v>
      </c>
      <c r="E15" s="106">
        <f>SUM(E9:E14)</f>
        <v>312629.19000000006</v>
      </c>
      <c r="F15" s="59"/>
      <c r="G15" s="59"/>
      <c r="H15" s="59"/>
      <c r="I15" s="60"/>
      <c r="J15" s="21"/>
    </row>
    <row r="16" spans="1:11" x14ac:dyDescent="0.2">
      <c r="A16" s="18"/>
      <c r="B16" s="18"/>
      <c r="C16" s="42"/>
      <c r="D16" s="42"/>
      <c r="E16" s="44"/>
      <c r="F16" s="44"/>
      <c r="G16" s="44"/>
      <c r="H16" s="45"/>
      <c r="I16" s="18"/>
    </row>
    <row r="17" spans="1:11" x14ac:dyDescent="0.2">
      <c r="A17" s="18"/>
      <c r="B17" s="18"/>
      <c r="C17" s="42"/>
      <c r="D17" s="42"/>
      <c r="E17" s="44"/>
      <c r="F17" s="44"/>
      <c r="G17" s="44"/>
      <c r="H17" s="45"/>
      <c r="I17" s="18"/>
    </row>
    <row r="18" spans="1:11" x14ac:dyDescent="0.2">
      <c r="A18" s="111" t="s">
        <v>17</v>
      </c>
      <c r="B18" s="111"/>
      <c r="C18" s="111"/>
      <c r="D18" s="111"/>
      <c r="E18" s="111"/>
      <c r="F18" s="111"/>
      <c r="G18" s="111"/>
      <c r="H18" s="111"/>
      <c r="I18" s="111"/>
      <c r="J18" s="111"/>
      <c r="K18" s="111"/>
    </row>
    <row r="19" spans="1:11" ht="17" x14ac:dyDescent="0.2">
      <c r="A19" s="24" t="s">
        <v>6</v>
      </c>
      <c r="B19" s="25" t="s">
        <v>5</v>
      </c>
      <c r="C19" s="26" t="s">
        <v>11</v>
      </c>
      <c r="D19" s="27" t="s">
        <v>2</v>
      </c>
      <c r="E19" s="25" t="s">
        <v>27</v>
      </c>
      <c r="F19" s="29" t="s">
        <v>13</v>
      </c>
      <c r="G19" s="32" t="s">
        <v>28</v>
      </c>
      <c r="H19" s="29" t="s">
        <v>8</v>
      </c>
      <c r="I19" s="30" t="s">
        <v>12</v>
      </c>
      <c r="J19" s="30" t="s">
        <v>22</v>
      </c>
      <c r="K19" s="31" t="s">
        <v>10</v>
      </c>
    </row>
    <row r="20" spans="1:11" ht="45" x14ac:dyDescent="0.2">
      <c r="A20" s="18" t="s">
        <v>221</v>
      </c>
      <c r="B20" s="18" t="s">
        <v>119</v>
      </c>
      <c r="C20" s="41">
        <v>42.99</v>
      </c>
      <c r="D20" s="42">
        <v>2162318.4</v>
      </c>
      <c r="E20" s="42">
        <v>180193.2</v>
      </c>
      <c r="F20" s="44">
        <v>56496</v>
      </c>
      <c r="G20" s="46">
        <v>4708</v>
      </c>
      <c r="H20" s="44">
        <v>5288</v>
      </c>
      <c r="I20" s="45">
        <v>4.4000000000000004</v>
      </c>
      <c r="J20" s="45" t="s">
        <v>120</v>
      </c>
      <c r="K20" s="22" t="str">
        <f>HYPERLINK(J20)</f>
        <v>https://amazon.com/dp/B0C9JR3N4W</v>
      </c>
    </row>
    <row r="21" spans="1:11" ht="45" x14ac:dyDescent="0.2">
      <c r="A21" s="18" t="s">
        <v>245</v>
      </c>
      <c r="B21" s="18" t="s">
        <v>117</v>
      </c>
      <c r="C21" s="41">
        <v>23.99</v>
      </c>
      <c r="D21" s="42">
        <v>753020.28</v>
      </c>
      <c r="E21" s="42">
        <v>62751.69</v>
      </c>
      <c r="F21" s="44">
        <v>27276</v>
      </c>
      <c r="G21" s="46">
        <v>2273</v>
      </c>
      <c r="H21" s="44">
        <v>5278</v>
      </c>
      <c r="I21" s="45">
        <v>4.4000000000000004</v>
      </c>
      <c r="J21" s="45" t="s">
        <v>118</v>
      </c>
      <c r="K21" s="22" t="str">
        <f t="shared" ref="K21:K23" si="3">HYPERLINK(J21)</f>
        <v>https://amazon.com/dp/B0C4V5LWWL</v>
      </c>
    </row>
    <row r="22" spans="1:11" ht="45" x14ac:dyDescent="0.2">
      <c r="A22" s="18" t="s">
        <v>276</v>
      </c>
      <c r="B22" s="18" t="s">
        <v>143</v>
      </c>
      <c r="C22" s="41">
        <v>40.99</v>
      </c>
      <c r="D22" s="42">
        <v>400400.76</v>
      </c>
      <c r="E22" s="42">
        <v>33366.730000000003</v>
      </c>
      <c r="F22" s="44">
        <v>10980</v>
      </c>
      <c r="G22" s="46">
        <v>915</v>
      </c>
      <c r="H22" s="44">
        <v>5287</v>
      </c>
      <c r="I22" s="45">
        <v>4.4000000000000004</v>
      </c>
      <c r="J22" s="45" t="s">
        <v>144</v>
      </c>
      <c r="K22" s="22" t="str">
        <f t="shared" si="3"/>
        <v>https://amazon.com/dp/B0BF64PP4F</v>
      </c>
    </row>
    <row r="23" spans="1:11" ht="45" x14ac:dyDescent="0.2">
      <c r="A23" s="18" t="s">
        <v>305</v>
      </c>
      <c r="B23" s="18" t="s">
        <v>304</v>
      </c>
      <c r="C23" s="41">
        <v>25.99</v>
      </c>
      <c r="D23" s="42">
        <v>215625.24</v>
      </c>
      <c r="E23" s="42">
        <v>17968.77</v>
      </c>
      <c r="F23" s="44">
        <v>6204</v>
      </c>
      <c r="G23" s="46">
        <v>517</v>
      </c>
      <c r="H23" s="44">
        <v>5288</v>
      </c>
      <c r="I23" s="45">
        <v>4.4000000000000004</v>
      </c>
      <c r="J23" s="45" t="s">
        <v>306</v>
      </c>
      <c r="K23" s="22" t="str">
        <f t="shared" si="3"/>
        <v>https://amazon.com/dp/B0FJ2CFSHR</v>
      </c>
    </row>
    <row r="24" spans="1:11" ht="45" x14ac:dyDescent="0.2">
      <c r="A24" s="18" t="s">
        <v>308</v>
      </c>
      <c r="B24" s="18" t="s">
        <v>307</v>
      </c>
      <c r="C24" s="41">
        <v>25.99</v>
      </c>
      <c r="D24" s="42">
        <v>214551.24</v>
      </c>
      <c r="E24" s="42">
        <v>17879.27</v>
      </c>
      <c r="F24" s="44">
        <v>6180</v>
      </c>
      <c r="G24" s="46">
        <v>515</v>
      </c>
      <c r="H24" s="44">
        <v>5288</v>
      </c>
      <c r="I24" s="45">
        <v>4.4000000000000004</v>
      </c>
      <c r="J24" s="45" t="s">
        <v>309</v>
      </c>
      <c r="K24" s="22" t="str">
        <f t="shared" ref="K24" si="4">HYPERLINK(J24)</f>
        <v>https://amazon.com/dp/B0FJ29BJZ7</v>
      </c>
    </row>
    <row r="25" spans="1:11" ht="30" x14ac:dyDescent="0.2">
      <c r="A25" s="18" t="s">
        <v>388</v>
      </c>
      <c r="B25" s="18" t="s">
        <v>389</v>
      </c>
      <c r="C25" s="41">
        <v>9.99</v>
      </c>
      <c r="D25" s="42">
        <v>5634.36</v>
      </c>
      <c r="E25" s="42">
        <v>469.53</v>
      </c>
      <c r="F25" s="44">
        <v>564</v>
      </c>
      <c r="G25" s="46">
        <v>47</v>
      </c>
      <c r="H25" s="44">
        <v>17</v>
      </c>
      <c r="I25" s="45">
        <v>4.4000000000000004</v>
      </c>
      <c r="J25" s="45" t="s">
        <v>390</v>
      </c>
      <c r="K25" s="22" t="str">
        <f>HYPERLINK(J25)</f>
        <v>https://amazon.com/dp/B0DBDJ3FK2</v>
      </c>
    </row>
    <row r="26" spans="1:11" ht="17" x14ac:dyDescent="0.2">
      <c r="A26" s="21" t="s">
        <v>4</v>
      </c>
      <c r="B26" s="21"/>
      <c r="C26" s="58"/>
      <c r="D26" s="58"/>
      <c r="E26" s="58"/>
      <c r="F26" s="59">
        <f>SUM(Table431618[Estimated 12mo Units])</f>
        <v>107700</v>
      </c>
      <c r="G26" s="59">
        <f>SUM(Table431618[Monthly Units])</f>
        <v>8975</v>
      </c>
      <c r="H26" s="59"/>
      <c r="I26" s="60"/>
      <c r="J26" s="21"/>
    </row>
  </sheetData>
  <mergeCells count="3">
    <mergeCell ref="A1:K5"/>
    <mergeCell ref="A7:K7"/>
    <mergeCell ref="A18:K18"/>
  </mergeCells>
  <phoneticPr fontId="17" type="noConversion"/>
  <hyperlinks>
    <hyperlink ref="K20" r:id="rId1" display="https://amazon.com/dp/B07S7H86Z1" xr:uid="{65FFA087-492B-416B-A331-41A1790E1C9E}"/>
    <hyperlink ref="K24" r:id="rId2" display="https://amazon.com/dp/B07S7H86Z1" xr:uid="{B9C121D8-E5CF-4E76-9682-43FC40AFC3E9}"/>
  </hyperlinks>
  <pageMargins left="0.7" right="0.7" top="0.75" bottom="0.75" header="0.3" footer="0.3"/>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15EFC-1CBE-7E47-9B31-B2430BBF6EF7}">
  <dimension ref="A1:K27"/>
  <sheetViews>
    <sheetView workbookViewId="0">
      <selection activeCell="L11" sqref="L11"/>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40"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27.6640625" style="19" hidden="1" customWidth="1"/>
    <col min="11" max="11" width="35.6640625" style="19" customWidth="1"/>
    <col min="12" max="16384" width="12.6640625" style="19"/>
  </cols>
  <sheetData>
    <row r="1" spans="1:11" x14ac:dyDescent="0.2">
      <c r="A1" s="110" t="e" vm="4">
        <v>#VALUE!</v>
      </c>
      <c r="B1" s="110"/>
      <c r="C1" s="110"/>
      <c r="D1" s="110"/>
      <c r="E1" s="110"/>
      <c r="F1" s="110"/>
      <c r="G1" s="110"/>
      <c r="H1" s="110"/>
      <c r="I1" s="110"/>
      <c r="J1" s="110"/>
      <c r="K1" s="110"/>
    </row>
    <row r="2" spans="1:11" x14ac:dyDescent="0.2">
      <c r="A2" s="110"/>
      <c r="B2" s="110"/>
      <c r="C2" s="110"/>
      <c r="D2" s="110"/>
      <c r="E2" s="110"/>
      <c r="F2" s="110"/>
      <c r="G2" s="110"/>
      <c r="H2" s="110"/>
      <c r="I2" s="110"/>
      <c r="J2" s="110"/>
      <c r="K2" s="110"/>
    </row>
    <row r="3" spans="1:11" x14ac:dyDescent="0.2">
      <c r="A3" s="110"/>
      <c r="B3" s="110"/>
      <c r="C3" s="110"/>
      <c r="D3" s="110"/>
      <c r="E3" s="110"/>
      <c r="F3" s="110"/>
      <c r="G3" s="110"/>
      <c r="H3" s="110"/>
      <c r="I3" s="110"/>
      <c r="J3" s="110"/>
      <c r="K3" s="110"/>
    </row>
    <row r="4" spans="1:11" x14ac:dyDescent="0.2">
      <c r="A4" s="110"/>
      <c r="B4" s="110"/>
      <c r="C4" s="110"/>
      <c r="D4" s="110"/>
      <c r="E4" s="110"/>
      <c r="F4" s="110"/>
      <c r="G4" s="110"/>
      <c r="H4" s="110"/>
      <c r="I4" s="110"/>
      <c r="J4" s="110"/>
      <c r="K4" s="110"/>
    </row>
    <row r="5" spans="1:11" x14ac:dyDescent="0.2">
      <c r="A5" s="110"/>
      <c r="B5" s="110"/>
      <c r="C5" s="110"/>
      <c r="D5" s="110"/>
      <c r="E5" s="110"/>
      <c r="F5" s="110"/>
      <c r="G5" s="110"/>
      <c r="H5" s="110"/>
      <c r="I5" s="110"/>
      <c r="J5" s="110"/>
      <c r="K5" s="110"/>
    </row>
    <row r="6" spans="1:11" x14ac:dyDescent="0.2">
      <c r="B6" s="37"/>
      <c r="D6" s="37"/>
      <c r="E6" s="38"/>
      <c r="F6" s="38"/>
      <c r="G6" s="38"/>
      <c r="H6" s="39"/>
      <c r="I6" s="37"/>
    </row>
    <row r="7" spans="1:11" x14ac:dyDescent="0.2">
      <c r="A7" s="111" t="s">
        <v>18</v>
      </c>
      <c r="B7" s="111"/>
      <c r="C7" s="111"/>
      <c r="D7" s="111"/>
      <c r="E7" s="111"/>
      <c r="F7" s="111"/>
      <c r="G7" s="111"/>
      <c r="H7" s="111"/>
      <c r="I7" s="111"/>
      <c r="J7" s="111"/>
      <c r="K7" s="111"/>
    </row>
    <row r="8" spans="1:11" ht="17" x14ac:dyDescent="0.2">
      <c r="A8" s="24" t="s">
        <v>6</v>
      </c>
      <c r="B8" s="25" t="s">
        <v>5</v>
      </c>
      <c r="C8" s="26" t="s">
        <v>11</v>
      </c>
      <c r="D8" s="27" t="s">
        <v>2</v>
      </c>
      <c r="E8" s="25" t="s">
        <v>27</v>
      </c>
      <c r="F8" s="29" t="s">
        <v>13</v>
      </c>
      <c r="G8" s="32" t="s">
        <v>28</v>
      </c>
      <c r="H8" s="29" t="s">
        <v>8</v>
      </c>
      <c r="I8" s="30" t="s">
        <v>12</v>
      </c>
      <c r="J8" s="30" t="s">
        <v>22</v>
      </c>
      <c r="K8" s="31" t="s">
        <v>10</v>
      </c>
    </row>
    <row r="9" spans="1:11" ht="45" x14ac:dyDescent="0.2">
      <c r="A9" s="18" t="s">
        <v>74</v>
      </c>
      <c r="B9" s="18" t="s">
        <v>73</v>
      </c>
      <c r="C9" s="41">
        <v>35.99</v>
      </c>
      <c r="D9" s="42">
        <v>683881.08</v>
      </c>
      <c r="E9" s="43">
        <v>56990.09</v>
      </c>
      <c r="F9" s="44">
        <v>24576</v>
      </c>
      <c r="G9" s="44">
        <v>2048</v>
      </c>
      <c r="H9" s="44">
        <v>1132</v>
      </c>
      <c r="I9" s="45">
        <v>4.4000000000000004</v>
      </c>
      <c r="J9" s="45" t="s">
        <v>75</v>
      </c>
      <c r="K9" s="56" t="str">
        <f>HYPERLINK(J9)</f>
        <v>https://amazon.com/dp/B0DGFBCH38</v>
      </c>
    </row>
    <row r="10" spans="1:11" ht="45" x14ac:dyDescent="0.2">
      <c r="A10" s="18" t="s">
        <v>300</v>
      </c>
      <c r="B10" s="18" t="s">
        <v>114</v>
      </c>
      <c r="C10" s="41">
        <v>39.99</v>
      </c>
      <c r="D10" s="42">
        <v>231586.8</v>
      </c>
      <c r="E10" s="43">
        <v>19298.900000000001</v>
      </c>
      <c r="F10" s="44">
        <v>6972</v>
      </c>
      <c r="G10" s="44">
        <v>581</v>
      </c>
      <c r="H10" s="44">
        <v>1132</v>
      </c>
      <c r="I10" s="45">
        <v>4.4000000000000004</v>
      </c>
      <c r="J10" s="45" t="s">
        <v>115</v>
      </c>
      <c r="K10" s="56" t="str">
        <f t="shared" ref="K10:K13" si="0">HYPERLINK(J10)</f>
        <v>https://amazon.com/dp/B0DGFC3D9H</v>
      </c>
    </row>
    <row r="11" spans="1:11" ht="45" x14ac:dyDescent="0.2">
      <c r="A11" s="18" t="s">
        <v>297</v>
      </c>
      <c r="B11" s="18" t="s">
        <v>296</v>
      </c>
      <c r="C11" s="41">
        <v>29.99</v>
      </c>
      <c r="D11" s="42">
        <v>199034.4</v>
      </c>
      <c r="E11" s="43">
        <v>16586.2</v>
      </c>
      <c r="F11" s="44">
        <v>7752</v>
      </c>
      <c r="G11" s="44">
        <v>646</v>
      </c>
      <c r="H11" s="44">
        <v>1119</v>
      </c>
      <c r="I11" s="45">
        <v>4.4000000000000004</v>
      </c>
      <c r="J11" s="45" t="s">
        <v>298</v>
      </c>
      <c r="K11" s="56" t="str">
        <f t="shared" si="0"/>
        <v>https://amazon.com/dp/B0DGFBJYG2</v>
      </c>
    </row>
    <row r="12" spans="1:11" ht="45" x14ac:dyDescent="0.2">
      <c r="A12" s="18" t="s">
        <v>471</v>
      </c>
      <c r="B12" s="18" t="s">
        <v>472</v>
      </c>
      <c r="C12" s="41">
        <v>59.99</v>
      </c>
      <c r="D12" s="42">
        <v>70812.72</v>
      </c>
      <c r="E12" s="43">
        <v>5901.06</v>
      </c>
      <c r="F12" s="44">
        <v>1236</v>
      </c>
      <c r="G12" s="44">
        <v>103</v>
      </c>
      <c r="H12" s="44">
        <v>230</v>
      </c>
      <c r="I12" s="45">
        <v>4.5999999999999996</v>
      </c>
      <c r="J12" s="45" t="s">
        <v>473</v>
      </c>
      <c r="K12" s="56" t="str">
        <f t="shared" si="0"/>
        <v>https://amazon.com/dp/B0DRSCP6DN</v>
      </c>
    </row>
    <row r="13" spans="1:11" ht="45" x14ac:dyDescent="0.2">
      <c r="A13" s="18" t="s">
        <v>474</v>
      </c>
      <c r="B13" s="18" t="s">
        <v>475</v>
      </c>
      <c r="C13" s="41">
        <v>63.99</v>
      </c>
      <c r="D13" s="42">
        <v>46052.52</v>
      </c>
      <c r="E13" s="43">
        <v>3837.71</v>
      </c>
      <c r="F13" s="44">
        <v>756</v>
      </c>
      <c r="G13" s="44">
        <v>63</v>
      </c>
      <c r="H13" s="44">
        <v>230</v>
      </c>
      <c r="I13" s="45">
        <v>4.5999999999999996</v>
      </c>
      <c r="J13" s="45" t="s">
        <v>476</v>
      </c>
      <c r="K13" s="56" t="str">
        <f t="shared" si="0"/>
        <v>https://amazon.com/dp/B0DRSBKCW3</v>
      </c>
    </row>
    <row r="14" spans="1:11" ht="45" x14ac:dyDescent="0.2">
      <c r="A14" s="18" t="s">
        <v>477</v>
      </c>
      <c r="B14" s="18" t="s">
        <v>478</v>
      </c>
      <c r="C14" s="41">
        <v>49.99</v>
      </c>
      <c r="D14" s="42">
        <v>24224.52</v>
      </c>
      <c r="E14" s="43">
        <v>2018.71</v>
      </c>
      <c r="F14" s="44">
        <v>468</v>
      </c>
      <c r="G14" s="44">
        <v>39</v>
      </c>
      <c r="H14" s="44">
        <v>230</v>
      </c>
      <c r="I14" s="45">
        <v>4.5999999999999996</v>
      </c>
      <c r="J14" s="45" t="s">
        <v>479</v>
      </c>
      <c r="K14" s="56" t="str">
        <f t="shared" ref="K14" si="1">HYPERLINK(J14)</f>
        <v>https://amazon.com/dp/B0DRSF5Q5Z</v>
      </c>
    </row>
    <row r="15" spans="1:11" ht="17" x14ac:dyDescent="0.2">
      <c r="A15" s="21" t="s">
        <v>4</v>
      </c>
      <c r="B15" s="21"/>
      <c r="C15" s="57"/>
      <c r="D15" s="58">
        <f>SUM(D9:D14)</f>
        <v>1255592.0399999998</v>
      </c>
      <c r="E15" s="58">
        <f>SUM(E9:E14)</f>
        <v>104632.67</v>
      </c>
      <c r="F15" s="59"/>
      <c r="G15" s="59"/>
      <c r="H15" s="59"/>
      <c r="I15" s="60"/>
      <c r="J15" s="21"/>
      <c r="K15" s="20"/>
    </row>
    <row r="18" spans="1:11" x14ac:dyDescent="0.2">
      <c r="A18" s="111" t="s">
        <v>17</v>
      </c>
      <c r="B18" s="111"/>
      <c r="C18" s="111"/>
      <c r="D18" s="111"/>
      <c r="E18" s="111"/>
      <c r="F18" s="111"/>
      <c r="G18" s="111"/>
      <c r="H18" s="111"/>
      <c r="I18" s="111"/>
      <c r="J18" s="111"/>
      <c r="K18" s="111"/>
    </row>
    <row r="19" spans="1:11" ht="17" x14ac:dyDescent="0.2">
      <c r="A19" s="24" t="s">
        <v>6</v>
      </c>
      <c r="B19" s="25" t="s">
        <v>5</v>
      </c>
      <c r="C19" s="26" t="s">
        <v>11</v>
      </c>
      <c r="D19" s="27" t="s">
        <v>2</v>
      </c>
      <c r="E19" s="25" t="s">
        <v>27</v>
      </c>
      <c r="F19" s="29" t="s">
        <v>13</v>
      </c>
      <c r="G19" s="32" t="s">
        <v>28</v>
      </c>
      <c r="H19" s="29" t="s">
        <v>8</v>
      </c>
      <c r="I19" s="30" t="s">
        <v>12</v>
      </c>
      <c r="J19" s="30" t="s">
        <v>22</v>
      </c>
      <c r="K19" s="31" t="s">
        <v>10</v>
      </c>
    </row>
    <row r="20" spans="1:11" ht="45" x14ac:dyDescent="0.2">
      <c r="A20" s="18" t="s">
        <v>74</v>
      </c>
      <c r="B20" s="18" t="s">
        <v>73</v>
      </c>
      <c r="C20" s="41">
        <v>35.99</v>
      </c>
      <c r="D20" s="42">
        <v>683881.08</v>
      </c>
      <c r="E20" s="42">
        <v>56990.09</v>
      </c>
      <c r="F20" s="44">
        <v>24576</v>
      </c>
      <c r="G20" s="46">
        <v>2048</v>
      </c>
      <c r="H20" s="44">
        <v>1132</v>
      </c>
      <c r="I20" s="45">
        <v>4.4000000000000004</v>
      </c>
      <c r="J20" s="45" t="s">
        <v>75</v>
      </c>
      <c r="K20" s="56" t="str">
        <f>HYPERLINK(J20)</f>
        <v>https://amazon.com/dp/B0DGFBCH38</v>
      </c>
    </row>
    <row r="21" spans="1:11" ht="45" x14ac:dyDescent="0.2">
      <c r="A21" s="18" t="s">
        <v>74</v>
      </c>
      <c r="B21" s="18" t="s">
        <v>73</v>
      </c>
      <c r="C21" s="41">
        <v>35.99</v>
      </c>
      <c r="D21" s="42">
        <v>683881.08</v>
      </c>
      <c r="E21" s="42">
        <v>56990.09</v>
      </c>
      <c r="F21" s="44">
        <v>24576</v>
      </c>
      <c r="G21" s="46">
        <v>2048</v>
      </c>
      <c r="H21" s="44">
        <v>1132</v>
      </c>
      <c r="I21" s="45">
        <v>4.4000000000000004</v>
      </c>
      <c r="J21" s="45" t="s">
        <v>75</v>
      </c>
      <c r="K21" s="56" t="str">
        <f t="shared" ref="K21:K25" si="2">HYPERLINK(J21)</f>
        <v>https://amazon.com/dp/B0DGFBCH38</v>
      </c>
    </row>
    <row r="22" spans="1:11" ht="45" x14ac:dyDescent="0.2">
      <c r="A22" s="18" t="s">
        <v>297</v>
      </c>
      <c r="B22" s="18" t="s">
        <v>296</v>
      </c>
      <c r="C22" s="41">
        <v>29.99</v>
      </c>
      <c r="D22" s="42">
        <v>199034.4</v>
      </c>
      <c r="E22" s="42">
        <v>16586.2</v>
      </c>
      <c r="F22" s="44">
        <v>7752</v>
      </c>
      <c r="G22" s="46">
        <v>646</v>
      </c>
      <c r="H22" s="44">
        <v>1119</v>
      </c>
      <c r="I22" s="45">
        <v>4.4000000000000004</v>
      </c>
      <c r="J22" s="45" t="s">
        <v>298</v>
      </c>
      <c r="K22" s="56" t="str">
        <f t="shared" si="2"/>
        <v>https://amazon.com/dp/B0DGFBJYG2</v>
      </c>
    </row>
    <row r="23" spans="1:11" ht="45" x14ac:dyDescent="0.2">
      <c r="A23" s="18" t="s">
        <v>300</v>
      </c>
      <c r="B23" s="18" t="s">
        <v>114</v>
      </c>
      <c r="C23" s="41">
        <v>39.99</v>
      </c>
      <c r="D23" s="42">
        <v>231586.8</v>
      </c>
      <c r="E23" s="42">
        <v>19298.900000000001</v>
      </c>
      <c r="F23" s="44">
        <v>6972</v>
      </c>
      <c r="G23" s="46">
        <v>581</v>
      </c>
      <c r="H23" s="44">
        <v>1132</v>
      </c>
      <c r="I23" s="45">
        <v>4.4000000000000004</v>
      </c>
      <c r="J23" s="45" t="s">
        <v>115</v>
      </c>
      <c r="K23" s="56" t="str">
        <f t="shared" si="2"/>
        <v>https://amazon.com/dp/B0DGFC3D9H</v>
      </c>
    </row>
    <row r="24" spans="1:11" ht="45" x14ac:dyDescent="0.2">
      <c r="A24" s="18" t="s">
        <v>471</v>
      </c>
      <c r="B24" s="18" t="s">
        <v>472</v>
      </c>
      <c r="C24" s="41">
        <v>59.99</v>
      </c>
      <c r="D24" s="42">
        <v>70812.72</v>
      </c>
      <c r="E24" s="42">
        <v>5901.06</v>
      </c>
      <c r="F24" s="44">
        <v>1236</v>
      </c>
      <c r="G24" s="46">
        <v>103</v>
      </c>
      <c r="H24" s="44">
        <v>230</v>
      </c>
      <c r="I24" s="45">
        <v>4.5999999999999996</v>
      </c>
      <c r="J24" s="45" t="s">
        <v>473</v>
      </c>
      <c r="K24" s="56" t="str">
        <f t="shared" si="2"/>
        <v>https://amazon.com/dp/B0DRSCP6DN</v>
      </c>
    </row>
    <row r="25" spans="1:11" ht="45" x14ac:dyDescent="0.2">
      <c r="A25" s="18" t="s">
        <v>474</v>
      </c>
      <c r="B25" s="18" t="s">
        <v>475</v>
      </c>
      <c r="C25" s="41">
        <v>63.99</v>
      </c>
      <c r="D25" s="42">
        <v>46052.52</v>
      </c>
      <c r="E25" s="42">
        <v>3837.71</v>
      </c>
      <c r="F25" s="44">
        <v>756</v>
      </c>
      <c r="G25" s="46">
        <v>63</v>
      </c>
      <c r="H25" s="44">
        <v>230</v>
      </c>
      <c r="I25" s="45">
        <v>4.5999999999999996</v>
      </c>
      <c r="J25" s="45" t="s">
        <v>476</v>
      </c>
      <c r="K25" s="56" t="str">
        <f t="shared" si="2"/>
        <v>https://amazon.com/dp/B0DRSBKCW3</v>
      </c>
    </row>
    <row r="26" spans="1:11" ht="45" x14ac:dyDescent="0.2">
      <c r="A26" s="18" t="s">
        <v>477</v>
      </c>
      <c r="B26" s="18" t="s">
        <v>478</v>
      </c>
      <c r="C26" s="41">
        <v>49.99</v>
      </c>
      <c r="D26" s="42">
        <v>24224.52</v>
      </c>
      <c r="E26" s="42">
        <v>2018.71</v>
      </c>
      <c r="F26" s="44">
        <v>468</v>
      </c>
      <c r="G26" s="46">
        <v>39</v>
      </c>
      <c r="H26" s="44">
        <v>230</v>
      </c>
      <c r="I26" s="45">
        <v>4.5999999999999996</v>
      </c>
      <c r="J26" s="45" t="s">
        <v>479</v>
      </c>
      <c r="K26" s="56" t="str">
        <f t="shared" ref="K26" si="3">HYPERLINK(J26)</f>
        <v>https://amazon.com/dp/B0DRSF5Q5Z</v>
      </c>
    </row>
    <row r="27" spans="1:11" ht="17" x14ac:dyDescent="0.2">
      <c r="A27" s="21" t="s">
        <v>4</v>
      </c>
      <c r="B27" s="21"/>
      <c r="C27" s="58"/>
      <c r="D27" s="58"/>
      <c r="E27" s="58"/>
      <c r="F27" s="59">
        <f>SUM(Acoath!F20:F26)</f>
        <v>66336</v>
      </c>
      <c r="G27" s="59">
        <f>SUM(Acoath!G20:G26)</f>
        <v>5528</v>
      </c>
      <c r="H27" s="59"/>
      <c r="I27" s="60"/>
      <c r="J27" s="21"/>
      <c r="K27" s="20"/>
    </row>
  </sheetData>
  <mergeCells count="3">
    <mergeCell ref="A1:K5"/>
    <mergeCell ref="A7:K7"/>
    <mergeCell ref="A18:K18"/>
  </mergeCells>
  <pageMargins left="0.7" right="0.7" top="0.75" bottom="0.75" header="0.3" footer="0.3"/>
  <pageSetup orientation="portrait"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BC15-3245-42E0-A13D-CCB8E16AC336}">
  <sheetPr codeName="Sheet19"/>
  <dimension ref="A1:K30"/>
  <sheetViews>
    <sheetView workbookViewId="0">
      <selection activeCell="L9" sqref="L9"/>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19" bestFit="1" customWidth="1"/>
    <col min="5" max="5" width="17.6640625" style="48" bestFit="1" customWidth="1"/>
    <col min="6" max="6" width="21.6640625" style="48" bestFit="1" customWidth="1"/>
    <col min="7" max="7" width="19.1640625" style="48" bestFit="1" customWidth="1"/>
    <col min="8" max="8" width="13.5" style="23" bestFit="1" customWidth="1"/>
    <col min="9" max="9" width="13" style="19" bestFit="1" customWidth="1"/>
    <col min="10" max="10" width="36" style="19" hidden="1" customWidth="1"/>
    <col min="11" max="11" width="35.6640625" style="19" customWidth="1"/>
    <col min="12" max="16384" width="12.6640625" style="19"/>
  </cols>
  <sheetData>
    <row r="1" spans="1:11" x14ac:dyDescent="0.2">
      <c r="A1" s="112" t="e" vm="5">
        <v>#VALUE!</v>
      </c>
      <c r="B1" s="112"/>
      <c r="C1" s="112"/>
      <c r="D1" s="112"/>
      <c r="E1" s="112"/>
      <c r="F1" s="112"/>
      <c r="G1" s="112"/>
      <c r="H1" s="112"/>
      <c r="I1" s="112"/>
      <c r="J1" s="112"/>
      <c r="K1" s="112"/>
    </row>
    <row r="2" spans="1:11" x14ac:dyDescent="0.2">
      <c r="A2" s="112"/>
      <c r="B2" s="112"/>
      <c r="C2" s="112"/>
      <c r="D2" s="112"/>
      <c r="E2" s="112"/>
      <c r="F2" s="112"/>
      <c r="G2" s="112"/>
      <c r="H2" s="112"/>
      <c r="I2" s="112"/>
      <c r="J2" s="112"/>
      <c r="K2" s="112"/>
    </row>
    <row r="3" spans="1:11" x14ac:dyDescent="0.2">
      <c r="A3" s="112"/>
      <c r="B3" s="112"/>
      <c r="C3" s="112"/>
      <c r="D3" s="112"/>
      <c r="E3" s="112"/>
      <c r="F3" s="112"/>
      <c r="G3" s="112"/>
      <c r="H3" s="112"/>
      <c r="I3" s="112"/>
      <c r="J3" s="112"/>
      <c r="K3" s="112"/>
    </row>
    <row r="4" spans="1:11" x14ac:dyDescent="0.2">
      <c r="A4" s="112"/>
      <c r="B4" s="112"/>
      <c r="C4" s="112"/>
      <c r="D4" s="112"/>
      <c r="E4" s="112"/>
      <c r="F4" s="112"/>
      <c r="G4" s="112"/>
      <c r="H4" s="112"/>
      <c r="I4" s="112"/>
      <c r="J4" s="112"/>
      <c r="K4" s="112"/>
    </row>
    <row r="5" spans="1:11" x14ac:dyDescent="0.2">
      <c r="A5" s="112"/>
      <c r="B5" s="112"/>
      <c r="C5" s="112"/>
      <c r="D5" s="112"/>
      <c r="E5" s="112"/>
      <c r="F5" s="112"/>
      <c r="G5" s="112"/>
      <c r="H5" s="112"/>
      <c r="I5" s="112"/>
      <c r="J5" s="112"/>
      <c r="K5" s="112"/>
    </row>
    <row r="6" spans="1:11" x14ac:dyDescent="0.2">
      <c r="A6" s="17"/>
      <c r="B6" s="17"/>
      <c r="C6" s="33"/>
      <c r="D6" s="34"/>
      <c r="E6" s="34"/>
      <c r="F6" s="34"/>
      <c r="G6" s="34"/>
      <c r="H6" s="35"/>
      <c r="I6" s="36"/>
    </row>
    <row r="7" spans="1:11" x14ac:dyDescent="0.2">
      <c r="A7" s="111" t="s">
        <v>14</v>
      </c>
      <c r="B7" s="111"/>
      <c r="C7" s="111"/>
      <c r="D7" s="111"/>
      <c r="E7" s="111"/>
      <c r="F7" s="111"/>
      <c r="G7" s="111"/>
      <c r="H7" s="111"/>
      <c r="I7" s="111"/>
      <c r="J7" s="111"/>
      <c r="K7" s="111"/>
    </row>
    <row r="8" spans="1:11" ht="17" x14ac:dyDescent="0.2">
      <c r="A8" s="24" t="s">
        <v>6</v>
      </c>
      <c r="B8" s="25" t="s">
        <v>5</v>
      </c>
      <c r="C8" s="26" t="s">
        <v>11</v>
      </c>
      <c r="D8" s="27" t="s">
        <v>2</v>
      </c>
      <c r="E8" s="25" t="s">
        <v>27</v>
      </c>
      <c r="F8" s="29" t="s">
        <v>13</v>
      </c>
      <c r="G8" s="32" t="s">
        <v>28</v>
      </c>
      <c r="H8" s="29" t="s">
        <v>8</v>
      </c>
      <c r="I8" s="30" t="s">
        <v>12</v>
      </c>
      <c r="J8" s="30" t="s">
        <v>22</v>
      </c>
      <c r="K8" s="31" t="s">
        <v>10</v>
      </c>
    </row>
    <row r="9" spans="1:11" ht="45" x14ac:dyDescent="0.2">
      <c r="A9" s="18" t="s">
        <v>240</v>
      </c>
      <c r="B9" s="18" t="s">
        <v>65</v>
      </c>
      <c r="C9" s="41">
        <v>39.99</v>
      </c>
      <c r="D9" s="42">
        <v>870551.28</v>
      </c>
      <c r="E9" s="43">
        <v>72545.94</v>
      </c>
      <c r="F9" s="44">
        <v>25284</v>
      </c>
      <c r="G9" s="44">
        <v>2107</v>
      </c>
      <c r="H9" s="44">
        <v>1810</v>
      </c>
      <c r="I9" s="45">
        <v>4.4000000000000004</v>
      </c>
      <c r="J9" s="45" t="s">
        <v>66</v>
      </c>
      <c r="K9" s="56" t="str">
        <f t="shared" ref="K9" si="0">HYPERLINK(J9)</f>
        <v>https://amazon.com/dp/B0BXSMSS7M</v>
      </c>
    </row>
    <row r="10" spans="1:11" ht="45" x14ac:dyDescent="0.2">
      <c r="A10" s="18" t="s">
        <v>249</v>
      </c>
      <c r="B10" s="18" t="s">
        <v>56</v>
      </c>
      <c r="C10" s="41">
        <v>32.979999999999997</v>
      </c>
      <c r="D10" s="42">
        <v>684844.2</v>
      </c>
      <c r="E10" s="43">
        <v>57070.35</v>
      </c>
      <c r="F10" s="44">
        <v>19140</v>
      </c>
      <c r="G10" s="44">
        <v>1595</v>
      </c>
      <c r="H10" s="44">
        <v>3741</v>
      </c>
      <c r="I10" s="45">
        <v>4.4000000000000004</v>
      </c>
      <c r="J10" s="45" t="s">
        <v>57</v>
      </c>
      <c r="K10" s="56" t="str">
        <f t="shared" ref="K10:K16" si="1">HYPERLINK(J10)</f>
        <v>https://amazon.com/dp/B0C3R381FC</v>
      </c>
    </row>
    <row r="11" spans="1:11" ht="45" x14ac:dyDescent="0.2">
      <c r="A11" s="18" t="s">
        <v>323</v>
      </c>
      <c r="B11" s="18" t="s">
        <v>324</v>
      </c>
      <c r="C11" s="41">
        <v>33.99</v>
      </c>
      <c r="D11" s="42">
        <v>117014.16</v>
      </c>
      <c r="E11" s="43">
        <v>9751.18</v>
      </c>
      <c r="F11" s="44">
        <v>3888</v>
      </c>
      <c r="G11" s="44">
        <v>324</v>
      </c>
      <c r="H11" s="44">
        <v>99</v>
      </c>
      <c r="I11" s="45">
        <v>4.3</v>
      </c>
      <c r="J11" s="45" t="s">
        <v>325</v>
      </c>
      <c r="K11" s="56" t="str">
        <f t="shared" ref="K11:K15" si="2">HYPERLINK(J11)</f>
        <v>https://amazon.com/dp/B0FCRFV5TX</v>
      </c>
    </row>
    <row r="12" spans="1:11" ht="45" x14ac:dyDescent="0.2">
      <c r="A12" s="18" t="s">
        <v>326</v>
      </c>
      <c r="B12" s="18" t="s">
        <v>327</v>
      </c>
      <c r="C12" s="41">
        <v>59.99</v>
      </c>
      <c r="D12" s="42">
        <v>81307.799999999988</v>
      </c>
      <c r="E12" s="43">
        <v>6775.65</v>
      </c>
      <c r="F12" s="44">
        <v>1356</v>
      </c>
      <c r="G12" s="44">
        <v>113</v>
      </c>
      <c r="H12" s="44">
        <v>1810</v>
      </c>
      <c r="I12" s="45">
        <v>4.4000000000000004</v>
      </c>
      <c r="J12" s="45" t="s">
        <v>328</v>
      </c>
      <c r="K12" s="56" t="str">
        <f t="shared" si="2"/>
        <v>https://amazon.com/dp/B0CJC65Q9P</v>
      </c>
    </row>
    <row r="13" spans="1:11" ht="45" x14ac:dyDescent="0.2">
      <c r="A13" s="18" t="s">
        <v>329</v>
      </c>
      <c r="B13" s="18" t="s">
        <v>123</v>
      </c>
      <c r="C13" s="41">
        <v>49.99</v>
      </c>
      <c r="D13" s="42">
        <v>79086.720000000001</v>
      </c>
      <c r="E13" s="43">
        <v>6590.56</v>
      </c>
      <c r="F13" s="44">
        <v>1584</v>
      </c>
      <c r="G13" s="44">
        <v>132</v>
      </c>
      <c r="H13" s="44">
        <v>3721</v>
      </c>
      <c r="I13" s="45">
        <v>4.4000000000000004</v>
      </c>
      <c r="J13" s="45" t="s">
        <v>124</v>
      </c>
      <c r="K13" s="56" t="str">
        <f t="shared" si="2"/>
        <v>https://amazon.com/dp/B0BYHMRHG1</v>
      </c>
    </row>
    <row r="14" spans="1:11" ht="45" x14ac:dyDescent="0.2">
      <c r="A14" s="18" t="s">
        <v>330</v>
      </c>
      <c r="B14" s="18" t="s">
        <v>121</v>
      </c>
      <c r="C14" s="41">
        <v>109.97</v>
      </c>
      <c r="D14" s="42">
        <v>53887.680000000008</v>
      </c>
      <c r="E14" s="43">
        <v>4490.6400000000003</v>
      </c>
      <c r="F14" s="44">
        <v>576</v>
      </c>
      <c r="G14" s="44">
        <v>48</v>
      </c>
      <c r="H14" s="44">
        <v>83</v>
      </c>
      <c r="I14" s="45">
        <v>4.4000000000000004</v>
      </c>
      <c r="J14" s="45" t="s">
        <v>122</v>
      </c>
      <c r="K14" s="56" t="str">
        <f t="shared" si="2"/>
        <v>https://amazon.com/dp/B0CW67ZYP1</v>
      </c>
    </row>
    <row r="15" spans="1:11" ht="45" x14ac:dyDescent="0.2">
      <c r="A15" s="18" t="s">
        <v>331</v>
      </c>
      <c r="B15" s="18" t="s">
        <v>332</v>
      </c>
      <c r="C15" s="41">
        <v>49.99</v>
      </c>
      <c r="D15" s="42">
        <v>28373.759999999998</v>
      </c>
      <c r="E15" s="43">
        <v>2364.48</v>
      </c>
      <c r="F15" s="44">
        <v>516</v>
      </c>
      <c r="G15" s="44">
        <v>43</v>
      </c>
      <c r="H15" s="44">
        <v>80</v>
      </c>
      <c r="I15" s="45">
        <v>4.5</v>
      </c>
      <c r="J15" s="45" t="s">
        <v>333</v>
      </c>
      <c r="K15" s="56" t="str">
        <f t="shared" si="2"/>
        <v>https://amazon.com/dp/B0CJC8KTBM</v>
      </c>
    </row>
    <row r="16" spans="1:11" ht="45" x14ac:dyDescent="0.2">
      <c r="A16" s="18" t="s">
        <v>125</v>
      </c>
      <c r="B16" s="18" t="s">
        <v>126</v>
      </c>
      <c r="C16" s="41">
        <v>77.989999999999995</v>
      </c>
      <c r="D16" s="42">
        <v>2793</v>
      </c>
      <c r="E16" s="43">
        <v>232.75</v>
      </c>
      <c r="F16" s="44">
        <v>36</v>
      </c>
      <c r="G16" s="44">
        <v>3</v>
      </c>
      <c r="H16" s="44">
        <v>31</v>
      </c>
      <c r="I16" s="45">
        <v>4.5</v>
      </c>
      <c r="J16" s="45" t="s">
        <v>127</v>
      </c>
      <c r="K16" s="56" t="str">
        <f t="shared" si="1"/>
        <v>https://amazon.com/dp/B0C2P62QN5</v>
      </c>
    </row>
    <row r="17" spans="1:11" ht="17" x14ac:dyDescent="0.2">
      <c r="A17" s="21" t="s">
        <v>4</v>
      </c>
      <c r="B17" s="21"/>
      <c r="C17" s="57"/>
      <c r="D17" s="58">
        <f>SUM(D9:D16)</f>
        <v>1917858.5999999999</v>
      </c>
      <c r="E17" s="58">
        <f>SUM(E9:E16)</f>
        <v>159821.55000000002</v>
      </c>
      <c r="F17" s="59"/>
      <c r="G17" s="59"/>
      <c r="H17" s="59"/>
      <c r="I17" s="60"/>
      <c r="J17" s="21"/>
    </row>
    <row r="18" spans="1:11" x14ac:dyDescent="0.2">
      <c r="A18" s="18"/>
      <c r="B18" s="18"/>
      <c r="C18" s="42"/>
      <c r="D18" s="42"/>
      <c r="E18" s="44"/>
      <c r="F18" s="44"/>
      <c r="G18" s="44"/>
      <c r="H18" s="45"/>
      <c r="I18" s="18"/>
    </row>
    <row r="19" spans="1:11" x14ac:dyDescent="0.2">
      <c r="A19" s="18"/>
      <c r="B19" s="18"/>
      <c r="C19" s="42"/>
      <c r="D19" s="42"/>
      <c r="E19" s="44"/>
      <c r="F19" s="44"/>
      <c r="G19" s="44"/>
      <c r="H19" s="45"/>
      <c r="I19" s="18"/>
    </row>
    <row r="20" spans="1:11" x14ac:dyDescent="0.2">
      <c r="A20" s="111" t="s">
        <v>17</v>
      </c>
      <c r="B20" s="111"/>
      <c r="C20" s="111"/>
      <c r="D20" s="111"/>
      <c r="E20" s="111"/>
      <c r="F20" s="111"/>
      <c r="G20" s="111"/>
      <c r="H20" s="111"/>
      <c r="I20" s="111"/>
      <c r="J20" s="111"/>
      <c r="K20" s="111"/>
    </row>
    <row r="21" spans="1:11" ht="17" x14ac:dyDescent="0.2">
      <c r="A21" s="24" t="s">
        <v>6</v>
      </c>
      <c r="B21" s="25" t="s">
        <v>5</v>
      </c>
      <c r="C21" s="26" t="s">
        <v>11</v>
      </c>
      <c r="D21" s="27" t="s">
        <v>2</v>
      </c>
      <c r="E21" s="25" t="s">
        <v>27</v>
      </c>
      <c r="F21" s="29" t="s">
        <v>13</v>
      </c>
      <c r="G21" s="32" t="s">
        <v>28</v>
      </c>
      <c r="H21" s="29" t="s">
        <v>8</v>
      </c>
      <c r="I21" s="30" t="s">
        <v>12</v>
      </c>
      <c r="J21" s="30" t="s">
        <v>22</v>
      </c>
      <c r="K21" s="31" t="s">
        <v>10</v>
      </c>
    </row>
    <row r="22" spans="1:11" ht="45" x14ac:dyDescent="0.2">
      <c r="A22" s="18" t="s">
        <v>240</v>
      </c>
      <c r="B22" s="18" t="s">
        <v>65</v>
      </c>
      <c r="C22" s="41">
        <v>39.99</v>
      </c>
      <c r="D22" s="42">
        <v>870551.28</v>
      </c>
      <c r="E22" s="42">
        <v>72545.94</v>
      </c>
      <c r="F22" s="44">
        <v>25284</v>
      </c>
      <c r="G22" s="46">
        <v>2107</v>
      </c>
      <c r="H22" s="44">
        <v>1810</v>
      </c>
      <c r="I22" s="45">
        <v>4.4000000000000004</v>
      </c>
      <c r="J22" s="45" t="s">
        <v>66</v>
      </c>
      <c r="K22" s="22" t="str">
        <f>HYPERLINK(J22)</f>
        <v>https://amazon.com/dp/B0BXSMSS7M</v>
      </c>
    </row>
    <row r="23" spans="1:11" ht="45" x14ac:dyDescent="0.2">
      <c r="A23" s="18" t="s">
        <v>249</v>
      </c>
      <c r="B23" s="18" t="s">
        <v>56</v>
      </c>
      <c r="C23" s="41">
        <v>32.979999999999997</v>
      </c>
      <c r="D23" s="42">
        <v>684844.2</v>
      </c>
      <c r="E23" s="42">
        <v>57070.35</v>
      </c>
      <c r="F23" s="44">
        <v>19140</v>
      </c>
      <c r="G23" s="46">
        <v>1595</v>
      </c>
      <c r="H23" s="44">
        <v>3741</v>
      </c>
      <c r="I23" s="45">
        <v>4.4000000000000004</v>
      </c>
      <c r="J23" s="45" t="s">
        <v>57</v>
      </c>
      <c r="K23" s="102" t="str">
        <f t="shared" ref="K23:K29" si="3">HYPERLINK(J23)</f>
        <v>https://amazon.com/dp/B0C3R381FC</v>
      </c>
    </row>
    <row r="24" spans="1:11" ht="45" x14ac:dyDescent="0.2">
      <c r="A24" s="18" t="s">
        <v>323</v>
      </c>
      <c r="B24" s="18" t="s">
        <v>324</v>
      </c>
      <c r="C24" s="41">
        <v>33.99</v>
      </c>
      <c r="D24" s="42">
        <v>117014.16</v>
      </c>
      <c r="E24" s="42">
        <v>9751.18</v>
      </c>
      <c r="F24" s="44">
        <v>3888</v>
      </c>
      <c r="G24" s="46">
        <v>324</v>
      </c>
      <c r="H24" s="44">
        <v>99</v>
      </c>
      <c r="I24" s="45">
        <v>4.3</v>
      </c>
      <c r="J24" s="45" t="s">
        <v>325</v>
      </c>
      <c r="K24" s="22" t="str">
        <f t="shared" ref="K24:K27" si="4">HYPERLINK(J24)</f>
        <v>https://amazon.com/dp/B0FCRFV5TX</v>
      </c>
    </row>
    <row r="25" spans="1:11" ht="45" x14ac:dyDescent="0.2">
      <c r="A25" s="18" t="s">
        <v>329</v>
      </c>
      <c r="B25" s="18" t="s">
        <v>123</v>
      </c>
      <c r="C25" s="41">
        <v>49.99</v>
      </c>
      <c r="D25" s="42">
        <v>79086.720000000001</v>
      </c>
      <c r="E25" s="42">
        <v>6590.56</v>
      </c>
      <c r="F25" s="44">
        <v>1584</v>
      </c>
      <c r="G25" s="46">
        <v>132</v>
      </c>
      <c r="H25" s="44">
        <v>3721</v>
      </c>
      <c r="I25" s="45">
        <v>4.4000000000000004</v>
      </c>
      <c r="J25" s="45" t="s">
        <v>124</v>
      </c>
      <c r="K25" s="22" t="str">
        <f t="shared" si="4"/>
        <v>https://amazon.com/dp/B0BYHMRHG1</v>
      </c>
    </row>
    <row r="26" spans="1:11" ht="45" x14ac:dyDescent="0.2">
      <c r="A26" s="18" t="s">
        <v>326</v>
      </c>
      <c r="B26" s="18" t="s">
        <v>327</v>
      </c>
      <c r="C26" s="41">
        <v>59.99</v>
      </c>
      <c r="D26" s="42">
        <v>81307.799999999988</v>
      </c>
      <c r="E26" s="42">
        <v>6775.65</v>
      </c>
      <c r="F26" s="44">
        <v>1356</v>
      </c>
      <c r="G26" s="46">
        <v>113</v>
      </c>
      <c r="H26" s="44">
        <v>1810</v>
      </c>
      <c r="I26" s="45">
        <v>4.4000000000000004</v>
      </c>
      <c r="J26" s="45" t="s">
        <v>328</v>
      </c>
      <c r="K26" s="22" t="str">
        <f t="shared" si="4"/>
        <v>https://amazon.com/dp/B0CJC65Q9P</v>
      </c>
    </row>
    <row r="27" spans="1:11" ht="45" x14ac:dyDescent="0.2">
      <c r="A27" s="18" t="s">
        <v>330</v>
      </c>
      <c r="B27" s="18" t="s">
        <v>121</v>
      </c>
      <c r="C27" s="41">
        <v>109.97</v>
      </c>
      <c r="D27" s="42">
        <v>53887.680000000008</v>
      </c>
      <c r="E27" s="42">
        <v>4490.6400000000003</v>
      </c>
      <c r="F27" s="44">
        <v>576</v>
      </c>
      <c r="G27" s="46">
        <v>48</v>
      </c>
      <c r="H27" s="44">
        <v>83</v>
      </c>
      <c r="I27" s="45">
        <v>4.4000000000000004</v>
      </c>
      <c r="J27" s="45" t="s">
        <v>122</v>
      </c>
      <c r="K27" s="22" t="str">
        <f t="shared" si="4"/>
        <v>https://amazon.com/dp/B0CW67ZYP1</v>
      </c>
    </row>
    <row r="28" spans="1:11" ht="45" x14ac:dyDescent="0.2">
      <c r="A28" s="18" t="s">
        <v>331</v>
      </c>
      <c r="B28" s="18" t="s">
        <v>332</v>
      </c>
      <c r="C28" s="41">
        <v>49.99</v>
      </c>
      <c r="D28" s="42">
        <v>28373.759999999998</v>
      </c>
      <c r="E28" s="42">
        <v>2364.48</v>
      </c>
      <c r="F28" s="44">
        <v>516</v>
      </c>
      <c r="G28" s="46">
        <v>43</v>
      </c>
      <c r="H28" s="44">
        <v>80</v>
      </c>
      <c r="I28" s="45">
        <v>4.5</v>
      </c>
      <c r="J28" s="45" t="s">
        <v>333</v>
      </c>
      <c r="K28" s="102" t="str">
        <f t="shared" si="3"/>
        <v>https://amazon.com/dp/B0CJC8KTBM</v>
      </c>
    </row>
    <row r="29" spans="1:11" ht="45" x14ac:dyDescent="0.2">
      <c r="A29" s="18" t="s">
        <v>125</v>
      </c>
      <c r="B29" s="18" t="s">
        <v>126</v>
      </c>
      <c r="C29" s="41">
        <v>77.989999999999995</v>
      </c>
      <c r="D29" s="42">
        <v>2793</v>
      </c>
      <c r="E29" s="42">
        <v>232.75</v>
      </c>
      <c r="F29" s="44">
        <v>36</v>
      </c>
      <c r="G29" s="46">
        <v>3</v>
      </c>
      <c r="H29" s="44">
        <v>31</v>
      </c>
      <c r="I29" s="45">
        <v>4.5</v>
      </c>
      <c r="J29" s="45" t="s">
        <v>127</v>
      </c>
      <c r="K29" s="102" t="str">
        <f t="shared" si="3"/>
        <v>https://amazon.com/dp/B0C2P62QN5</v>
      </c>
    </row>
    <row r="30" spans="1:11" ht="17" x14ac:dyDescent="0.2">
      <c r="A30" s="21" t="s">
        <v>4</v>
      </c>
      <c r="B30" s="21"/>
      <c r="C30" s="58"/>
      <c r="D30" s="58"/>
      <c r="E30" s="58"/>
      <c r="F30" s="59">
        <f>SUM(Table43[Estimated 12mo Units])</f>
        <v>52380</v>
      </c>
      <c r="G30" s="59">
        <f>SUM(Table43[Monthly Units])</f>
        <v>4365</v>
      </c>
      <c r="H30" s="59"/>
      <c r="I30" s="60"/>
      <c r="J30" s="21"/>
    </row>
  </sheetData>
  <mergeCells count="3">
    <mergeCell ref="A20:K20"/>
    <mergeCell ref="A7:K7"/>
    <mergeCell ref="A1:K5"/>
  </mergeCells>
  <hyperlinks>
    <hyperlink ref="K22" r:id="rId1" display="https://amazon.com/dp/B07S7H86Z1" xr:uid="{B50781AB-6A1B-4FD5-A4FE-B01CC9AE1E6C}"/>
  </hyperlinks>
  <pageMargins left="0.7" right="0.7" top="0.75" bottom="0.75" header="0.3" footer="0.3"/>
  <pageSetup paperSize="9" orientation="portrait" horizontalDpi="0" verticalDpi="0"/>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52103-5E36-4761-B254-C1AE393FE207}">
  <dimension ref="A1:K24"/>
  <sheetViews>
    <sheetView zoomScaleNormal="100" workbookViewId="0">
      <selection activeCell="K15" sqref="K15"/>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40"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27.33203125" style="19" hidden="1" customWidth="1"/>
    <col min="11" max="11" width="35.6640625" style="19" customWidth="1"/>
    <col min="12" max="16384" width="12.6640625" style="19"/>
  </cols>
  <sheetData>
    <row r="1" spans="1:11" x14ac:dyDescent="0.2">
      <c r="A1" s="110" t="e" vm="6">
        <v>#VALUE!</v>
      </c>
      <c r="B1" s="110"/>
      <c r="C1" s="110"/>
      <c r="D1" s="110"/>
      <c r="E1" s="110"/>
      <c r="F1" s="110"/>
      <c r="G1" s="110"/>
      <c r="H1" s="110"/>
      <c r="I1" s="110"/>
      <c r="J1" s="110"/>
      <c r="K1" s="110"/>
    </row>
    <row r="2" spans="1:11" x14ac:dyDescent="0.2">
      <c r="A2" s="110"/>
      <c r="B2" s="110"/>
      <c r="C2" s="110"/>
      <c r="D2" s="110"/>
      <c r="E2" s="110"/>
      <c r="F2" s="110"/>
      <c r="G2" s="110"/>
      <c r="H2" s="110"/>
      <c r="I2" s="110"/>
      <c r="J2" s="110"/>
      <c r="K2" s="110"/>
    </row>
    <row r="3" spans="1:11" x14ac:dyDescent="0.2">
      <c r="A3" s="110"/>
      <c r="B3" s="110"/>
      <c r="C3" s="110"/>
      <c r="D3" s="110"/>
      <c r="E3" s="110"/>
      <c r="F3" s="110"/>
      <c r="G3" s="110"/>
      <c r="H3" s="110"/>
      <c r="I3" s="110"/>
      <c r="J3" s="110"/>
      <c r="K3" s="110"/>
    </row>
    <row r="4" spans="1:11" x14ac:dyDescent="0.2">
      <c r="A4" s="110"/>
      <c r="B4" s="110"/>
      <c r="C4" s="110"/>
      <c r="D4" s="110"/>
      <c r="E4" s="110"/>
      <c r="F4" s="110"/>
      <c r="G4" s="110"/>
      <c r="H4" s="110"/>
      <c r="I4" s="110"/>
      <c r="J4" s="110"/>
      <c r="K4" s="110"/>
    </row>
    <row r="5" spans="1:11" x14ac:dyDescent="0.2">
      <c r="A5" s="110"/>
      <c r="B5" s="110"/>
      <c r="C5" s="110"/>
      <c r="D5" s="110"/>
      <c r="E5" s="110"/>
      <c r="F5" s="110"/>
      <c r="G5" s="110"/>
      <c r="H5" s="110"/>
      <c r="I5" s="110"/>
      <c r="J5" s="110"/>
      <c r="K5" s="110"/>
    </row>
    <row r="6" spans="1:11" x14ac:dyDescent="0.2">
      <c r="B6" s="37"/>
      <c r="D6" s="37"/>
      <c r="E6" s="38"/>
      <c r="F6" s="38"/>
      <c r="G6" s="38"/>
      <c r="H6" s="39"/>
      <c r="I6" s="37"/>
    </row>
    <row r="7" spans="1:11" x14ac:dyDescent="0.2">
      <c r="A7" s="111" t="s">
        <v>18</v>
      </c>
      <c r="B7" s="111"/>
      <c r="C7" s="111"/>
      <c r="D7" s="111"/>
      <c r="E7" s="111"/>
      <c r="F7" s="111"/>
      <c r="G7" s="111"/>
      <c r="H7" s="111"/>
      <c r="I7" s="111"/>
      <c r="J7" s="111"/>
      <c r="K7" s="111"/>
    </row>
    <row r="8" spans="1:11" ht="17" x14ac:dyDescent="0.2">
      <c r="A8" s="24" t="s">
        <v>6</v>
      </c>
      <c r="B8" s="25" t="s">
        <v>5</v>
      </c>
      <c r="C8" s="26" t="s">
        <v>11</v>
      </c>
      <c r="D8" s="27" t="s">
        <v>2</v>
      </c>
      <c r="E8" s="25" t="s">
        <v>27</v>
      </c>
      <c r="F8" s="29" t="s">
        <v>13</v>
      </c>
      <c r="G8" s="32" t="s">
        <v>28</v>
      </c>
      <c r="H8" s="29" t="s">
        <v>8</v>
      </c>
      <c r="I8" s="30" t="s">
        <v>12</v>
      </c>
      <c r="J8" s="30" t="s">
        <v>22</v>
      </c>
      <c r="K8" s="31" t="s">
        <v>10</v>
      </c>
    </row>
    <row r="9" spans="1:11" ht="45" x14ac:dyDescent="0.2">
      <c r="A9" s="18" t="s">
        <v>220</v>
      </c>
      <c r="B9" s="18" t="s">
        <v>44</v>
      </c>
      <c r="C9" s="41">
        <v>139.38999999999999</v>
      </c>
      <c r="D9" s="42">
        <v>3611783.28</v>
      </c>
      <c r="E9" s="43">
        <v>300981.94</v>
      </c>
      <c r="F9" s="44">
        <v>26520</v>
      </c>
      <c r="G9" s="44">
        <v>2210</v>
      </c>
      <c r="H9" s="44">
        <v>1468</v>
      </c>
      <c r="I9" s="45">
        <v>4.5999999999999996</v>
      </c>
      <c r="J9" s="45" t="s">
        <v>45</v>
      </c>
      <c r="K9" s="56" t="str">
        <f>HYPERLINK(J9)</f>
        <v>https://amazon.com/dp/B0B28HRSBP</v>
      </c>
    </row>
    <row r="10" spans="1:11" ht="45" x14ac:dyDescent="0.2">
      <c r="A10" s="18" t="s">
        <v>226</v>
      </c>
      <c r="B10" s="18" t="s">
        <v>225</v>
      </c>
      <c r="C10" s="41">
        <v>159.99</v>
      </c>
      <c r="D10" s="42">
        <v>1535689.92</v>
      </c>
      <c r="E10" s="43">
        <v>127974.16</v>
      </c>
      <c r="F10" s="44">
        <v>10920</v>
      </c>
      <c r="G10" s="44">
        <v>910</v>
      </c>
      <c r="H10" s="44">
        <v>428</v>
      </c>
      <c r="I10" s="45">
        <v>4.5</v>
      </c>
      <c r="J10" s="45" t="s">
        <v>227</v>
      </c>
      <c r="K10" s="56" t="str">
        <f t="shared" ref="K10:K12" si="0">HYPERLINK(J10)</f>
        <v>https://amazon.com/dp/B0C3B32Q9Z</v>
      </c>
    </row>
    <row r="11" spans="1:11" ht="45" x14ac:dyDescent="0.2">
      <c r="A11" s="18" t="s">
        <v>269</v>
      </c>
      <c r="B11" s="18" t="s">
        <v>268</v>
      </c>
      <c r="C11" s="41">
        <v>172.89</v>
      </c>
      <c r="D11" s="42">
        <v>462133.08</v>
      </c>
      <c r="E11" s="43">
        <v>38511.089999999997</v>
      </c>
      <c r="F11" s="44">
        <v>2544</v>
      </c>
      <c r="G11" s="44">
        <v>212</v>
      </c>
      <c r="H11" s="44">
        <v>180</v>
      </c>
      <c r="I11" s="45">
        <v>4.3</v>
      </c>
      <c r="J11" s="45" t="s">
        <v>270</v>
      </c>
      <c r="K11" s="56" t="str">
        <f t="shared" si="0"/>
        <v>https://amazon.com/dp/B0B71PT47Q</v>
      </c>
    </row>
    <row r="12" spans="1:11" ht="45" x14ac:dyDescent="0.2">
      <c r="A12" s="18" t="s">
        <v>384</v>
      </c>
      <c r="B12" s="18" t="s">
        <v>385</v>
      </c>
      <c r="C12" s="41">
        <v>159.99</v>
      </c>
      <c r="D12" s="42">
        <v>212159.76</v>
      </c>
      <c r="E12" s="43">
        <v>17679.98</v>
      </c>
      <c r="F12" s="44">
        <v>1332</v>
      </c>
      <c r="G12" s="44">
        <v>111</v>
      </c>
      <c r="H12" s="44">
        <v>23</v>
      </c>
      <c r="I12" s="45">
        <v>4.7</v>
      </c>
      <c r="J12" s="45" t="s">
        <v>386</v>
      </c>
      <c r="K12" s="56" t="str">
        <f t="shared" si="0"/>
        <v>https://amazon.com/dp/B0DNFL72B5</v>
      </c>
    </row>
    <row r="13" spans="1:11" ht="45" x14ac:dyDescent="0.2">
      <c r="A13" s="18" t="s">
        <v>387</v>
      </c>
      <c r="B13" s="18" t="s">
        <v>112</v>
      </c>
      <c r="C13" s="41">
        <v>200.19</v>
      </c>
      <c r="D13" s="42">
        <v>154804.32</v>
      </c>
      <c r="E13" s="43">
        <v>12900.36</v>
      </c>
      <c r="F13" s="44">
        <v>744</v>
      </c>
      <c r="G13" s="44">
        <v>62</v>
      </c>
      <c r="H13" s="44">
        <v>75</v>
      </c>
      <c r="I13" s="45">
        <v>4</v>
      </c>
      <c r="J13" s="45" t="s">
        <v>113</v>
      </c>
      <c r="K13" s="101" t="str">
        <f>HYPERLINK(J13)</f>
        <v>https://amazon.com/dp/B0CJ8TBWG8</v>
      </c>
    </row>
    <row r="14" spans="1:11" ht="17" x14ac:dyDescent="0.2">
      <c r="A14" s="21" t="s">
        <v>4</v>
      </c>
      <c r="B14" s="21"/>
      <c r="C14" s="57"/>
      <c r="D14" s="58">
        <f>SUM(D9:D13)</f>
        <v>5976570.3599999994</v>
      </c>
      <c r="E14" s="58">
        <f>SUM(E9:E13)</f>
        <v>498047.52999999991</v>
      </c>
      <c r="F14" s="59"/>
      <c r="G14" s="59"/>
      <c r="H14" s="59"/>
      <c r="I14" s="60"/>
      <c r="J14" s="21"/>
      <c r="K14" s="20"/>
    </row>
    <row r="17" spans="1:11" x14ac:dyDescent="0.2">
      <c r="A17" s="111" t="s">
        <v>17</v>
      </c>
      <c r="B17" s="111"/>
      <c r="C17" s="111"/>
      <c r="D17" s="111"/>
      <c r="E17" s="111"/>
      <c r="F17" s="111"/>
      <c r="G17" s="111"/>
      <c r="H17" s="111"/>
      <c r="I17" s="111"/>
      <c r="J17" s="111"/>
      <c r="K17" s="111"/>
    </row>
    <row r="18" spans="1:11" ht="17" x14ac:dyDescent="0.2">
      <c r="A18" s="24" t="s">
        <v>6</v>
      </c>
      <c r="B18" s="25" t="s">
        <v>5</v>
      </c>
      <c r="C18" s="26" t="s">
        <v>11</v>
      </c>
      <c r="D18" s="27" t="s">
        <v>2</v>
      </c>
      <c r="E18" s="25" t="s">
        <v>27</v>
      </c>
      <c r="F18" s="29" t="s">
        <v>13</v>
      </c>
      <c r="G18" s="32" t="s">
        <v>28</v>
      </c>
      <c r="H18" s="29" t="s">
        <v>8</v>
      </c>
      <c r="I18" s="30" t="s">
        <v>12</v>
      </c>
      <c r="J18" s="30" t="s">
        <v>22</v>
      </c>
      <c r="K18" s="31" t="s">
        <v>10</v>
      </c>
    </row>
    <row r="19" spans="1:11" ht="45" x14ac:dyDescent="0.2">
      <c r="A19" s="18" t="s">
        <v>220</v>
      </c>
      <c r="B19" s="18" t="s">
        <v>44</v>
      </c>
      <c r="C19" s="41">
        <v>139.38999999999999</v>
      </c>
      <c r="D19" s="42">
        <v>3611783.28</v>
      </c>
      <c r="E19" s="42">
        <v>300981.94</v>
      </c>
      <c r="F19" s="44">
        <v>26520</v>
      </c>
      <c r="G19" s="46">
        <v>2210</v>
      </c>
      <c r="H19" s="44">
        <v>1468</v>
      </c>
      <c r="I19" s="45">
        <v>4.5999999999999996</v>
      </c>
      <c r="J19" s="45" t="s">
        <v>45</v>
      </c>
      <c r="K19" s="56" t="str">
        <f>HYPERLINK(J19)</f>
        <v>https://amazon.com/dp/B0B28HRSBP</v>
      </c>
    </row>
    <row r="20" spans="1:11" ht="45" x14ac:dyDescent="0.2">
      <c r="A20" s="18" t="s">
        <v>226</v>
      </c>
      <c r="B20" s="18" t="s">
        <v>225</v>
      </c>
      <c r="C20" s="41">
        <v>159.99</v>
      </c>
      <c r="D20" s="42">
        <v>1535689.92</v>
      </c>
      <c r="E20" s="42">
        <v>127974.16</v>
      </c>
      <c r="F20" s="44">
        <v>10920</v>
      </c>
      <c r="G20" s="46">
        <v>910</v>
      </c>
      <c r="H20" s="44">
        <v>428</v>
      </c>
      <c r="I20" s="45">
        <v>4.5</v>
      </c>
      <c r="J20" s="45" t="s">
        <v>227</v>
      </c>
      <c r="K20" s="56" t="str">
        <f t="shared" ref="K20:K23" si="1">HYPERLINK(J20)</f>
        <v>https://amazon.com/dp/B0C3B32Q9Z</v>
      </c>
    </row>
    <row r="21" spans="1:11" ht="45" x14ac:dyDescent="0.2">
      <c r="A21" s="18" t="s">
        <v>269</v>
      </c>
      <c r="B21" s="18" t="s">
        <v>268</v>
      </c>
      <c r="C21" s="41">
        <v>172.89</v>
      </c>
      <c r="D21" s="42">
        <v>462133.08</v>
      </c>
      <c r="E21" s="42">
        <v>38511.089999999997</v>
      </c>
      <c r="F21" s="44">
        <v>2544</v>
      </c>
      <c r="G21" s="46">
        <v>212</v>
      </c>
      <c r="H21" s="44">
        <v>180</v>
      </c>
      <c r="I21" s="45">
        <v>4.3</v>
      </c>
      <c r="J21" s="45" t="s">
        <v>270</v>
      </c>
      <c r="K21" s="56" t="str">
        <f t="shared" si="1"/>
        <v>https://amazon.com/dp/B0B71PT47Q</v>
      </c>
    </row>
    <row r="22" spans="1:11" ht="45" x14ac:dyDescent="0.2">
      <c r="A22" s="18" t="s">
        <v>384</v>
      </c>
      <c r="B22" s="18" t="s">
        <v>385</v>
      </c>
      <c r="C22" s="41">
        <v>159.99</v>
      </c>
      <c r="D22" s="42">
        <v>212159.76</v>
      </c>
      <c r="E22" s="42">
        <v>17679.98</v>
      </c>
      <c r="F22" s="44">
        <v>1332</v>
      </c>
      <c r="G22" s="46">
        <v>111</v>
      </c>
      <c r="H22" s="44">
        <v>23</v>
      </c>
      <c r="I22" s="45">
        <v>4.7</v>
      </c>
      <c r="J22" s="45" t="s">
        <v>386</v>
      </c>
      <c r="K22" s="56" t="str">
        <f t="shared" si="1"/>
        <v>https://amazon.com/dp/B0DNFL72B5</v>
      </c>
    </row>
    <row r="23" spans="1:11" ht="45" x14ac:dyDescent="0.2">
      <c r="A23" s="18" t="s">
        <v>387</v>
      </c>
      <c r="B23" s="18" t="s">
        <v>112</v>
      </c>
      <c r="C23" s="41">
        <v>200.19</v>
      </c>
      <c r="D23" s="42">
        <v>154804.32</v>
      </c>
      <c r="E23" s="42">
        <v>12900.36</v>
      </c>
      <c r="F23" s="44">
        <v>744</v>
      </c>
      <c r="G23" s="46">
        <v>62</v>
      </c>
      <c r="H23" s="44">
        <v>75</v>
      </c>
      <c r="I23" s="45">
        <v>4</v>
      </c>
      <c r="J23" s="45" t="s">
        <v>113</v>
      </c>
      <c r="K23" s="56" t="str">
        <f t="shared" si="1"/>
        <v>https://amazon.com/dp/B0CJ8TBWG8</v>
      </c>
    </row>
    <row r="24" spans="1:11" ht="17" x14ac:dyDescent="0.2">
      <c r="A24" s="21" t="s">
        <v>4</v>
      </c>
      <c r="B24" s="21"/>
      <c r="C24" s="58"/>
      <c r="D24" s="58"/>
      <c r="E24" s="58"/>
      <c r="F24" s="59">
        <f>SUM(DZXtoz!F19:F23)</f>
        <v>42060</v>
      </c>
      <c r="G24" s="59">
        <f>SUM(DZXtoz!G19:G23)</f>
        <v>3505</v>
      </c>
      <c r="H24" s="59"/>
      <c r="I24" s="60"/>
      <c r="J24" s="21"/>
      <c r="K24" s="20"/>
    </row>
  </sheetData>
  <mergeCells count="3">
    <mergeCell ref="A1:K5"/>
    <mergeCell ref="A7:K7"/>
    <mergeCell ref="A17:K17"/>
  </mergeCells>
  <pageMargins left="0.7" right="0.7" top="0.75" bottom="0.75" header="0.3" footer="0.3"/>
  <pageSetup orientation="portrait"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CEF7D-BAF7-4B60-BB4F-0FD036B37D07}">
  <dimension ref="A1:K56"/>
  <sheetViews>
    <sheetView workbookViewId="0">
      <selection activeCell="M8" sqref="M8"/>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40"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27.5" style="19" hidden="1" customWidth="1"/>
    <col min="11" max="11" width="35.6640625" style="19" customWidth="1"/>
    <col min="12" max="16384" width="12.6640625" style="19"/>
  </cols>
  <sheetData>
    <row r="1" spans="1:11" x14ac:dyDescent="0.2">
      <c r="A1" s="110" t="e" vm="7">
        <v>#VALUE!</v>
      </c>
      <c r="B1" s="110"/>
      <c r="C1" s="110"/>
      <c r="D1" s="110"/>
      <c r="E1" s="110"/>
      <c r="F1" s="110"/>
      <c r="G1" s="110"/>
      <c r="H1" s="110"/>
      <c r="I1" s="110"/>
      <c r="J1" s="110"/>
      <c r="K1" s="110"/>
    </row>
    <row r="2" spans="1:11" x14ac:dyDescent="0.2">
      <c r="A2" s="110"/>
      <c r="B2" s="110"/>
      <c r="C2" s="110"/>
      <c r="D2" s="110"/>
      <c r="E2" s="110"/>
      <c r="F2" s="110"/>
      <c r="G2" s="110"/>
      <c r="H2" s="110"/>
      <c r="I2" s="110"/>
      <c r="J2" s="110"/>
      <c r="K2" s="110"/>
    </row>
    <row r="3" spans="1:11" x14ac:dyDescent="0.2">
      <c r="A3" s="110"/>
      <c r="B3" s="110"/>
      <c r="C3" s="110"/>
      <c r="D3" s="110"/>
      <c r="E3" s="110"/>
      <c r="F3" s="110"/>
      <c r="G3" s="110"/>
      <c r="H3" s="110"/>
      <c r="I3" s="110"/>
      <c r="J3" s="110"/>
      <c r="K3" s="110"/>
    </row>
    <row r="4" spans="1:11" x14ac:dyDescent="0.2">
      <c r="A4" s="110"/>
      <c r="B4" s="110"/>
      <c r="C4" s="110"/>
      <c r="D4" s="110"/>
      <c r="E4" s="110"/>
      <c r="F4" s="110"/>
      <c r="G4" s="110"/>
      <c r="H4" s="110"/>
      <c r="I4" s="110"/>
      <c r="J4" s="110"/>
      <c r="K4" s="110"/>
    </row>
    <row r="5" spans="1:11" x14ac:dyDescent="0.2">
      <c r="A5" s="110"/>
      <c r="B5" s="110"/>
      <c r="C5" s="110"/>
      <c r="D5" s="110"/>
      <c r="E5" s="110"/>
      <c r="F5" s="110"/>
      <c r="G5" s="110"/>
      <c r="H5" s="110"/>
      <c r="I5" s="110"/>
      <c r="J5" s="110"/>
      <c r="K5" s="110"/>
    </row>
    <row r="6" spans="1:11" x14ac:dyDescent="0.2">
      <c r="B6" s="37"/>
      <c r="D6" s="37"/>
      <c r="E6" s="38"/>
      <c r="F6" s="38"/>
      <c r="G6" s="38"/>
      <c r="H6" s="39"/>
      <c r="I6" s="37"/>
    </row>
    <row r="7" spans="1:11" x14ac:dyDescent="0.2">
      <c r="A7" s="111" t="s">
        <v>18</v>
      </c>
      <c r="B7" s="111"/>
      <c r="C7" s="111"/>
      <c r="D7" s="111"/>
      <c r="E7" s="111"/>
      <c r="F7" s="111"/>
      <c r="G7" s="111"/>
      <c r="H7" s="111"/>
      <c r="I7" s="111"/>
      <c r="J7" s="111"/>
      <c r="K7" s="111"/>
    </row>
    <row r="8" spans="1:11" ht="17" x14ac:dyDescent="0.2">
      <c r="A8" s="24" t="s">
        <v>6</v>
      </c>
      <c r="B8" s="25" t="s">
        <v>5</v>
      </c>
      <c r="C8" s="26" t="s">
        <v>11</v>
      </c>
      <c r="D8" s="27" t="s">
        <v>2</v>
      </c>
      <c r="E8" s="25" t="s">
        <v>27</v>
      </c>
      <c r="F8" s="29" t="s">
        <v>13</v>
      </c>
      <c r="G8" s="32" t="s">
        <v>28</v>
      </c>
      <c r="H8" s="29" t="s">
        <v>8</v>
      </c>
      <c r="I8" s="30" t="s">
        <v>12</v>
      </c>
      <c r="J8" s="30" t="s">
        <v>22</v>
      </c>
      <c r="K8" s="31" t="s">
        <v>10</v>
      </c>
    </row>
    <row r="9" spans="1:11" ht="45" x14ac:dyDescent="0.2">
      <c r="A9" s="18" t="s">
        <v>547</v>
      </c>
      <c r="B9" s="18" t="s">
        <v>546</v>
      </c>
      <c r="C9" s="41">
        <v>299.99</v>
      </c>
      <c r="D9" s="42">
        <v>324720.48</v>
      </c>
      <c r="E9" s="43">
        <v>27060.04</v>
      </c>
      <c r="F9" s="44">
        <v>1140</v>
      </c>
      <c r="G9" s="44">
        <v>95</v>
      </c>
      <c r="H9" s="44">
        <v>60</v>
      </c>
      <c r="I9" s="45">
        <v>4.4000000000000004</v>
      </c>
      <c r="J9" s="45" t="s">
        <v>549</v>
      </c>
      <c r="K9" s="56" t="str">
        <f>HYPERLINK(J9)</f>
        <v>https://amazon.com/dp/B0DSW1DKTZ</v>
      </c>
    </row>
    <row r="10" spans="1:11" ht="45" x14ac:dyDescent="0.2">
      <c r="A10" s="18" t="s">
        <v>554</v>
      </c>
      <c r="B10" s="18" t="s">
        <v>553</v>
      </c>
      <c r="C10" s="41">
        <v>265.98</v>
      </c>
      <c r="D10" s="42">
        <v>299489.40000000002</v>
      </c>
      <c r="E10" s="43">
        <v>24957.45</v>
      </c>
      <c r="F10" s="44">
        <v>1032</v>
      </c>
      <c r="G10" s="44">
        <v>86</v>
      </c>
      <c r="H10" s="44">
        <v>526</v>
      </c>
      <c r="I10" s="45">
        <v>4.3</v>
      </c>
      <c r="J10" s="45" t="s">
        <v>555</v>
      </c>
      <c r="K10" s="56" t="str">
        <f t="shared" ref="K10:K14" si="0">HYPERLINK(J10)</f>
        <v>https://amazon.com/dp/B0C64RBKJL</v>
      </c>
    </row>
    <row r="11" spans="1:11" ht="45" x14ac:dyDescent="0.2">
      <c r="A11" s="18" t="s">
        <v>1120</v>
      </c>
      <c r="B11" s="18" t="s">
        <v>1121</v>
      </c>
      <c r="C11" s="41">
        <v>379.99</v>
      </c>
      <c r="D11" s="42">
        <v>163491.6</v>
      </c>
      <c r="E11" s="43">
        <v>13624.3</v>
      </c>
      <c r="F11" s="44">
        <v>432</v>
      </c>
      <c r="G11" s="44">
        <v>36</v>
      </c>
      <c r="H11" s="44">
        <v>33</v>
      </c>
      <c r="I11" s="45">
        <v>4.7</v>
      </c>
      <c r="J11" s="45" t="s">
        <v>1122</v>
      </c>
      <c r="K11" s="56" t="str">
        <f t="shared" si="0"/>
        <v>https://amazon.com/dp/B0F8BN91TL</v>
      </c>
    </row>
    <row r="12" spans="1:11" ht="45" x14ac:dyDescent="0.2">
      <c r="A12" s="18" t="s">
        <v>1123</v>
      </c>
      <c r="B12" s="18" t="s">
        <v>1124</v>
      </c>
      <c r="C12" s="41">
        <v>99.99</v>
      </c>
      <c r="D12" s="42">
        <v>90868.680000000008</v>
      </c>
      <c r="E12" s="43">
        <v>7572.39</v>
      </c>
      <c r="F12" s="44">
        <v>912</v>
      </c>
      <c r="G12" s="44">
        <v>76</v>
      </c>
      <c r="H12" s="44">
        <v>190</v>
      </c>
      <c r="I12" s="45">
        <v>4.4000000000000004</v>
      </c>
      <c r="J12" s="45" t="s">
        <v>1125</v>
      </c>
      <c r="K12" s="56" t="str">
        <f t="shared" si="0"/>
        <v>https://amazon.com/dp/B08Y5S32YV</v>
      </c>
    </row>
    <row r="13" spans="1:11" ht="45" x14ac:dyDescent="0.2">
      <c r="A13" s="18" t="s">
        <v>1126</v>
      </c>
      <c r="B13" s="18" t="s">
        <v>1127</v>
      </c>
      <c r="C13" s="41">
        <v>89.99</v>
      </c>
      <c r="D13" s="42">
        <v>79711.92</v>
      </c>
      <c r="E13" s="43">
        <v>6642.66</v>
      </c>
      <c r="F13" s="44">
        <v>948</v>
      </c>
      <c r="G13" s="44">
        <v>79</v>
      </c>
      <c r="H13" s="44">
        <v>156</v>
      </c>
      <c r="I13" s="45">
        <v>4.5999999999999996</v>
      </c>
      <c r="J13" s="45" t="s">
        <v>1128</v>
      </c>
      <c r="K13" s="56" t="str">
        <f t="shared" si="0"/>
        <v>https://amazon.com/dp/B0D8SDT9HT</v>
      </c>
    </row>
    <row r="14" spans="1:11" ht="45" x14ac:dyDescent="0.2">
      <c r="A14" s="18" t="s">
        <v>1129</v>
      </c>
      <c r="B14" s="18" t="s">
        <v>1130</v>
      </c>
      <c r="C14" s="41">
        <v>299.99</v>
      </c>
      <c r="D14" s="42">
        <v>78428.759999999995</v>
      </c>
      <c r="E14" s="43">
        <v>6535.73</v>
      </c>
      <c r="F14" s="44">
        <v>264</v>
      </c>
      <c r="G14" s="44">
        <v>22</v>
      </c>
      <c r="H14" s="44">
        <v>60</v>
      </c>
      <c r="I14" s="45">
        <v>4.4000000000000004</v>
      </c>
      <c r="J14" s="45" t="s">
        <v>1131</v>
      </c>
      <c r="K14" s="56" t="str">
        <f t="shared" si="0"/>
        <v>https://amazon.com/dp/B0FJLPG74M</v>
      </c>
    </row>
    <row r="15" spans="1:11" ht="45" x14ac:dyDescent="0.2">
      <c r="A15" s="18" t="s">
        <v>1132</v>
      </c>
      <c r="B15" s="18" t="s">
        <v>1133</v>
      </c>
      <c r="C15" s="41">
        <v>266.73</v>
      </c>
      <c r="D15" s="42">
        <v>76965.600000000006</v>
      </c>
      <c r="E15" s="43">
        <v>6413.8</v>
      </c>
      <c r="F15" s="44">
        <v>252</v>
      </c>
      <c r="G15" s="44">
        <v>21</v>
      </c>
      <c r="H15" s="44">
        <v>526</v>
      </c>
      <c r="I15" s="45">
        <v>4.3</v>
      </c>
      <c r="J15" s="45" t="s">
        <v>1134</v>
      </c>
      <c r="K15" s="56" t="str">
        <f t="shared" ref="K15:K19" si="1">HYPERLINK(J15)</f>
        <v>https://amazon.com/dp/B0CZQCQFPZ</v>
      </c>
    </row>
    <row r="16" spans="1:11" ht="45" x14ac:dyDescent="0.2">
      <c r="A16" s="18" t="s">
        <v>1135</v>
      </c>
      <c r="B16" s="18" t="s">
        <v>1136</v>
      </c>
      <c r="C16" s="41">
        <v>139.99</v>
      </c>
      <c r="D16" s="42">
        <v>71945.52</v>
      </c>
      <c r="E16" s="43">
        <v>5995.46</v>
      </c>
      <c r="F16" s="44">
        <v>492</v>
      </c>
      <c r="G16" s="44">
        <v>41</v>
      </c>
      <c r="H16" s="44">
        <v>75</v>
      </c>
      <c r="I16" s="45">
        <v>4.4000000000000004</v>
      </c>
      <c r="J16" s="45" t="s">
        <v>1137</v>
      </c>
      <c r="K16" s="56" t="str">
        <f t="shared" si="1"/>
        <v>https://amazon.com/dp/B0FHGMHLJR</v>
      </c>
    </row>
    <row r="17" spans="1:11" ht="45" x14ac:dyDescent="0.2">
      <c r="A17" s="18" t="s">
        <v>1138</v>
      </c>
      <c r="B17" s="18" t="s">
        <v>1139</v>
      </c>
      <c r="C17" s="41">
        <v>139.99</v>
      </c>
      <c r="D17" s="42">
        <v>62609.16</v>
      </c>
      <c r="E17" s="43">
        <v>5217.43</v>
      </c>
      <c r="F17" s="44">
        <v>444</v>
      </c>
      <c r="G17" s="44">
        <v>37</v>
      </c>
      <c r="H17" s="44">
        <v>91</v>
      </c>
      <c r="I17" s="45">
        <v>4.7</v>
      </c>
      <c r="J17" s="45" t="s">
        <v>1140</v>
      </c>
      <c r="K17" s="56" t="str">
        <f t="shared" si="1"/>
        <v>https://amazon.com/dp/B0DSVY5LQD</v>
      </c>
    </row>
    <row r="18" spans="1:11" ht="45" x14ac:dyDescent="0.2">
      <c r="A18" s="18" t="s">
        <v>1141</v>
      </c>
      <c r="B18" s="18" t="s">
        <v>1142</v>
      </c>
      <c r="C18" s="41">
        <v>129.99</v>
      </c>
      <c r="D18" s="42">
        <v>62571.240000000013</v>
      </c>
      <c r="E18" s="43">
        <v>5214.2700000000004</v>
      </c>
      <c r="F18" s="44">
        <v>480</v>
      </c>
      <c r="G18" s="44">
        <v>40</v>
      </c>
      <c r="H18" s="44">
        <v>189</v>
      </c>
      <c r="I18" s="45">
        <v>4.4000000000000004</v>
      </c>
      <c r="J18" s="45" t="s">
        <v>1143</v>
      </c>
      <c r="K18" s="56" t="str">
        <f t="shared" si="1"/>
        <v>https://amazon.com/dp/B0DT95GVP1</v>
      </c>
    </row>
    <row r="19" spans="1:11" ht="45" x14ac:dyDescent="0.2">
      <c r="A19" s="18" t="s">
        <v>1144</v>
      </c>
      <c r="B19" s="18" t="s">
        <v>1145</v>
      </c>
      <c r="C19" s="41">
        <v>329.99</v>
      </c>
      <c r="D19" s="42">
        <v>60835.92</v>
      </c>
      <c r="E19" s="43">
        <v>5069.66</v>
      </c>
      <c r="F19" s="44">
        <v>180</v>
      </c>
      <c r="G19" s="44">
        <v>15</v>
      </c>
      <c r="H19" s="44">
        <v>20</v>
      </c>
      <c r="I19" s="45">
        <v>4.8</v>
      </c>
      <c r="J19" s="45" t="s">
        <v>1146</v>
      </c>
      <c r="K19" s="56" t="str">
        <f t="shared" si="1"/>
        <v>https://amazon.com/dp/B0FJLL4LY1</v>
      </c>
    </row>
    <row r="20" spans="1:11" ht="45" x14ac:dyDescent="0.2">
      <c r="A20" s="18" t="s">
        <v>1147</v>
      </c>
      <c r="B20" s="18" t="s">
        <v>1148</v>
      </c>
      <c r="C20" s="41">
        <v>89.99</v>
      </c>
      <c r="D20" s="42">
        <v>55931.519999999997</v>
      </c>
      <c r="E20" s="43">
        <v>4660.96</v>
      </c>
      <c r="F20" s="44">
        <v>576</v>
      </c>
      <c r="G20" s="44">
        <v>48</v>
      </c>
      <c r="H20" s="44">
        <v>91</v>
      </c>
      <c r="I20" s="45">
        <v>4.7</v>
      </c>
      <c r="J20" s="45" t="s">
        <v>1149</v>
      </c>
      <c r="K20" s="56" t="str">
        <f t="shared" ref="K20:K24" si="2">HYPERLINK(J20)</f>
        <v>https://amazon.com/dp/B0FPX7QDCS</v>
      </c>
    </row>
    <row r="21" spans="1:11" ht="45" x14ac:dyDescent="0.2">
      <c r="A21" s="18" t="s">
        <v>1150</v>
      </c>
      <c r="B21" s="18" t="s">
        <v>1151</v>
      </c>
      <c r="C21" s="41">
        <v>799.99</v>
      </c>
      <c r="D21" s="42">
        <v>53914.8</v>
      </c>
      <c r="E21" s="43">
        <v>4492.8999999999996</v>
      </c>
      <c r="F21" s="44">
        <v>72</v>
      </c>
      <c r="G21" s="44">
        <v>6</v>
      </c>
      <c r="H21" s="44">
        <v>20</v>
      </c>
      <c r="I21" s="45">
        <v>4.8</v>
      </c>
      <c r="J21" s="45" t="s">
        <v>1152</v>
      </c>
      <c r="K21" s="56" t="str">
        <f t="shared" si="2"/>
        <v>https://amazon.com/dp/B0FLNJ8CNL</v>
      </c>
    </row>
    <row r="22" spans="1:11" ht="45" x14ac:dyDescent="0.2">
      <c r="A22" s="18" t="s">
        <v>1153</v>
      </c>
      <c r="B22" s="18" t="s">
        <v>1154</v>
      </c>
      <c r="C22" s="41">
        <v>79.989999999999995</v>
      </c>
      <c r="D22" s="42">
        <v>50456.28</v>
      </c>
      <c r="E22" s="43">
        <v>4204.6899999999996</v>
      </c>
      <c r="F22" s="44">
        <v>636</v>
      </c>
      <c r="G22" s="44">
        <v>53</v>
      </c>
      <c r="H22" s="44">
        <v>41</v>
      </c>
      <c r="I22" s="45">
        <v>4.4000000000000004</v>
      </c>
      <c r="J22" s="45" t="s">
        <v>1155</v>
      </c>
      <c r="K22" s="56" t="str">
        <f t="shared" si="2"/>
        <v>https://amazon.com/dp/B0FN38759M</v>
      </c>
    </row>
    <row r="23" spans="1:11" ht="45" x14ac:dyDescent="0.2">
      <c r="A23" s="18" t="s">
        <v>1156</v>
      </c>
      <c r="B23" s="18" t="s">
        <v>1157</v>
      </c>
      <c r="C23" s="41">
        <v>109.99</v>
      </c>
      <c r="D23" s="42">
        <v>48282.239999999998</v>
      </c>
      <c r="E23" s="43">
        <v>4023.52</v>
      </c>
      <c r="F23" s="44">
        <v>444</v>
      </c>
      <c r="G23" s="44">
        <v>37</v>
      </c>
      <c r="H23" s="44">
        <v>189</v>
      </c>
      <c r="I23" s="45">
        <v>4.4000000000000004</v>
      </c>
      <c r="J23" s="45" t="s">
        <v>1158</v>
      </c>
      <c r="K23" s="56" t="str">
        <f t="shared" si="2"/>
        <v>https://amazon.com/dp/B0F5W6HJF8</v>
      </c>
    </row>
    <row r="24" spans="1:11" ht="45" x14ac:dyDescent="0.2">
      <c r="A24" s="18" t="s">
        <v>1159</v>
      </c>
      <c r="B24" s="18" t="s">
        <v>1160</v>
      </c>
      <c r="C24" s="41">
        <v>599.99</v>
      </c>
      <c r="D24" s="42">
        <v>48270.48</v>
      </c>
      <c r="E24" s="43">
        <v>4022.54</v>
      </c>
      <c r="F24" s="44">
        <v>84</v>
      </c>
      <c r="G24" s="44">
        <v>7</v>
      </c>
      <c r="H24" s="44">
        <v>1</v>
      </c>
      <c r="I24" s="45">
        <v>5</v>
      </c>
      <c r="J24" s="45" t="s">
        <v>1161</v>
      </c>
      <c r="K24" s="56" t="str">
        <f t="shared" si="2"/>
        <v>https://amazon.com/dp/B0CP6P5C3M</v>
      </c>
    </row>
    <row r="25" spans="1:11" ht="45" x14ac:dyDescent="0.2">
      <c r="A25" s="18" t="s">
        <v>1162</v>
      </c>
      <c r="B25" s="18" t="s">
        <v>1163</v>
      </c>
      <c r="C25" s="41">
        <v>139.99</v>
      </c>
      <c r="D25" s="42">
        <v>43716.84</v>
      </c>
      <c r="E25" s="43">
        <v>3643.07</v>
      </c>
      <c r="F25" s="44">
        <v>312</v>
      </c>
      <c r="G25" s="44">
        <v>26</v>
      </c>
      <c r="H25" s="44">
        <v>91</v>
      </c>
      <c r="I25" s="45">
        <v>4.7</v>
      </c>
      <c r="J25" s="45" t="s">
        <v>1164</v>
      </c>
      <c r="K25" s="56" t="str">
        <f>HYPERLINK(J25)</f>
        <v>https://amazon.com/dp/B0FJLQJ18V</v>
      </c>
    </row>
    <row r="26" spans="1:11" ht="45" x14ac:dyDescent="0.2">
      <c r="A26" s="18" t="s">
        <v>1165</v>
      </c>
      <c r="B26" s="18" t="s">
        <v>1166</v>
      </c>
      <c r="C26" s="41">
        <v>249.99</v>
      </c>
      <c r="D26" s="42">
        <v>25198.080000000002</v>
      </c>
      <c r="E26" s="43">
        <v>2099.84</v>
      </c>
      <c r="F26" s="44">
        <v>84</v>
      </c>
      <c r="G26" s="44">
        <v>7</v>
      </c>
      <c r="H26" s="44"/>
      <c r="I26" s="45"/>
      <c r="J26" s="45" t="s">
        <v>1167</v>
      </c>
      <c r="K26" s="56" t="str">
        <f t="shared" ref="K26:K28" si="3">HYPERLINK(J26)</f>
        <v>https://amazon.com/dp/B0FJFD212D</v>
      </c>
    </row>
    <row r="27" spans="1:11" ht="45" x14ac:dyDescent="0.2">
      <c r="A27" s="18" t="s">
        <v>1168</v>
      </c>
      <c r="B27" s="18" t="s">
        <v>1169</v>
      </c>
      <c r="C27" s="41">
        <v>99.99</v>
      </c>
      <c r="D27" s="42">
        <v>22900.68</v>
      </c>
      <c r="E27" s="43">
        <v>1908.39</v>
      </c>
      <c r="F27" s="44">
        <v>240</v>
      </c>
      <c r="G27" s="44">
        <v>20</v>
      </c>
      <c r="H27" s="44">
        <v>156</v>
      </c>
      <c r="I27" s="45">
        <v>4.5999999999999996</v>
      </c>
      <c r="J27" s="45" t="s">
        <v>1170</v>
      </c>
      <c r="K27" s="56" t="str">
        <f t="shared" si="3"/>
        <v>https://amazon.com/dp/B0DXFBLWLJ</v>
      </c>
    </row>
    <row r="28" spans="1:11" ht="45" x14ac:dyDescent="0.2">
      <c r="A28" s="18" t="s">
        <v>1171</v>
      </c>
      <c r="B28" s="18" t="s">
        <v>1172</v>
      </c>
      <c r="C28" s="41">
        <v>119.99</v>
      </c>
      <c r="D28" s="42">
        <v>14951.64</v>
      </c>
      <c r="E28" s="43">
        <v>1245.97</v>
      </c>
      <c r="F28" s="44">
        <v>120</v>
      </c>
      <c r="G28" s="44">
        <v>10</v>
      </c>
      <c r="H28" s="44">
        <v>156</v>
      </c>
      <c r="I28" s="45">
        <v>4.5999999999999996</v>
      </c>
      <c r="J28" s="45" t="s">
        <v>1173</v>
      </c>
      <c r="K28" s="56" t="str">
        <f t="shared" si="3"/>
        <v>https://amazon.com/dp/B0FHCQYXRP</v>
      </c>
    </row>
    <row r="29" spans="1:11" ht="45" x14ac:dyDescent="0.2">
      <c r="A29" s="18" t="s">
        <v>1174</v>
      </c>
      <c r="B29" s="18" t="s">
        <v>1175</v>
      </c>
      <c r="C29" s="41">
        <v>98.99</v>
      </c>
      <c r="D29" s="42"/>
      <c r="E29" s="43"/>
      <c r="F29" s="44">
        <v>0</v>
      </c>
      <c r="G29" s="44">
        <v>0</v>
      </c>
      <c r="H29" s="44">
        <v>63</v>
      </c>
      <c r="I29" s="45">
        <v>4.5</v>
      </c>
      <c r="J29" s="45" t="s">
        <v>1176</v>
      </c>
      <c r="K29" s="56" t="str">
        <f>HYPERLINK(J29)</f>
        <v>https://amazon.com/dp/B0FX4FQC6Y</v>
      </c>
    </row>
    <row r="30" spans="1:11" ht="17" x14ac:dyDescent="0.2">
      <c r="A30" s="21" t="s">
        <v>4</v>
      </c>
      <c r="B30" s="21"/>
      <c r="C30" s="57"/>
      <c r="D30" s="58">
        <f>SUM(D9:D29)</f>
        <v>1735260.84</v>
      </c>
      <c r="E30" s="58">
        <f>SUM(E9:E29)</f>
        <v>144605.07000000004</v>
      </c>
      <c r="F30" s="59"/>
      <c r="G30" s="59"/>
      <c r="H30" s="59"/>
      <c r="I30" s="60"/>
      <c r="J30" s="21"/>
      <c r="K30" s="20"/>
    </row>
    <row r="33" spans="1:11" x14ac:dyDescent="0.2">
      <c r="A33" s="111" t="s">
        <v>17</v>
      </c>
      <c r="B33" s="111"/>
      <c r="C33" s="111"/>
      <c r="D33" s="111"/>
      <c r="E33" s="111"/>
      <c r="F33" s="111"/>
      <c r="G33" s="111"/>
      <c r="H33" s="111"/>
      <c r="I33" s="111"/>
      <c r="J33" s="111"/>
      <c r="K33" s="111"/>
    </row>
    <row r="34" spans="1:11" ht="17" x14ac:dyDescent="0.2">
      <c r="A34" s="24" t="s">
        <v>6</v>
      </c>
      <c r="B34" s="25" t="s">
        <v>5</v>
      </c>
      <c r="C34" s="26" t="s">
        <v>11</v>
      </c>
      <c r="D34" s="27" t="s">
        <v>2</v>
      </c>
      <c r="E34" s="25" t="s">
        <v>27</v>
      </c>
      <c r="F34" s="29" t="s">
        <v>13</v>
      </c>
      <c r="G34" s="32" t="s">
        <v>28</v>
      </c>
      <c r="H34" s="29" t="s">
        <v>8</v>
      </c>
      <c r="I34" s="30" t="s">
        <v>12</v>
      </c>
      <c r="J34" s="30" t="s">
        <v>22</v>
      </c>
      <c r="K34" s="31" t="s">
        <v>10</v>
      </c>
    </row>
    <row r="35" spans="1:11" ht="45" x14ac:dyDescent="0.2">
      <c r="A35" s="18" t="s">
        <v>547</v>
      </c>
      <c r="B35" s="18" t="s">
        <v>546</v>
      </c>
      <c r="C35" s="41">
        <v>299.99</v>
      </c>
      <c r="D35" s="42">
        <v>324720.48</v>
      </c>
      <c r="E35" s="42">
        <v>27060.04</v>
      </c>
      <c r="F35" s="44">
        <v>1140</v>
      </c>
      <c r="G35" s="46">
        <v>95</v>
      </c>
      <c r="H35" s="44">
        <v>60</v>
      </c>
      <c r="I35" s="45">
        <v>4.4000000000000004</v>
      </c>
      <c r="J35" s="45" t="s">
        <v>549</v>
      </c>
      <c r="K35" s="56" t="str">
        <f t="shared" ref="K35" si="4">HYPERLINK(J35)</f>
        <v>https://amazon.com/dp/B0DSW1DKTZ</v>
      </c>
    </row>
    <row r="36" spans="1:11" ht="45" x14ac:dyDescent="0.2">
      <c r="A36" s="18" t="s">
        <v>554</v>
      </c>
      <c r="B36" s="18" t="s">
        <v>553</v>
      </c>
      <c r="C36" s="41">
        <v>265.98</v>
      </c>
      <c r="D36" s="42">
        <v>299489.40000000002</v>
      </c>
      <c r="E36" s="42">
        <v>24957.45</v>
      </c>
      <c r="F36" s="44">
        <v>1032</v>
      </c>
      <c r="G36" s="46">
        <v>86</v>
      </c>
      <c r="H36" s="44">
        <v>526</v>
      </c>
      <c r="I36" s="45">
        <v>4.3</v>
      </c>
      <c r="J36" s="45" t="s">
        <v>555</v>
      </c>
      <c r="K36" s="56" t="str">
        <f t="shared" ref="K36:K40" si="5">HYPERLINK(J36)</f>
        <v>https://amazon.com/dp/B0C64RBKJL</v>
      </c>
    </row>
    <row r="37" spans="1:11" ht="45" x14ac:dyDescent="0.2">
      <c r="A37" s="18" t="s">
        <v>1126</v>
      </c>
      <c r="B37" s="18" t="s">
        <v>1127</v>
      </c>
      <c r="C37" s="41">
        <v>89.99</v>
      </c>
      <c r="D37" s="42">
        <v>79711.92</v>
      </c>
      <c r="E37" s="42">
        <v>6642.66</v>
      </c>
      <c r="F37" s="44">
        <v>948</v>
      </c>
      <c r="G37" s="46">
        <v>79</v>
      </c>
      <c r="H37" s="44">
        <v>156</v>
      </c>
      <c r="I37" s="45">
        <v>4.5999999999999996</v>
      </c>
      <c r="J37" s="45" t="s">
        <v>1128</v>
      </c>
      <c r="K37" s="56" t="str">
        <f t="shared" si="5"/>
        <v>https://amazon.com/dp/B0D8SDT9HT</v>
      </c>
    </row>
    <row r="38" spans="1:11" ht="45" x14ac:dyDescent="0.2">
      <c r="A38" s="18" t="s">
        <v>1123</v>
      </c>
      <c r="B38" s="18" t="s">
        <v>1124</v>
      </c>
      <c r="C38" s="41">
        <v>99.99</v>
      </c>
      <c r="D38" s="42">
        <v>90868.680000000008</v>
      </c>
      <c r="E38" s="42">
        <v>7572.39</v>
      </c>
      <c r="F38" s="44">
        <v>912</v>
      </c>
      <c r="G38" s="46">
        <v>76</v>
      </c>
      <c r="H38" s="44">
        <v>190</v>
      </c>
      <c r="I38" s="45">
        <v>4.4000000000000004</v>
      </c>
      <c r="J38" s="45" t="s">
        <v>1125</v>
      </c>
      <c r="K38" s="56" t="str">
        <f t="shared" si="5"/>
        <v>https://amazon.com/dp/B08Y5S32YV</v>
      </c>
    </row>
    <row r="39" spans="1:11" ht="45" x14ac:dyDescent="0.2">
      <c r="A39" s="18" t="s">
        <v>1153</v>
      </c>
      <c r="B39" s="18" t="s">
        <v>1154</v>
      </c>
      <c r="C39" s="41">
        <v>79.989999999999995</v>
      </c>
      <c r="D39" s="42">
        <v>50456.28</v>
      </c>
      <c r="E39" s="42">
        <v>4204.6899999999996</v>
      </c>
      <c r="F39" s="44">
        <v>636</v>
      </c>
      <c r="G39" s="46">
        <v>53</v>
      </c>
      <c r="H39" s="44">
        <v>41</v>
      </c>
      <c r="I39" s="45">
        <v>4.4000000000000004</v>
      </c>
      <c r="J39" s="45" t="s">
        <v>1155</v>
      </c>
      <c r="K39" s="56" t="str">
        <f t="shared" si="5"/>
        <v>https://amazon.com/dp/B0FN38759M</v>
      </c>
    </row>
    <row r="40" spans="1:11" ht="45" x14ac:dyDescent="0.2">
      <c r="A40" s="18" t="s">
        <v>1147</v>
      </c>
      <c r="B40" s="18" t="s">
        <v>1148</v>
      </c>
      <c r="C40" s="41">
        <v>89.99</v>
      </c>
      <c r="D40" s="42">
        <v>55931.519999999997</v>
      </c>
      <c r="E40" s="42">
        <v>4660.96</v>
      </c>
      <c r="F40" s="44">
        <v>576</v>
      </c>
      <c r="G40" s="46">
        <v>48</v>
      </c>
      <c r="H40" s="44">
        <v>91</v>
      </c>
      <c r="I40" s="45">
        <v>4.7</v>
      </c>
      <c r="J40" s="45" t="s">
        <v>1149</v>
      </c>
      <c r="K40" s="56" t="str">
        <f t="shared" si="5"/>
        <v>https://amazon.com/dp/B0FPX7QDCS</v>
      </c>
    </row>
    <row r="41" spans="1:11" ht="45" x14ac:dyDescent="0.2">
      <c r="A41" s="18" t="s">
        <v>1135</v>
      </c>
      <c r="B41" s="18" t="s">
        <v>1136</v>
      </c>
      <c r="C41" s="41">
        <v>139.99</v>
      </c>
      <c r="D41" s="42">
        <v>71945.52</v>
      </c>
      <c r="E41" s="42">
        <v>5995.46</v>
      </c>
      <c r="F41" s="44">
        <v>492</v>
      </c>
      <c r="G41" s="46">
        <v>41</v>
      </c>
      <c r="H41" s="44">
        <v>75</v>
      </c>
      <c r="I41" s="45">
        <v>4.4000000000000004</v>
      </c>
      <c r="J41" s="45" t="s">
        <v>1137</v>
      </c>
      <c r="K41" s="56" t="str">
        <f t="shared" ref="K41:K45" si="6">HYPERLINK(J41)</f>
        <v>https://amazon.com/dp/B0FHGMHLJR</v>
      </c>
    </row>
    <row r="42" spans="1:11" ht="45" x14ac:dyDescent="0.2">
      <c r="A42" s="18" t="s">
        <v>1141</v>
      </c>
      <c r="B42" s="18" t="s">
        <v>1142</v>
      </c>
      <c r="C42" s="41">
        <v>129.99</v>
      </c>
      <c r="D42" s="42">
        <v>62571.240000000013</v>
      </c>
      <c r="E42" s="42">
        <v>5214.2700000000004</v>
      </c>
      <c r="F42" s="44">
        <v>480</v>
      </c>
      <c r="G42" s="46">
        <v>40</v>
      </c>
      <c r="H42" s="44">
        <v>189</v>
      </c>
      <c r="I42" s="45">
        <v>4.4000000000000004</v>
      </c>
      <c r="J42" s="45" t="s">
        <v>1143</v>
      </c>
      <c r="K42" s="56" t="str">
        <f t="shared" si="6"/>
        <v>https://amazon.com/dp/B0DT95GVP1</v>
      </c>
    </row>
    <row r="43" spans="1:11" ht="45" x14ac:dyDescent="0.2">
      <c r="A43" s="18" t="s">
        <v>1156</v>
      </c>
      <c r="B43" s="18" t="s">
        <v>1157</v>
      </c>
      <c r="C43" s="41">
        <v>109.99</v>
      </c>
      <c r="D43" s="42">
        <v>48282.239999999998</v>
      </c>
      <c r="E43" s="42">
        <v>4023.52</v>
      </c>
      <c r="F43" s="44">
        <v>444</v>
      </c>
      <c r="G43" s="46">
        <v>37</v>
      </c>
      <c r="H43" s="44">
        <v>189</v>
      </c>
      <c r="I43" s="45">
        <v>4.4000000000000004</v>
      </c>
      <c r="J43" s="45" t="s">
        <v>1158</v>
      </c>
      <c r="K43" s="56" t="str">
        <f t="shared" si="6"/>
        <v>https://amazon.com/dp/B0F5W6HJF8</v>
      </c>
    </row>
    <row r="44" spans="1:11" ht="45" x14ac:dyDescent="0.2">
      <c r="A44" s="18" t="s">
        <v>1138</v>
      </c>
      <c r="B44" s="18" t="s">
        <v>1139</v>
      </c>
      <c r="C44" s="41">
        <v>139.99</v>
      </c>
      <c r="D44" s="42">
        <v>62609.16</v>
      </c>
      <c r="E44" s="42">
        <v>5217.43</v>
      </c>
      <c r="F44" s="44">
        <v>444</v>
      </c>
      <c r="G44" s="46">
        <v>37</v>
      </c>
      <c r="H44" s="44">
        <v>91</v>
      </c>
      <c r="I44" s="45">
        <v>4.7</v>
      </c>
      <c r="J44" s="45" t="s">
        <v>1140</v>
      </c>
      <c r="K44" s="56" t="str">
        <f t="shared" si="6"/>
        <v>https://amazon.com/dp/B0DSVY5LQD</v>
      </c>
    </row>
    <row r="45" spans="1:11" ht="45" x14ac:dyDescent="0.2">
      <c r="A45" s="18" t="s">
        <v>1120</v>
      </c>
      <c r="B45" s="18" t="s">
        <v>1121</v>
      </c>
      <c r="C45" s="41">
        <v>379.99</v>
      </c>
      <c r="D45" s="42">
        <v>163491.6</v>
      </c>
      <c r="E45" s="42">
        <v>13624.3</v>
      </c>
      <c r="F45" s="44">
        <v>432</v>
      </c>
      <c r="G45" s="46">
        <v>36</v>
      </c>
      <c r="H45" s="44">
        <v>33</v>
      </c>
      <c r="I45" s="45">
        <v>4.7</v>
      </c>
      <c r="J45" s="45" t="s">
        <v>1122</v>
      </c>
      <c r="K45" s="56" t="str">
        <f t="shared" si="6"/>
        <v>https://amazon.com/dp/B0F8BN91TL</v>
      </c>
    </row>
    <row r="46" spans="1:11" ht="45" x14ac:dyDescent="0.2">
      <c r="A46" s="18" t="s">
        <v>1162</v>
      </c>
      <c r="B46" s="18" t="s">
        <v>1163</v>
      </c>
      <c r="C46" s="41">
        <v>139.99</v>
      </c>
      <c r="D46" s="42">
        <v>43716.84</v>
      </c>
      <c r="E46" s="42">
        <v>3643.07</v>
      </c>
      <c r="F46" s="44">
        <v>312</v>
      </c>
      <c r="G46" s="46">
        <v>26</v>
      </c>
      <c r="H46" s="44">
        <v>91</v>
      </c>
      <c r="I46" s="45">
        <v>4.7</v>
      </c>
      <c r="J46" s="45" t="s">
        <v>1164</v>
      </c>
      <c r="K46" s="56" t="str">
        <f t="shared" ref="K46:K50" si="7">HYPERLINK(J46)</f>
        <v>https://amazon.com/dp/B0FJLQJ18V</v>
      </c>
    </row>
    <row r="47" spans="1:11" ht="45" x14ac:dyDescent="0.2">
      <c r="A47" s="18" t="s">
        <v>1129</v>
      </c>
      <c r="B47" s="18" t="s">
        <v>1130</v>
      </c>
      <c r="C47" s="41">
        <v>299.99</v>
      </c>
      <c r="D47" s="42">
        <v>78428.759999999995</v>
      </c>
      <c r="E47" s="42">
        <v>6535.73</v>
      </c>
      <c r="F47" s="44">
        <v>264</v>
      </c>
      <c r="G47" s="46">
        <v>22</v>
      </c>
      <c r="H47" s="44">
        <v>60</v>
      </c>
      <c r="I47" s="45">
        <v>4.4000000000000004</v>
      </c>
      <c r="J47" s="45" t="s">
        <v>1131</v>
      </c>
      <c r="K47" s="56" t="str">
        <f t="shared" si="7"/>
        <v>https://amazon.com/dp/B0FJLPG74M</v>
      </c>
    </row>
    <row r="48" spans="1:11" ht="45" x14ac:dyDescent="0.2">
      <c r="A48" s="18" t="s">
        <v>1132</v>
      </c>
      <c r="B48" s="18" t="s">
        <v>1133</v>
      </c>
      <c r="C48" s="41">
        <v>266.73</v>
      </c>
      <c r="D48" s="42">
        <v>76965.600000000006</v>
      </c>
      <c r="E48" s="42">
        <v>6413.8</v>
      </c>
      <c r="F48" s="44">
        <v>252</v>
      </c>
      <c r="G48" s="46">
        <v>21</v>
      </c>
      <c r="H48" s="44">
        <v>526</v>
      </c>
      <c r="I48" s="45">
        <v>4.3</v>
      </c>
      <c r="J48" s="45" t="s">
        <v>1134</v>
      </c>
      <c r="K48" s="56" t="str">
        <f t="shared" si="7"/>
        <v>https://amazon.com/dp/B0CZQCQFPZ</v>
      </c>
    </row>
    <row r="49" spans="1:11" ht="45" x14ac:dyDescent="0.2">
      <c r="A49" s="18" t="s">
        <v>1168</v>
      </c>
      <c r="B49" s="18" t="s">
        <v>1169</v>
      </c>
      <c r="C49" s="41">
        <v>99.99</v>
      </c>
      <c r="D49" s="42">
        <v>22900.68</v>
      </c>
      <c r="E49" s="42">
        <v>1908.39</v>
      </c>
      <c r="F49" s="44">
        <v>240</v>
      </c>
      <c r="G49" s="46">
        <v>20</v>
      </c>
      <c r="H49" s="44">
        <v>156</v>
      </c>
      <c r="I49" s="45">
        <v>4.5999999999999996</v>
      </c>
      <c r="J49" s="45" t="s">
        <v>1170</v>
      </c>
      <c r="K49" s="56" t="str">
        <f t="shared" si="7"/>
        <v>https://amazon.com/dp/B0DXFBLWLJ</v>
      </c>
    </row>
    <row r="50" spans="1:11" ht="45" x14ac:dyDescent="0.2">
      <c r="A50" s="18" t="s">
        <v>1144</v>
      </c>
      <c r="B50" s="18" t="s">
        <v>1145</v>
      </c>
      <c r="C50" s="41">
        <v>329.99</v>
      </c>
      <c r="D50" s="42">
        <v>60835.92</v>
      </c>
      <c r="E50" s="42">
        <v>5069.66</v>
      </c>
      <c r="F50" s="44">
        <v>180</v>
      </c>
      <c r="G50" s="46">
        <v>15</v>
      </c>
      <c r="H50" s="44">
        <v>20</v>
      </c>
      <c r="I50" s="45">
        <v>4.8</v>
      </c>
      <c r="J50" s="45" t="s">
        <v>1146</v>
      </c>
      <c r="K50" s="56" t="str">
        <f t="shared" si="7"/>
        <v>https://amazon.com/dp/B0FJLL4LY1</v>
      </c>
    </row>
    <row r="51" spans="1:11" ht="45" x14ac:dyDescent="0.2">
      <c r="A51" s="18" t="s">
        <v>1171</v>
      </c>
      <c r="B51" s="18" t="s">
        <v>1172</v>
      </c>
      <c r="C51" s="41">
        <v>119.99</v>
      </c>
      <c r="D51" s="42">
        <v>14951.64</v>
      </c>
      <c r="E51" s="42">
        <v>1245.97</v>
      </c>
      <c r="F51" s="44">
        <v>120</v>
      </c>
      <c r="G51" s="46">
        <v>10</v>
      </c>
      <c r="H51" s="44">
        <v>156</v>
      </c>
      <c r="I51" s="45">
        <v>4.5999999999999996</v>
      </c>
      <c r="J51" s="45" t="s">
        <v>1173</v>
      </c>
      <c r="K51" s="56" t="str">
        <f t="shared" ref="K51:K55" si="8">HYPERLINK(J51)</f>
        <v>https://amazon.com/dp/B0FHCQYXRP</v>
      </c>
    </row>
    <row r="52" spans="1:11" ht="45" x14ac:dyDescent="0.2">
      <c r="A52" s="18" t="s">
        <v>1159</v>
      </c>
      <c r="B52" s="18" t="s">
        <v>1160</v>
      </c>
      <c r="C52" s="41">
        <v>599.99</v>
      </c>
      <c r="D52" s="42">
        <v>48270.48</v>
      </c>
      <c r="E52" s="42">
        <v>4022.54</v>
      </c>
      <c r="F52" s="44">
        <v>84</v>
      </c>
      <c r="G52" s="46">
        <v>7</v>
      </c>
      <c r="H52" s="44">
        <v>1</v>
      </c>
      <c r="I52" s="45">
        <v>5</v>
      </c>
      <c r="J52" s="45" t="s">
        <v>1161</v>
      </c>
      <c r="K52" s="56" t="str">
        <f t="shared" si="8"/>
        <v>https://amazon.com/dp/B0CP6P5C3M</v>
      </c>
    </row>
    <row r="53" spans="1:11" ht="45" x14ac:dyDescent="0.2">
      <c r="A53" s="18" t="s">
        <v>1165</v>
      </c>
      <c r="B53" s="18" t="s">
        <v>1166</v>
      </c>
      <c r="C53" s="41">
        <v>249.99</v>
      </c>
      <c r="D53" s="42">
        <v>25198.080000000002</v>
      </c>
      <c r="E53" s="42">
        <v>2099.84</v>
      </c>
      <c r="F53" s="44">
        <v>84</v>
      </c>
      <c r="G53" s="46">
        <v>7</v>
      </c>
      <c r="H53" s="44"/>
      <c r="I53" s="45"/>
      <c r="J53" s="45" t="s">
        <v>1167</v>
      </c>
      <c r="K53" s="56" t="str">
        <f t="shared" si="8"/>
        <v>https://amazon.com/dp/B0FJFD212D</v>
      </c>
    </row>
    <row r="54" spans="1:11" ht="45" x14ac:dyDescent="0.2">
      <c r="A54" s="18" t="s">
        <v>1150</v>
      </c>
      <c r="B54" s="18" t="s">
        <v>1151</v>
      </c>
      <c r="C54" s="41">
        <v>799.99</v>
      </c>
      <c r="D54" s="42">
        <v>53914.8</v>
      </c>
      <c r="E54" s="42">
        <v>4492.8999999999996</v>
      </c>
      <c r="F54" s="44">
        <v>72</v>
      </c>
      <c r="G54" s="46">
        <v>6</v>
      </c>
      <c r="H54" s="44">
        <v>20</v>
      </c>
      <c r="I54" s="45">
        <v>4.8</v>
      </c>
      <c r="J54" s="45" t="s">
        <v>1152</v>
      </c>
      <c r="K54" s="56" t="str">
        <f t="shared" si="8"/>
        <v>https://amazon.com/dp/B0FLNJ8CNL</v>
      </c>
    </row>
    <row r="55" spans="1:11" ht="45" x14ac:dyDescent="0.2">
      <c r="A55" s="18" t="s">
        <v>1174</v>
      </c>
      <c r="B55" s="18" t="s">
        <v>1175</v>
      </c>
      <c r="C55" s="41">
        <v>98.99</v>
      </c>
      <c r="D55" s="42"/>
      <c r="E55" s="42"/>
      <c r="F55" s="44">
        <v>0</v>
      </c>
      <c r="G55" s="46">
        <v>0</v>
      </c>
      <c r="H55" s="44">
        <v>63</v>
      </c>
      <c r="I55" s="45">
        <v>4.5</v>
      </c>
      <c r="J55" s="45" t="s">
        <v>1176</v>
      </c>
      <c r="K55" s="56" t="str">
        <f t="shared" si="8"/>
        <v>https://amazon.com/dp/B0FX4FQC6Y</v>
      </c>
    </row>
    <row r="56" spans="1:11" ht="17" x14ac:dyDescent="0.2">
      <c r="A56" s="21" t="s">
        <v>4</v>
      </c>
      <c r="B56" s="21"/>
      <c r="C56" s="58"/>
      <c r="D56" s="58"/>
      <c r="E56" s="58"/>
      <c r="F56" s="103">
        <f>SUM(RALCAM!F35:F55)</f>
        <v>9144</v>
      </c>
      <c r="G56" s="103">
        <f>SUM(RALCAM!G35:G55)</f>
        <v>762</v>
      </c>
      <c r="H56" s="59"/>
      <c r="I56" s="60"/>
      <c r="J56" s="21"/>
      <c r="K56" s="20"/>
    </row>
  </sheetData>
  <mergeCells count="3">
    <mergeCell ref="A1:K5"/>
    <mergeCell ref="A7:K7"/>
    <mergeCell ref="A33:K33"/>
  </mergeCells>
  <pageMargins left="0.7" right="0.7" top="0.75" bottom="0.75" header="0.3" footer="0.3"/>
  <pageSetup orientation="portrait"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3A569-657B-4DDA-8A22-3EFE0BE80898}">
  <dimension ref="A1:K208"/>
  <sheetViews>
    <sheetView workbookViewId="0">
      <selection activeCell="L14" sqref="L14"/>
    </sheetView>
  </sheetViews>
  <sheetFormatPr baseColWidth="10" defaultColWidth="12.6640625" defaultRowHeight="16" x14ac:dyDescent="0.2"/>
  <cols>
    <col min="1" max="1" width="50.6640625" style="19" customWidth="1"/>
    <col min="2" max="2" width="12.6640625" style="19" customWidth="1"/>
    <col min="3" max="3" width="10.83203125" style="40" bestFit="1" customWidth="1"/>
    <col min="4" max="4" width="24.83203125" style="40"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28.1640625" style="19" hidden="1" customWidth="1"/>
    <col min="11" max="11" width="35.6640625" style="19" customWidth="1"/>
    <col min="12" max="16384" width="12.6640625" style="19"/>
  </cols>
  <sheetData>
    <row r="1" spans="1:11" x14ac:dyDescent="0.2">
      <c r="A1" s="110" t="e" vm="8">
        <v>#VALUE!</v>
      </c>
      <c r="B1" s="110"/>
      <c r="C1" s="110"/>
      <c r="D1" s="110"/>
      <c r="E1" s="110"/>
      <c r="F1" s="110"/>
      <c r="G1" s="110"/>
      <c r="H1" s="110"/>
      <c r="I1" s="110"/>
      <c r="J1" s="110"/>
      <c r="K1" s="110"/>
    </row>
    <row r="2" spans="1:11" x14ac:dyDescent="0.2">
      <c r="A2" s="110"/>
      <c r="B2" s="110"/>
      <c r="C2" s="110"/>
      <c r="D2" s="110"/>
      <c r="E2" s="110"/>
      <c r="F2" s="110"/>
      <c r="G2" s="110"/>
      <c r="H2" s="110"/>
      <c r="I2" s="110"/>
      <c r="J2" s="110"/>
      <c r="K2" s="110"/>
    </row>
    <row r="3" spans="1:11" x14ac:dyDescent="0.2">
      <c r="A3" s="110"/>
      <c r="B3" s="110"/>
      <c r="C3" s="110"/>
      <c r="D3" s="110"/>
      <c r="E3" s="110"/>
      <c r="F3" s="110"/>
      <c r="G3" s="110"/>
      <c r="H3" s="110"/>
      <c r="I3" s="110"/>
      <c r="J3" s="110"/>
      <c r="K3" s="110"/>
    </row>
    <row r="4" spans="1:11" x14ac:dyDescent="0.2">
      <c r="A4" s="110"/>
      <c r="B4" s="110"/>
      <c r="C4" s="110"/>
      <c r="D4" s="110"/>
      <c r="E4" s="110"/>
      <c r="F4" s="110"/>
      <c r="G4" s="110"/>
      <c r="H4" s="110"/>
      <c r="I4" s="110"/>
      <c r="J4" s="110"/>
      <c r="K4" s="110"/>
    </row>
    <row r="5" spans="1:11" x14ac:dyDescent="0.2">
      <c r="A5" s="110"/>
      <c r="B5" s="110"/>
      <c r="C5" s="110"/>
      <c r="D5" s="110"/>
      <c r="E5" s="110"/>
      <c r="F5" s="110"/>
      <c r="G5" s="110"/>
      <c r="H5" s="110"/>
      <c r="I5" s="110"/>
      <c r="J5" s="110"/>
      <c r="K5" s="110"/>
    </row>
    <row r="6" spans="1:11" x14ac:dyDescent="0.2">
      <c r="B6" s="37"/>
      <c r="D6" s="37"/>
      <c r="E6" s="38"/>
      <c r="F6" s="38"/>
      <c r="G6" s="38"/>
      <c r="H6" s="39"/>
      <c r="I6" s="37"/>
    </row>
    <row r="7" spans="1:11" x14ac:dyDescent="0.2">
      <c r="A7" s="111" t="s">
        <v>18</v>
      </c>
      <c r="B7" s="111"/>
      <c r="C7" s="111"/>
      <c r="D7" s="111"/>
      <c r="E7" s="111"/>
      <c r="F7" s="111"/>
      <c r="G7" s="111"/>
      <c r="H7" s="111"/>
      <c r="I7" s="111"/>
      <c r="J7" s="111"/>
      <c r="K7" s="111"/>
    </row>
    <row r="8" spans="1:11" ht="17" x14ac:dyDescent="0.2">
      <c r="A8" s="24" t="s">
        <v>6</v>
      </c>
      <c r="B8" s="25" t="s">
        <v>5</v>
      </c>
      <c r="C8" s="26" t="s">
        <v>11</v>
      </c>
      <c r="D8" s="27" t="s">
        <v>2</v>
      </c>
      <c r="E8" s="25" t="s">
        <v>27</v>
      </c>
      <c r="F8" s="29" t="s">
        <v>13</v>
      </c>
      <c r="G8" s="32" t="s">
        <v>28</v>
      </c>
      <c r="H8" s="29" t="s">
        <v>8</v>
      </c>
      <c r="I8" s="30" t="s">
        <v>12</v>
      </c>
      <c r="J8" s="30" t="s">
        <v>22</v>
      </c>
      <c r="K8" s="31" t="s">
        <v>10</v>
      </c>
    </row>
    <row r="9" spans="1:11" ht="45" x14ac:dyDescent="0.2">
      <c r="A9" s="18" t="s">
        <v>592</v>
      </c>
      <c r="B9" s="18" t="s">
        <v>593</v>
      </c>
      <c r="C9" s="41">
        <v>469.99</v>
      </c>
      <c r="D9" s="42">
        <v>225975.84</v>
      </c>
      <c r="E9" s="43">
        <v>18831.32</v>
      </c>
      <c r="F9" s="44">
        <v>552</v>
      </c>
      <c r="G9" s="44">
        <v>46</v>
      </c>
      <c r="H9" s="44">
        <v>2</v>
      </c>
      <c r="I9" s="45">
        <v>5</v>
      </c>
      <c r="J9" s="45" t="s">
        <v>594</v>
      </c>
      <c r="K9" s="56" t="str">
        <f>HYPERLINK(J9)</f>
        <v>https://amazon.com/dp/B0FK294Z6X</v>
      </c>
    </row>
    <row r="10" spans="1:11" ht="45" x14ac:dyDescent="0.2">
      <c r="A10" s="18" t="s">
        <v>595</v>
      </c>
      <c r="B10" s="18" t="s">
        <v>596</v>
      </c>
      <c r="C10" s="41">
        <v>743.73</v>
      </c>
      <c r="D10" s="42">
        <v>127683.72</v>
      </c>
      <c r="E10" s="43">
        <v>10640.31</v>
      </c>
      <c r="F10" s="44">
        <v>180</v>
      </c>
      <c r="G10" s="44">
        <v>15</v>
      </c>
      <c r="H10" s="44">
        <v>10</v>
      </c>
      <c r="I10" s="45">
        <v>4.4000000000000004</v>
      </c>
      <c r="J10" s="45" t="s">
        <v>597</v>
      </c>
      <c r="K10" s="56" t="str">
        <f t="shared" ref="K10:K36" si="0">HYPERLINK(J10)</f>
        <v>https://amazon.com/dp/B0CYSS11DP</v>
      </c>
    </row>
    <row r="11" spans="1:11" ht="45" x14ac:dyDescent="0.2">
      <c r="A11" s="18" t="s">
        <v>598</v>
      </c>
      <c r="B11" s="18" t="s">
        <v>599</v>
      </c>
      <c r="C11" s="41">
        <v>743.73</v>
      </c>
      <c r="D11" s="42">
        <v>120460.68</v>
      </c>
      <c r="E11" s="43">
        <v>10038.39</v>
      </c>
      <c r="F11" s="44">
        <v>168</v>
      </c>
      <c r="G11" s="44">
        <v>14</v>
      </c>
      <c r="H11" s="44">
        <v>150</v>
      </c>
      <c r="I11" s="45">
        <v>4.3</v>
      </c>
      <c r="J11" s="45" t="s">
        <v>600</v>
      </c>
      <c r="K11" s="56" t="str">
        <f t="shared" si="0"/>
        <v>https://amazon.com/dp/B093SVJZRZ</v>
      </c>
    </row>
    <row r="12" spans="1:11" ht="45" x14ac:dyDescent="0.2">
      <c r="A12" s="18" t="s">
        <v>601</v>
      </c>
      <c r="B12" s="18" t="s">
        <v>602</v>
      </c>
      <c r="C12" s="41">
        <v>729.99</v>
      </c>
      <c r="D12" s="42">
        <v>109589.52</v>
      </c>
      <c r="E12" s="43">
        <v>9132.4599999999991</v>
      </c>
      <c r="F12" s="44">
        <v>156</v>
      </c>
      <c r="G12" s="44">
        <v>13</v>
      </c>
      <c r="H12" s="44">
        <v>10</v>
      </c>
      <c r="I12" s="45">
        <v>4.8</v>
      </c>
      <c r="J12" s="45" t="s">
        <v>603</v>
      </c>
      <c r="K12" s="56" t="str">
        <f t="shared" si="0"/>
        <v>https://amazon.com/dp/B0D7HQ7MQQ</v>
      </c>
    </row>
    <row r="13" spans="1:11" ht="45" x14ac:dyDescent="0.2">
      <c r="A13" s="18" t="s">
        <v>604</v>
      </c>
      <c r="B13" s="18" t="s">
        <v>605</v>
      </c>
      <c r="C13" s="41">
        <v>699.99</v>
      </c>
      <c r="D13" s="42">
        <v>109363.92</v>
      </c>
      <c r="E13" s="43">
        <v>9113.66</v>
      </c>
      <c r="F13" s="44">
        <v>180</v>
      </c>
      <c r="G13" s="44">
        <v>15</v>
      </c>
      <c r="H13" s="44">
        <v>24</v>
      </c>
      <c r="I13" s="45">
        <v>4.3</v>
      </c>
      <c r="J13" s="45" t="s">
        <v>606</v>
      </c>
      <c r="K13" s="56" t="str">
        <f t="shared" si="0"/>
        <v>https://amazon.com/dp/B0D5M7WTV8</v>
      </c>
    </row>
    <row r="14" spans="1:11" ht="45" x14ac:dyDescent="0.2">
      <c r="A14" s="18" t="s">
        <v>607</v>
      </c>
      <c r="B14" s="18" t="s">
        <v>608</v>
      </c>
      <c r="C14" s="41">
        <v>807.48</v>
      </c>
      <c r="D14" s="42">
        <v>96271.680000000008</v>
      </c>
      <c r="E14" s="43">
        <v>8022.64</v>
      </c>
      <c r="F14" s="44">
        <v>120</v>
      </c>
      <c r="G14" s="44">
        <v>10</v>
      </c>
      <c r="H14" s="44">
        <v>150</v>
      </c>
      <c r="I14" s="45">
        <v>4.3</v>
      </c>
      <c r="J14" s="45" t="s">
        <v>609</v>
      </c>
      <c r="K14" s="56" t="str">
        <f t="shared" si="0"/>
        <v>https://amazon.com/dp/B093SXC6X7</v>
      </c>
    </row>
    <row r="15" spans="1:11" ht="45" x14ac:dyDescent="0.2">
      <c r="A15" s="18" t="s">
        <v>610</v>
      </c>
      <c r="B15" s="18" t="s">
        <v>611</v>
      </c>
      <c r="C15" s="41">
        <v>849.99</v>
      </c>
      <c r="D15" s="42">
        <v>93013.200000000012</v>
      </c>
      <c r="E15" s="43">
        <v>7751.1</v>
      </c>
      <c r="F15" s="44">
        <v>132</v>
      </c>
      <c r="G15" s="44">
        <v>11</v>
      </c>
      <c r="H15" s="44">
        <v>24</v>
      </c>
      <c r="I15" s="45">
        <v>4.3</v>
      </c>
      <c r="J15" s="45" t="s">
        <v>612</v>
      </c>
      <c r="K15" s="56" t="str">
        <f t="shared" si="0"/>
        <v>https://amazon.com/dp/B0D5M8F5Z3</v>
      </c>
    </row>
    <row r="16" spans="1:11" ht="45" x14ac:dyDescent="0.2">
      <c r="A16" s="18" t="s">
        <v>613</v>
      </c>
      <c r="B16" s="18" t="s">
        <v>614</v>
      </c>
      <c r="C16" s="41">
        <v>799.99</v>
      </c>
      <c r="D16" s="42">
        <v>87759.24</v>
      </c>
      <c r="E16" s="43">
        <v>7313.27</v>
      </c>
      <c r="F16" s="44">
        <v>120</v>
      </c>
      <c r="G16" s="44">
        <v>10</v>
      </c>
      <c r="H16" s="44">
        <v>10</v>
      </c>
      <c r="I16" s="45">
        <v>4.8</v>
      </c>
      <c r="J16" s="45" t="s">
        <v>615</v>
      </c>
      <c r="K16" s="56" t="str">
        <f t="shared" si="0"/>
        <v>https://amazon.com/dp/B0DWS2LD48</v>
      </c>
    </row>
    <row r="17" spans="1:11" ht="60" x14ac:dyDescent="0.2">
      <c r="A17" s="18" t="s">
        <v>616</v>
      </c>
      <c r="B17" s="18" t="s">
        <v>617</v>
      </c>
      <c r="C17" s="41">
        <v>956.23</v>
      </c>
      <c r="D17" s="42">
        <v>87071.4</v>
      </c>
      <c r="E17" s="43">
        <v>7255.95</v>
      </c>
      <c r="F17" s="44">
        <v>96</v>
      </c>
      <c r="G17" s="44">
        <v>8</v>
      </c>
      <c r="H17" s="44">
        <v>1</v>
      </c>
      <c r="I17" s="45">
        <v>5</v>
      </c>
      <c r="J17" s="45" t="s">
        <v>618</v>
      </c>
      <c r="K17" s="56" t="str">
        <f t="shared" si="0"/>
        <v>https://amazon.com/dp/B0DNW97B3J</v>
      </c>
    </row>
    <row r="18" spans="1:11" ht="45" x14ac:dyDescent="0.2">
      <c r="A18" s="18" t="s">
        <v>619</v>
      </c>
      <c r="B18" s="18" t="s">
        <v>620</v>
      </c>
      <c r="C18" s="41">
        <v>743.73</v>
      </c>
      <c r="D18" s="42">
        <v>85874.16</v>
      </c>
      <c r="E18" s="43">
        <v>7156.18</v>
      </c>
      <c r="F18" s="44">
        <v>120</v>
      </c>
      <c r="G18" s="44">
        <v>10</v>
      </c>
      <c r="H18" s="44">
        <v>4</v>
      </c>
      <c r="I18" s="45">
        <v>5</v>
      </c>
      <c r="J18" s="45" t="s">
        <v>621</v>
      </c>
      <c r="K18" s="56" t="str">
        <f t="shared" si="0"/>
        <v>https://amazon.com/dp/B0DJ7H7Q3J</v>
      </c>
    </row>
    <row r="19" spans="1:11" ht="45" x14ac:dyDescent="0.2">
      <c r="A19" s="18" t="s">
        <v>622</v>
      </c>
      <c r="B19" s="18" t="s">
        <v>623</v>
      </c>
      <c r="C19" s="41">
        <v>899.99</v>
      </c>
      <c r="D19" s="42">
        <v>80499.72</v>
      </c>
      <c r="E19" s="43">
        <v>6708.31</v>
      </c>
      <c r="F19" s="44">
        <v>96</v>
      </c>
      <c r="G19" s="44">
        <v>8</v>
      </c>
      <c r="H19" s="44">
        <v>24</v>
      </c>
      <c r="I19" s="45">
        <v>4.3</v>
      </c>
      <c r="J19" s="45" t="s">
        <v>624</v>
      </c>
      <c r="K19" s="56" t="str">
        <f t="shared" si="0"/>
        <v>https://amazon.com/dp/B0FFMQ54P9</v>
      </c>
    </row>
    <row r="20" spans="1:11" ht="30" x14ac:dyDescent="0.2">
      <c r="A20" s="18" t="s">
        <v>625</v>
      </c>
      <c r="B20" s="18" t="s">
        <v>626</v>
      </c>
      <c r="C20" s="41">
        <v>424.98</v>
      </c>
      <c r="D20" s="42">
        <v>74347.92</v>
      </c>
      <c r="E20" s="43">
        <v>6195.66</v>
      </c>
      <c r="F20" s="44">
        <v>180</v>
      </c>
      <c r="G20" s="44">
        <v>15</v>
      </c>
      <c r="H20" s="44">
        <v>15</v>
      </c>
      <c r="I20" s="45">
        <v>4.7</v>
      </c>
      <c r="J20" s="45" t="s">
        <v>627</v>
      </c>
      <c r="K20" s="56" t="str">
        <f t="shared" si="0"/>
        <v>https://amazon.com/dp/B0C3D9GLTK</v>
      </c>
    </row>
    <row r="21" spans="1:11" ht="45" x14ac:dyDescent="0.2">
      <c r="A21" s="18" t="s">
        <v>628</v>
      </c>
      <c r="B21" s="18" t="s">
        <v>629</v>
      </c>
      <c r="C21" s="41">
        <v>637.48</v>
      </c>
      <c r="D21" s="42">
        <v>74030.759999999995</v>
      </c>
      <c r="E21" s="43">
        <v>6169.23</v>
      </c>
      <c r="F21" s="44">
        <v>120</v>
      </c>
      <c r="G21" s="44">
        <v>10</v>
      </c>
      <c r="H21" s="44">
        <v>28</v>
      </c>
      <c r="I21" s="45">
        <v>4.4000000000000004</v>
      </c>
      <c r="J21" s="45" t="s">
        <v>630</v>
      </c>
      <c r="K21" s="56" t="str">
        <f t="shared" si="0"/>
        <v>https://amazon.com/dp/B0CLLJSCJ9</v>
      </c>
    </row>
    <row r="22" spans="1:11" ht="45" x14ac:dyDescent="0.2">
      <c r="A22" s="18" t="s">
        <v>631</v>
      </c>
      <c r="B22" s="18" t="s">
        <v>632</v>
      </c>
      <c r="C22" s="41">
        <v>818.11</v>
      </c>
      <c r="D22" s="42">
        <v>72303.72</v>
      </c>
      <c r="E22" s="43">
        <v>6025.31</v>
      </c>
      <c r="F22" s="44">
        <v>96</v>
      </c>
      <c r="G22" s="44">
        <v>8</v>
      </c>
      <c r="H22" s="44">
        <v>10</v>
      </c>
      <c r="I22" s="45">
        <v>4.4000000000000004</v>
      </c>
      <c r="J22" s="45" t="s">
        <v>633</v>
      </c>
      <c r="K22" s="56" t="str">
        <f t="shared" si="0"/>
        <v>https://amazon.com/dp/B0CYSTX8HK</v>
      </c>
    </row>
    <row r="23" spans="1:11" ht="45" x14ac:dyDescent="0.2">
      <c r="A23" s="18" t="s">
        <v>634</v>
      </c>
      <c r="B23" s="18" t="s">
        <v>635</v>
      </c>
      <c r="C23" s="41">
        <v>723.34</v>
      </c>
      <c r="D23" s="42">
        <v>71466.48</v>
      </c>
      <c r="E23" s="43">
        <v>5955.54</v>
      </c>
      <c r="F23" s="44">
        <v>84</v>
      </c>
      <c r="G23" s="44">
        <v>7</v>
      </c>
      <c r="H23" s="44">
        <v>91</v>
      </c>
      <c r="I23" s="45">
        <v>4.3</v>
      </c>
      <c r="J23" s="45" t="s">
        <v>636</v>
      </c>
      <c r="K23" s="56" t="str">
        <f t="shared" si="0"/>
        <v>https://amazon.com/dp/B09441WDJ9</v>
      </c>
    </row>
    <row r="24" spans="1:11" ht="45" x14ac:dyDescent="0.2">
      <c r="A24" s="18" t="s">
        <v>637</v>
      </c>
      <c r="B24" s="18" t="s">
        <v>638</v>
      </c>
      <c r="C24" s="41">
        <v>999.99</v>
      </c>
      <c r="D24" s="42">
        <v>70881</v>
      </c>
      <c r="E24" s="43">
        <v>5906.75</v>
      </c>
      <c r="F24" s="44">
        <v>84</v>
      </c>
      <c r="G24" s="44">
        <v>7</v>
      </c>
      <c r="H24" s="44">
        <v>10</v>
      </c>
      <c r="I24" s="45">
        <v>4.8</v>
      </c>
      <c r="J24" s="45" t="s">
        <v>639</v>
      </c>
      <c r="K24" s="56" t="str">
        <f t="shared" si="0"/>
        <v>https://amazon.com/dp/B0D7HRSBK7</v>
      </c>
    </row>
    <row r="25" spans="1:11" ht="45" x14ac:dyDescent="0.2">
      <c r="A25" s="18" t="s">
        <v>640</v>
      </c>
      <c r="B25" s="18" t="s">
        <v>641</v>
      </c>
      <c r="C25" s="41">
        <v>899.99</v>
      </c>
      <c r="D25" s="42">
        <v>70711.56</v>
      </c>
      <c r="E25" s="43">
        <v>5892.63</v>
      </c>
      <c r="F25" s="44">
        <v>84</v>
      </c>
      <c r="G25" s="44">
        <v>7</v>
      </c>
      <c r="H25" s="44">
        <v>5</v>
      </c>
      <c r="I25" s="45">
        <v>3.4</v>
      </c>
      <c r="J25" s="45" t="s">
        <v>642</v>
      </c>
      <c r="K25" s="56" t="str">
        <f t="shared" si="0"/>
        <v>https://amazon.com/dp/B0D72PXLG7</v>
      </c>
    </row>
    <row r="26" spans="1:11" ht="45" x14ac:dyDescent="0.2">
      <c r="A26" s="18" t="s">
        <v>643</v>
      </c>
      <c r="B26" s="18" t="s">
        <v>644</v>
      </c>
      <c r="C26" s="41">
        <v>799.99</v>
      </c>
      <c r="D26" s="42">
        <v>67907.520000000004</v>
      </c>
      <c r="E26" s="43">
        <v>5658.96</v>
      </c>
      <c r="F26" s="44">
        <v>84</v>
      </c>
      <c r="G26" s="44">
        <v>7</v>
      </c>
      <c r="H26" s="44">
        <v>3</v>
      </c>
      <c r="I26" s="45">
        <v>4.5</v>
      </c>
      <c r="J26" s="45" t="s">
        <v>645</v>
      </c>
      <c r="K26" s="56" t="str">
        <f t="shared" si="0"/>
        <v>https://amazon.com/dp/B0CRL4S23X</v>
      </c>
    </row>
    <row r="27" spans="1:11" ht="45" x14ac:dyDescent="0.2">
      <c r="A27" s="18" t="s">
        <v>646</v>
      </c>
      <c r="B27" s="18" t="s">
        <v>647</v>
      </c>
      <c r="C27" s="41">
        <v>899.99</v>
      </c>
      <c r="D27" s="42">
        <v>66806.52</v>
      </c>
      <c r="E27" s="43">
        <v>5567.21</v>
      </c>
      <c r="F27" s="44">
        <v>72</v>
      </c>
      <c r="G27" s="44">
        <v>6</v>
      </c>
      <c r="H27" s="44">
        <v>1</v>
      </c>
      <c r="I27" s="45">
        <v>5</v>
      </c>
      <c r="J27" s="45" t="s">
        <v>648</v>
      </c>
      <c r="K27" s="56" t="str">
        <f t="shared" si="0"/>
        <v>https://amazon.com/dp/B0DGCZ99ZM</v>
      </c>
    </row>
    <row r="28" spans="1:11" ht="17" x14ac:dyDescent="0.2">
      <c r="A28" s="18" t="s">
        <v>649</v>
      </c>
      <c r="B28" s="18" t="s">
        <v>650</v>
      </c>
      <c r="C28" s="41">
        <v>299.99</v>
      </c>
      <c r="D28" s="42">
        <v>62430.12</v>
      </c>
      <c r="E28" s="43">
        <v>5202.51</v>
      </c>
      <c r="F28" s="44">
        <v>204</v>
      </c>
      <c r="G28" s="44">
        <v>17</v>
      </c>
      <c r="H28" s="44">
        <v>5</v>
      </c>
      <c r="I28" s="45">
        <v>2.9</v>
      </c>
      <c r="J28" s="45" t="s">
        <v>651</v>
      </c>
      <c r="K28" s="56" t="str">
        <f t="shared" si="0"/>
        <v>https://amazon.com/dp/B09HTJP92P</v>
      </c>
    </row>
    <row r="29" spans="1:11" ht="45" x14ac:dyDescent="0.2">
      <c r="A29" s="18" t="s">
        <v>652</v>
      </c>
      <c r="B29" s="18" t="s">
        <v>653</v>
      </c>
      <c r="C29" s="41">
        <v>999.99</v>
      </c>
      <c r="D29" s="42">
        <v>61994.16</v>
      </c>
      <c r="E29" s="43">
        <v>5166.18</v>
      </c>
      <c r="F29" s="44">
        <v>60</v>
      </c>
      <c r="G29" s="44">
        <v>5</v>
      </c>
      <c r="H29" s="44">
        <v>3</v>
      </c>
      <c r="I29" s="45">
        <v>2.5</v>
      </c>
      <c r="J29" s="45" t="s">
        <v>654</v>
      </c>
      <c r="K29" s="56" t="str">
        <f t="shared" si="0"/>
        <v>https://amazon.com/dp/B0DJ7J5NMH</v>
      </c>
    </row>
    <row r="30" spans="1:11" ht="45" x14ac:dyDescent="0.2">
      <c r="A30" s="18" t="s">
        <v>655</v>
      </c>
      <c r="B30" s="18" t="s">
        <v>656</v>
      </c>
      <c r="C30" s="41">
        <v>599.99</v>
      </c>
      <c r="D30" s="42">
        <v>60510.84</v>
      </c>
      <c r="E30" s="43">
        <v>5042.57</v>
      </c>
      <c r="F30" s="44">
        <v>96</v>
      </c>
      <c r="G30" s="44">
        <v>8</v>
      </c>
      <c r="H30" s="44">
        <v>46</v>
      </c>
      <c r="I30" s="45">
        <v>4.3</v>
      </c>
      <c r="J30" s="45" t="s">
        <v>657</v>
      </c>
      <c r="K30" s="56" t="str">
        <f t="shared" si="0"/>
        <v>https://amazon.com/dp/B0BJKTWZBV</v>
      </c>
    </row>
    <row r="31" spans="1:11" ht="45" x14ac:dyDescent="0.2">
      <c r="A31" s="18" t="s">
        <v>658</v>
      </c>
      <c r="B31" s="18" t="s">
        <v>659</v>
      </c>
      <c r="C31" s="41">
        <v>999.99</v>
      </c>
      <c r="D31" s="42">
        <v>60377.279999999999</v>
      </c>
      <c r="E31" s="43">
        <v>5031.4399999999996</v>
      </c>
      <c r="F31" s="44">
        <v>60</v>
      </c>
      <c r="G31" s="44">
        <v>5</v>
      </c>
      <c r="H31" s="44">
        <v>25</v>
      </c>
      <c r="I31" s="45">
        <v>4.4000000000000004</v>
      </c>
      <c r="J31" s="45" t="s">
        <v>660</v>
      </c>
      <c r="K31" s="56" t="str">
        <f t="shared" si="0"/>
        <v>https://amazon.com/dp/B0FFML9DVK</v>
      </c>
    </row>
    <row r="32" spans="1:11" ht="45" x14ac:dyDescent="0.2">
      <c r="A32" s="18" t="s">
        <v>661</v>
      </c>
      <c r="B32" s="18" t="s">
        <v>662</v>
      </c>
      <c r="C32" s="41">
        <v>559.99</v>
      </c>
      <c r="D32" s="42">
        <v>60334.319999999992</v>
      </c>
      <c r="E32" s="43">
        <v>5027.8599999999997</v>
      </c>
      <c r="F32" s="44">
        <v>132</v>
      </c>
      <c r="G32" s="44">
        <v>11</v>
      </c>
      <c r="H32" s="44">
        <v>78</v>
      </c>
      <c r="I32" s="45">
        <v>4.3</v>
      </c>
      <c r="J32" s="45" t="s">
        <v>663</v>
      </c>
      <c r="K32" s="56" t="str">
        <f t="shared" si="0"/>
        <v>https://amazon.com/dp/B0BJ733KVW</v>
      </c>
    </row>
    <row r="33" spans="1:11" ht="45" x14ac:dyDescent="0.2">
      <c r="A33" s="18" t="s">
        <v>664</v>
      </c>
      <c r="B33" s="18" t="s">
        <v>665</v>
      </c>
      <c r="C33" s="41">
        <v>999.99</v>
      </c>
      <c r="D33" s="42">
        <v>55961.759999999987</v>
      </c>
      <c r="E33" s="43">
        <v>4663.4799999999996</v>
      </c>
      <c r="F33" s="44">
        <v>60</v>
      </c>
      <c r="G33" s="44">
        <v>5</v>
      </c>
      <c r="H33" s="44">
        <v>10</v>
      </c>
      <c r="I33" s="45">
        <v>4.8</v>
      </c>
      <c r="J33" s="45" t="s">
        <v>666</v>
      </c>
      <c r="K33" s="56" t="str">
        <f t="shared" si="0"/>
        <v>https://amazon.com/dp/B0D736PNX1</v>
      </c>
    </row>
    <row r="34" spans="1:11" ht="45" x14ac:dyDescent="0.2">
      <c r="A34" s="18" t="s">
        <v>667</v>
      </c>
      <c r="B34" s="18" t="s">
        <v>668</v>
      </c>
      <c r="C34" s="41">
        <v>699.99</v>
      </c>
      <c r="D34" s="42">
        <v>55143</v>
      </c>
      <c r="E34" s="43">
        <v>4595.25</v>
      </c>
      <c r="F34" s="44">
        <v>96</v>
      </c>
      <c r="G34" s="44">
        <v>8</v>
      </c>
      <c r="H34" s="44">
        <v>78</v>
      </c>
      <c r="I34" s="45">
        <v>4.3</v>
      </c>
      <c r="J34" s="45" t="s">
        <v>669</v>
      </c>
      <c r="K34" s="56" t="str">
        <f t="shared" si="0"/>
        <v>https://amazon.com/dp/B0BTYF8KX6</v>
      </c>
    </row>
    <row r="35" spans="1:11" ht="30" x14ac:dyDescent="0.2">
      <c r="A35" s="18" t="s">
        <v>670</v>
      </c>
      <c r="B35" s="18" t="s">
        <v>671</v>
      </c>
      <c r="C35" s="41">
        <v>999.99</v>
      </c>
      <c r="D35" s="42">
        <v>54973.08</v>
      </c>
      <c r="E35" s="43">
        <v>4581.09</v>
      </c>
      <c r="F35" s="44">
        <v>60</v>
      </c>
      <c r="G35" s="44">
        <v>5</v>
      </c>
      <c r="H35" s="44">
        <v>82</v>
      </c>
      <c r="I35" s="45">
        <v>4.0999999999999996</v>
      </c>
      <c r="J35" s="45" t="s">
        <v>672</v>
      </c>
      <c r="K35" s="56" t="str">
        <f t="shared" si="0"/>
        <v>https://amazon.com/dp/B0BRYYQ9TV</v>
      </c>
    </row>
    <row r="36" spans="1:11" ht="45" x14ac:dyDescent="0.2">
      <c r="A36" s="18" t="s">
        <v>673</v>
      </c>
      <c r="B36" s="18" t="s">
        <v>674</v>
      </c>
      <c r="C36" s="41">
        <v>669.97</v>
      </c>
      <c r="D36" s="42">
        <v>54653.64</v>
      </c>
      <c r="E36" s="43">
        <v>4554.47</v>
      </c>
      <c r="F36" s="44">
        <v>84</v>
      </c>
      <c r="G36" s="44">
        <v>7</v>
      </c>
      <c r="H36" s="44">
        <v>28</v>
      </c>
      <c r="I36" s="45">
        <v>4.4000000000000004</v>
      </c>
      <c r="J36" s="45" t="s">
        <v>675</v>
      </c>
      <c r="K36" s="56" t="str">
        <f t="shared" si="0"/>
        <v>https://amazon.com/dp/B0DDXDMTPR</v>
      </c>
    </row>
    <row r="37" spans="1:11" ht="45" x14ac:dyDescent="0.2">
      <c r="A37" s="18" t="s">
        <v>676</v>
      </c>
      <c r="B37" s="18" t="s">
        <v>677</v>
      </c>
      <c r="C37" s="41">
        <v>369.99</v>
      </c>
      <c r="D37" s="42">
        <v>53728.44</v>
      </c>
      <c r="E37" s="43">
        <v>4477.37</v>
      </c>
      <c r="F37" s="44">
        <v>144</v>
      </c>
      <c r="G37" s="44">
        <v>12</v>
      </c>
      <c r="H37" s="44">
        <v>8</v>
      </c>
      <c r="I37" s="45">
        <v>3.2</v>
      </c>
      <c r="J37" s="45" t="s">
        <v>678</v>
      </c>
      <c r="K37" s="56" t="str">
        <f t="shared" ref="K37:K63" si="1">HYPERLINK(J37)</f>
        <v>https://amazon.com/dp/B0CWLBH81V</v>
      </c>
    </row>
    <row r="38" spans="1:11" ht="45" x14ac:dyDescent="0.2">
      <c r="A38" s="18" t="s">
        <v>679</v>
      </c>
      <c r="B38" s="18" t="s">
        <v>680</v>
      </c>
      <c r="C38" s="41">
        <v>799.99</v>
      </c>
      <c r="D38" s="42">
        <v>45502.68</v>
      </c>
      <c r="E38" s="43">
        <v>3791.89</v>
      </c>
      <c r="F38" s="44">
        <v>60</v>
      </c>
      <c r="G38" s="44">
        <v>5</v>
      </c>
      <c r="H38" s="44">
        <v>78</v>
      </c>
      <c r="I38" s="45">
        <v>4.3</v>
      </c>
      <c r="J38" s="45" t="s">
        <v>681</v>
      </c>
      <c r="K38" s="56" t="str">
        <f t="shared" si="1"/>
        <v>https://amazon.com/dp/B0C188GCNS</v>
      </c>
    </row>
    <row r="39" spans="1:11" ht="45" x14ac:dyDescent="0.2">
      <c r="A39" s="18" t="s">
        <v>682</v>
      </c>
      <c r="B39" s="18" t="s">
        <v>683</v>
      </c>
      <c r="C39" s="41">
        <v>369.99</v>
      </c>
      <c r="D39" s="42">
        <v>45481.08</v>
      </c>
      <c r="E39" s="43">
        <v>3790.09</v>
      </c>
      <c r="F39" s="44">
        <v>120</v>
      </c>
      <c r="G39" s="44">
        <v>10</v>
      </c>
      <c r="H39" s="44">
        <v>514</v>
      </c>
      <c r="I39" s="45">
        <v>4.2</v>
      </c>
      <c r="J39" s="45" t="s">
        <v>684</v>
      </c>
      <c r="K39" s="56" t="str">
        <f t="shared" si="1"/>
        <v>https://amazon.com/dp/B0B4SDBMPX</v>
      </c>
    </row>
    <row r="40" spans="1:11" ht="45" x14ac:dyDescent="0.2">
      <c r="A40" s="18" t="s">
        <v>685</v>
      </c>
      <c r="B40" s="18" t="s">
        <v>686</v>
      </c>
      <c r="C40" s="41">
        <v>800</v>
      </c>
      <c r="D40" s="42">
        <v>45084.480000000003</v>
      </c>
      <c r="E40" s="43">
        <v>3757.04</v>
      </c>
      <c r="F40" s="44">
        <v>60</v>
      </c>
      <c r="G40" s="44">
        <v>5</v>
      </c>
      <c r="H40" s="44">
        <v>173</v>
      </c>
      <c r="I40" s="45">
        <v>3.9</v>
      </c>
      <c r="J40" s="45" t="s">
        <v>687</v>
      </c>
      <c r="K40" s="56" t="str">
        <f t="shared" si="1"/>
        <v>https://amazon.com/dp/B0C22ZS2FC</v>
      </c>
    </row>
    <row r="41" spans="1:11" ht="45" x14ac:dyDescent="0.2">
      <c r="A41" s="18" t="s">
        <v>688</v>
      </c>
      <c r="B41" s="18" t="s">
        <v>689</v>
      </c>
      <c r="C41" s="41">
        <v>599.99</v>
      </c>
      <c r="D41" s="42">
        <v>42027.48</v>
      </c>
      <c r="E41" s="43">
        <v>3502.29</v>
      </c>
      <c r="F41" s="44">
        <v>60</v>
      </c>
      <c r="G41" s="44">
        <v>5</v>
      </c>
      <c r="H41" s="44">
        <v>46</v>
      </c>
      <c r="I41" s="45">
        <v>4.3</v>
      </c>
      <c r="J41" s="45" t="s">
        <v>690</v>
      </c>
      <c r="K41" s="56" t="str">
        <f t="shared" si="1"/>
        <v>https://amazon.com/dp/B0CBS872G4</v>
      </c>
    </row>
    <row r="42" spans="1:11" ht="45" x14ac:dyDescent="0.2">
      <c r="A42" s="18" t="s">
        <v>691</v>
      </c>
      <c r="B42" s="18" t="s">
        <v>692</v>
      </c>
      <c r="C42" s="41">
        <v>999.99</v>
      </c>
      <c r="D42" s="42">
        <v>40473.360000000001</v>
      </c>
      <c r="E42" s="43">
        <v>3372.78</v>
      </c>
      <c r="F42" s="44">
        <v>36</v>
      </c>
      <c r="G42" s="44">
        <v>3</v>
      </c>
      <c r="H42" s="44">
        <v>3</v>
      </c>
      <c r="I42" s="45">
        <v>2.5</v>
      </c>
      <c r="J42" s="45" t="s">
        <v>693</v>
      </c>
      <c r="K42" s="56" t="str">
        <f t="shared" si="1"/>
        <v>https://amazon.com/dp/B0DJ7L3MCV</v>
      </c>
    </row>
    <row r="43" spans="1:11" ht="45" x14ac:dyDescent="0.2">
      <c r="A43" s="18" t="s">
        <v>694</v>
      </c>
      <c r="B43" s="18" t="s">
        <v>695</v>
      </c>
      <c r="C43" s="41">
        <v>459.99</v>
      </c>
      <c r="D43" s="42">
        <v>40036.080000000002</v>
      </c>
      <c r="E43" s="43">
        <v>3336.34</v>
      </c>
      <c r="F43" s="44">
        <v>96</v>
      </c>
      <c r="G43" s="44">
        <v>8</v>
      </c>
      <c r="H43" s="44">
        <v>514</v>
      </c>
      <c r="I43" s="45">
        <v>4.2</v>
      </c>
      <c r="J43" s="45" t="s">
        <v>696</v>
      </c>
      <c r="K43" s="56" t="str">
        <f t="shared" si="1"/>
        <v>https://amazon.com/dp/B07PWZ3KKF</v>
      </c>
    </row>
    <row r="44" spans="1:11" ht="45" x14ac:dyDescent="0.2">
      <c r="A44" s="18" t="s">
        <v>697</v>
      </c>
      <c r="B44" s="18" t="s">
        <v>698</v>
      </c>
      <c r="C44" s="41">
        <v>892.48</v>
      </c>
      <c r="D44" s="42">
        <v>38961.96</v>
      </c>
      <c r="E44" s="43">
        <v>3246.83</v>
      </c>
      <c r="F44" s="44">
        <v>48</v>
      </c>
      <c r="G44" s="44">
        <v>4</v>
      </c>
      <c r="H44" s="44">
        <v>10</v>
      </c>
      <c r="I44" s="45">
        <v>4.4000000000000004</v>
      </c>
      <c r="J44" s="45" t="s">
        <v>699</v>
      </c>
      <c r="K44" s="56" t="str">
        <f t="shared" si="1"/>
        <v>https://amazon.com/dp/B0CYSJHBGQ</v>
      </c>
    </row>
    <row r="45" spans="1:11" ht="45" x14ac:dyDescent="0.2">
      <c r="A45" s="18" t="s">
        <v>700</v>
      </c>
      <c r="B45" s="18" t="s">
        <v>701</v>
      </c>
      <c r="C45" s="41">
        <v>499.99</v>
      </c>
      <c r="D45" s="42">
        <v>38397.72</v>
      </c>
      <c r="E45" s="43">
        <v>3199.81</v>
      </c>
      <c r="F45" s="44">
        <v>96</v>
      </c>
      <c r="G45" s="44">
        <v>8</v>
      </c>
      <c r="H45" s="44">
        <v>1</v>
      </c>
      <c r="I45" s="45">
        <v>5</v>
      </c>
      <c r="J45" s="45" t="s">
        <v>702</v>
      </c>
      <c r="K45" s="56" t="str">
        <f t="shared" si="1"/>
        <v>https://amazon.com/dp/B0FKB5XRTJ</v>
      </c>
    </row>
    <row r="46" spans="1:11" ht="45" x14ac:dyDescent="0.2">
      <c r="A46" s="18" t="s">
        <v>703</v>
      </c>
      <c r="B46" s="18" t="s">
        <v>704</v>
      </c>
      <c r="C46" s="41">
        <v>799.99</v>
      </c>
      <c r="D46" s="42">
        <v>36756.120000000003</v>
      </c>
      <c r="E46" s="43">
        <v>3063.01</v>
      </c>
      <c r="F46" s="44">
        <v>48</v>
      </c>
      <c r="G46" s="44">
        <v>4</v>
      </c>
      <c r="H46" s="44">
        <v>36</v>
      </c>
      <c r="I46" s="45">
        <v>4</v>
      </c>
      <c r="J46" s="45" t="s">
        <v>705</v>
      </c>
      <c r="K46" s="56" t="str">
        <f t="shared" si="1"/>
        <v>https://amazon.com/dp/B0CQK1GSHP</v>
      </c>
    </row>
    <row r="47" spans="1:11" ht="45" x14ac:dyDescent="0.2">
      <c r="A47" s="18" t="s">
        <v>706</v>
      </c>
      <c r="B47" s="18" t="s">
        <v>707</v>
      </c>
      <c r="C47" s="41">
        <v>799.99</v>
      </c>
      <c r="D47" s="42">
        <v>36278.28</v>
      </c>
      <c r="E47" s="43">
        <v>3023.19</v>
      </c>
      <c r="F47" s="44">
        <v>48</v>
      </c>
      <c r="G47" s="44">
        <v>4</v>
      </c>
      <c r="H47" s="44">
        <v>77</v>
      </c>
      <c r="I47" s="45">
        <v>4.3</v>
      </c>
      <c r="J47" s="45" t="s">
        <v>708</v>
      </c>
      <c r="K47" s="56" t="str">
        <f t="shared" si="1"/>
        <v>https://amazon.com/dp/B0B4CWFVBY</v>
      </c>
    </row>
    <row r="48" spans="1:11" ht="45" x14ac:dyDescent="0.2">
      <c r="A48" s="18" t="s">
        <v>709</v>
      </c>
      <c r="B48" s="18" t="s">
        <v>710</v>
      </c>
      <c r="C48" s="41">
        <v>799.99</v>
      </c>
      <c r="D48" s="42">
        <v>36266.76</v>
      </c>
      <c r="E48" s="43">
        <v>3022.23</v>
      </c>
      <c r="F48" s="44">
        <v>48</v>
      </c>
      <c r="G48" s="44">
        <v>4</v>
      </c>
      <c r="H48" s="44">
        <v>3</v>
      </c>
      <c r="I48" s="45">
        <v>3</v>
      </c>
      <c r="J48" s="45" t="s">
        <v>711</v>
      </c>
      <c r="K48" s="56" t="str">
        <f t="shared" si="1"/>
        <v>https://amazon.com/dp/B0DBZP6GCT</v>
      </c>
    </row>
    <row r="49" spans="1:11" ht="45" x14ac:dyDescent="0.2">
      <c r="A49" s="18" t="s">
        <v>712</v>
      </c>
      <c r="B49" s="18" t="s">
        <v>713</v>
      </c>
      <c r="C49" s="41">
        <v>759.99</v>
      </c>
      <c r="D49" s="42">
        <v>34266.36</v>
      </c>
      <c r="E49" s="43">
        <v>2855.53</v>
      </c>
      <c r="F49" s="44">
        <v>48</v>
      </c>
      <c r="G49" s="44">
        <v>4</v>
      </c>
      <c r="H49" s="44">
        <v>50</v>
      </c>
      <c r="I49" s="45">
        <v>4.0999999999999996</v>
      </c>
      <c r="J49" s="45" t="s">
        <v>714</v>
      </c>
      <c r="K49" s="56" t="str">
        <f t="shared" si="1"/>
        <v>https://amazon.com/dp/B0FPQRJL3Z</v>
      </c>
    </row>
    <row r="50" spans="1:11" ht="45" x14ac:dyDescent="0.2">
      <c r="A50" s="18" t="s">
        <v>715</v>
      </c>
      <c r="B50" s="18" t="s">
        <v>716</v>
      </c>
      <c r="C50" s="41">
        <v>699.99</v>
      </c>
      <c r="D50" s="42">
        <v>33905.879999999997</v>
      </c>
      <c r="E50" s="43">
        <v>2825.49</v>
      </c>
      <c r="F50" s="44">
        <v>48</v>
      </c>
      <c r="G50" s="44">
        <v>4</v>
      </c>
      <c r="H50" s="44">
        <v>24</v>
      </c>
      <c r="I50" s="45">
        <v>4.0999999999999996</v>
      </c>
      <c r="J50" s="45" t="s">
        <v>717</v>
      </c>
      <c r="K50" s="56" t="str">
        <f t="shared" si="1"/>
        <v>https://amazon.com/dp/B0B2JT9WQD</v>
      </c>
    </row>
    <row r="51" spans="1:11" ht="45" x14ac:dyDescent="0.2">
      <c r="A51" s="18" t="s">
        <v>718</v>
      </c>
      <c r="B51" s="18" t="s">
        <v>719</v>
      </c>
      <c r="C51" s="41">
        <v>799.99</v>
      </c>
      <c r="D51" s="42">
        <v>31253.52</v>
      </c>
      <c r="E51" s="43">
        <v>2604.46</v>
      </c>
      <c r="F51" s="44">
        <v>36</v>
      </c>
      <c r="G51" s="44">
        <v>3</v>
      </c>
      <c r="H51" s="44">
        <v>3</v>
      </c>
      <c r="I51" s="45">
        <v>3</v>
      </c>
      <c r="J51" s="45" t="s">
        <v>720</v>
      </c>
      <c r="K51" s="56" t="str">
        <f t="shared" si="1"/>
        <v>https://amazon.com/dp/B0DKNWKKHB</v>
      </c>
    </row>
    <row r="52" spans="1:11" ht="45" x14ac:dyDescent="0.2">
      <c r="A52" s="18" t="s">
        <v>721</v>
      </c>
      <c r="B52" s="18" t="s">
        <v>722</v>
      </c>
      <c r="C52" s="41">
        <v>129.99</v>
      </c>
      <c r="D52" s="42">
        <v>29546.52</v>
      </c>
      <c r="E52" s="43">
        <v>2462.21</v>
      </c>
      <c r="F52" s="44">
        <v>228</v>
      </c>
      <c r="G52" s="44">
        <v>19</v>
      </c>
      <c r="H52" s="44"/>
      <c r="I52" s="45"/>
      <c r="J52" s="45" t="s">
        <v>723</v>
      </c>
      <c r="K52" s="56" t="str">
        <f t="shared" si="1"/>
        <v>https://amazon.com/dp/B0F1Y5TN2Q</v>
      </c>
    </row>
    <row r="53" spans="1:11" ht="45" x14ac:dyDescent="0.2">
      <c r="A53" s="18" t="s">
        <v>724</v>
      </c>
      <c r="B53" s="18" t="s">
        <v>725</v>
      </c>
      <c r="C53" s="41">
        <v>489.99</v>
      </c>
      <c r="D53" s="42">
        <v>29117.040000000001</v>
      </c>
      <c r="E53" s="43">
        <v>2426.42</v>
      </c>
      <c r="F53" s="44">
        <v>60</v>
      </c>
      <c r="G53" s="44">
        <v>5</v>
      </c>
      <c r="H53" s="44">
        <v>514</v>
      </c>
      <c r="I53" s="45">
        <v>4.2</v>
      </c>
      <c r="J53" s="45" t="s">
        <v>726</v>
      </c>
      <c r="K53" s="56" t="str">
        <f t="shared" si="1"/>
        <v>https://amazon.com/dp/B07PBZZKJD</v>
      </c>
    </row>
    <row r="54" spans="1:11" ht="45" x14ac:dyDescent="0.2">
      <c r="A54" s="18" t="s">
        <v>727</v>
      </c>
      <c r="B54" s="18" t="s">
        <v>728</v>
      </c>
      <c r="C54" s="41">
        <v>899.99</v>
      </c>
      <c r="D54" s="42">
        <v>29071.8</v>
      </c>
      <c r="E54" s="43">
        <v>2422.65</v>
      </c>
      <c r="F54" s="44">
        <v>36</v>
      </c>
      <c r="G54" s="44">
        <v>3</v>
      </c>
      <c r="H54" s="44">
        <v>78</v>
      </c>
      <c r="I54" s="45">
        <v>4.3</v>
      </c>
      <c r="J54" s="45" t="s">
        <v>729</v>
      </c>
      <c r="K54" s="56" t="str">
        <f t="shared" si="1"/>
        <v>https://amazon.com/dp/B0DSZR774M</v>
      </c>
    </row>
    <row r="55" spans="1:11" ht="45" x14ac:dyDescent="0.2">
      <c r="A55" s="18" t="s">
        <v>730</v>
      </c>
      <c r="B55" s="18" t="s">
        <v>731</v>
      </c>
      <c r="C55" s="41">
        <v>239.92</v>
      </c>
      <c r="D55" s="42">
        <v>28025.759999999998</v>
      </c>
      <c r="E55" s="43">
        <v>2335.48</v>
      </c>
      <c r="F55" s="44">
        <v>120</v>
      </c>
      <c r="G55" s="44">
        <v>10</v>
      </c>
      <c r="H55" s="44">
        <v>13</v>
      </c>
      <c r="I55" s="45">
        <v>4.4000000000000004</v>
      </c>
      <c r="J55" s="45" t="s">
        <v>732</v>
      </c>
      <c r="K55" s="56" t="str">
        <f t="shared" si="1"/>
        <v>https://amazon.com/dp/B0B2VN9NCN</v>
      </c>
    </row>
    <row r="56" spans="1:11" ht="45" x14ac:dyDescent="0.2">
      <c r="A56" s="18" t="s">
        <v>733</v>
      </c>
      <c r="B56" s="18" t="s">
        <v>734</v>
      </c>
      <c r="C56" s="41">
        <v>743.73</v>
      </c>
      <c r="D56" s="42">
        <v>27082.799999999999</v>
      </c>
      <c r="E56" s="43">
        <v>2256.9</v>
      </c>
      <c r="F56" s="44">
        <v>36</v>
      </c>
      <c r="G56" s="44">
        <v>3</v>
      </c>
      <c r="H56" s="44">
        <v>28</v>
      </c>
      <c r="I56" s="45">
        <v>4.4000000000000004</v>
      </c>
      <c r="J56" s="45" t="s">
        <v>735</v>
      </c>
      <c r="K56" s="56" t="str">
        <f t="shared" si="1"/>
        <v>https://amazon.com/dp/B0BHKH6JFR</v>
      </c>
    </row>
    <row r="57" spans="1:11" ht="30" x14ac:dyDescent="0.2">
      <c r="A57" s="18" t="s">
        <v>736</v>
      </c>
      <c r="B57" s="18" t="s">
        <v>737</v>
      </c>
      <c r="C57" s="41">
        <v>369.94</v>
      </c>
      <c r="D57" s="42">
        <v>25232.04</v>
      </c>
      <c r="E57" s="43">
        <v>2102.67</v>
      </c>
      <c r="F57" s="44">
        <v>72</v>
      </c>
      <c r="G57" s="44">
        <v>6</v>
      </c>
      <c r="H57" s="44">
        <v>2</v>
      </c>
      <c r="I57" s="45">
        <v>5</v>
      </c>
      <c r="J57" s="45" t="s">
        <v>738</v>
      </c>
      <c r="K57" s="56" t="str">
        <f t="shared" si="1"/>
        <v>https://amazon.com/dp/B0D1CG3JXK</v>
      </c>
    </row>
    <row r="58" spans="1:11" ht="45" x14ac:dyDescent="0.2">
      <c r="A58" s="18" t="s">
        <v>739</v>
      </c>
      <c r="B58" s="18" t="s">
        <v>740</v>
      </c>
      <c r="C58" s="41">
        <v>529.99</v>
      </c>
      <c r="D58" s="42">
        <v>24902.400000000001</v>
      </c>
      <c r="E58" s="43">
        <v>2075.1999999999998</v>
      </c>
      <c r="F58" s="44">
        <v>48</v>
      </c>
      <c r="G58" s="44">
        <v>4</v>
      </c>
      <c r="H58" s="44">
        <v>514</v>
      </c>
      <c r="I58" s="45">
        <v>4.2</v>
      </c>
      <c r="J58" s="45" t="s">
        <v>741</v>
      </c>
      <c r="K58" s="56" t="str">
        <f t="shared" si="1"/>
        <v>https://amazon.com/dp/B07RGV67HY</v>
      </c>
    </row>
    <row r="59" spans="1:11" ht="45" x14ac:dyDescent="0.2">
      <c r="A59" s="18" t="s">
        <v>742</v>
      </c>
      <c r="B59" s="18" t="s">
        <v>743</v>
      </c>
      <c r="C59" s="41">
        <v>569.99</v>
      </c>
      <c r="D59" s="42">
        <v>24767.759999999998</v>
      </c>
      <c r="E59" s="43">
        <v>2063.98</v>
      </c>
      <c r="F59" s="44">
        <v>48</v>
      </c>
      <c r="G59" s="44">
        <v>4</v>
      </c>
      <c r="H59" s="44">
        <v>514</v>
      </c>
      <c r="I59" s="45">
        <v>4.2</v>
      </c>
      <c r="J59" s="45" t="s">
        <v>744</v>
      </c>
      <c r="K59" s="56" t="str">
        <f t="shared" si="1"/>
        <v>https://amazon.com/dp/B0CYGX2KY3</v>
      </c>
    </row>
    <row r="60" spans="1:11" ht="45" x14ac:dyDescent="0.2">
      <c r="A60" s="18" t="s">
        <v>745</v>
      </c>
      <c r="B60" s="18" t="s">
        <v>746</v>
      </c>
      <c r="C60" s="41">
        <v>599.99</v>
      </c>
      <c r="D60" s="42">
        <v>23246.400000000001</v>
      </c>
      <c r="E60" s="43">
        <v>1937.2</v>
      </c>
      <c r="F60" s="44">
        <v>36</v>
      </c>
      <c r="G60" s="44">
        <v>3</v>
      </c>
      <c r="H60" s="44">
        <v>9</v>
      </c>
      <c r="I60" s="45">
        <v>3.8</v>
      </c>
      <c r="J60" s="45" t="s">
        <v>747</v>
      </c>
      <c r="K60" s="56" t="str">
        <f t="shared" si="1"/>
        <v>https://amazon.com/dp/B0DDXT2242</v>
      </c>
    </row>
    <row r="61" spans="1:11" ht="45" x14ac:dyDescent="0.2">
      <c r="A61" s="18" t="s">
        <v>748</v>
      </c>
      <c r="B61" s="18" t="s">
        <v>749</v>
      </c>
      <c r="C61" s="41">
        <v>599.99</v>
      </c>
      <c r="D61" s="42">
        <v>21492</v>
      </c>
      <c r="E61" s="43">
        <v>1791</v>
      </c>
      <c r="F61" s="44">
        <v>36</v>
      </c>
      <c r="G61" s="44">
        <v>3</v>
      </c>
      <c r="H61" s="44">
        <v>21</v>
      </c>
      <c r="I61" s="45">
        <v>3.6</v>
      </c>
      <c r="J61" s="45" t="s">
        <v>750</v>
      </c>
      <c r="K61" s="56" t="str">
        <f t="shared" si="1"/>
        <v>https://amazon.com/dp/B0DG8V6BSC</v>
      </c>
    </row>
    <row r="62" spans="1:11" ht="45" x14ac:dyDescent="0.2">
      <c r="A62" s="18" t="s">
        <v>751</v>
      </c>
      <c r="B62" s="18" t="s">
        <v>752</v>
      </c>
      <c r="C62" s="41">
        <v>319.99</v>
      </c>
      <c r="D62" s="42">
        <v>19536</v>
      </c>
      <c r="E62" s="43">
        <v>1628</v>
      </c>
      <c r="F62" s="44">
        <v>60</v>
      </c>
      <c r="G62" s="44">
        <v>5</v>
      </c>
      <c r="H62" s="44"/>
      <c r="I62" s="45"/>
      <c r="J62" s="45" t="s">
        <v>753</v>
      </c>
      <c r="K62" s="56" t="str">
        <f t="shared" si="1"/>
        <v>https://amazon.com/dp/B0CH7QT9YD</v>
      </c>
    </row>
    <row r="63" spans="1:11" ht="45" x14ac:dyDescent="0.2">
      <c r="A63" s="18" t="s">
        <v>754</v>
      </c>
      <c r="B63" s="18" t="s">
        <v>755</v>
      </c>
      <c r="C63" s="41">
        <v>489.99</v>
      </c>
      <c r="D63" s="42">
        <v>19398.12</v>
      </c>
      <c r="E63" s="43">
        <v>1616.51</v>
      </c>
      <c r="F63" s="44">
        <v>48</v>
      </c>
      <c r="G63" s="44">
        <v>4</v>
      </c>
      <c r="H63" s="44">
        <v>83</v>
      </c>
      <c r="I63" s="45">
        <v>4.3</v>
      </c>
      <c r="J63" s="45" t="s">
        <v>756</v>
      </c>
      <c r="K63" s="56" t="str">
        <f t="shared" si="1"/>
        <v>https://amazon.com/dp/B07T7G66P8</v>
      </c>
    </row>
    <row r="64" spans="1:11" ht="45" x14ac:dyDescent="0.2">
      <c r="A64" s="18" t="s">
        <v>757</v>
      </c>
      <c r="B64" s="18" t="s">
        <v>758</v>
      </c>
      <c r="C64" s="41">
        <v>849.98</v>
      </c>
      <c r="D64" s="42">
        <v>19253.28</v>
      </c>
      <c r="E64" s="43">
        <v>1604.44</v>
      </c>
      <c r="F64" s="44">
        <v>24</v>
      </c>
      <c r="G64" s="44">
        <v>2</v>
      </c>
      <c r="H64" s="44">
        <v>28</v>
      </c>
      <c r="I64" s="45">
        <v>4.4000000000000004</v>
      </c>
      <c r="J64" s="45" t="s">
        <v>759</v>
      </c>
      <c r="K64" s="56" t="str">
        <f t="shared" ref="K64:K90" si="2">HYPERLINK(J64)</f>
        <v>https://amazon.com/dp/B0DD781TXP</v>
      </c>
    </row>
    <row r="65" spans="1:11" ht="45" x14ac:dyDescent="0.2">
      <c r="A65" s="18" t="s">
        <v>760</v>
      </c>
      <c r="B65" s="18" t="s">
        <v>761</v>
      </c>
      <c r="C65" s="41">
        <v>859.99</v>
      </c>
      <c r="D65" s="42">
        <v>18817.080000000002</v>
      </c>
      <c r="E65" s="43">
        <v>1568.09</v>
      </c>
      <c r="F65" s="44">
        <v>24</v>
      </c>
      <c r="G65" s="44">
        <v>2</v>
      </c>
      <c r="H65" s="44">
        <v>514</v>
      </c>
      <c r="I65" s="45">
        <v>4.2</v>
      </c>
      <c r="J65" s="45" t="s">
        <v>762</v>
      </c>
      <c r="K65" s="56" t="str">
        <f t="shared" si="2"/>
        <v>https://amazon.com/dp/B09HSBR5RG</v>
      </c>
    </row>
    <row r="66" spans="1:11" ht="45" x14ac:dyDescent="0.2">
      <c r="A66" s="18" t="s">
        <v>763</v>
      </c>
      <c r="B66" s="18" t="s">
        <v>764</v>
      </c>
      <c r="C66" s="41">
        <v>699.99</v>
      </c>
      <c r="D66" s="42">
        <v>17868.96</v>
      </c>
      <c r="E66" s="43">
        <v>1489.08</v>
      </c>
      <c r="F66" s="44">
        <v>24</v>
      </c>
      <c r="G66" s="44">
        <v>2</v>
      </c>
      <c r="H66" s="44">
        <v>24</v>
      </c>
      <c r="I66" s="45">
        <v>3.1</v>
      </c>
      <c r="J66" s="45" t="s">
        <v>765</v>
      </c>
      <c r="K66" s="56" t="str">
        <f t="shared" si="2"/>
        <v>https://amazon.com/dp/B0BK8NHFJQ</v>
      </c>
    </row>
    <row r="67" spans="1:11" ht="45" x14ac:dyDescent="0.2">
      <c r="A67" s="18" t="s">
        <v>766</v>
      </c>
      <c r="B67" s="18" t="s">
        <v>767</v>
      </c>
      <c r="C67" s="41">
        <v>529.99</v>
      </c>
      <c r="D67" s="42">
        <v>17222.64</v>
      </c>
      <c r="E67" s="43">
        <v>1435.22</v>
      </c>
      <c r="F67" s="44">
        <v>36</v>
      </c>
      <c r="G67" s="44">
        <v>3</v>
      </c>
      <c r="H67" s="44">
        <v>514</v>
      </c>
      <c r="I67" s="45">
        <v>4.2</v>
      </c>
      <c r="J67" s="45" t="s">
        <v>768</v>
      </c>
      <c r="K67" s="56" t="str">
        <f t="shared" si="2"/>
        <v>https://amazon.com/dp/B0CYGYXDXZ</v>
      </c>
    </row>
    <row r="68" spans="1:11" ht="45" x14ac:dyDescent="0.2">
      <c r="A68" s="18" t="s">
        <v>769</v>
      </c>
      <c r="B68" s="18" t="s">
        <v>770</v>
      </c>
      <c r="C68" s="41">
        <v>859.99</v>
      </c>
      <c r="D68" s="42">
        <v>16813.8</v>
      </c>
      <c r="E68" s="43">
        <v>1401.15</v>
      </c>
      <c r="F68" s="44">
        <v>24</v>
      </c>
      <c r="G68" s="44">
        <v>2</v>
      </c>
      <c r="H68" s="44">
        <v>514</v>
      </c>
      <c r="I68" s="45">
        <v>4.2</v>
      </c>
      <c r="J68" s="45" t="s">
        <v>771</v>
      </c>
      <c r="K68" s="56" t="str">
        <f t="shared" si="2"/>
        <v>https://amazon.com/dp/B09HSC4Q8Y</v>
      </c>
    </row>
    <row r="69" spans="1:11" ht="45" x14ac:dyDescent="0.2">
      <c r="A69" s="18" t="s">
        <v>772</v>
      </c>
      <c r="B69" s="18" t="s">
        <v>773</v>
      </c>
      <c r="C69" s="41">
        <v>899.99</v>
      </c>
      <c r="D69" s="42">
        <v>13935.6</v>
      </c>
      <c r="E69" s="43">
        <v>1161.3</v>
      </c>
      <c r="F69" s="44">
        <v>12</v>
      </c>
      <c r="G69" s="44">
        <v>1</v>
      </c>
      <c r="H69" s="44">
        <v>47</v>
      </c>
      <c r="I69" s="45">
        <v>4.3</v>
      </c>
      <c r="J69" s="45" t="s">
        <v>774</v>
      </c>
      <c r="K69" s="56" t="str">
        <f t="shared" si="2"/>
        <v>https://amazon.com/dp/B0CQYQQ78G</v>
      </c>
    </row>
    <row r="70" spans="1:11" ht="45" x14ac:dyDescent="0.2">
      <c r="A70" s="18" t="s">
        <v>775</v>
      </c>
      <c r="B70" s="18" t="s">
        <v>776</v>
      </c>
      <c r="C70" s="41">
        <v>299.99</v>
      </c>
      <c r="D70" s="42">
        <v>12447.12</v>
      </c>
      <c r="E70" s="43">
        <v>1037.26</v>
      </c>
      <c r="F70" s="44">
        <v>36</v>
      </c>
      <c r="G70" s="44">
        <v>3</v>
      </c>
      <c r="H70" s="44">
        <v>13</v>
      </c>
      <c r="I70" s="45">
        <v>4.4000000000000004</v>
      </c>
      <c r="J70" s="45" t="s">
        <v>777</v>
      </c>
      <c r="K70" s="56" t="str">
        <f t="shared" si="2"/>
        <v>https://amazon.com/dp/B0B2VGF8L5</v>
      </c>
    </row>
    <row r="71" spans="1:11" ht="45" x14ac:dyDescent="0.2">
      <c r="A71" s="18" t="s">
        <v>778</v>
      </c>
      <c r="B71" s="18" t="s">
        <v>779</v>
      </c>
      <c r="C71" s="41">
        <v>999.99</v>
      </c>
      <c r="D71" s="42">
        <v>12002.16</v>
      </c>
      <c r="E71" s="43">
        <v>1000.18</v>
      </c>
      <c r="F71" s="44">
        <v>12</v>
      </c>
      <c r="G71" s="44">
        <v>1</v>
      </c>
      <c r="H71" s="44">
        <v>3</v>
      </c>
      <c r="I71" s="45">
        <v>3</v>
      </c>
      <c r="J71" s="45" t="s">
        <v>780</v>
      </c>
      <c r="K71" s="56" t="str">
        <f t="shared" si="2"/>
        <v>https://amazon.com/dp/B0DKNX4RP9</v>
      </c>
    </row>
    <row r="72" spans="1:11" ht="30" x14ac:dyDescent="0.2">
      <c r="A72" s="18" t="s">
        <v>781</v>
      </c>
      <c r="B72" s="18" t="s">
        <v>782</v>
      </c>
      <c r="C72" s="41">
        <v>179.99</v>
      </c>
      <c r="D72" s="42">
        <v>11045.52</v>
      </c>
      <c r="E72" s="43">
        <v>920.46</v>
      </c>
      <c r="F72" s="44">
        <v>60</v>
      </c>
      <c r="G72" s="44">
        <v>5</v>
      </c>
      <c r="H72" s="44">
        <v>21</v>
      </c>
      <c r="I72" s="45">
        <v>4</v>
      </c>
      <c r="J72" s="45" t="s">
        <v>783</v>
      </c>
      <c r="K72" s="56" t="str">
        <f t="shared" si="2"/>
        <v>https://amazon.com/dp/B08HH9899J</v>
      </c>
    </row>
    <row r="73" spans="1:11" ht="45" x14ac:dyDescent="0.2">
      <c r="A73" s="18" t="s">
        <v>784</v>
      </c>
      <c r="B73" s="18" t="s">
        <v>785</v>
      </c>
      <c r="C73" s="41">
        <v>569.91999999999996</v>
      </c>
      <c r="D73" s="42">
        <v>9929.2800000000007</v>
      </c>
      <c r="E73" s="43">
        <v>827.44</v>
      </c>
      <c r="F73" s="44">
        <v>12</v>
      </c>
      <c r="G73" s="44">
        <v>1</v>
      </c>
      <c r="H73" s="44">
        <v>15</v>
      </c>
      <c r="I73" s="45">
        <v>3.8</v>
      </c>
      <c r="J73" s="45" t="s">
        <v>786</v>
      </c>
      <c r="K73" s="56" t="str">
        <f t="shared" si="2"/>
        <v>https://amazon.com/dp/B08QYX32R7</v>
      </c>
    </row>
    <row r="74" spans="1:11" ht="30" x14ac:dyDescent="0.2">
      <c r="A74" s="18" t="s">
        <v>787</v>
      </c>
      <c r="B74" s="18" t="s">
        <v>788</v>
      </c>
      <c r="C74" s="41">
        <v>369.94</v>
      </c>
      <c r="D74" s="42">
        <v>9460.56</v>
      </c>
      <c r="E74" s="43">
        <v>788.38</v>
      </c>
      <c r="F74" s="44">
        <v>24</v>
      </c>
      <c r="G74" s="44">
        <v>2</v>
      </c>
      <c r="H74" s="44"/>
      <c r="I74" s="45"/>
      <c r="J74" s="45" t="s">
        <v>789</v>
      </c>
      <c r="K74" s="56" t="str">
        <f t="shared" si="2"/>
        <v>https://amazon.com/dp/B0D9VVW5XV</v>
      </c>
    </row>
    <row r="75" spans="1:11" ht="17" x14ac:dyDescent="0.2">
      <c r="A75" s="18" t="s">
        <v>790</v>
      </c>
      <c r="B75" s="18" t="s">
        <v>791</v>
      </c>
      <c r="C75" s="41">
        <v>129.99</v>
      </c>
      <c r="D75" s="42">
        <v>9285.48</v>
      </c>
      <c r="E75" s="43">
        <v>773.79</v>
      </c>
      <c r="F75" s="44">
        <v>72</v>
      </c>
      <c r="G75" s="44">
        <v>6</v>
      </c>
      <c r="H75" s="44">
        <v>2</v>
      </c>
      <c r="I75" s="45">
        <v>5</v>
      </c>
      <c r="J75" s="45" t="s">
        <v>792</v>
      </c>
      <c r="K75" s="56" t="str">
        <f t="shared" si="2"/>
        <v>https://amazon.com/dp/B0CNLB131J</v>
      </c>
    </row>
    <row r="76" spans="1:11" ht="45" x14ac:dyDescent="0.2">
      <c r="A76" s="18" t="s">
        <v>793</v>
      </c>
      <c r="B76" s="18" t="s">
        <v>794</v>
      </c>
      <c r="C76" s="41">
        <v>699.99</v>
      </c>
      <c r="D76" s="42">
        <v>8673.9600000000009</v>
      </c>
      <c r="E76" s="43">
        <v>722.83</v>
      </c>
      <c r="F76" s="44">
        <v>12</v>
      </c>
      <c r="G76" s="44">
        <v>1</v>
      </c>
      <c r="H76" s="44">
        <v>21</v>
      </c>
      <c r="I76" s="45">
        <v>3.6</v>
      </c>
      <c r="J76" s="45" t="s">
        <v>795</v>
      </c>
      <c r="K76" s="56" t="str">
        <f t="shared" si="2"/>
        <v>https://amazon.com/dp/B0BVMFRKGZ</v>
      </c>
    </row>
    <row r="77" spans="1:11" ht="45" x14ac:dyDescent="0.2">
      <c r="A77" s="18" t="s">
        <v>796</v>
      </c>
      <c r="B77" s="18" t="s">
        <v>797</v>
      </c>
      <c r="C77" s="41">
        <v>669.99</v>
      </c>
      <c r="D77" s="42">
        <v>8304.5999999999985</v>
      </c>
      <c r="E77" s="43">
        <v>692.05</v>
      </c>
      <c r="F77" s="44">
        <v>12</v>
      </c>
      <c r="G77" s="44">
        <v>1</v>
      </c>
      <c r="H77" s="44">
        <v>1</v>
      </c>
      <c r="I77" s="45">
        <v>5</v>
      </c>
      <c r="J77" s="45" t="s">
        <v>798</v>
      </c>
      <c r="K77" s="56" t="str">
        <f t="shared" si="2"/>
        <v>https://amazon.com/dp/B0DDT8PRQ7</v>
      </c>
    </row>
    <row r="78" spans="1:11" ht="30" x14ac:dyDescent="0.2">
      <c r="A78" s="18" t="s">
        <v>799</v>
      </c>
      <c r="B78" s="18" t="s">
        <v>800</v>
      </c>
      <c r="C78" s="41">
        <v>359.99</v>
      </c>
      <c r="D78" s="42">
        <v>8004.48</v>
      </c>
      <c r="E78" s="43">
        <v>667.04</v>
      </c>
      <c r="F78" s="44">
        <v>24</v>
      </c>
      <c r="G78" s="44">
        <v>2</v>
      </c>
      <c r="H78" s="44"/>
      <c r="I78" s="45"/>
      <c r="J78" s="45" t="s">
        <v>801</v>
      </c>
      <c r="K78" s="56" t="str">
        <f t="shared" si="2"/>
        <v>https://amazon.com/dp/B0CYL6LHWC</v>
      </c>
    </row>
    <row r="79" spans="1:11" ht="45" x14ac:dyDescent="0.2">
      <c r="A79" s="18" t="s">
        <v>802</v>
      </c>
      <c r="B79" s="18" t="s">
        <v>803</v>
      </c>
      <c r="C79" s="41">
        <v>999.99</v>
      </c>
      <c r="D79" s="42">
        <v>7750.08</v>
      </c>
      <c r="E79" s="43">
        <v>645.84</v>
      </c>
      <c r="F79" s="44">
        <v>12</v>
      </c>
      <c r="G79" s="44">
        <v>1</v>
      </c>
      <c r="H79" s="44">
        <v>2</v>
      </c>
      <c r="I79" s="45">
        <v>5</v>
      </c>
      <c r="J79" s="45" t="s">
        <v>804</v>
      </c>
      <c r="K79" s="56" t="str">
        <f t="shared" si="2"/>
        <v>https://amazon.com/dp/B0DKX9FZ8M</v>
      </c>
    </row>
    <row r="80" spans="1:11" ht="30" x14ac:dyDescent="0.2">
      <c r="A80" s="18" t="s">
        <v>805</v>
      </c>
      <c r="B80" s="18" t="s">
        <v>806</v>
      </c>
      <c r="C80" s="41">
        <v>199.99</v>
      </c>
      <c r="D80" s="42">
        <v>6222.84</v>
      </c>
      <c r="E80" s="43">
        <v>518.57000000000005</v>
      </c>
      <c r="F80" s="44">
        <v>36</v>
      </c>
      <c r="G80" s="44">
        <v>3</v>
      </c>
      <c r="H80" s="44"/>
      <c r="I80" s="45"/>
      <c r="J80" s="45" t="s">
        <v>807</v>
      </c>
      <c r="K80" s="56" t="str">
        <f t="shared" si="2"/>
        <v>https://amazon.com/dp/B0DL9J7SQ5</v>
      </c>
    </row>
    <row r="81" spans="1:11" ht="45" x14ac:dyDescent="0.2">
      <c r="A81" s="18" t="s">
        <v>808</v>
      </c>
      <c r="B81" s="18" t="s">
        <v>809</v>
      </c>
      <c r="C81" s="41">
        <v>269.99</v>
      </c>
      <c r="D81" s="42">
        <v>5897.76</v>
      </c>
      <c r="E81" s="43">
        <v>491.48</v>
      </c>
      <c r="F81" s="44">
        <v>24</v>
      </c>
      <c r="G81" s="44">
        <v>2</v>
      </c>
      <c r="H81" s="44"/>
      <c r="I81" s="45"/>
      <c r="J81" s="45" t="s">
        <v>810</v>
      </c>
      <c r="K81" s="56" t="str">
        <f t="shared" si="2"/>
        <v>https://amazon.com/dp/B0DK6XRYRH</v>
      </c>
    </row>
    <row r="82" spans="1:11" ht="17" x14ac:dyDescent="0.2">
      <c r="A82" s="18" t="s">
        <v>811</v>
      </c>
      <c r="B82" s="18" t="s">
        <v>812</v>
      </c>
      <c r="C82" s="41">
        <v>219.99</v>
      </c>
      <c r="D82" s="42">
        <v>5279.16</v>
      </c>
      <c r="E82" s="43">
        <v>439.93</v>
      </c>
      <c r="F82" s="44">
        <v>24</v>
      </c>
      <c r="G82" s="44">
        <v>2</v>
      </c>
      <c r="H82" s="44">
        <v>3</v>
      </c>
      <c r="I82" s="45">
        <v>4.5999999999999996</v>
      </c>
      <c r="J82" s="45" t="s">
        <v>813</v>
      </c>
      <c r="K82" s="56" t="str">
        <f t="shared" si="2"/>
        <v>https://amazon.com/dp/B09HKTGBPK</v>
      </c>
    </row>
    <row r="83" spans="1:11" ht="45" x14ac:dyDescent="0.2">
      <c r="A83" s="18" t="s">
        <v>814</v>
      </c>
      <c r="B83" s="18" t="s">
        <v>815</v>
      </c>
      <c r="C83" s="41">
        <v>699.99</v>
      </c>
      <c r="D83" s="42">
        <v>4331.5200000000004</v>
      </c>
      <c r="E83" s="43">
        <v>360.96</v>
      </c>
      <c r="F83" s="44">
        <v>12</v>
      </c>
      <c r="G83" s="44">
        <v>1</v>
      </c>
      <c r="H83" s="44">
        <v>1</v>
      </c>
      <c r="I83" s="45">
        <v>5</v>
      </c>
      <c r="J83" s="45" t="s">
        <v>816</v>
      </c>
      <c r="K83" s="56" t="str">
        <f t="shared" si="2"/>
        <v>https://amazon.com/dp/B0DDT5FW1B</v>
      </c>
    </row>
    <row r="84" spans="1:11" ht="45" x14ac:dyDescent="0.2">
      <c r="A84" s="18" t="s">
        <v>817</v>
      </c>
      <c r="B84" s="18" t="s">
        <v>818</v>
      </c>
      <c r="C84" s="41">
        <v>299.99</v>
      </c>
      <c r="D84" s="42">
        <v>3961.92</v>
      </c>
      <c r="E84" s="43">
        <v>330.16</v>
      </c>
      <c r="F84" s="44">
        <v>12</v>
      </c>
      <c r="G84" s="44">
        <v>1</v>
      </c>
      <c r="H84" s="44">
        <v>2</v>
      </c>
      <c r="I84" s="45">
        <v>3.3</v>
      </c>
      <c r="J84" s="45" t="s">
        <v>819</v>
      </c>
      <c r="K84" s="56" t="str">
        <f t="shared" si="2"/>
        <v>https://amazon.com/dp/B0CQ28WJT1</v>
      </c>
    </row>
    <row r="85" spans="1:11" ht="17" x14ac:dyDescent="0.2">
      <c r="A85" s="18" t="s">
        <v>820</v>
      </c>
      <c r="B85" s="18" t="s">
        <v>821</v>
      </c>
      <c r="C85" s="41">
        <v>129.99</v>
      </c>
      <c r="D85" s="42">
        <v>3436.8</v>
      </c>
      <c r="E85" s="43">
        <v>286.39999999999998</v>
      </c>
      <c r="F85" s="44">
        <v>24</v>
      </c>
      <c r="G85" s="44">
        <v>2</v>
      </c>
      <c r="H85" s="44"/>
      <c r="I85" s="45"/>
      <c r="J85" s="45" t="s">
        <v>822</v>
      </c>
      <c r="K85" s="56" t="str">
        <f t="shared" si="2"/>
        <v>https://amazon.com/dp/B0B6YNP8N2</v>
      </c>
    </row>
    <row r="86" spans="1:11" ht="45" x14ac:dyDescent="0.2">
      <c r="A86" s="18" t="s">
        <v>823</v>
      </c>
      <c r="B86" s="18" t="s">
        <v>824</v>
      </c>
      <c r="C86" s="41">
        <v>129.99</v>
      </c>
      <c r="D86" s="42">
        <v>3119.28</v>
      </c>
      <c r="E86" s="43">
        <v>259.94</v>
      </c>
      <c r="F86" s="44">
        <v>24</v>
      </c>
      <c r="G86" s="44">
        <v>2</v>
      </c>
      <c r="H86" s="44"/>
      <c r="I86" s="45"/>
      <c r="J86" s="45" t="s">
        <v>825</v>
      </c>
      <c r="K86" s="56" t="str">
        <f t="shared" si="2"/>
        <v>https://amazon.com/dp/B0FY4YCYG7</v>
      </c>
    </row>
    <row r="87" spans="1:11" ht="45" x14ac:dyDescent="0.2">
      <c r="A87" s="18" t="s">
        <v>826</v>
      </c>
      <c r="B87" s="18" t="s">
        <v>827</v>
      </c>
      <c r="C87" s="41">
        <v>249.99</v>
      </c>
      <c r="D87" s="42">
        <v>2999.88</v>
      </c>
      <c r="E87" s="43">
        <v>249.99</v>
      </c>
      <c r="F87" s="44">
        <v>12</v>
      </c>
      <c r="G87" s="44">
        <v>1</v>
      </c>
      <c r="H87" s="44">
        <v>5</v>
      </c>
      <c r="I87" s="45">
        <v>3.6</v>
      </c>
      <c r="J87" s="45" t="s">
        <v>828</v>
      </c>
      <c r="K87" s="56" t="str">
        <f t="shared" si="2"/>
        <v>https://amazon.com/dp/B0CNGTPJWD</v>
      </c>
    </row>
    <row r="88" spans="1:11" ht="30" x14ac:dyDescent="0.2">
      <c r="A88" s="18" t="s">
        <v>829</v>
      </c>
      <c r="B88" s="18" t="s">
        <v>830</v>
      </c>
      <c r="C88" s="41">
        <v>23.99</v>
      </c>
      <c r="D88" s="42">
        <v>225.96</v>
      </c>
      <c r="E88" s="43">
        <v>18.829999999999998</v>
      </c>
      <c r="F88" s="44">
        <v>12</v>
      </c>
      <c r="G88" s="44">
        <v>1</v>
      </c>
      <c r="H88" s="44">
        <v>1</v>
      </c>
      <c r="I88" s="45">
        <v>5</v>
      </c>
      <c r="J88" s="45" t="s">
        <v>831</v>
      </c>
      <c r="K88" s="56" t="str">
        <f t="shared" si="2"/>
        <v>https://amazon.com/dp/B0D2ZPKZ3G</v>
      </c>
    </row>
    <row r="89" spans="1:11" ht="45" x14ac:dyDescent="0.2">
      <c r="A89" s="18" t="s">
        <v>832</v>
      </c>
      <c r="B89" s="18" t="s">
        <v>833</v>
      </c>
      <c r="C89" s="41">
        <v>529.99</v>
      </c>
      <c r="D89" s="42"/>
      <c r="E89" s="43"/>
      <c r="F89" s="44">
        <v>0</v>
      </c>
      <c r="G89" s="44">
        <v>0</v>
      </c>
      <c r="H89" s="44">
        <v>1</v>
      </c>
      <c r="I89" s="45">
        <v>5</v>
      </c>
      <c r="J89" s="45" t="s">
        <v>834</v>
      </c>
      <c r="K89" s="56" t="str">
        <f t="shared" si="2"/>
        <v>https://amazon.com/dp/B0FKB6Q7DF</v>
      </c>
    </row>
    <row r="90" spans="1:11" ht="45" x14ac:dyDescent="0.2">
      <c r="A90" s="18" t="s">
        <v>835</v>
      </c>
      <c r="B90" s="18" t="s">
        <v>836</v>
      </c>
      <c r="C90" s="41">
        <v>899.99</v>
      </c>
      <c r="D90" s="42"/>
      <c r="E90" s="43"/>
      <c r="F90" s="44">
        <v>0</v>
      </c>
      <c r="G90" s="44">
        <v>0</v>
      </c>
      <c r="H90" s="44">
        <v>1</v>
      </c>
      <c r="I90" s="45">
        <v>1</v>
      </c>
      <c r="J90" s="45" t="s">
        <v>837</v>
      </c>
      <c r="K90" s="56" t="str">
        <f t="shared" si="2"/>
        <v>https://amazon.com/dp/B0DGQTDMBN</v>
      </c>
    </row>
    <row r="91" spans="1:11" ht="45" x14ac:dyDescent="0.2">
      <c r="A91" s="18" t="s">
        <v>838</v>
      </c>
      <c r="B91" s="18" t="s">
        <v>839</v>
      </c>
      <c r="C91" s="41">
        <v>699.99</v>
      </c>
      <c r="D91" s="42"/>
      <c r="E91" s="43"/>
      <c r="F91" s="44">
        <v>0</v>
      </c>
      <c r="G91" s="44">
        <v>0</v>
      </c>
      <c r="H91" s="44">
        <v>6</v>
      </c>
      <c r="I91" s="45">
        <v>3.2</v>
      </c>
      <c r="J91" s="45" t="s">
        <v>840</v>
      </c>
      <c r="K91" s="56" t="str">
        <f t="shared" ref="K91:K105" si="3">HYPERLINK(J91)</f>
        <v>https://amazon.com/dp/B0CPFFY5PY</v>
      </c>
    </row>
    <row r="92" spans="1:11" ht="45" x14ac:dyDescent="0.2">
      <c r="A92" s="18" t="s">
        <v>841</v>
      </c>
      <c r="B92" s="18" t="s">
        <v>842</v>
      </c>
      <c r="C92" s="41">
        <v>799.99</v>
      </c>
      <c r="D92" s="42"/>
      <c r="E92" s="43"/>
      <c r="F92" s="44">
        <v>0</v>
      </c>
      <c r="G92" s="44">
        <v>0</v>
      </c>
      <c r="H92" s="44">
        <v>7</v>
      </c>
      <c r="I92" s="45">
        <v>3.5</v>
      </c>
      <c r="J92" s="45" t="s">
        <v>843</v>
      </c>
      <c r="K92" s="56" t="str">
        <f t="shared" si="3"/>
        <v>https://amazon.com/dp/B0DCJMR14T</v>
      </c>
    </row>
    <row r="93" spans="1:11" ht="30" x14ac:dyDescent="0.2">
      <c r="A93" s="18" t="s">
        <v>844</v>
      </c>
      <c r="B93" s="18" t="s">
        <v>845</v>
      </c>
      <c r="C93" s="41">
        <v>29.99</v>
      </c>
      <c r="D93" s="42"/>
      <c r="E93" s="43"/>
      <c r="F93" s="44">
        <v>0</v>
      </c>
      <c r="G93" s="44">
        <v>0</v>
      </c>
      <c r="H93" s="44">
        <v>1</v>
      </c>
      <c r="I93" s="45">
        <v>5</v>
      </c>
      <c r="J93" s="45" t="s">
        <v>846</v>
      </c>
      <c r="K93" s="56" t="str">
        <f t="shared" si="3"/>
        <v>https://amazon.com/dp/B0D25K6FZJ</v>
      </c>
    </row>
    <row r="94" spans="1:11" ht="45" x14ac:dyDescent="0.2">
      <c r="A94" s="18" t="s">
        <v>847</v>
      </c>
      <c r="B94" s="18" t="s">
        <v>848</v>
      </c>
      <c r="C94" s="41">
        <v>869.99</v>
      </c>
      <c r="D94" s="42"/>
      <c r="E94" s="43"/>
      <c r="F94" s="44">
        <v>0</v>
      </c>
      <c r="G94" s="44">
        <v>0</v>
      </c>
      <c r="H94" s="44">
        <v>1</v>
      </c>
      <c r="I94" s="45">
        <v>5</v>
      </c>
      <c r="J94" s="45" t="s">
        <v>849</v>
      </c>
      <c r="K94" s="56" t="str">
        <f t="shared" si="3"/>
        <v>https://amazon.com/dp/B0DDT8XC2S</v>
      </c>
    </row>
    <row r="95" spans="1:11" ht="45" x14ac:dyDescent="0.2">
      <c r="A95" s="18" t="s">
        <v>850</v>
      </c>
      <c r="B95" s="18" t="s">
        <v>851</v>
      </c>
      <c r="C95" s="41">
        <v>999.99</v>
      </c>
      <c r="D95" s="42"/>
      <c r="E95" s="43"/>
      <c r="F95" s="44">
        <v>0</v>
      </c>
      <c r="G95" s="44">
        <v>0</v>
      </c>
      <c r="H95" s="44">
        <v>2</v>
      </c>
      <c r="I95" s="45">
        <v>3</v>
      </c>
      <c r="J95" s="45" t="s">
        <v>852</v>
      </c>
      <c r="K95" s="56" t="str">
        <f t="shared" si="3"/>
        <v>https://amazon.com/dp/B0DJ7JVYZF</v>
      </c>
    </row>
    <row r="96" spans="1:11" ht="17" x14ac:dyDescent="0.2">
      <c r="A96" s="18" t="s">
        <v>853</v>
      </c>
      <c r="B96" s="18" t="s">
        <v>854</v>
      </c>
      <c r="C96" s="41">
        <v>129.99</v>
      </c>
      <c r="D96" s="42"/>
      <c r="E96" s="43"/>
      <c r="F96" s="44">
        <v>0</v>
      </c>
      <c r="G96" s="44">
        <v>0</v>
      </c>
      <c r="H96" s="44"/>
      <c r="I96" s="45"/>
      <c r="J96" s="45" t="s">
        <v>855</v>
      </c>
      <c r="K96" s="56" t="str">
        <f t="shared" si="3"/>
        <v>https://amazon.com/dp/B09MFBXTBD</v>
      </c>
    </row>
    <row r="97" spans="1:11" ht="30" x14ac:dyDescent="0.2">
      <c r="A97" s="18" t="s">
        <v>856</v>
      </c>
      <c r="B97" s="18" t="s">
        <v>857</v>
      </c>
      <c r="C97" s="41">
        <v>179.94</v>
      </c>
      <c r="D97" s="42"/>
      <c r="E97" s="43"/>
      <c r="F97" s="44">
        <v>0</v>
      </c>
      <c r="G97" s="44">
        <v>0</v>
      </c>
      <c r="H97" s="44"/>
      <c r="I97" s="45"/>
      <c r="J97" s="45" t="s">
        <v>858</v>
      </c>
      <c r="K97" s="56" t="str">
        <f t="shared" si="3"/>
        <v>https://amazon.com/dp/B08X9WQ65K</v>
      </c>
    </row>
    <row r="98" spans="1:11" ht="45" x14ac:dyDescent="0.2">
      <c r="A98" s="18" t="s">
        <v>859</v>
      </c>
      <c r="B98" s="18" t="s">
        <v>860</v>
      </c>
      <c r="C98" s="41">
        <v>899.99</v>
      </c>
      <c r="D98" s="42"/>
      <c r="E98" s="43"/>
      <c r="F98" s="44">
        <v>0</v>
      </c>
      <c r="G98" s="44">
        <v>0</v>
      </c>
      <c r="H98" s="44">
        <v>2</v>
      </c>
      <c r="I98" s="45">
        <v>3.6</v>
      </c>
      <c r="J98" s="45" t="s">
        <v>861</v>
      </c>
      <c r="K98" s="56" t="str">
        <f t="shared" si="3"/>
        <v>https://amazon.com/dp/B0DDT8R3BJ</v>
      </c>
    </row>
    <row r="99" spans="1:11" ht="17" x14ac:dyDescent="0.2">
      <c r="A99" s="18" t="s">
        <v>862</v>
      </c>
      <c r="B99" s="18" t="s">
        <v>863</v>
      </c>
      <c r="C99" s="41">
        <v>119.99</v>
      </c>
      <c r="D99" s="42"/>
      <c r="E99" s="43"/>
      <c r="F99" s="44">
        <v>0</v>
      </c>
      <c r="G99" s="44">
        <v>0</v>
      </c>
      <c r="H99" s="44"/>
      <c r="I99" s="45"/>
      <c r="J99" s="45" t="s">
        <v>864</v>
      </c>
      <c r="K99" s="56" t="str">
        <f t="shared" si="3"/>
        <v>https://amazon.com/dp/B08RHTJ9B4</v>
      </c>
    </row>
    <row r="100" spans="1:11" ht="30" x14ac:dyDescent="0.2">
      <c r="A100" s="18" t="s">
        <v>865</v>
      </c>
      <c r="B100" s="18" t="s">
        <v>866</v>
      </c>
      <c r="C100" s="41">
        <v>179.94</v>
      </c>
      <c r="D100" s="42"/>
      <c r="E100" s="43"/>
      <c r="F100" s="44">
        <v>0</v>
      </c>
      <c r="G100" s="44">
        <v>0</v>
      </c>
      <c r="H100" s="44"/>
      <c r="I100" s="45"/>
      <c r="J100" s="45" t="s">
        <v>867</v>
      </c>
      <c r="K100" s="56" t="str">
        <f t="shared" si="3"/>
        <v>https://amazon.com/dp/B0BD4GFCPY</v>
      </c>
    </row>
    <row r="101" spans="1:11" ht="30" x14ac:dyDescent="0.2">
      <c r="A101" s="18" t="s">
        <v>868</v>
      </c>
      <c r="B101" s="18" t="s">
        <v>869</v>
      </c>
      <c r="C101" s="41">
        <v>699.99</v>
      </c>
      <c r="D101" s="42"/>
      <c r="E101" s="43"/>
      <c r="F101" s="44">
        <v>0</v>
      </c>
      <c r="G101" s="44">
        <v>0</v>
      </c>
      <c r="H101" s="44"/>
      <c r="I101" s="45"/>
      <c r="J101" s="45" t="s">
        <v>870</v>
      </c>
      <c r="K101" s="56" t="str">
        <f t="shared" si="3"/>
        <v>https://amazon.com/dp/B0CVZVDNMP</v>
      </c>
    </row>
    <row r="102" spans="1:11" ht="30" x14ac:dyDescent="0.2">
      <c r="A102" s="18" t="s">
        <v>871</v>
      </c>
      <c r="B102" s="18" t="s">
        <v>872</v>
      </c>
      <c r="C102" s="41">
        <v>329.99</v>
      </c>
      <c r="D102" s="42"/>
      <c r="E102" s="43"/>
      <c r="F102" s="44">
        <v>0</v>
      </c>
      <c r="G102" s="44">
        <v>0</v>
      </c>
      <c r="H102" s="44"/>
      <c r="I102" s="45"/>
      <c r="J102" s="45" t="s">
        <v>873</v>
      </c>
      <c r="K102" s="56" t="str">
        <f t="shared" si="3"/>
        <v>https://amazon.com/dp/B0FJXCH1DG</v>
      </c>
    </row>
    <row r="103" spans="1:11" ht="45" x14ac:dyDescent="0.2">
      <c r="A103" s="18" t="s">
        <v>874</v>
      </c>
      <c r="B103" s="18" t="s">
        <v>875</v>
      </c>
      <c r="C103" s="41">
        <v>559.99</v>
      </c>
      <c r="D103" s="42"/>
      <c r="E103" s="43"/>
      <c r="F103" s="44">
        <v>0</v>
      </c>
      <c r="G103" s="44">
        <v>0</v>
      </c>
      <c r="H103" s="44">
        <v>52</v>
      </c>
      <c r="I103" s="45">
        <v>3.9</v>
      </c>
      <c r="J103" s="45" t="s">
        <v>876</v>
      </c>
      <c r="K103" s="56" t="str">
        <f t="shared" si="3"/>
        <v>https://amazon.com/dp/B07RJNLX96</v>
      </c>
    </row>
    <row r="104" spans="1:11" ht="45" x14ac:dyDescent="0.2">
      <c r="A104" s="18" t="s">
        <v>877</v>
      </c>
      <c r="B104" s="18" t="s">
        <v>878</v>
      </c>
      <c r="C104" s="41">
        <v>699.99</v>
      </c>
      <c r="D104" s="42"/>
      <c r="E104" s="43"/>
      <c r="F104" s="44">
        <v>0</v>
      </c>
      <c r="G104" s="44">
        <v>0</v>
      </c>
      <c r="H104" s="44">
        <v>120</v>
      </c>
      <c r="I104" s="45">
        <v>4.2</v>
      </c>
      <c r="J104" s="45" t="s">
        <v>879</v>
      </c>
      <c r="K104" s="56" t="str">
        <f t="shared" si="3"/>
        <v>https://amazon.com/dp/B0BP7RP3F2</v>
      </c>
    </row>
    <row r="105" spans="1:11" ht="45" x14ac:dyDescent="0.2">
      <c r="A105" s="18" t="s">
        <v>880</v>
      </c>
      <c r="B105" s="18" t="s">
        <v>881</v>
      </c>
      <c r="C105" s="41">
        <v>569.99</v>
      </c>
      <c r="D105" s="42"/>
      <c r="E105" s="43"/>
      <c r="F105" s="44">
        <v>0</v>
      </c>
      <c r="G105" s="44">
        <v>0</v>
      </c>
      <c r="H105" s="44">
        <v>1</v>
      </c>
      <c r="I105" s="45">
        <v>5</v>
      </c>
      <c r="J105" s="45" t="s">
        <v>882</v>
      </c>
      <c r="K105" s="56" t="str">
        <f t="shared" si="3"/>
        <v>https://amazon.com/dp/B0BJKX93TM</v>
      </c>
    </row>
    <row r="106" spans="1:11" ht="17" x14ac:dyDescent="0.2">
      <c r="A106" s="21" t="s">
        <v>4</v>
      </c>
      <c r="B106" s="21"/>
      <c r="C106" s="57"/>
      <c r="D106" s="106">
        <f>SUM(D9:D105)</f>
        <v>3454525.319999998</v>
      </c>
      <c r="E106" s="106">
        <f>SUM(E9:E105)</f>
        <v>287877.1100000001</v>
      </c>
      <c r="F106" s="59"/>
      <c r="G106" s="59"/>
      <c r="H106" s="59"/>
      <c r="I106" s="60"/>
      <c r="J106" s="21"/>
      <c r="K106" s="20"/>
    </row>
    <row r="109" spans="1:11" x14ac:dyDescent="0.2">
      <c r="A109" s="111" t="s">
        <v>17</v>
      </c>
      <c r="B109" s="111"/>
      <c r="C109" s="111"/>
      <c r="D109" s="111"/>
      <c r="E109" s="111"/>
      <c r="F109" s="111"/>
      <c r="G109" s="111"/>
      <c r="H109" s="111"/>
      <c r="I109" s="111"/>
      <c r="J109" s="111"/>
      <c r="K109" s="111"/>
    </row>
    <row r="110" spans="1:11" ht="17" x14ac:dyDescent="0.2">
      <c r="A110" s="24" t="s">
        <v>6</v>
      </c>
      <c r="B110" s="25" t="s">
        <v>5</v>
      </c>
      <c r="C110" s="26" t="s">
        <v>11</v>
      </c>
      <c r="D110" s="27" t="s">
        <v>2</v>
      </c>
      <c r="E110" s="25" t="s">
        <v>27</v>
      </c>
      <c r="F110" s="29" t="s">
        <v>13</v>
      </c>
      <c r="G110" s="32" t="s">
        <v>28</v>
      </c>
      <c r="H110" s="29" t="s">
        <v>8</v>
      </c>
      <c r="I110" s="30" t="s">
        <v>12</v>
      </c>
      <c r="J110" s="30" t="s">
        <v>22</v>
      </c>
      <c r="K110" s="31" t="s">
        <v>10</v>
      </c>
    </row>
    <row r="111" spans="1:11" ht="45" x14ac:dyDescent="0.2">
      <c r="A111" s="18" t="s">
        <v>592</v>
      </c>
      <c r="B111" s="18" t="s">
        <v>593</v>
      </c>
      <c r="C111" s="41">
        <v>469.99</v>
      </c>
      <c r="D111" s="42">
        <v>225975.84</v>
      </c>
      <c r="E111" s="42">
        <v>18831.32</v>
      </c>
      <c r="F111" s="44">
        <v>552</v>
      </c>
      <c r="G111" s="46">
        <v>46</v>
      </c>
      <c r="H111" s="44">
        <v>2</v>
      </c>
      <c r="I111" s="45">
        <v>5</v>
      </c>
      <c r="J111" s="45" t="s">
        <v>594</v>
      </c>
      <c r="K111" s="56" t="str">
        <f>HYPERLINK(J111)</f>
        <v>https://amazon.com/dp/B0FK294Z6X</v>
      </c>
    </row>
    <row r="112" spans="1:11" ht="45" x14ac:dyDescent="0.2">
      <c r="A112" s="18" t="s">
        <v>721</v>
      </c>
      <c r="B112" s="18" t="s">
        <v>722</v>
      </c>
      <c r="C112" s="41">
        <v>129.99</v>
      </c>
      <c r="D112" s="42">
        <v>29546.52</v>
      </c>
      <c r="E112" s="42">
        <v>2462.21</v>
      </c>
      <c r="F112" s="44">
        <v>228</v>
      </c>
      <c r="G112" s="46">
        <v>19</v>
      </c>
      <c r="H112" s="44"/>
      <c r="I112" s="45"/>
      <c r="J112" s="45" t="s">
        <v>723</v>
      </c>
      <c r="K112" s="56" t="str">
        <f t="shared" ref="K112:K135" si="4">HYPERLINK(J112)</f>
        <v>https://amazon.com/dp/B0F1Y5TN2Q</v>
      </c>
    </row>
    <row r="113" spans="1:11" ht="17" x14ac:dyDescent="0.2">
      <c r="A113" s="18" t="s">
        <v>649</v>
      </c>
      <c r="B113" s="18" t="s">
        <v>650</v>
      </c>
      <c r="C113" s="41">
        <v>299.99</v>
      </c>
      <c r="D113" s="42">
        <v>62430.12</v>
      </c>
      <c r="E113" s="42">
        <v>5202.51</v>
      </c>
      <c r="F113" s="44">
        <v>204</v>
      </c>
      <c r="G113" s="46">
        <v>17</v>
      </c>
      <c r="H113" s="44">
        <v>5</v>
      </c>
      <c r="I113" s="45">
        <v>2.9</v>
      </c>
      <c r="J113" s="45" t="s">
        <v>651</v>
      </c>
      <c r="K113" s="56" t="str">
        <f t="shared" si="4"/>
        <v>https://amazon.com/dp/B09HTJP92P</v>
      </c>
    </row>
    <row r="114" spans="1:11" ht="45" x14ac:dyDescent="0.2">
      <c r="A114" s="18" t="s">
        <v>595</v>
      </c>
      <c r="B114" s="18" t="s">
        <v>596</v>
      </c>
      <c r="C114" s="41">
        <v>743.73</v>
      </c>
      <c r="D114" s="42">
        <v>127683.72</v>
      </c>
      <c r="E114" s="42">
        <v>10640.31</v>
      </c>
      <c r="F114" s="44">
        <v>180</v>
      </c>
      <c r="G114" s="46">
        <v>15</v>
      </c>
      <c r="H114" s="44">
        <v>10</v>
      </c>
      <c r="I114" s="45">
        <v>4.4000000000000004</v>
      </c>
      <c r="J114" s="45" t="s">
        <v>597</v>
      </c>
      <c r="K114" s="56" t="str">
        <f t="shared" si="4"/>
        <v>https://amazon.com/dp/B0CYSS11DP</v>
      </c>
    </row>
    <row r="115" spans="1:11" ht="30" x14ac:dyDescent="0.2">
      <c r="A115" s="18" t="s">
        <v>625</v>
      </c>
      <c r="B115" s="18" t="s">
        <v>626</v>
      </c>
      <c r="C115" s="41">
        <v>424.98</v>
      </c>
      <c r="D115" s="42">
        <v>74347.92</v>
      </c>
      <c r="E115" s="42">
        <v>6195.66</v>
      </c>
      <c r="F115" s="44">
        <v>180</v>
      </c>
      <c r="G115" s="46">
        <v>15</v>
      </c>
      <c r="H115" s="44">
        <v>15</v>
      </c>
      <c r="I115" s="45">
        <v>4.7</v>
      </c>
      <c r="J115" s="45" t="s">
        <v>627</v>
      </c>
      <c r="K115" s="56" t="str">
        <f t="shared" si="4"/>
        <v>https://amazon.com/dp/B0C3D9GLTK</v>
      </c>
    </row>
    <row r="116" spans="1:11" ht="45" x14ac:dyDescent="0.2">
      <c r="A116" s="18" t="s">
        <v>604</v>
      </c>
      <c r="B116" s="18" t="s">
        <v>605</v>
      </c>
      <c r="C116" s="41">
        <v>699.99</v>
      </c>
      <c r="D116" s="42">
        <v>109363.92</v>
      </c>
      <c r="E116" s="42">
        <v>9113.66</v>
      </c>
      <c r="F116" s="44">
        <v>180</v>
      </c>
      <c r="G116" s="46">
        <v>15</v>
      </c>
      <c r="H116" s="44">
        <v>24</v>
      </c>
      <c r="I116" s="45">
        <v>4.3</v>
      </c>
      <c r="J116" s="45" t="s">
        <v>606</v>
      </c>
      <c r="K116" s="56" t="str">
        <f t="shared" si="4"/>
        <v>https://amazon.com/dp/B0D5M7WTV8</v>
      </c>
    </row>
    <row r="117" spans="1:11" ht="45" x14ac:dyDescent="0.2">
      <c r="A117" s="18" t="s">
        <v>598</v>
      </c>
      <c r="B117" s="18" t="s">
        <v>599</v>
      </c>
      <c r="C117" s="41">
        <v>743.73</v>
      </c>
      <c r="D117" s="42">
        <v>120460.68</v>
      </c>
      <c r="E117" s="42">
        <v>10038.39</v>
      </c>
      <c r="F117" s="44">
        <v>168</v>
      </c>
      <c r="G117" s="46">
        <v>14</v>
      </c>
      <c r="H117" s="44">
        <v>150</v>
      </c>
      <c r="I117" s="45">
        <v>4.3</v>
      </c>
      <c r="J117" s="45" t="s">
        <v>600</v>
      </c>
      <c r="K117" s="56" t="str">
        <f t="shared" si="4"/>
        <v>https://amazon.com/dp/B093SVJZRZ</v>
      </c>
    </row>
    <row r="118" spans="1:11" ht="45" x14ac:dyDescent="0.2">
      <c r="A118" s="18" t="s">
        <v>601</v>
      </c>
      <c r="B118" s="18" t="s">
        <v>602</v>
      </c>
      <c r="C118" s="41">
        <v>729.99</v>
      </c>
      <c r="D118" s="42">
        <v>109589.52</v>
      </c>
      <c r="E118" s="42">
        <v>9132.4599999999991</v>
      </c>
      <c r="F118" s="44">
        <v>156</v>
      </c>
      <c r="G118" s="46">
        <v>13</v>
      </c>
      <c r="H118" s="44">
        <v>10</v>
      </c>
      <c r="I118" s="45">
        <v>4.8</v>
      </c>
      <c r="J118" s="45" t="s">
        <v>603</v>
      </c>
      <c r="K118" s="56" t="str">
        <f t="shared" si="4"/>
        <v>https://amazon.com/dp/B0D7HQ7MQQ</v>
      </c>
    </row>
    <row r="119" spans="1:11" ht="45" x14ac:dyDescent="0.2">
      <c r="A119" s="18" t="s">
        <v>676</v>
      </c>
      <c r="B119" s="18" t="s">
        <v>677</v>
      </c>
      <c r="C119" s="41">
        <v>369.99</v>
      </c>
      <c r="D119" s="42">
        <v>53728.44</v>
      </c>
      <c r="E119" s="42">
        <v>4477.37</v>
      </c>
      <c r="F119" s="44">
        <v>144</v>
      </c>
      <c r="G119" s="46">
        <v>12</v>
      </c>
      <c r="H119" s="44">
        <v>8</v>
      </c>
      <c r="I119" s="45">
        <v>3.2</v>
      </c>
      <c r="J119" s="45" t="s">
        <v>678</v>
      </c>
      <c r="K119" s="56" t="str">
        <f t="shared" si="4"/>
        <v>https://amazon.com/dp/B0CWLBH81V</v>
      </c>
    </row>
    <row r="120" spans="1:11" ht="45" x14ac:dyDescent="0.2">
      <c r="A120" s="18" t="s">
        <v>610</v>
      </c>
      <c r="B120" s="18" t="s">
        <v>611</v>
      </c>
      <c r="C120" s="41">
        <v>849.99</v>
      </c>
      <c r="D120" s="42">
        <v>93013.200000000012</v>
      </c>
      <c r="E120" s="42">
        <v>7751.1</v>
      </c>
      <c r="F120" s="44">
        <v>132</v>
      </c>
      <c r="G120" s="46">
        <v>11</v>
      </c>
      <c r="H120" s="44">
        <v>24</v>
      </c>
      <c r="I120" s="45">
        <v>4.3</v>
      </c>
      <c r="J120" s="45" t="s">
        <v>612</v>
      </c>
      <c r="K120" s="56" t="str">
        <f t="shared" si="4"/>
        <v>https://amazon.com/dp/B0D5M8F5Z3</v>
      </c>
    </row>
    <row r="121" spans="1:11" ht="45" x14ac:dyDescent="0.2">
      <c r="A121" s="18" t="s">
        <v>661</v>
      </c>
      <c r="B121" s="18" t="s">
        <v>662</v>
      </c>
      <c r="C121" s="41">
        <v>559.99</v>
      </c>
      <c r="D121" s="42">
        <v>60334.319999999992</v>
      </c>
      <c r="E121" s="42">
        <v>5027.8599999999997</v>
      </c>
      <c r="F121" s="44">
        <v>132</v>
      </c>
      <c r="G121" s="46">
        <v>11</v>
      </c>
      <c r="H121" s="44">
        <v>78</v>
      </c>
      <c r="I121" s="45">
        <v>4.3</v>
      </c>
      <c r="J121" s="45" t="s">
        <v>663</v>
      </c>
      <c r="K121" s="56" t="str">
        <f t="shared" si="4"/>
        <v>https://amazon.com/dp/B0BJ733KVW</v>
      </c>
    </row>
    <row r="122" spans="1:11" ht="45" x14ac:dyDescent="0.2">
      <c r="A122" s="18" t="s">
        <v>607</v>
      </c>
      <c r="B122" s="18" t="s">
        <v>608</v>
      </c>
      <c r="C122" s="41">
        <v>807.48</v>
      </c>
      <c r="D122" s="42">
        <v>96271.680000000008</v>
      </c>
      <c r="E122" s="42">
        <v>8022.64</v>
      </c>
      <c r="F122" s="44">
        <v>120</v>
      </c>
      <c r="G122" s="46">
        <v>10</v>
      </c>
      <c r="H122" s="44">
        <v>150</v>
      </c>
      <c r="I122" s="45">
        <v>4.3</v>
      </c>
      <c r="J122" s="45" t="s">
        <v>609</v>
      </c>
      <c r="K122" s="56" t="str">
        <f t="shared" si="4"/>
        <v>https://amazon.com/dp/B093SXC6X7</v>
      </c>
    </row>
    <row r="123" spans="1:11" ht="45" x14ac:dyDescent="0.2">
      <c r="A123" s="18" t="s">
        <v>628</v>
      </c>
      <c r="B123" s="18" t="s">
        <v>629</v>
      </c>
      <c r="C123" s="41">
        <v>637.48</v>
      </c>
      <c r="D123" s="42">
        <v>74030.759999999995</v>
      </c>
      <c r="E123" s="42">
        <v>6169.23</v>
      </c>
      <c r="F123" s="44">
        <v>120</v>
      </c>
      <c r="G123" s="46">
        <v>10</v>
      </c>
      <c r="H123" s="44">
        <v>28</v>
      </c>
      <c r="I123" s="45">
        <v>4.4000000000000004</v>
      </c>
      <c r="J123" s="45" t="s">
        <v>630</v>
      </c>
      <c r="K123" s="56" t="str">
        <f t="shared" si="4"/>
        <v>https://amazon.com/dp/B0CLLJSCJ9</v>
      </c>
    </row>
    <row r="124" spans="1:11" ht="45" x14ac:dyDescent="0.2">
      <c r="A124" s="18" t="s">
        <v>730</v>
      </c>
      <c r="B124" s="18" t="s">
        <v>731</v>
      </c>
      <c r="C124" s="41">
        <v>239.92</v>
      </c>
      <c r="D124" s="42">
        <v>28025.759999999998</v>
      </c>
      <c r="E124" s="42">
        <v>2335.48</v>
      </c>
      <c r="F124" s="44">
        <v>120</v>
      </c>
      <c r="G124" s="46">
        <v>10</v>
      </c>
      <c r="H124" s="44">
        <v>13</v>
      </c>
      <c r="I124" s="45">
        <v>4.4000000000000004</v>
      </c>
      <c r="J124" s="45" t="s">
        <v>732</v>
      </c>
      <c r="K124" s="56" t="str">
        <f t="shared" si="4"/>
        <v>https://amazon.com/dp/B0B2VN9NCN</v>
      </c>
    </row>
    <row r="125" spans="1:11" ht="45" x14ac:dyDescent="0.2">
      <c r="A125" s="18" t="s">
        <v>613</v>
      </c>
      <c r="B125" s="18" t="s">
        <v>614</v>
      </c>
      <c r="C125" s="41">
        <v>799.99</v>
      </c>
      <c r="D125" s="42">
        <v>87759.24</v>
      </c>
      <c r="E125" s="42">
        <v>7313.27</v>
      </c>
      <c r="F125" s="44">
        <v>120</v>
      </c>
      <c r="G125" s="46">
        <v>10</v>
      </c>
      <c r="H125" s="44">
        <v>10</v>
      </c>
      <c r="I125" s="45">
        <v>4.8</v>
      </c>
      <c r="J125" s="45" t="s">
        <v>615</v>
      </c>
      <c r="K125" s="56" t="str">
        <f t="shared" si="4"/>
        <v>https://amazon.com/dp/B0DWS2LD48</v>
      </c>
    </row>
    <row r="126" spans="1:11" ht="45" x14ac:dyDescent="0.2">
      <c r="A126" s="18" t="s">
        <v>682</v>
      </c>
      <c r="B126" s="18" t="s">
        <v>683</v>
      </c>
      <c r="C126" s="41">
        <v>369.99</v>
      </c>
      <c r="D126" s="42">
        <v>45481.08</v>
      </c>
      <c r="E126" s="42">
        <v>3790.09</v>
      </c>
      <c r="F126" s="44">
        <v>120</v>
      </c>
      <c r="G126" s="46">
        <v>10</v>
      </c>
      <c r="H126" s="44">
        <v>514</v>
      </c>
      <c r="I126" s="45">
        <v>4.2</v>
      </c>
      <c r="J126" s="45" t="s">
        <v>684</v>
      </c>
      <c r="K126" s="56" t="str">
        <f t="shared" si="4"/>
        <v>https://amazon.com/dp/B0B4SDBMPX</v>
      </c>
    </row>
    <row r="127" spans="1:11" ht="45" x14ac:dyDescent="0.2">
      <c r="A127" s="18" t="s">
        <v>619</v>
      </c>
      <c r="B127" s="18" t="s">
        <v>620</v>
      </c>
      <c r="C127" s="41">
        <v>743.73</v>
      </c>
      <c r="D127" s="42">
        <v>85874.16</v>
      </c>
      <c r="E127" s="42">
        <v>7156.18</v>
      </c>
      <c r="F127" s="44">
        <v>120</v>
      </c>
      <c r="G127" s="46">
        <v>10</v>
      </c>
      <c r="H127" s="44">
        <v>4</v>
      </c>
      <c r="I127" s="45">
        <v>5</v>
      </c>
      <c r="J127" s="45" t="s">
        <v>621</v>
      </c>
      <c r="K127" s="56" t="str">
        <f t="shared" si="4"/>
        <v>https://amazon.com/dp/B0DJ7H7Q3J</v>
      </c>
    </row>
    <row r="128" spans="1:11" ht="60" x14ac:dyDescent="0.2">
      <c r="A128" s="18" t="s">
        <v>616</v>
      </c>
      <c r="B128" s="18" t="s">
        <v>617</v>
      </c>
      <c r="C128" s="41">
        <v>956.23</v>
      </c>
      <c r="D128" s="42">
        <v>87071.4</v>
      </c>
      <c r="E128" s="42">
        <v>7255.95</v>
      </c>
      <c r="F128" s="44">
        <v>96</v>
      </c>
      <c r="G128" s="46">
        <v>8</v>
      </c>
      <c r="H128" s="44">
        <v>1</v>
      </c>
      <c r="I128" s="45">
        <v>5</v>
      </c>
      <c r="J128" s="45" t="s">
        <v>618</v>
      </c>
      <c r="K128" s="56" t="str">
        <f t="shared" si="4"/>
        <v>https://amazon.com/dp/B0DNW97B3J</v>
      </c>
    </row>
    <row r="129" spans="1:11" ht="45" x14ac:dyDescent="0.2">
      <c r="A129" s="18" t="s">
        <v>622</v>
      </c>
      <c r="B129" s="18" t="s">
        <v>623</v>
      </c>
      <c r="C129" s="41">
        <v>899.99</v>
      </c>
      <c r="D129" s="42">
        <v>80499.72</v>
      </c>
      <c r="E129" s="42">
        <v>6708.31</v>
      </c>
      <c r="F129" s="44">
        <v>96</v>
      </c>
      <c r="G129" s="46">
        <v>8</v>
      </c>
      <c r="H129" s="44">
        <v>24</v>
      </c>
      <c r="I129" s="45">
        <v>4.3</v>
      </c>
      <c r="J129" s="45" t="s">
        <v>624</v>
      </c>
      <c r="K129" s="56" t="str">
        <f t="shared" si="4"/>
        <v>https://amazon.com/dp/B0FFMQ54P9</v>
      </c>
    </row>
    <row r="130" spans="1:11" ht="45" x14ac:dyDescent="0.2">
      <c r="A130" s="18" t="s">
        <v>655</v>
      </c>
      <c r="B130" s="18" t="s">
        <v>656</v>
      </c>
      <c r="C130" s="41">
        <v>599.99</v>
      </c>
      <c r="D130" s="42">
        <v>60510.84</v>
      </c>
      <c r="E130" s="42">
        <v>5042.57</v>
      </c>
      <c r="F130" s="44">
        <v>96</v>
      </c>
      <c r="G130" s="46">
        <v>8</v>
      </c>
      <c r="H130" s="44">
        <v>46</v>
      </c>
      <c r="I130" s="45">
        <v>4.3</v>
      </c>
      <c r="J130" s="45" t="s">
        <v>657</v>
      </c>
      <c r="K130" s="56" t="str">
        <f t="shared" si="4"/>
        <v>https://amazon.com/dp/B0BJKTWZBV</v>
      </c>
    </row>
    <row r="131" spans="1:11" ht="45" x14ac:dyDescent="0.2">
      <c r="A131" s="18" t="s">
        <v>631</v>
      </c>
      <c r="B131" s="18" t="s">
        <v>632</v>
      </c>
      <c r="C131" s="41">
        <v>818.11</v>
      </c>
      <c r="D131" s="42">
        <v>72303.72</v>
      </c>
      <c r="E131" s="42">
        <v>6025.31</v>
      </c>
      <c r="F131" s="44">
        <v>96</v>
      </c>
      <c r="G131" s="46">
        <v>8</v>
      </c>
      <c r="H131" s="44">
        <v>10</v>
      </c>
      <c r="I131" s="45">
        <v>4.4000000000000004</v>
      </c>
      <c r="J131" s="45" t="s">
        <v>633</v>
      </c>
      <c r="K131" s="56" t="str">
        <f t="shared" si="4"/>
        <v>https://amazon.com/dp/B0CYSTX8HK</v>
      </c>
    </row>
    <row r="132" spans="1:11" ht="45" x14ac:dyDescent="0.2">
      <c r="A132" s="18" t="s">
        <v>694</v>
      </c>
      <c r="B132" s="18" t="s">
        <v>695</v>
      </c>
      <c r="C132" s="41">
        <v>459.99</v>
      </c>
      <c r="D132" s="42">
        <v>40036.080000000002</v>
      </c>
      <c r="E132" s="42">
        <v>3336.34</v>
      </c>
      <c r="F132" s="44">
        <v>96</v>
      </c>
      <c r="G132" s="46">
        <v>8</v>
      </c>
      <c r="H132" s="44">
        <v>514</v>
      </c>
      <c r="I132" s="45">
        <v>4.2</v>
      </c>
      <c r="J132" s="45" t="s">
        <v>696</v>
      </c>
      <c r="K132" s="56" t="str">
        <f t="shared" si="4"/>
        <v>https://amazon.com/dp/B07PWZ3KKF</v>
      </c>
    </row>
    <row r="133" spans="1:11" ht="45" x14ac:dyDescent="0.2">
      <c r="A133" s="18" t="s">
        <v>700</v>
      </c>
      <c r="B133" s="18" t="s">
        <v>701</v>
      </c>
      <c r="C133" s="41">
        <v>499.99</v>
      </c>
      <c r="D133" s="42">
        <v>38397.72</v>
      </c>
      <c r="E133" s="42">
        <v>3199.81</v>
      </c>
      <c r="F133" s="44">
        <v>96</v>
      </c>
      <c r="G133" s="46">
        <v>8</v>
      </c>
      <c r="H133" s="44">
        <v>1</v>
      </c>
      <c r="I133" s="45">
        <v>5</v>
      </c>
      <c r="J133" s="45" t="s">
        <v>702</v>
      </c>
      <c r="K133" s="56" t="str">
        <f t="shared" si="4"/>
        <v>https://amazon.com/dp/B0FKB5XRTJ</v>
      </c>
    </row>
    <row r="134" spans="1:11" ht="45" x14ac:dyDescent="0.2">
      <c r="A134" s="18" t="s">
        <v>667</v>
      </c>
      <c r="B134" s="18" t="s">
        <v>668</v>
      </c>
      <c r="C134" s="41">
        <v>699.99</v>
      </c>
      <c r="D134" s="42">
        <v>55143</v>
      </c>
      <c r="E134" s="42">
        <v>4595.25</v>
      </c>
      <c r="F134" s="44">
        <v>96</v>
      </c>
      <c r="G134" s="46">
        <v>8</v>
      </c>
      <c r="H134" s="44">
        <v>78</v>
      </c>
      <c r="I134" s="45">
        <v>4.3</v>
      </c>
      <c r="J134" s="45" t="s">
        <v>669</v>
      </c>
      <c r="K134" s="56" t="str">
        <f t="shared" si="4"/>
        <v>https://amazon.com/dp/B0BTYF8KX6</v>
      </c>
    </row>
    <row r="135" spans="1:11" ht="45" x14ac:dyDescent="0.2">
      <c r="A135" s="18" t="s">
        <v>640</v>
      </c>
      <c r="B135" s="18" t="s">
        <v>641</v>
      </c>
      <c r="C135" s="41">
        <v>899.99</v>
      </c>
      <c r="D135" s="42">
        <v>70711.56</v>
      </c>
      <c r="E135" s="42">
        <v>5892.63</v>
      </c>
      <c r="F135" s="44">
        <v>84</v>
      </c>
      <c r="G135" s="46">
        <v>7</v>
      </c>
      <c r="H135" s="44">
        <v>5</v>
      </c>
      <c r="I135" s="45">
        <v>3.4</v>
      </c>
      <c r="J135" s="45" t="s">
        <v>642</v>
      </c>
      <c r="K135" s="56" t="str">
        <f t="shared" si="4"/>
        <v>https://amazon.com/dp/B0D72PXLG7</v>
      </c>
    </row>
    <row r="136" spans="1:11" ht="45" x14ac:dyDescent="0.2">
      <c r="A136" s="18" t="s">
        <v>673</v>
      </c>
      <c r="B136" s="18" t="s">
        <v>674</v>
      </c>
      <c r="C136" s="41">
        <v>669.97</v>
      </c>
      <c r="D136" s="42">
        <v>54653.64</v>
      </c>
      <c r="E136" s="42">
        <v>4554.47</v>
      </c>
      <c r="F136" s="44">
        <v>84</v>
      </c>
      <c r="G136" s="46">
        <v>7</v>
      </c>
      <c r="H136" s="44">
        <v>28</v>
      </c>
      <c r="I136" s="45">
        <v>4.4000000000000004</v>
      </c>
      <c r="J136" s="45" t="s">
        <v>675</v>
      </c>
      <c r="K136" s="56" t="str">
        <f t="shared" ref="K136:K159" si="5">HYPERLINK(J136)</f>
        <v>https://amazon.com/dp/B0DDXDMTPR</v>
      </c>
    </row>
    <row r="137" spans="1:11" ht="45" x14ac:dyDescent="0.2">
      <c r="A137" s="18" t="s">
        <v>643</v>
      </c>
      <c r="B137" s="18" t="s">
        <v>644</v>
      </c>
      <c r="C137" s="41">
        <v>799.99</v>
      </c>
      <c r="D137" s="42">
        <v>67907.520000000004</v>
      </c>
      <c r="E137" s="42">
        <v>5658.96</v>
      </c>
      <c r="F137" s="44">
        <v>84</v>
      </c>
      <c r="G137" s="46">
        <v>7</v>
      </c>
      <c r="H137" s="44">
        <v>3</v>
      </c>
      <c r="I137" s="45">
        <v>4.5</v>
      </c>
      <c r="J137" s="45" t="s">
        <v>645</v>
      </c>
      <c r="K137" s="56" t="str">
        <f t="shared" si="5"/>
        <v>https://amazon.com/dp/B0CRL4S23X</v>
      </c>
    </row>
    <row r="138" spans="1:11" ht="45" x14ac:dyDescent="0.2">
      <c r="A138" s="18" t="s">
        <v>634</v>
      </c>
      <c r="B138" s="18" t="s">
        <v>635</v>
      </c>
      <c r="C138" s="41">
        <v>723.34</v>
      </c>
      <c r="D138" s="42">
        <v>71466.48</v>
      </c>
      <c r="E138" s="42">
        <v>5955.54</v>
      </c>
      <c r="F138" s="44">
        <v>84</v>
      </c>
      <c r="G138" s="46">
        <v>7</v>
      </c>
      <c r="H138" s="44">
        <v>91</v>
      </c>
      <c r="I138" s="45">
        <v>4.3</v>
      </c>
      <c r="J138" s="45" t="s">
        <v>636</v>
      </c>
      <c r="K138" s="56" t="str">
        <f t="shared" si="5"/>
        <v>https://amazon.com/dp/B09441WDJ9</v>
      </c>
    </row>
    <row r="139" spans="1:11" ht="45" x14ac:dyDescent="0.2">
      <c r="A139" s="18" t="s">
        <v>637</v>
      </c>
      <c r="B139" s="18" t="s">
        <v>638</v>
      </c>
      <c r="C139" s="41">
        <v>999.99</v>
      </c>
      <c r="D139" s="42">
        <v>70881</v>
      </c>
      <c r="E139" s="42">
        <v>5906.75</v>
      </c>
      <c r="F139" s="44">
        <v>84</v>
      </c>
      <c r="G139" s="46">
        <v>7</v>
      </c>
      <c r="H139" s="44">
        <v>10</v>
      </c>
      <c r="I139" s="45">
        <v>4.8</v>
      </c>
      <c r="J139" s="45" t="s">
        <v>639</v>
      </c>
      <c r="K139" s="56" t="str">
        <f t="shared" si="5"/>
        <v>https://amazon.com/dp/B0D7HRSBK7</v>
      </c>
    </row>
    <row r="140" spans="1:11" ht="30" x14ac:dyDescent="0.2">
      <c r="A140" s="18" t="s">
        <v>736</v>
      </c>
      <c r="B140" s="18" t="s">
        <v>737</v>
      </c>
      <c r="C140" s="41">
        <v>369.94</v>
      </c>
      <c r="D140" s="42">
        <v>25232.04</v>
      </c>
      <c r="E140" s="42">
        <v>2102.67</v>
      </c>
      <c r="F140" s="44">
        <v>72</v>
      </c>
      <c r="G140" s="46">
        <v>6</v>
      </c>
      <c r="H140" s="44">
        <v>2</v>
      </c>
      <c r="I140" s="45">
        <v>5</v>
      </c>
      <c r="J140" s="45" t="s">
        <v>738</v>
      </c>
      <c r="K140" s="56" t="str">
        <f t="shared" si="5"/>
        <v>https://amazon.com/dp/B0D1CG3JXK</v>
      </c>
    </row>
    <row r="141" spans="1:11" ht="45" x14ac:dyDescent="0.2">
      <c r="A141" s="18" t="s">
        <v>646</v>
      </c>
      <c r="B141" s="18" t="s">
        <v>647</v>
      </c>
      <c r="C141" s="41">
        <v>899.99</v>
      </c>
      <c r="D141" s="42">
        <v>66806.52</v>
      </c>
      <c r="E141" s="42">
        <v>5567.21</v>
      </c>
      <c r="F141" s="44">
        <v>72</v>
      </c>
      <c r="G141" s="46">
        <v>6</v>
      </c>
      <c r="H141" s="44">
        <v>1</v>
      </c>
      <c r="I141" s="45">
        <v>5</v>
      </c>
      <c r="J141" s="45" t="s">
        <v>648</v>
      </c>
      <c r="K141" s="56" t="str">
        <f t="shared" si="5"/>
        <v>https://amazon.com/dp/B0DGCZ99ZM</v>
      </c>
    </row>
    <row r="142" spans="1:11" ht="17" x14ac:dyDescent="0.2">
      <c r="A142" s="18" t="s">
        <v>790</v>
      </c>
      <c r="B142" s="18" t="s">
        <v>791</v>
      </c>
      <c r="C142" s="41">
        <v>129.99</v>
      </c>
      <c r="D142" s="42">
        <v>9285.48</v>
      </c>
      <c r="E142" s="42">
        <v>773.79</v>
      </c>
      <c r="F142" s="44">
        <v>72</v>
      </c>
      <c r="G142" s="46">
        <v>6</v>
      </c>
      <c r="H142" s="44">
        <v>2</v>
      </c>
      <c r="I142" s="45">
        <v>5</v>
      </c>
      <c r="J142" s="45" t="s">
        <v>792</v>
      </c>
      <c r="K142" s="56" t="str">
        <f t="shared" si="5"/>
        <v>https://amazon.com/dp/B0CNLB131J</v>
      </c>
    </row>
    <row r="143" spans="1:11" ht="45" x14ac:dyDescent="0.2">
      <c r="A143" s="18" t="s">
        <v>688</v>
      </c>
      <c r="B143" s="18" t="s">
        <v>689</v>
      </c>
      <c r="C143" s="41">
        <v>599.99</v>
      </c>
      <c r="D143" s="42">
        <v>42027.48</v>
      </c>
      <c r="E143" s="42">
        <v>3502.29</v>
      </c>
      <c r="F143" s="44">
        <v>60</v>
      </c>
      <c r="G143" s="46">
        <v>5</v>
      </c>
      <c r="H143" s="44">
        <v>46</v>
      </c>
      <c r="I143" s="45">
        <v>4.3</v>
      </c>
      <c r="J143" s="45" t="s">
        <v>690</v>
      </c>
      <c r="K143" s="56" t="str">
        <f t="shared" si="5"/>
        <v>https://amazon.com/dp/B0CBS872G4</v>
      </c>
    </row>
    <row r="144" spans="1:11" ht="45" x14ac:dyDescent="0.2">
      <c r="A144" s="18" t="s">
        <v>679</v>
      </c>
      <c r="B144" s="18" t="s">
        <v>680</v>
      </c>
      <c r="C144" s="41">
        <v>799.99</v>
      </c>
      <c r="D144" s="42">
        <v>45502.68</v>
      </c>
      <c r="E144" s="42">
        <v>3791.89</v>
      </c>
      <c r="F144" s="44">
        <v>60</v>
      </c>
      <c r="G144" s="46">
        <v>5</v>
      </c>
      <c r="H144" s="44">
        <v>78</v>
      </c>
      <c r="I144" s="45">
        <v>4.3</v>
      </c>
      <c r="J144" s="45" t="s">
        <v>681</v>
      </c>
      <c r="K144" s="56" t="str">
        <f t="shared" si="5"/>
        <v>https://amazon.com/dp/B0C188GCNS</v>
      </c>
    </row>
    <row r="145" spans="1:11" ht="45" x14ac:dyDescent="0.2">
      <c r="A145" s="18" t="s">
        <v>685</v>
      </c>
      <c r="B145" s="18" t="s">
        <v>686</v>
      </c>
      <c r="C145" s="41">
        <v>800</v>
      </c>
      <c r="D145" s="42">
        <v>45084.480000000003</v>
      </c>
      <c r="E145" s="42">
        <v>3757.04</v>
      </c>
      <c r="F145" s="44">
        <v>60</v>
      </c>
      <c r="G145" s="46">
        <v>5</v>
      </c>
      <c r="H145" s="44">
        <v>173</v>
      </c>
      <c r="I145" s="45">
        <v>3.9</v>
      </c>
      <c r="J145" s="45" t="s">
        <v>687</v>
      </c>
      <c r="K145" s="56" t="str">
        <f t="shared" si="5"/>
        <v>https://amazon.com/dp/B0C22ZS2FC</v>
      </c>
    </row>
    <row r="146" spans="1:11" ht="45" x14ac:dyDescent="0.2">
      <c r="A146" s="18" t="s">
        <v>724</v>
      </c>
      <c r="B146" s="18" t="s">
        <v>725</v>
      </c>
      <c r="C146" s="41">
        <v>489.99</v>
      </c>
      <c r="D146" s="42">
        <v>29117.040000000001</v>
      </c>
      <c r="E146" s="42">
        <v>2426.42</v>
      </c>
      <c r="F146" s="44">
        <v>60</v>
      </c>
      <c r="G146" s="46">
        <v>5</v>
      </c>
      <c r="H146" s="44">
        <v>514</v>
      </c>
      <c r="I146" s="45">
        <v>4.2</v>
      </c>
      <c r="J146" s="45" t="s">
        <v>726</v>
      </c>
      <c r="K146" s="56" t="str">
        <f t="shared" si="5"/>
        <v>https://amazon.com/dp/B07PBZZKJD</v>
      </c>
    </row>
    <row r="147" spans="1:11" ht="30" x14ac:dyDescent="0.2">
      <c r="A147" s="18" t="s">
        <v>781</v>
      </c>
      <c r="B147" s="18" t="s">
        <v>782</v>
      </c>
      <c r="C147" s="41">
        <v>179.99</v>
      </c>
      <c r="D147" s="42">
        <v>11045.52</v>
      </c>
      <c r="E147" s="42">
        <v>920.46</v>
      </c>
      <c r="F147" s="44">
        <v>60</v>
      </c>
      <c r="G147" s="46">
        <v>5</v>
      </c>
      <c r="H147" s="44">
        <v>21</v>
      </c>
      <c r="I147" s="45">
        <v>4</v>
      </c>
      <c r="J147" s="45" t="s">
        <v>783</v>
      </c>
      <c r="K147" s="56" t="str">
        <f t="shared" si="5"/>
        <v>https://amazon.com/dp/B08HH9899J</v>
      </c>
    </row>
    <row r="148" spans="1:11" ht="45" x14ac:dyDescent="0.2">
      <c r="A148" s="18" t="s">
        <v>751</v>
      </c>
      <c r="B148" s="18" t="s">
        <v>752</v>
      </c>
      <c r="C148" s="41">
        <v>319.99</v>
      </c>
      <c r="D148" s="42">
        <v>19536</v>
      </c>
      <c r="E148" s="42">
        <v>1628</v>
      </c>
      <c r="F148" s="44">
        <v>60</v>
      </c>
      <c r="G148" s="46">
        <v>5</v>
      </c>
      <c r="H148" s="44"/>
      <c r="I148" s="45"/>
      <c r="J148" s="45" t="s">
        <v>753</v>
      </c>
      <c r="K148" s="56" t="str">
        <f t="shared" si="5"/>
        <v>https://amazon.com/dp/B0CH7QT9YD</v>
      </c>
    </row>
    <row r="149" spans="1:11" ht="45" x14ac:dyDescent="0.2">
      <c r="A149" s="18" t="s">
        <v>658</v>
      </c>
      <c r="B149" s="18" t="s">
        <v>659</v>
      </c>
      <c r="C149" s="41">
        <v>999.99</v>
      </c>
      <c r="D149" s="42">
        <v>60377.279999999999</v>
      </c>
      <c r="E149" s="42">
        <v>5031.4399999999996</v>
      </c>
      <c r="F149" s="44">
        <v>60</v>
      </c>
      <c r="G149" s="46">
        <v>5</v>
      </c>
      <c r="H149" s="44">
        <v>25</v>
      </c>
      <c r="I149" s="45">
        <v>4.4000000000000004</v>
      </c>
      <c r="J149" s="45" t="s">
        <v>660</v>
      </c>
      <c r="K149" s="56" t="str">
        <f t="shared" si="5"/>
        <v>https://amazon.com/dp/B0FFML9DVK</v>
      </c>
    </row>
    <row r="150" spans="1:11" ht="45" x14ac:dyDescent="0.2">
      <c r="A150" s="18" t="s">
        <v>664</v>
      </c>
      <c r="B150" s="18" t="s">
        <v>665</v>
      </c>
      <c r="C150" s="41">
        <v>999.99</v>
      </c>
      <c r="D150" s="42">
        <v>55961.759999999987</v>
      </c>
      <c r="E150" s="42">
        <v>4663.4799999999996</v>
      </c>
      <c r="F150" s="44">
        <v>60</v>
      </c>
      <c r="G150" s="46">
        <v>5</v>
      </c>
      <c r="H150" s="44">
        <v>10</v>
      </c>
      <c r="I150" s="45">
        <v>4.8</v>
      </c>
      <c r="J150" s="45" t="s">
        <v>666</v>
      </c>
      <c r="K150" s="56" t="str">
        <f t="shared" si="5"/>
        <v>https://amazon.com/dp/B0D736PNX1</v>
      </c>
    </row>
    <row r="151" spans="1:11" ht="45" x14ac:dyDescent="0.2">
      <c r="A151" s="18" t="s">
        <v>652</v>
      </c>
      <c r="B151" s="18" t="s">
        <v>653</v>
      </c>
      <c r="C151" s="41">
        <v>999.99</v>
      </c>
      <c r="D151" s="42">
        <v>61994.16</v>
      </c>
      <c r="E151" s="42">
        <v>5166.18</v>
      </c>
      <c r="F151" s="44">
        <v>60</v>
      </c>
      <c r="G151" s="46">
        <v>5</v>
      </c>
      <c r="H151" s="44">
        <v>3</v>
      </c>
      <c r="I151" s="45">
        <v>2.5</v>
      </c>
      <c r="J151" s="45" t="s">
        <v>654</v>
      </c>
      <c r="K151" s="56" t="str">
        <f t="shared" si="5"/>
        <v>https://amazon.com/dp/B0DJ7J5NMH</v>
      </c>
    </row>
    <row r="152" spans="1:11" ht="30" x14ac:dyDescent="0.2">
      <c r="A152" s="18" t="s">
        <v>670</v>
      </c>
      <c r="B152" s="18" t="s">
        <v>671</v>
      </c>
      <c r="C152" s="41">
        <v>999.99</v>
      </c>
      <c r="D152" s="42">
        <v>54973.08</v>
      </c>
      <c r="E152" s="42">
        <v>4581.09</v>
      </c>
      <c r="F152" s="44">
        <v>60</v>
      </c>
      <c r="G152" s="46">
        <v>5</v>
      </c>
      <c r="H152" s="44">
        <v>82</v>
      </c>
      <c r="I152" s="45">
        <v>4.0999999999999996</v>
      </c>
      <c r="J152" s="45" t="s">
        <v>672</v>
      </c>
      <c r="K152" s="56" t="str">
        <f t="shared" si="5"/>
        <v>https://amazon.com/dp/B0BRYYQ9TV</v>
      </c>
    </row>
    <row r="153" spans="1:11" ht="45" x14ac:dyDescent="0.2">
      <c r="A153" s="18" t="s">
        <v>712</v>
      </c>
      <c r="B153" s="18" t="s">
        <v>713</v>
      </c>
      <c r="C153" s="41">
        <v>759.99</v>
      </c>
      <c r="D153" s="42">
        <v>34266.36</v>
      </c>
      <c r="E153" s="42">
        <v>2855.53</v>
      </c>
      <c r="F153" s="44">
        <v>48</v>
      </c>
      <c r="G153" s="46">
        <v>4</v>
      </c>
      <c r="H153" s="44">
        <v>50</v>
      </c>
      <c r="I153" s="45">
        <v>4.0999999999999996</v>
      </c>
      <c r="J153" s="45" t="s">
        <v>714</v>
      </c>
      <c r="K153" s="56" t="str">
        <f t="shared" si="5"/>
        <v>https://amazon.com/dp/B0FPQRJL3Z</v>
      </c>
    </row>
    <row r="154" spans="1:11" ht="45" x14ac:dyDescent="0.2">
      <c r="A154" s="18" t="s">
        <v>754</v>
      </c>
      <c r="B154" s="18" t="s">
        <v>755</v>
      </c>
      <c r="C154" s="41">
        <v>489.99</v>
      </c>
      <c r="D154" s="42">
        <v>19398.12</v>
      </c>
      <c r="E154" s="42">
        <v>1616.51</v>
      </c>
      <c r="F154" s="44">
        <v>48</v>
      </c>
      <c r="G154" s="46">
        <v>4</v>
      </c>
      <c r="H154" s="44">
        <v>83</v>
      </c>
      <c r="I154" s="45">
        <v>4.3</v>
      </c>
      <c r="J154" s="45" t="s">
        <v>756</v>
      </c>
      <c r="K154" s="56" t="str">
        <f t="shared" si="5"/>
        <v>https://amazon.com/dp/B07T7G66P8</v>
      </c>
    </row>
    <row r="155" spans="1:11" ht="45" x14ac:dyDescent="0.2">
      <c r="A155" s="18" t="s">
        <v>703</v>
      </c>
      <c r="B155" s="18" t="s">
        <v>704</v>
      </c>
      <c r="C155" s="41">
        <v>799.99</v>
      </c>
      <c r="D155" s="42">
        <v>36756.120000000003</v>
      </c>
      <c r="E155" s="42">
        <v>3063.01</v>
      </c>
      <c r="F155" s="44">
        <v>48</v>
      </c>
      <c r="G155" s="46">
        <v>4</v>
      </c>
      <c r="H155" s="44">
        <v>36</v>
      </c>
      <c r="I155" s="45">
        <v>4</v>
      </c>
      <c r="J155" s="45" t="s">
        <v>705</v>
      </c>
      <c r="K155" s="56" t="str">
        <f t="shared" si="5"/>
        <v>https://amazon.com/dp/B0CQK1GSHP</v>
      </c>
    </row>
    <row r="156" spans="1:11" ht="45" x14ac:dyDescent="0.2">
      <c r="A156" s="18" t="s">
        <v>715</v>
      </c>
      <c r="B156" s="18" t="s">
        <v>716</v>
      </c>
      <c r="C156" s="41">
        <v>699.99</v>
      </c>
      <c r="D156" s="42">
        <v>33905.879999999997</v>
      </c>
      <c r="E156" s="42">
        <v>2825.49</v>
      </c>
      <c r="F156" s="44">
        <v>48</v>
      </c>
      <c r="G156" s="46">
        <v>4</v>
      </c>
      <c r="H156" s="44">
        <v>24</v>
      </c>
      <c r="I156" s="45">
        <v>4.0999999999999996</v>
      </c>
      <c r="J156" s="45" t="s">
        <v>717</v>
      </c>
      <c r="K156" s="56" t="str">
        <f t="shared" si="5"/>
        <v>https://amazon.com/dp/B0B2JT9WQD</v>
      </c>
    </row>
    <row r="157" spans="1:11" ht="45" x14ac:dyDescent="0.2">
      <c r="A157" s="18" t="s">
        <v>709</v>
      </c>
      <c r="B157" s="18" t="s">
        <v>710</v>
      </c>
      <c r="C157" s="41">
        <v>799.99</v>
      </c>
      <c r="D157" s="42">
        <v>36266.76</v>
      </c>
      <c r="E157" s="42">
        <v>3022.23</v>
      </c>
      <c r="F157" s="44">
        <v>48</v>
      </c>
      <c r="G157" s="46">
        <v>4</v>
      </c>
      <c r="H157" s="44">
        <v>3</v>
      </c>
      <c r="I157" s="45">
        <v>3</v>
      </c>
      <c r="J157" s="45" t="s">
        <v>711</v>
      </c>
      <c r="K157" s="56" t="str">
        <f t="shared" si="5"/>
        <v>https://amazon.com/dp/B0DBZP6GCT</v>
      </c>
    </row>
    <row r="158" spans="1:11" ht="45" x14ac:dyDescent="0.2">
      <c r="A158" s="18" t="s">
        <v>739</v>
      </c>
      <c r="B158" s="18" t="s">
        <v>740</v>
      </c>
      <c r="C158" s="41">
        <v>529.99</v>
      </c>
      <c r="D158" s="42">
        <v>24902.400000000001</v>
      </c>
      <c r="E158" s="42">
        <v>2075.1999999999998</v>
      </c>
      <c r="F158" s="44">
        <v>48</v>
      </c>
      <c r="G158" s="46">
        <v>4</v>
      </c>
      <c r="H158" s="44">
        <v>514</v>
      </c>
      <c r="I158" s="45">
        <v>4.2</v>
      </c>
      <c r="J158" s="45" t="s">
        <v>741</v>
      </c>
      <c r="K158" s="56" t="str">
        <f t="shared" si="5"/>
        <v>https://amazon.com/dp/B07RGV67HY</v>
      </c>
    </row>
    <row r="159" spans="1:11" ht="45" x14ac:dyDescent="0.2">
      <c r="A159" s="18" t="s">
        <v>697</v>
      </c>
      <c r="B159" s="18" t="s">
        <v>698</v>
      </c>
      <c r="C159" s="41">
        <v>892.48</v>
      </c>
      <c r="D159" s="42">
        <v>38961.96</v>
      </c>
      <c r="E159" s="42">
        <v>3246.83</v>
      </c>
      <c r="F159" s="44">
        <v>48</v>
      </c>
      <c r="G159" s="46">
        <v>4</v>
      </c>
      <c r="H159" s="44">
        <v>10</v>
      </c>
      <c r="I159" s="45">
        <v>4.4000000000000004</v>
      </c>
      <c r="J159" s="45" t="s">
        <v>699</v>
      </c>
      <c r="K159" s="56" t="str">
        <f t="shared" si="5"/>
        <v>https://amazon.com/dp/B0CYSJHBGQ</v>
      </c>
    </row>
    <row r="160" spans="1:11" ht="45" x14ac:dyDescent="0.2">
      <c r="A160" s="18" t="s">
        <v>706</v>
      </c>
      <c r="B160" s="18" t="s">
        <v>707</v>
      </c>
      <c r="C160" s="41">
        <v>799.99</v>
      </c>
      <c r="D160" s="42">
        <v>36278.28</v>
      </c>
      <c r="E160" s="42">
        <v>3023.19</v>
      </c>
      <c r="F160" s="44">
        <v>48</v>
      </c>
      <c r="G160" s="46">
        <v>4</v>
      </c>
      <c r="H160" s="44">
        <v>77</v>
      </c>
      <c r="I160" s="45">
        <v>4.3</v>
      </c>
      <c r="J160" s="45" t="s">
        <v>708</v>
      </c>
      <c r="K160" s="56" t="str">
        <f t="shared" ref="K160:K183" si="6">HYPERLINK(J160)</f>
        <v>https://amazon.com/dp/B0B4CWFVBY</v>
      </c>
    </row>
    <row r="161" spans="1:11" ht="45" x14ac:dyDescent="0.2">
      <c r="A161" s="18" t="s">
        <v>742</v>
      </c>
      <c r="B161" s="18" t="s">
        <v>743</v>
      </c>
      <c r="C161" s="41">
        <v>569.99</v>
      </c>
      <c r="D161" s="42">
        <v>24767.759999999998</v>
      </c>
      <c r="E161" s="42">
        <v>2063.98</v>
      </c>
      <c r="F161" s="44">
        <v>48</v>
      </c>
      <c r="G161" s="46">
        <v>4</v>
      </c>
      <c r="H161" s="44">
        <v>514</v>
      </c>
      <c r="I161" s="45">
        <v>4.2</v>
      </c>
      <c r="J161" s="45" t="s">
        <v>744</v>
      </c>
      <c r="K161" s="56" t="str">
        <f t="shared" si="6"/>
        <v>https://amazon.com/dp/B0CYGX2KY3</v>
      </c>
    </row>
    <row r="162" spans="1:11" ht="45" x14ac:dyDescent="0.2">
      <c r="A162" s="18" t="s">
        <v>775</v>
      </c>
      <c r="B162" s="18" t="s">
        <v>776</v>
      </c>
      <c r="C162" s="41">
        <v>299.99</v>
      </c>
      <c r="D162" s="42">
        <v>12447.12</v>
      </c>
      <c r="E162" s="42">
        <v>1037.26</v>
      </c>
      <c r="F162" s="44">
        <v>36</v>
      </c>
      <c r="G162" s="46">
        <v>3</v>
      </c>
      <c r="H162" s="44">
        <v>13</v>
      </c>
      <c r="I162" s="45">
        <v>4.4000000000000004</v>
      </c>
      <c r="J162" s="45" t="s">
        <v>777</v>
      </c>
      <c r="K162" s="56" t="str">
        <f t="shared" si="6"/>
        <v>https://amazon.com/dp/B0B2VGF8L5</v>
      </c>
    </row>
    <row r="163" spans="1:11" ht="45" x14ac:dyDescent="0.2">
      <c r="A163" s="18" t="s">
        <v>727</v>
      </c>
      <c r="B163" s="18" t="s">
        <v>728</v>
      </c>
      <c r="C163" s="41">
        <v>899.99</v>
      </c>
      <c r="D163" s="42">
        <v>29071.8</v>
      </c>
      <c r="E163" s="42">
        <v>2422.65</v>
      </c>
      <c r="F163" s="44">
        <v>36</v>
      </c>
      <c r="G163" s="46">
        <v>3</v>
      </c>
      <c r="H163" s="44">
        <v>78</v>
      </c>
      <c r="I163" s="45">
        <v>4.3</v>
      </c>
      <c r="J163" s="45" t="s">
        <v>729</v>
      </c>
      <c r="K163" s="56" t="str">
        <f t="shared" si="6"/>
        <v>https://amazon.com/dp/B0DSZR774M</v>
      </c>
    </row>
    <row r="164" spans="1:11" ht="45" x14ac:dyDescent="0.2">
      <c r="A164" s="18" t="s">
        <v>691</v>
      </c>
      <c r="B164" s="18" t="s">
        <v>692</v>
      </c>
      <c r="C164" s="41">
        <v>999.99</v>
      </c>
      <c r="D164" s="42">
        <v>40473.360000000001</v>
      </c>
      <c r="E164" s="42">
        <v>3372.78</v>
      </c>
      <c r="F164" s="44">
        <v>36</v>
      </c>
      <c r="G164" s="46">
        <v>3</v>
      </c>
      <c r="H164" s="44">
        <v>3</v>
      </c>
      <c r="I164" s="45">
        <v>2.5</v>
      </c>
      <c r="J164" s="45" t="s">
        <v>693</v>
      </c>
      <c r="K164" s="56" t="str">
        <f t="shared" si="6"/>
        <v>https://amazon.com/dp/B0DJ7L3MCV</v>
      </c>
    </row>
    <row r="165" spans="1:11" ht="45" x14ac:dyDescent="0.2">
      <c r="A165" s="18" t="s">
        <v>748</v>
      </c>
      <c r="B165" s="18" t="s">
        <v>749</v>
      </c>
      <c r="C165" s="41">
        <v>599.99</v>
      </c>
      <c r="D165" s="42">
        <v>21492</v>
      </c>
      <c r="E165" s="42">
        <v>1791</v>
      </c>
      <c r="F165" s="44">
        <v>36</v>
      </c>
      <c r="G165" s="46">
        <v>3</v>
      </c>
      <c r="H165" s="44">
        <v>21</v>
      </c>
      <c r="I165" s="45">
        <v>3.6</v>
      </c>
      <c r="J165" s="45" t="s">
        <v>750</v>
      </c>
      <c r="K165" s="56" t="str">
        <f t="shared" si="6"/>
        <v>https://amazon.com/dp/B0DG8V6BSC</v>
      </c>
    </row>
    <row r="166" spans="1:11" ht="30" x14ac:dyDescent="0.2">
      <c r="A166" s="18" t="s">
        <v>805</v>
      </c>
      <c r="B166" s="18" t="s">
        <v>806</v>
      </c>
      <c r="C166" s="41">
        <v>199.99</v>
      </c>
      <c r="D166" s="42">
        <v>6222.84</v>
      </c>
      <c r="E166" s="42">
        <v>518.57000000000005</v>
      </c>
      <c r="F166" s="44">
        <v>36</v>
      </c>
      <c r="G166" s="46">
        <v>3</v>
      </c>
      <c r="H166" s="44"/>
      <c r="I166" s="45"/>
      <c r="J166" s="45" t="s">
        <v>807</v>
      </c>
      <c r="K166" s="56" t="str">
        <f t="shared" si="6"/>
        <v>https://amazon.com/dp/B0DL9J7SQ5</v>
      </c>
    </row>
    <row r="167" spans="1:11" ht="45" x14ac:dyDescent="0.2">
      <c r="A167" s="18" t="s">
        <v>733</v>
      </c>
      <c r="B167" s="18" t="s">
        <v>734</v>
      </c>
      <c r="C167" s="41">
        <v>743.73</v>
      </c>
      <c r="D167" s="42">
        <v>27082.799999999999</v>
      </c>
      <c r="E167" s="42">
        <v>2256.9</v>
      </c>
      <c r="F167" s="44">
        <v>36</v>
      </c>
      <c r="G167" s="46">
        <v>3</v>
      </c>
      <c r="H167" s="44">
        <v>28</v>
      </c>
      <c r="I167" s="45">
        <v>4.4000000000000004</v>
      </c>
      <c r="J167" s="45" t="s">
        <v>735</v>
      </c>
      <c r="K167" s="56" t="str">
        <f t="shared" si="6"/>
        <v>https://amazon.com/dp/B0BHKH6JFR</v>
      </c>
    </row>
    <row r="168" spans="1:11" ht="45" x14ac:dyDescent="0.2">
      <c r="A168" s="18" t="s">
        <v>745</v>
      </c>
      <c r="B168" s="18" t="s">
        <v>746</v>
      </c>
      <c r="C168" s="41">
        <v>599.99</v>
      </c>
      <c r="D168" s="42">
        <v>23246.400000000001</v>
      </c>
      <c r="E168" s="42">
        <v>1937.2</v>
      </c>
      <c r="F168" s="44">
        <v>36</v>
      </c>
      <c r="G168" s="46">
        <v>3</v>
      </c>
      <c r="H168" s="44">
        <v>9</v>
      </c>
      <c r="I168" s="45">
        <v>3.8</v>
      </c>
      <c r="J168" s="45" t="s">
        <v>747</v>
      </c>
      <c r="K168" s="56" t="str">
        <f t="shared" si="6"/>
        <v>https://amazon.com/dp/B0DDXT2242</v>
      </c>
    </row>
    <row r="169" spans="1:11" ht="45" x14ac:dyDescent="0.2">
      <c r="A169" s="18" t="s">
        <v>718</v>
      </c>
      <c r="B169" s="18" t="s">
        <v>719</v>
      </c>
      <c r="C169" s="41">
        <v>799.99</v>
      </c>
      <c r="D169" s="42">
        <v>31253.52</v>
      </c>
      <c r="E169" s="42">
        <v>2604.46</v>
      </c>
      <c r="F169" s="44">
        <v>36</v>
      </c>
      <c r="G169" s="46">
        <v>3</v>
      </c>
      <c r="H169" s="44">
        <v>3</v>
      </c>
      <c r="I169" s="45">
        <v>3</v>
      </c>
      <c r="J169" s="45" t="s">
        <v>720</v>
      </c>
      <c r="K169" s="56" t="str">
        <f t="shared" si="6"/>
        <v>https://amazon.com/dp/B0DKNWKKHB</v>
      </c>
    </row>
    <row r="170" spans="1:11" ht="45" x14ac:dyDescent="0.2">
      <c r="A170" s="18" t="s">
        <v>766</v>
      </c>
      <c r="B170" s="18" t="s">
        <v>767</v>
      </c>
      <c r="C170" s="41">
        <v>529.99</v>
      </c>
      <c r="D170" s="42">
        <v>17222.64</v>
      </c>
      <c r="E170" s="42">
        <v>1435.22</v>
      </c>
      <c r="F170" s="44">
        <v>36</v>
      </c>
      <c r="G170" s="46">
        <v>3</v>
      </c>
      <c r="H170" s="44">
        <v>514</v>
      </c>
      <c r="I170" s="45">
        <v>4.2</v>
      </c>
      <c r="J170" s="45" t="s">
        <v>768</v>
      </c>
      <c r="K170" s="56" t="str">
        <f t="shared" si="6"/>
        <v>https://amazon.com/dp/B0CYGYXDXZ</v>
      </c>
    </row>
    <row r="171" spans="1:11" ht="17" x14ac:dyDescent="0.2">
      <c r="A171" s="18" t="s">
        <v>820</v>
      </c>
      <c r="B171" s="18" t="s">
        <v>821</v>
      </c>
      <c r="C171" s="41">
        <v>129.99</v>
      </c>
      <c r="D171" s="42">
        <v>3436.8</v>
      </c>
      <c r="E171" s="42">
        <v>286.39999999999998</v>
      </c>
      <c r="F171" s="44">
        <v>24</v>
      </c>
      <c r="G171" s="46">
        <v>2</v>
      </c>
      <c r="H171" s="44"/>
      <c r="I171" s="45"/>
      <c r="J171" s="45" t="s">
        <v>822</v>
      </c>
      <c r="K171" s="56" t="str">
        <f t="shared" si="6"/>
        <v>https://amazon.com/dp/B0B6YNP8N2</v>
      </c>
    </row>
    <row r="172" spans="1:11" ht="30" x14ac:dyDescent="0.2">
      <c r="A172" s="18" t="s">
        <v>787</v>
      </c>
      <c r="B172" s="18" t="s">
        <v>788</v>
      </c>
      <c r="C172" s="41">
        <v>369.94</v>
      </c>
      <c r="D172" s="42">
        <v>9460.56</v>
      </c>
      <c r="E172" s="42">
        <v>788.38</v>
      </c>
      <c r="F172" s="44">
        <v>24</v>
      </c>
      <c r="G172" s="46">
        <v>2</v>
      </c>
      <c r="H172" s="44"/>
      <c r="I172" s="45"/>
      <c r="J172" s="45" t="s">
        <v>789</v>
      </c>
      <c r="K172" s="56" t="str">
        <f t="shared" si="6"/>
        <v>https://amazon.com/dp/B0D9VVW5XV</v>
      </c>
    </row>
    <row r="173" spans="1:11" ht="45" x14ac:dyDescent="0.2">
      <c r="A173" s="18" t="s">
        <v>808</v>
      </c>
      <c r="B173" s="18" t="s">
        <v>809</v>
      </c>
      <c r="C173" s="41">
        <v>269.99</v>
      </c>
      <c r="D173" s="42">
        <v>5897.76</v>
      </c>
      <c r="E173" s="42">
        <v>491.48</v>
      </c>
      <c r="F173" s="44">
        <v>24</v>
      </c>
      <c r="G173" s="46">
        <v>2</v>
      </c>
      <c r="H173" s="44"/>
      <c r="I173" s="45"/>
      <c r="J173" s="45" t="s">
        <v>810</v>
      </c>
      <c r="K173" s="56" t="str">
        <f t="shared" si="6"/>
        <v>https://amazon.com/dp/B0DK6XRYRH</v>
      </c>
    </row>
    <row r="174" spans="1:11" ht="17" x14ac:dyDescent="0.2">
      <c r="A174" s="18" t="s">
        <v>811</v>
      </c>
      <c r="B174" s="18" t="s">
        <v>812</v>
      </c>
      <c r="C174" s="41">
        <v>219.99</v>
      </c>
      <c r="D174" s="42">
        <v>5279.16</v>
      </c>
      <c r="E174" s="42">
        <v>439.93</v>
      </c>
      <c r="F174" s="44">
        <v>24</v>
      </c>
      <c r="G174" s="46">
        <v>2</v>
      </c>
      <c r="H174" s="44">
        <v>3</v>
      </c>
      <c r="I174" s="45">
        <v>4.5999999999999996</v>
      </c>
      <c r="J174" s="45" t="s">
        <v>813</v>
      </c>
      <c r="K174" s="56" t="str">
        <f t="shared" si="6"/>
        <v>https://amazon.com/dp/B09HKTGBPK</v>
      </c>
    </row>
    <row r="175" spans="1:11" ht="45" x14ac:dyDescent="0.2">
      <c r="A175" s="18" t="s">
        <v>769</v>
      </c>
      <c r="B175" s="18" t="s">
        <v>770</v>
      </c>
      <c r="C175" s="41">
        <v>859.99</v>
      </c>
      <c r="D175" s="42">
        <v>16813.8</v>
      </c>
      <c r="E175" s="42">
        <v>1401.15</v>
      </c>
      <c r="F175" s="44">
        <v>24</v>
      </c>
      <c r="G175" s="46">
        <v>2</v>
      </c>
      <c r="H175" s="44">
        <v>514</v>
      </c>
      <c r="I175" s="45">
        <v>4.2</v>
      </c>
      <c r="J175" s="45" t="s">
        <v>771</v>
      </c>
      <c r="K175" s="56" t="str">
        <f t="shared" si="6"/>
        <v>https://amazon.com/dp/B09HSC4Q8Y</v>
      </c>
    </row>
    <row r="176" spans="1:11" ht="45" x14ac:dyDescent="0.2">
      <c r="A176" s="18" t="s">
        <v>763</v>
      </c>
      <c r="B176" s="18" t="s">
        <v>764</v>
      </c>
      <c r="C176" s="41">
        <v>699.99</v>
      </c>
      <c r="D176" s="42">
        <v>17868.96</v>
      </c>
      <c r="E176" s="42">
        <v>1489.08</v>
      </c>
      <c r="F176" s="44">
        <v>24</v>
      </c>
      <c r="G176" s="46">
        <v>2</v>
      </c>
      <c r="H176" s="44">
        <v>24</v>
      </c>
      <c r="I176" s="45">
        <v>3.1</v>
      </c>
      <c r="J176" s="45" t="s">
        <v>765</v>
      </c>
      <c r="K176" s="56" t="str">
        <f t="shared" si="6"/>
        <v>https://amazon.com/dp/B0BK8NHFJQ</v>
      </c>
    </row>
    <row r="177" spans="1:11" ht="30" x14ac:dyDescent="0.2">
      <c r="A177" s="18" t="s">
        <v>799</v>
      </c>
      <c r="B177" s="18" t="s">
        <v>800</v>
      </c>
      <c r="C177" s="41">
        <v>359.99</v>
      </c>
      <c r="D177" s="42">
        <v>8004.48</v>
      </c>
      <c r="E177" s="42">
        <v>667.04</v>
      </c>
      <c r="F177" s="44">
        <v>24</v>
      </c>
      <c r="G177" s="46">
        <v>2</v>
      </c>
      <c r="H177" s="44"/>
      <c r="I177" s="45"/>
      <c r="J177" s="45" t="s">
        <v>801</v>
      </c>
      <c r="K177" s="56" t="str">
        <f t="shared" si="6"/>
        <v>https://amazon.com/dp/B0CYL6LHWC</v>
      </c>
    </row>
    <row r="178" spans="1:11" ht="45" x14ac:dyDescent="0.2">
      <c r="A178" s="18" t="s">
        <v>760</v>
      </c>
      <c r="B178" s="18" t="s">
        <v>761</v>
      </c>
      <c r="C178" s="41">
        <v>859.99</v>
      </c>
      <c r="D178" s="42">
        <v>18817.080000000002</v>
      </c>
      <c r="E178" s="42">
        <v>1568.09</v>
      </c>
      <c r="F178" s="44">
        <v>24</v>
      </c>
      <c r="G178" s="46">
        <v>2</v>
      </c>
      <c r="H178" s="44">
        <v>514</v>
      </c>
      <c r="I178" s="45">
        <v>4.2</v>
      </c>
      <c r="J178" s="45" t="s">
        <v>762</v>
      </c>
      <c r="K178" s="56" t="str">
        <f t="shared" si="6"/>
        <v>https://amazon.com/dp/B09HSBR5RG</v>
      </c>
    </row>
    <row r="179" spans="1:11" ht="45" x14ac:dyDescent="0.2">
      <c r="A179" s="18" t="s">
        <v>823</v>
      </c>
      <c r="B179" s="18" t="s">
        <v>824</v>
      </c>
      <c r="C179" s="41">
        <v>129.99</v>
      </c>
      <c r="D179" s="42">
        <v>3119.28</v>
      </c>
      <c r="E179" s="42">
        <v>259.94</v>
      </c>
      <c r="F179" s="44">
        <v>24</v>
      </c>
      <c r="G179" s="46">
        <v>2</v>
      </c>
      <c r="H179" s="44"/>
      <c r="I179" s="45"/>
      <c r="J179" s="45" t="s">
        <v>825</v>
      </c>
      <c r="K179" s="56" t="str">
        <f t="shared" si="6"/>
        <v>https://amazon.com/dp/B0FY4YCYG7</v>
      </c>
    </row>
    <row r="180" spans="1:11" ht="45" x14ac:dyDescent="0.2">
      <c r="A180" s="18" t="s">
        <v>757</v>
      </c>
      <c r="B180" s="18" t="s">
        <v>758</v>
      </c>
      <c r="C180" s="41">
        <v>849.98</v>
      </c>
      <c r="D180" s="42">
        <v>19253.28</v>
      </c>
      <c r="E180" s="42">
        <v>1604.44</v>
      </c>
      <c r="F180" s="44">
        <v>24</v>
      </c>
      <c r="G180" s="46">
        <v>2</v>
      </c>
      <c r="H180" s="44">
        <v>28</v>
      </c>
      <c r="I180" s="45">
        <v>4.4000000000000004</v>
      </c>
      <c r="J180" s="45" t="s">
        <v>759</v>
      </c>
      <c r="K180" s="56" t="str">
        <f t="shared" si="6"/>
        <v>https://amazon.com/dp/B0DD781TXP</v>
      </c>
    </row>
    <row r="181" spans="1:11" ht="45" x14ac:dyDescent="0.2">
      <c r="A181" s="18" t="s">
        <v>826</v>
      </c>
      <c r="B181" s="18" t="s">
        <v>827</v>
      </c>
      <c r="C181" s="41">
        <v>249.99</v>
      </c>
      <c r="D181" s="42">
        <v>2999.88</v>
      </c>
      <c r="E181" s="42">
        <v>249.99</v>
      </c>
      <c r="F181" s="44">
        <v>12</v>
      </c>
      <c r="G181" s="46">
        <v>1</v>
      </c>
      <c r="H181" s="44">
        <v>5</v>
      </c>
      <c r="I181" s="45">
        <v>3.6</v>
      </c>
      <c r="J181" s="45" t="s">
        <v>828</v>
      </c>
      <c r="K181" s="56" t="str">
        <f t="shared" si="6"/>
        <v>https://amazon.com/dp/B0CNGTPJWD</v>
      </c>
    </row>
    <row r="182" spans="1:11" ht="45" x14ac:dyDescent="0.2">
      <c r="A182" s="18" t="s">
        <v>796</v>
      </c>
      <c r="B182" s="18" t="s">
        <v>797</v>
      </c>
      <c r="C182" s="41">
        <v>669.99</v>
      </c>
      <c r="D182" s="42">
        <v>8304.5999999999985</v>
      </c>
      <c r="E182" s="42">
        <v>692.05</v>
      </c>
      <c r="F182" s="44">
        <v>12</v>
      </c>
      <c r="G182" s="46">
        <v>1</v>
      </c>
      <c r="H182" s="44">
        <v>1</v>
      </c>
      <c r="I182" s="45">
        <v>5</v>
      </c>
      <c r="J182" s="45" t="s">
        <v>798</v>
      </c>
      <c r="K182" s="56" t="str">
        <f t="shared" si="6"/>
        <v>https://amazon.com/dp/B0DDT8PRQ7</v>
      </c>
    </row>
    <row r="183" spans="1:11" ht="45" x14ac:dyDescent="0.2">
      <c r="A183" s="18" t="s">
        <v>814</v>
      </c>
      <c r="B183" s="18" t="s">
        <v>815</v>
      </c>
      <c r="C183" s="41">
        <v>699.99</v>
      </c>
      <c r="D183" s="42">
        <v>4331.5200000000004</v>
      </c>
      <c r="E183" s="42">
        <v>360.96</v>
      </c>
      <c r="F183" s="44">
        <v>12</v>
      </c>
      <c r="G183" s="46">
        <v>1</v>
      </c>
      <c r="H183" s="44">
        <v>1</v>
      </c>
      <c r="I183" s="45">
        <v>5</v>
      </c>
      <c r="J183" s="45" t="s">
        <v>816</v>
      </c>
      <c r="K183" s="56" t="str">
        <f t="shared" si="6"/>
        <v>https://amazon.com/dp/B0DDT5FW1B</v>
      </c>
    </row>
    <row r="184" spans="1:11" ht="45" x14ac:dyDescent="0.2">
      <c r="A184" s="18" t="s">
        <v>778</v>
      </c>
      <c r="B184" s="18" t="s">
        <v>779</v>
      </c>
      <c r="C184" s="41">
        <v>999.99</v>
      </c>
      <c r="D184" s="42">
        <v>12002.16</v>
      </c>
      <c r="E184" s="42">
        <v>1000.18</v>
      </c>
      <c r="F184" s="44">
        <v>12</v>
      </c>
      <c r="G184" s="46">
        <v>1</v>
      </c>
      <c r="H184" s="44">
        <v>3</v>
      </c>
      <c r="I184" s="45">
        <v>3</v>
      </c>
      <c r="J184" s="45" t="s">
        <v>780</v>
      </c>
      <c r="K184" s="56" t="str">
        <f t="shared" ref="K184:K190" si="7">HYPERLINK(J184)</f>
        <v>https://amazon.com/dp/B0DKNX4RP9</v>
      </c>
    </row>
    <row r="185" spans="1:11" ht="45" x14ac:dyDescent="0.2">
      <c r="A185" s="18" t="s">
        <v>772</v>
      </c>
      <c r="B185" s="18" t="s">
        <v>773</v>
      </c>
      <c r="C185" s="41">
        <v>899.99</v>
      </c>
      <c r="D185" s="42">
        <v>13935.6</v>
      </c>
      <c r="E185" s="42">
        <v>1161.3</v>
      </c>
      <c r="F185" s="44">
        <v>12</v>
      </c>
      <c r="G185" s="46">
        <v>1</v>
      </c>
      <c r="H185" s="44">
        <v>47</v>
      </c>
      <c r="I185" s="45">
        <v>4.3</v>
      </c>
      <c r="J185" s="45" t="s">
        <v>774</v>
      </c>
      <c r="K185" s="56" t="str">
        <f t="shared" si="7"/>
        <v>https://amazon.com/dp/B0CQYQQ78G</v>
      </c>
    </row>
    <row r="186" spans="1:11" ht="45" x14ac:dyDescent="0.2">
      <c r="A186" s="18" t="s">
        <v>784</v>
      </c>
      <c r="B186" s="18" t="s">
        <v>785</v>
      </c>
      <c r="C186" s="41">
        <v>569.91999999999996</v>
      </c>
      <c r="D186" s="42">
        <v>9929.2800000000007</v>
      </c>
      <c r="E186" s="42">
        <v>827.44</v>
      </c>
      <c r="F186" s="44">
        <v>12</v>
      </c>
      <c r="G186" s="46">
        <v>1</v>
      </c>
      <c r="H186" s="44">
        <v>15</v>
      </c>
      <c r="I186" s="45">
        <v>3.8</v>
      </c>
      <c r="J186" s="45" t="s">
        <v>786</v>
      </c>
      <c r="K186" s="56" t="str">
        <f t="shared" si="7"/>
        <v>https://amazon.com/dp/B08QYX32R7</v>
      </c>
    </row>
    <row r="187" spans="1:11" ht="45" x14ac:dyDescent="0.2">
      <c r="A187" s="18" t="s">
        <v>817</v>
      </c>
      <c r="B187" s="18" t="s">
        <v>818</v>
      </c>
      <c r="C187" s="41">
        <v>299.99</v>
      </c>
      <c r="D187" s="42">
        <v>3961.92</v>
      </c>
      <c r="E187" s="42">
        <v>330.16</v>
      </c>
      <c r="F187" s="44">
        <v>12</v>
      </c>
      <c r="G187" s="46">
        <v>1</v>
      </c>
      <c r="H187" s="44">
        <v>2</v>
      </c>
      <c r="I187" s="45">
        <v>3.3</v>
      </c>
      <c r="J187" s="45" t="s">
        <v>819</v>
      </c>
      <c r="K187" s="56" t="str">
        <f t="shared" si="7"/>
        <v>https://amazon.com/dp/B0CQ28WJT1</v>
      </c>
    </row>
    <row r="188" spans="1:11" ht="30" x14ac:dyDescent="0.2">
      <c r="A188" s="18" t="s">
        <v>829</v>
      </c>
      <c r="B188" s="18" t="s">
        <v>830</v>
      </c>
      <c r="C188" s="41">
        <v>23.99</v>
      </c>
      <c r="D188" s="42">
        <v>225.96</v>
      </c>
      <c r="E188" s="42">
        <v>18.829999999999998</v>
      </c>
      <c r="F188" s="44">
        <v>12</v>
      </c>
      <c r="G188" s="46">
        <v>1</v>
      </c>
      <c r="H188" s="44">
        <v>1</v>
      </c>
      <c r="I188" s="45">
        <v>5</v>
      </c>
      <c r="J188" s="45" t="s">
        <v>831</v>
      </c>
      <c r="K188" s="56" t="str">
        <f t="shared" si="7"/>
        <v>https://amazon.com/dp/B0D2ZPKZ3G</v>
      </c>
    </row>
    <row r="189" spans="1:11" ht="45" x14ac:dyDescent="0.2">
      <c r="A189" s="18" t="s">
        <v>793</v>
      </c>
      <c r="B189" s="18" t="s">
        <v>794</v>
      </c>
      <c r="C189" s="41">
        <v>699.99</v>
      </c>
      <c r="D189" s="42">
        <v>8673.9600000000009</v>
      </c>
      <c r="E189" s="42">
        <v>722.83</v>
      </c>
      <c r="F189" s="44">
        <v>12</v>
      </c>
      <c r="G189" s="46">
        <v>1</v>
      </c>
      <c r="H189" s="44">
        <v>21</v>
      </c>
      <c r="I189" s="45">
        <v>3.6</v>
      </c>
      <c r="J189" s="45" t="s">
        <v>795</v>
      </c>
      <c r="K189" s="56" t="str">
        <f t="shared" si="7"/>
        <v>https://amazon.com/dp/B0BVMFRKGZ</v>
      </c>
    </row>
    <row r="190" spans="1:11" ht="45" x14ac:dyDescent="0.2">
      <c r="A190" s="18" t="s">
        <v>802</v>
      </c>
      <c r="B190" s="18" t="s">
        <v>803</v>
      </c>
      <c r="C190" s="41">
        <v>999.99</v>
      </c>
      <c r="D190" s="42">
        <v>7750.08</v>
      </c>
      <c r="E190" s="42">
        <v>645.84</v>
      </c>
      <c r="F190" s="44">
        <v>12</v>
      </c>
      <c r="G190" s="46">
        <v>1</v>
      </c>
      <c r="H190" s="44">
        <v>2</v>
      </c>
      <c r="I190" s="45">
        <v>5</v>
      </c>
      <c r="J190" s="45" t="s">
        <v>804</v>
      </c>
      <c r="K190" s="56" t="str">
        <f t="shared" si="7"/>
        <v>https://amazon.com/dp/B0DKX9FZ8M</v>
      </c>
    </row>
    <row r="191" spans="1:11" ht="30" x14ac:dyDescent="0.2">
      <c r="A191" s="18" t="s">
        <v>856</v>
      </c>
      <c r="B191" s="18" t="s">
        <v>857</v>
      </c>
      <c r="C191" s="41">
        <v>179.94</v>
      </c>
      <c r="D191" s="42"/>
      <c r="E191" s="42"/>
      <c r="F191" s="44">
        <v>0</v>
      </c>
      <c r="G191" s="46">
        <v>0</v>
      </c>
      <c r="H191" s="44"/>
      <c r="I191" s="45"/>
      <c r="J191" s="45" t="s">
        <v>858</v>
      </c>
      <c r="K191" s="56" t="str">
        <f t="shared" ref="K191:K197" si="8">HYPERLINK(J191)</f>
        <v>https://amazon.com/dp/B08X9WQ65K</v>
      </c>
    </row>
    <row r="192" spans="1:11" ht="30" x14ac:dyDescent="0.2">
      <c r="A192" s="18" t="s">
        <v>871</v>
      </c>
      <c r="B192" s="18" t="s">
        <v>872</v>
      </c>
      <c r="C192" s="41">
        <v>329.99</v>
      </c>
      <c r="D192" s="42"/>
      <c r="E192" s="42"/>
      <c r="F192" s="44">
        <v>0</v>
      </c>
      <c r="G192" s="46">
        <v>0</v>
      </c>
      <c r="H192" s="44"/>
      <c r="I192" s="45"/>
      <c r="J192" s="45" t="s">
        <v>873</v>
      </c>
      <c r="K192" s="56" t="str">
        <f t="shared" si="8"/>
        <v>https://amazon.com/dp/B0FJXCH1DG</v>
      </c>
    </row>
    <row r="193" spans="1:11" ht="30" x14ac:dyDescent="0.2">
      <c r="A193" s="18" t="s">
        <v>868</v>
      </c>
      <c r="B193" s="18" t="s">
        <v>869</v>
      </c>
      <c r="C193" s="41">
        <v>699.99</v>
      </c>
      <c r="D193" s="42"/>
      <c r="E193" s="42"/>
      <c r="F193" s="44">
        <v>0</v>
      </c>
      <c r="G193" s="46">
        <v>0</v>
      </c>
      <c r="H193" s="44"/>
      <c r="I193" s="45"/>
      <c r="J193" s="45" t="s">
        <v>870</v>
      </c>
      <c r="K193" s="56" t="str">
        <f t="shared" si="8"/>
        <v>https://amazon.com/dp/B0CVZVDNMP</v>
      </c>
    </row>
    <row r="194" spans="1:11" ht="45" x14ac:dyDescent="0.2">
      <c r="A194" s="18" t="s">
        <v>877</v>
      </c>
      <c r="B194" s="18" t="s">
        <v>878</v>
      </c>
      <c r="C194" s="41">
        <v>699.99</v>
      </c>
      <c r="D194" s="42"/>
      <c r="E194" s="42"/>
      <c r="F194" s="44">
        <v>0</v>
      </c>
      <c r="G194" s="46">
        <v>0</v>
      </c>
      <c r="H194" s="44">
        <v>120</v>
      </c>
      <c r="I194" s="45">
        <v>4.2</v>
      </c>
      <c r="J194" s="45" t="s">
        <v>879</v>
      </c>
      <c r="K194" s="56" t="str">
        <f t="shared" si="8"/>
        <v>https://amazon.com/dp/B0BP7RP3F2</v>
      </c>
    </row>
    <row r="195" spans="1:11" ht="30" x14ac:dyDescent="0.2">
      <c r="A195" s="18" t="s">
        <v>865</v>
      </c>
      <c r="B195" s="18" t="s">
        <v>866</v>
      </c>
      <c r="C195" s="41">
        <v>179.94</v>
      </c>
      <c r="D195" s="42"/>
      <c r="E195" s="42"/>
      <c r="F195" s="44">
        <v>0</v>
      </c>
      <c r="G195" s="46">
        <v>0</v>
      </c>
      <c r="H195" s="44"/>
      <c r="I195" s="45"/>
      <c r="J195" s="45" t="s">
        <v>867</v>
      </c>
      <c r="K195" s="56" t="str">
        <f t="shared" si="8"/>
        <v>https://amazon.com/dp/B0BD4GFCPY</v>
      </c>
    </row>
    <row r="196" spans="1:11" ht="45" x14ac:dyDescent="0.2">
      <c r="A196" s="18" t="s">
        <v>874</v>
      </c>
      <c r="B196" s="18" t="s">
        <v>875</v>
      </c>
      <c r="C196" s="41">
        <v>559.99</v>
      </c>
      <c r="D196" s="42"/>
      <c r="E196" s="42"/>
      <c r="F196" s="44">
        <v>0</v>
      </c>
      <c r="G196" s="46">
        <v>0</v>
      </c>
      <c r="H196" s="44">
        <v>52</v>
      </c>
      <c r="I196" s="45">
        <v>3.9</v>
      </c>
      <c r="J196" s="45" t="s">
        <v>876</v>
      </c>
      <c r="K196" s="56" t="str">
        <f t="shared" si="8"/>
        <v>https://amazon.com/dp/B07RJNLX96</v>
      </c>
    </row>
    <row r="197" spans="1:11" ht="17" x14ac:dyDescent="0.2">
      <c r="A197" s="18" t="s">
        <v>862</v>
      </c>
      <c r="B197" s="18" t="s">
        <v>863</v>
      </c>
      <c r="C197" s="41">
        <v>119.99</v>
      </c>
      <c r="D197" s="42"/>
      <c r="E197" s="42"/>
      <c r="F197" s="44">
        <v>0</v>
      </c>
      <c r="G197" s="46">
        <v>0</v>
      </c>
      <c r="H197" s="44"/>
      <c r="I197" s="45"/>
      <c r="J197" s="45" t="s">
        <v>864</v>
      </c>
      <c r="K197" s="56" t="str">
        <f t="shared" si="8"/>
        <v>https://amazon.com/dp/B08RHTJ9B4</v>
      </c>
    </row>
    <row r="198" spans="1:11" ht="45" x14ac:dyDescent="0.2">
      <c r="A198" s="18" t="s">
        <v>859</v>
      </c>
      <c r="B198" s="18" t="s">
        <v>860</v>
      </c>
      <c r="C198" s="41">
        <v>899.99</v>
      </c>
      <c r="D198" s="42"/>
      <c r="E198" s="42"/>
      <c r="F198" s="44">
        <v>0</v>
      </c>
      <c r="G198" s="46">
        <v>0</v>
      </c>
      <c r="H198" s="44">
        <v>2</v>
      </c>
      <c r="I198" s="45">
        <v>3.6</v>
      </c>
      <c r="J198" s="45" t="s">
        <v>861</v>
      </c>
      <c r="K198" s="56" t="str">
        <f t="shared" ref="K198:K204" si="9">HYPERLINK(J198)</f>
        <v>https://amazon.com/dp/B0DDT8R3BJ</v>
      </c>
    </row>
    <row r="199" spans="1:11" ht="45" x14ac:dyDescent="0.2">
      <c r="A199" s="18" t="s">
        <v>832</v>
      </c>
      <c r="B199" s="18" t="s">
        <v>833</v>
      </c>
      <c r="C199" s="41">
        <v>529.99</v>
      </c>
      <c r="D199" s="42"/>
      <c r="E199" s="42"/>
      <c r="F199" s="44">
        <v>0</v>
      </c>
      <c r="G199" s="46">
        <v>0</v>
      </c>
      <c r="H199" s="44">
        <v>1</v>
      </c>
      <c r="I199" s="45">
        <v>5</v>
      </c>
      <c r="J199" s="45" t="s">
        <v>834</v>
      </c>
      <c r="K199" s="56" t="str">
        <f t="shared" si="9"/>
        <v>https://amazon.com/dp/B0FKB6Q7DF</v>
      </c>
    </row>
    <row r="200" spans="1:11" ht="17" x14ac:dyDescent="0.2">
      <c r="A200" s="18" t="s">
        <v>853</v>
      </c>
      <c r="B200" s="18" t="s">
        <v>854</v>
      </c>
      <c r="C200" s="41">
        <v>129.99</v>
      </c>
      <c r="D200" s="42"/>
      <c r="E200" s="42"/>
      <c r="F200" s="44">
        <v>0</v>
      </c>
      <c r="G200" s="46">
        <v>0</v>
      </c>
      <c r="H200" s="44"/>
      <c r="I200" s="45"/>
      <c r="J200" s="45" t="s">
        <v>855</v>
      </c>
      <c r="K200" s="56" t="str">
        <f t="shared" si="9"/>
        <v>https://amazon.com/dp/B09MFBXTBD</v>
      </c>
    </row>
    <row r="201" spans="1:11" ht="45" x14ac:dyDescent="0.2">
      <c r="A201" s="18" t="s">
        <v>850</v>
      </c>
      <c r="B201" s="18" t="s">
        <v>851</v>
      </c>
      <c r="C201" s="41">
        <v>999.99</v>
      </c>
      <c r="D201" s="42"/>
      <c r="E201" s="42"/>
      <c r="F201" s="44">
        <v>0</v>
      </c>
      <c r="G201" s="46">
        <v>0</v>
      </c>
      <c r="H201" s="44">
        <v>2</v>
      </c>
      <c r="I201" s="45">
        <v>3</v>
      </c>
      <c r="J201" s="45" t="s">
        <v>852</v>
      </c>
      <c r="K201" s="56" t="str">
        <f t="shared" si="9"/>
        <v>https://amazon.com/dp/B0DJ7JVYZF</v>
      </c>
    </row>
    <row r="202" spans="1:11" ht="45" x14ac:dyDescent="0.2">
      <c r="A202" s="18" t="s">
        <v>847</v>
      </c>
      <c r="B202" s="18" t="s">
        <v>848</v>
      </c>
      <c r="C202" s="41">
        <v>869.99</v>
      </c>
      <c r="D202" s="42"/>
      <c r="E202" s="42"/>
      <c r="F202" s="44">
        <v>0</v>
      </c>
      <c r="G202" s="46">
        <v>0</v>
      </c>
      <c r="H202" s="44">
        <v>1</v>
      </c>
      <c r="I202" s="45">
        <v>5</v>
      </c>
      <c r="J202" s="45" t="s">
        <v>849</v>
      </c>
      <c r="K202" s="56" t="str">
        <f t="shared" si="9"/>
        <v>https://amazon.com/dp/B0DDT8XC2S</v>
      </c>
    </row>
    <row r="203" spans="1:11" ht="30" x14ac:dyDescent="0.2">
      <c r="A203" s="18" t="s">
        <v>844</v>
      </c>
      <c r="B203" s="18" t="s">
        <v>845</v>
      </c>
      <c r="C203" s="41">
        <v>29.99</v>
      </c>
      <c r="D203" s="42"/>
      <c r="E203" s="42"/>
      <c r="F203" s="44">
        <v>0</v>
      </c>
      <c r="G203" s="46">
        <v>0</v>
      </c>
      <c r="H203" s="44">
        <v>1</v>
      </c>
      <c r="I203" s="45">
        <v>5</v>
      </c>
      <c r="J203" s="45" t="s">
        <v>846</v>
      </c>
      <c r="K203" s="56" t="str">
        <f t="shared" si="9"/>
        <v>https://amazon.com/dp/B0D25K6FZJ</v>
      </c>
    </row>
    <row r="204" spans="1:11" ht="45" x14ac:dyDescent="0.2">
      <c r="A204" s="18" t="s">
        <v>841</v>
      </c>
      <c r="B204" s="18" t="s">
        <v>842</v>
      </c>
      <c r="C204" s="41">
        <v>799.99</v>
      </c>
      <c r="D204" s="42"/>
      <c r="E204" s="42"/>
      <c r="F204" s="44">
        <v>0</v>
      </c>
      <c r="G204" s="46">
        <v>0</v>
      </c>
      <c r="H204" s="44">
        <v>7</v>
      </c>
      <c r="I204" s="45">
        <v>3.5</v>
      </c>
      <c r="J204" s="45" t="s">
        <v>843</v>
      </c>
      <c r="K204" s="56" t="str">
        <f t="shared" si="9"/>
        <v>https://amazon.com/dp/B0DCJMR14T</v>
      </c>
    </row>
    <row r="205" spans="1:11" ht="45" x14ac:dyDescent="0.2">
      <c r="A205" s="18" t="s">
        <v>838</v>
      </c>
      <c r="B205" s="18" t="s">
        <v>839</v>
      </c>
      <c r="C205" s="41">
        <v>699.99</v>
      </c>
      <c r="D205" s="42"/>
      <c r="E205" s="42"/>
      <c r="F205" s="44">
        <v>0</v>
      </c>
      <c r="G205" s="46">
        <v>0</v>
      </c>
      <c r="H205" s="44">
        <v>6</v>
      </c>
      <c r="I205" s="45">
        <v>3.2</v>
      </c>
      <c r="J205" s="45" t="s">
        <v>840</v>
      </c>
      <c r="K205" s="56" t="str">
        <f t="shared" ref="K205:K206" si="10">HYPERLINK(J205)</f>
        <v>https://amazon.com/dp/B0CPFFY5PY</v>
      </c>
    </row>
    <row r="206" spans="1:11" ht="45" x14ac:dyDescent="0.2">
      <c r="A206" s="18" t="s">
        <v>835</v>
      </c>
      <c r="B206" s="18" t="s">
        <v>836</v>
      </c>
      <c r="C206" s="41">
        <v>899.99</v>
      </c>
      <c r="D206" s="42"/>
      <c r="E206" s="42"/>
      <c r="F206" s="44">
        <v>0</v>
      </c>
      <c r="G206" s="46">
        <v>0</v>
      </c>
      <c r="H206" s="44">
        <v>1</v>
      </c>
      <c r="I206" s="45">
        <v>1</v>
      </c>
      <c r="J206" s="45" t="s">
        <v>837</v>
      </c>
      <c r="K206" s="56" t="str">
        <f t="shared" si="10"/>
        <v>https://amazon.com/dp/B0DGQTDMBN</v>
      </c>
    </row>
    <row r="207" spans="1:11" ht="45" x14ac:dyDescent="0.2">
      <c r="A207" s="18" t="s">
        <v>880</v>
      </c>
      <c r="B207" s="18" t="s">
        <v>881</v>
      </c>
      <c r="C207" s="41">
        <v>569.99</v>
      </c>
      <c r="D207" s="42"/>
      <c r="E207" s="42"/>
      <c r="F207" s="44">
        <v>0</v>
      </c>
      <c r="G207" s="46">
        <v>0</v>
      </c>
      <c r="H207" s="44">
        <v>1</v>
      </c>
      <c r="I207" s="45">
        <v>5</v>
      </c>
      <c r="J207" s="45" t="s">
        <v>882</v>
      </c>
      <c r="K207" s="56" t="str">
        <f t="shared" ref="K207" si="11">HYPERLINK(J207)</f>
        <v>https://amazon.com/dp/B0BJKX93TM</v>
      </c>
    </row>
    <row r="208" spans="1:11" ht="17" x14ac:dyDescent="0.2">
      <c r="A208" s="21" t="s">
        <v>4</v>
      </c>
      <c r="B208" s="21"/>
      <c r="C208" s="58"/>
      <c r="D208" s="58"/>
      <c r="E208" s="58"/>
      <c r="F208" s="103">
        <f>SUM(ANYSUN!F111:F207)</f>
        <v>6000</v>
      </c>
      <c r="G208" s="103">
        <f>SUM(ANYSUN!G111:G207)</f>
        <v>500</v>
      </c>
      <c r="H208" s="59"/>
      <c r="I208" s="60"/>
      <c r="J208" s="21"/>
      <c r="K208" s="20"/>
    </row>
  </sheetData>
  <mergeCells count="3">
    <mergeCell ref="A1:K5"/>
    <mergeCell ref="A7:K7"/>
    <mergeCell ref="A109:K109"/>
  </mergeCells>
  <pageMargins left="0.7" right="0.7" top="0.75" bottom="0.75" header="0.3" footer="0.3"/>
  <pageSetup orientation="portrait"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C750D-95D4-7D45-BCDA-8066485CAA5C}">
  <sheetPr codeName="Sheet5"/>
  <dimension ref="A1:K84"/>
  <sheetViews>
    <sheetView workbookViewId="0">
      <selection activeCell="L10" sqref="L10"/>
    </sheetView>
  </sheetViews>
  <sheetFormatPr baseColWidth="10" defaultColWidth="11.1640625" defaultRowHeight="16" x14ac:dyDescent="0.2"/>
  <cols>
    <col min="1" max="1" width="50.6640625" style="19" customWidth="1"/>
    <col min="2" max="2" width="12.6640625" style="19" customWidth="1"/>
    <col min="3" max="3" width="10.83203125" style="19" bestFit="1" customWidth="1"/>
    <col min="4" max="4" width="24.83203125" style="19"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34.33203125" style="19" hidden="1" customWidth="1"/>
    <col min="11" max="11" width="35.6640625" style="19" customWidth="1"/>
    <col min="12" max="12" width="12.6640625" style="19" customWidth="1"/>
    <col min="13" max="16384" width="11.1640625" style="19"/>
  </cols>
  <sheetData>
    <row r="1" spans="1:11" ht="15.75" customHeight="1" x14ac:dyDescent="0.2">
      <c r="A1" s="113" t="e" vm="9">
        <v>#VALUE!</v>
      </c>
      <c r="B1" s="113"/>
      <c r="C1" s="113"/>
      <c r="D1" s="113"/>
      <c r="E1" s="113"/>
      <c r="F1" s="113"/>
      <c r="G1" s="113"/>
      <c r="H1" s="113"/>
      <c r="I1" s="113"/>
      <c r="J1" s="113"/>
      <c r="K1" s="113"/>
    </row>
    <row r="2" spans="1:11" ht="15.75" customHeight="1" x14ac:dyDescent="0.2">
      <c r="A2" s="113"/>
      <c r="B2" s="113"/>
      <c r="C2" s="113"/>
      <c r="D2" s="113"/>
      <c r="E2" s="113"/>
      <c r="F2" s="113"/>
      <c r="G2" s="113"/>
      <c r="H2" s="113"/>
      <c r="I2" s="113"/>
      <c r="J2" s="113"/>
      <c r="K2" s="113"/>
    </row>
    <row r="3" spans="1:11" ht="15.75" customHeight="1" x14ac:dyDescent="0.2">
      <c r="A3" s="113"/>
      <c r="B3" s="113"/>
      <c r="C3" s="113"/>
      <c r="D3" s="113"/>
      <c r="E3" s="113"/>
      <c r="F3" s="113"/>
      <c r="G3" s="113"/>
      <c r="H3" s="113"/>
      <c r="I3" s="113"/>
      <c r="J3" s="113"/>
      <c r="K3" s="113"/>
    </row>
    <row r="4" spans="1:11" ht="15.75" customHeight="1" x14ac:dyDescent="0.2">
      <c r="A4" s="113"/>
      <c r="B4" s="113"/>
      <c r="C4" s="113"/>
      <c r="D4" s="113"/>
      <c r="E4" s="113"/>
      <c r="F4" s="113"/>
      <c r="G4" s="113"/>
      <c r="H4" s="113"/>
      <c r="I4" s="113"/>
      <c r="J4" s="113"/>
      <c r="K4" s="113"/>
    </row>
    <row r="5" spans="1:11" ht="15.75" customHeight="1" x14ac:dyDescent="0.2">
      <c r="A5" s="113"/>
      <c r="B5" s="113"/>
      <c r="C5" s="113"/>
      <c r="D5" s="113"/>
      <c r="E5" s="113"/>
      <c r="F5" s="113"/>
      <c r="G5" s="113"/>
      <c r="H5" s="113"/>
      <c r="I5" s="113"/>
      <c r="J5" s="113"/>
      <c r="K5" s="113"/>
    </row>
    <row r="6" spans="1:11" x14ac:dyDescent="0.2">
      <c r="A6" s="17"/>
      <c r="B6" s="17"/>
      <c r="C6" s="33"/>
      <c r="D6" s="34"/>
      <c r="E6" s="34"/>
      <c r="F6" s="34"/>
      <c r="G6" s="34"/>
      <c r="H6" s="35"/>
      <c r="I6" s="36"/>
    </row>
    <row r="7" spans="1:11" x14ac:dyDescent="0.2">
      <c r="A7" s="111" t="s">
        <v>14</v>
      </c>
      <c r="B7" s="111"/>
      <c r="C7" s="111"/>
      <c r="D7" s="111"/>
      <c r="E7" s="111"/>
      <c r="F7" s="111"/>
      <c r="G7" s="111"/>
      <c r="H7" s="111"/>
      <c r="I7" s="111"/>
      <c r="J7" s="111"/>
      <c r="K7" s="111"/>
    </row>
    <row r="8" spans="1:11" ht="17" x14ac:dyDescent="0.2">
      <c r="A8" s="24" t="s">
        <v>6</v>
      </c>
      <c r="B8" s="25" t="s">
        <v>5</v>
      </c>
      <c r="C8" s="26" t="s">
        <v>11</v>
      </c>
      <c r="D8" s="27" t="s">
        <v>2</v>
      </c>
      <c r="E8" s="28" t="s">
        <v>27</v>
      </c>
      <c r="F8" s="29" t="s">
        <v>13</v>
      </c>
      <c r="G8" s="29" t="s">
        <v>28</v>
      </c>
      <c r="H8" s="29" t="s">
        <v>8</v>
      </c>
      <c r="I8" s="30" t="s">
        <v>12</v>
      </c>
      <c r="J8" s="30" t="s">
        <v>22</v>
      </c>
      <c r="K8" s="31" t="s">
        <v>10</v>
      </c>
    </row>
    <row r="9" spans="1:11" ht="45" x14ac:dyDescent="0.2">
      <c r="A9" s="18" t="s">
        <v>519</v>
      </c>
      <c r="B9" s="18" t="s">
        <v>518</v>
      </c>
      <c r="C9" s="41">
        <v>659.99</v>
      </c>
      <c r="D9" s="42">
        <v>397155</v>
      </c>
      <c r="E9" s="43">
        <v>33096.25</v>
      </c>
      <c r="F9" s="44">
        <v>576</v>
      </c>
      <c r="G9" s="44">
        <v>48</v>
      </c>
      <c r="H9" s="44">
        <v>22</v>
      </c>
      <c r="I9" s="45">
        <v>4.0999999999999996</v>
      </c>
      <c r="J9" s="81" t="s">
        <v>525</v>
      </c>
      <c r="K9" s="22" t="str">
        <f>HYPERLINK(J9)</f>
        <v>https://amazon.com/dp/B0CM3FBXJT</v>
      </c>
    </row>
    <row r="10" spans="1:11" ht="45" x14ac:dyDescent="0.2">
      <c r="A10" s="18" t="s">
        <v>543</v>
      </c>
      <c r="B10" s="18" t="s">
        <v>542</v>
      </c>
      <c r="C10" s="41">
        <v>84.89</v>
      </c>
      <c r="D10" s="42">
        <v>343449</v>
      </c>
      <c r="E10" s="43">
        <v>28620.75</v>
      </c>
      <c r="F10" s="44">
        <v>3576</v>
      </c>
      <c r="G10" s="44">
        <v>298</v>
      </c>
      <c r="H10" s="44">
        <v>437</v>
      </c>
      <c r="I10" s="45">
        <v>4.5999999999999996</v>
      </c>
      <c r="J10" s="107" t="s">
        <v>545</v>
      </c>
      <c r="K10" s="22" t="str">
        <f t="shared" ref="K10:K17" si="0">HYPERLINK(J10)</f>
        <v>https://amazon.com/dp/B0C9GR791B</v>
      </c>
    </row>
    <row r="11" spans="1:11" ht="45" x14ac:dyDescent="0.2">
      <c r="A11" s="18" t="s">
        <v>883</v>
      </c>
      <c r="B11" s="18" t="s">
        <v>884</v>
      </c>
      <c r="C11" s="41">
        <v>220.9</v>
      </c>
      <c r="D11" s="42">
        <v>248040.4</v>
      </c>
      <c r="E11" s="43">
        <v>20670.03</v>
      </c>
      <c r="F11" s="44">
        <v>1128</v>
      </c>
      <c r="G11" s="44">
        <v>94</v>
      </c>
      <c r="H11" s="44">
        <v>70</v>
      </c>
      <c r="I11" s="45">
        <v>4.3</v>
      </c>
      <c r="J11" s="107" t="s">
        <v>885</v>
      </c>
      <c r="K11" s="22" t="str">
        <f t="shared" si="0"/>
        <v>https://amazon.com/dp/B0CYPV6964</v>
      </c>
    </row>
    <row r="12" spans="1:11" ht="45" x14ac:dyDescent="0.2">
      <c r="A12" s="18" t="s">
        <v>886</v>
      </c>
      <c r="B12" s="18" t="s">
        <v>887</v>
      </c>
      <c r="C12" s="41">
        <v>599.99</v>
      </c>
      <c r="D12" s="42">
        <v>187605</v>
      </c>
      <c r="E12" s="43">
        <v>15633.75</v>
      </c>
      <c r="F12" s="44">
        <v>300</v>
      </c>
      <c r="G12" s="44">
        <v>25</v>
      </c>
      <c r="H12" s="44">
        <v>10</v>
      </c>
      <c r="I12" s="45">
        <v>3.4</v>
      </c>
      <c r="J12" s="107" t="s">
        <v>888</v>
      </c>
      <c r="K12" s="22" t="str">
        <f t="shared" si="0"/>
        <v>https://amazon.com/dp/B0DNMF126P</v>
      </c>
    </row>
    <row r="13" spans="1:11" ht="45" x14ac:dyDescent="0.2">
      <c r="A13" s="18" t="s">
        <v>889</v>
      </c>
      <c r="B13" s="18" t="s">
        <v>890</v>
      </c>
      <c r="C13" s="41">
        <v>174.99</v>
      </c>
      <c r="D13" s="42">
        <v>128282.2</v>
      </c>
      <c r="E13" s="43">
        <v>10690.18</v>
      </c>
      <c r="F13" s="44">
        <v>636</v>
      </c>
      <c r="G13" s="44">
        <v>53</v>
      </c>
      <c r="H13" s="44">
        <v>9</v>
      </c>
      <c r="I13" s="45">
        <v>3.3</v>
      </c>
      <c r="J13" s="107" t="s">
        <v>891</v>
      </c>
      <c r="K13" s="22" t="str">
        <f t="shared" si="0"/>
        <v>https://amazon.com/dp/B0FPBZ2R5N</v>
      </c>
    </row>
    <row r="14" spans="1:11" ht="45" x14ac:dyDescent="0.2">
      <c r="A14" s="18" t="s">
        <v>892</v>
      </c>
      <c r="B14" s="18" t="s">
        <v>893</v>
      </c>
      <c r="C14" s="41">
        <v>238.99</v>
      </c>
      <c r="D14" s="42">
        <v>119533.1</v>
      </c>
      <c r="E14" s="43">
        <v>9961.09</v>
      </c>
      <c r="F14" s="44">
        <v>456</v>
      </c>
      <c r="G14" s="44">
        <v>38</v>
      </c>
      <c r="H14" s="44">
        <v>99</v>
      </c>
      <c r="I14" s="45">
        <v>4</v>
      </c>
      <c r="J14" s="107" t="s">
        <v>894</v>
      </c>
      <c r="K14" s="22" t="str">
        <f t="shared" si="0"/>
        <v>https://amazon.com/dp/B098XFG46Y</v>
      </c>
    </row>
    <row r="15" spans="1:11" ht="45" x14ac:dyDescent="0.2">
      <c r="A15" s="18" t="s">
        <v>895</v>
      </c>
      <c r="B15" s="18" t="s">
        <v>896</v>
      </c>
      <c r="C15" s="41">
        <v>34.9</v>
      </c>
      <c r="D15" s="42">
        <v>112591.6</v>
      </c>
      <c r="E15" s="43">
        <v>9382.6299999999992</v>
      </c>
      <c r="F15" s="44">
        <v>2292</v>
      </c>
      <c r="G15" s="44">
        <v>191</v>
      </c>
      <c r="H15" s="44">
        <v>566</v>
      </c>
      <c r="I15" s="45">
        <v>4.5</v>
      </c>
      <c r="J15" s="107" t="s">
        <v>897</v>
      </c>
      <c r="K15" s="22" t="str">
        <f t="shared" si="0"/>
        <v>https://amazon.com/dp/B0DJGFZQ5X</v>
      </c>
    </row>
    <row r="16" spans="1:11" ht="30" x14ac:dyDescent="0.2">
      <c r="A16" s="18" t="s">
        <v>898</v>
      </c>
      <c r="B16" s="18" t="s">
        <v>899</v>
      </c>
      <c r="C16" s="41">
        <v>443.99</v>
      </c>
      <c r="D16" s="42">
        <v>107752.3</v>
      </c>
      <c r="E16" s="43">
        <v>8979.36</v>
      </c>
      <c r="F16" s="44">
        <v>240</v>
      </c>
      <c r="G16" s="44">
        <v>20</v>
      </c>
      <c r="H16" s="44">
        <v>6</v>
      </c>
      <c r="I16" s="45">
        <v>3.5</v>
      </c>
      <c r="J16" s="107" t="s">
        <v>900</v>
      </c>
      <c r="K16" s="22" t="str">
        <f t="shared" si="0"/>
        <v>https://amazon.com/dp/B0DNYTF8L4</v>
      </c>
    </row>
    <row r="17" spans="1:11" ht="45" x14ac:dyDescent="0.2">
      <c r="A17" s="18" t="s">
        <v>901</v>
      </c>
      <c r="B17" s="18" t="s">
        <v>902</v>
      </c>
      <c r="C17" s="41">
        <v>467.99</v>
      </c>
      <c r="D17" s="42">
        <v>102513.8</v>
      </c>
      <c r="E17" s="43">
        <v>8542.82</v>
      </c>
      <c r="F17" s="44">
        <v>216</v>
      </c>
      <c r="G17" s="44">
        <v>18</v>
      </c>
      <c r="H17" s="44">
        <v>75</v>
      </c>
      <c r="I17" s="45">
        <v>4.0999999999999996</v>
      </c>
      <c r="J17" s="107" t="s">
        <v>903</v>
      </c>
      <c r="K17" s="22" t="str">
        <f t="shared" si="0"/>
        <v>https://amazon.com/dp/B0BV2SYJDK</v>
      </c>
    </row>
    <row r="18" spans="1:11" ht="45" x14ac:dyDescent="0.2">
      <c r="A18" s="18" t="s">
        <v>904</v>
      </c>
      <c r="B18" s="18" t="s">
        <v>905</v>
      </c>
      <c r="C18" s="41">
        <v>467.9</v>
      </c>
      <c r="D18" s="42">
        <v>101395.3</v>
      </c>
      <c r="E18" s="43">
        <v>8449.61</v>
      </c>
      <c r="F18" s="44">
        <v>216</v>
      </c>
      <c r="G18" s="44">
        <v>18</v>
      </c>
      <c r="H18" s="44">
        <v>151</v>
      </c>
      <c r="I18" s="45">
        <v>3.9</v>
      </c>
      <c r="J18" s="107" t="s">
        <v>906</v>
      </c>
      <c r="K18" s="22" t="str">
        <f t="shared" ref="K18:K25" si="1">HYPERLINK(J18)</f>
        <v>https://amazon.com/dp/B0C1BN96WB</v>
      </c>
    </row>
    <row r="19" spans="1:11" ht="45" x14ac:dyDescent="0.2">
      <c r="A19" s="18" t="s">
        <v>907</v>
      </c>
      <c r="B19" s="18" t="s">
        <v>908</v>
      </c>
      <c r="C19" s="41">
        <v>606.99</v>
      </c>
      <c r="D19" s="42">
        <v>99381.24</v>
      </c>
      <c r="E19" s="43">
        <v>8281.77</v>
      </c>
      <c r="F19" s="44">
        <v>144</v>
      </c>
      <c r="G19" s="44">
        <v>12</v>
      </c>
      <c r="H19" s="44">
        <v>8</v>
      </c>
      <c r="I19" s="45">
        <v>4.7</v>
      </c>
      <c r="J19" s="107" t="s">
        <v>909</v>
      </c>
      <c r="K19" s="22" t="str">
        <f t="shared" si="1"/>
        <v>https://amazon.com/dp/B0DNMH4MR6</v>
      </c>
    </row>
    <row r="20" spans="1:11" ht="45" x14ac:dyDescent="0.2">
      <c r="A20" s="18" t="s">
        <v>910</v>
      </c>
      <c r="B20" s="18" t="s">
        <v>911</v>
      </c>
      <c r="C20" s="41">
        <v>799.99</v>
      </c>
      <c r="D20" s="42">
        <v>88350.84</v>
      </c>
      <c r="E20" s="43">
        <v>7362.57</v>
      </c>
      <c r="F20" s="44">
        <v>108</v>
      </c>
      <c r="G20" s="44">
        <v>9</v>
      </c>
      <c r="H20" s="44">
        <v>10</v>
      </c>
      <c r="I20" s="45">
        <v>3.4</v>
      </c>
      <c r="J20" s="107" t="s">
        <v>912</v>
      </c>
      <c r="K20" s="22" t="str">
        <f t="shared" si="1"/>
        <v>https://amazon.com/dp/B0DNMHPJR6</v>
      </c>
    </row>
    <row r="21" spans="1:11" ht="45" x14ac:dyDescent="0.2">
      <c r="A21" s="18" t="s">
        <v>913</v>
      </c>
      <c r="B21" s="18" t="s">
        <v>914</v>
      </c>
      <c r="C21" s="41">
        <v>479.99</v>
      </c>
      <c r="D21" s="42">
        <v>86620.2</v>
      </c>
      <c r="E21" s="43">
        <v>7218.35</v>
      </c>
      <c r="F21" s="44">
        <v>180</v>
      </c>
      <c r="G21" s="44">
        <v>15</v>
      </c>
      <c r="H21" s="44">
        <v>10</v>
      </c>
      <c r="I21" s="45">
        <v>5</v>
      </c>
      <c r="J21" s="107" t="s">
        <v>915</v>
      </c>
      <c r="K21" s="22" t="str">
        <f t="shared" si="1"/>
        <v>https://amazon.com/dp/B0DNMJ1WWW</v>
      </c>
    </row>
    <row r="22" spans="1:11" ht="45" x14ac:dyDescent="0.2">
      <c r="A22" s="18" t="s">
        <v>916</v>
      </c>
      <c r="B22" s="18" t="s">
        <v>917</v>
      </c>
      <c r="C22" s="41">
        <v>55.99</v>
      </c>
      <c r="D22" s="42">
        <v>86511.96</v>
      </c>
      <c r="E22" s="43">
        <v>7209.33</v>
      </c>
      <c r="F22" s="44">
        <v>1560</v>
      </c>
      <c r="G22" s="44">
        <v>130</v>
      </c>
      <c r="H22" s="44">
        <v>187</v>
      </c>
      <c r="I22" s="45">
        <v>4.4000000000000004</v>
      </c>
      <c r="J22" s="107" t="s">
        <v>918</v>
      </c>
      <c r="K22" s="22" t="str">
        <f t="shared" si="1"/>
        <v>https://amazon.com/dp/B0DHRTVQZB</v>
      </c>
    </row>
    <row r="23" spans="1:11" ht="45" x14ac:dyDescent="0.2">
      <c r="A23" s="18" t="s">
        <v>919</v>
      </c>
      <c r="B23" s="18" t="s">
        <v>920</v>
      </c>
      <c r="C23" s="41">
        <v>42.76</v>
      </c>
      <c r="D23" s="42">
        <v>82509.960000000006</v>
      </c>
      <c r="E23" s="43">
        <v>6875.83</v>
      </c>
      <c r="F23" s="44">
        <v>1536</v>
      </c>
      <c r="G23" s="44">
        <v>128</v>
      </c>
      <c r="H23" s="44">
        <v>570</v>
      </c>
      <c r="I23" s="45">
        <v>4.5</v>
      </c>
      <c r="J23" s="107" t="s">
        <v>921</v>
      </c>
      <c r="K23" s="22" t="str">
        <f t="shared" si="1"/>
        <v>https://amazon.com/dp/B0BVMFYQNS</v>
      </c>
    </row>
    <row r="24" spans="1:11" ht="45" x14ac:dyDescent="0.2">
      <c r="A24" s="18" t="s">
        <v>922</v>
      </c>
      <c r="B24" s="18" t="s">
        <v>923</v>
      </c>
      <c r="C24" s="41">
        <v>424.71</v>
      </c>
      <c r="D24" s="42">
        <v>82473.72</v>
      </c>
      <c r="E24" s="43">
        <v>6872.81</v>
      </c>
      <c r="F24" s="44">
        <v>156</v>
      </c>
      <c r="G24" s="44">
        <v>13</v>
      </c>
      <c r="H24" s="44">
        <v>151</v>
      </c>
      <c r="I24" s="45">
        <v>3.9</v>
      </c>
      <c r="J24" s="107" t="s">
        <v>924</v>
      </c>
      <c r="K24" s="22" t="str">
        <f t="shared" si="1"/>
        <v>https://amazon.com/dp/B0C1B657ST</v>
      </c>
    </row>
    <row r="25" spans="1:11" ht="45" x14ac:dyDescent="0.2">
      <c r="A25" s="18" t="s">
        <v>925</v>
      </c>
      <c r="B25" s="18" t="s">
        <v>926</v>
      </c>
      <c r="C25" s="41">
        <v>203.69</v>
      </c>
      <c r="D25" s="42">
        <v>81991.199999999997</v>
      </c>
      <c r="E25" s="43">
        <v>6832.6</v>
      </c>
      <c r="F25" s="44">
        <v>384</v>
      </c>
      <c r="G25" s="44">
        <v>32</v>
      </c>
      <c r="H25" s="44">
        <v>70</v>
      </c>
      <c r="I25" s="45">
        <v>4.3</v>
      </c>
      <c r="J25" s="107" t="s">
        <v>927</v>
      </c>
      <c r="K25" s="22" t="str">
        <f t="shared" si="1"/>
        <v>https://amazon.com/dp/B0BYZ4P2ST</v>
      </c>
    </row>
    <row r="26" spans="1:11" ht="45" x14ac:dyDescent="0.2">
      <c r="A26" s="18" t="s">
        <v>928</v>
      </c>
      <c r="B26" s="18" t="s">
        <v>929</v>
      </c>
      <c r="C26" s="41">
        <v>250.99</v>
      </c>
      <c r="D26" s="42">
        <v>80349.960000000006</v>
      </c>
      <c r="E26" s="43">
        <v>6695.83</v>
      </c>
      <c r="F26" s="44">
        <v>312</v>
      </c>
      <c r="G26" s="44">
        <v>26</v>
      </c>
      <c r="H26" s="44">
        <v>151</v>
      </c>
      <c r="I26" s="45">
        <v>3.9</v>
      </c>
      <c r="J26" s="107" t="s">
        <v>930</v>
      </c>
      <c r="K26" s="22" t="str">
        <f t="shared" ref="K26:K33" si="2">HYPERLINK(J26)</f>
        <v>https://amazon.com/dp/B0DNYWC4RS</v>
      </c>
    </row>
    <row r="27" spans="1:11" ht="45" x14ac:dyDescent="0.2">
      <c r="A27" s="18" t="s">
        <v>931</v>
      </c>
      <c r="B27" s="18" t="s">
        <v>932</v>
      </c>
      <c r="C27" s="41">
        <v>475.99</v>
      </c>
      <c r="D27" s="42">
        <v>74565.119999999995</v>
      </c>
      <c r="E27" s="43">
        <v>6213.76</v>
      </c>
      <c r="F27" s="44">
        <v>156</v>
      </c>
      <c r="G27" s="44">
        <v>13</v>
      </c>
      <c r="H27" s="44">
        <v>75</v>
      </c>
      <c r="I27" s="45">
        <v>4.0999999999999996</v>
      </c>
      <c r="J27" s="107" t="s">
        <v>933</v>
      </c>
      <c r="K27" s="22" t="str">
        <f t="shared" si="2"/>
        <v>https://amazon.com/dp/B0BTP4K3H7</v>
      </c>
    </row>
    <row r="28" spans="1:11" ht="45" x14ac:dyDescent="0.2">
      <c r="A28" s="18" t="s">
        <v>934</v>
      </c>
      <c r="B28" s="18" t="s">
        <v>935</v>
      </c>
      <c r="C28" s="41">
        <v>613.11</v>
      </c>
      <c r="D28" s="42">
        <v>66490.320000000007</v>
      </c>
      <c r="E28" s="43">
        <v>5540.86</v>
      </c>
      <c r="F28" s="44">
        <v>108</v>
      </c>
      <c r="G28" s="44">
        <v>9</v>
      </c>
      <c r="H28" s="44">
        <v>151</v>
      </c>
      <c r="I28" s="45">
        <v>3.9</v>
      </c>
      <c r="J28" s="107" t="s">
        <v>936</v>
      </c>
      <c r="K28" s="22" t="str">
        <f t="shared" si="2"/>
        <v>https://amazon.com/dp/B0DNMFPQ9L</v>
      </c>
    </row>
    <row r="29" spans="1:11" ht="16" customHeight="1" x14ac:dyDescent="0.2">
      <c r="A29" s="18" t="s">
        <v>937</v>
      </c>
      <c r="B29" s="18" t="s">
        <v>938</v>
      </c>
      <c r="C29" s="41">
        <v>47.99</v>
      </c>
      <c r="D29" s="42">
        <v>60110.16</v>
      </c>
      <c r="E29" s="43">
        <v>5009.18</v>
      </c>
      <c r="F29" s="44">
        <v>1200</v>
      </c>
      <c r="G29" s="44">
        <v>100</v>
      </c>
      <c r="H29" s="44">
        <v>270</v>
      </c>
      <c r="I29" s="45">
        <v>4.4000000000000004</v>
      </c>
      <c r="J29" s="107" t="s">
        <v>939</v>
      </c>
      <c r="K29" s="22" t="str">
        <f t="shared" si="2"/>
        <v>https://amazon.com/dp/B0DGTFVHF3</v>
      </c>
    </row>
    <row r="30" spans="1:11" ht="45" x14ac:dyDescent="0.2">
      <c r="A30" s="18" t="s">
        <v>940</v>
      </c>
      <c r="B30" s="18" t="s">
        <v>941</v>
      </c>
      <c r="C30" s="41">
        <v>526.9</v>
      </c>
      <c r="D30" s="42">
        <v>56957.4</v>
      </c>
      <c r="E30" s="43">
        <v>4746.45</v>
      </c>
      <c r="F30" s="44">
        <v>108</v>
      </c>
      <c r="G30" s="44">
        <v>9</v>
      </c>
      <c r="H30" s="44">
        <v>75</v>
      </c>
      <c r="I30" s="45">
        <v>4.0999999999999996</v>
      </c>
      <c r="J30" s="107" t="s">
        <v>942</v>
      </c>
      <c r="K30" s="22" t="str">
        <f t="shared" si="2"/>
        <v>https://amazon.com/dp/B0BV2V59XB</v>
      </c>
    </row>
    <row r="31" spans="1:11" ht="45" x14ac:dyDescent="0.2">
      <c r="A31" s="18" t="s">
        <v>943</v>
      </c>
      <c r="B31" s="18" t="s">
        <v>944</v>
      </c>
      <c r="C31" s="41">
        <v>73.98</v>
      </c>
      <c r="D31" s="42">
        <v>45808.92</v>
      </c>
      <c r="E31" s="43">
        <v>3817.41</v>
      </c>
      <c r="F31" s="44">
        <v>660</v>
      </c>
      <c r="G31" s="44">
        <v>55</v>
      </c>
      <c r="H31" s="44">
        <v>269</v>
      </c>
      <c r="I31" s="45">
        <v>4.4000000000000004</v>
      </c>
      <c r="J31" s="107" t="s">
        <v>945</v>
      </c>
      <c r="K31" s="22" t="str">
        <f t="shared" si="2"/>
        <v>https://amazon.com/dp/B0C2Z9ZK9F</v>
      </c>
    </row>
    <row r="32" spans="1:11" ht="45" x14ac:dyDescent="0.2">
      <c r="A32" s="18" t="s">
        <v>946</v>
      </c>
      <c r="B32" s="18" t="s">
        <v>947</v>
      </c>
      <c r="C32" s="41">
        <v>575.99</v>
      </c>
      <c r="D32" s="42">
        <v>44542.92</v>
      </c>
      <c r="E32" s="43">
        <v>3711.91</v>
      </c>
      <c r="F32" s="44">
        <v>84</v>
      </c>
      <c r="G32" s="44">
        <v>7</v>
      </c>
      <c r="H32" s="44">
        <v>74</v>
      </c>
      <c r="I32" s="45">
        <v>4.0999999999999996</v>
      </c>
      <c r="J32" s="107" t="s">
        <v>948</v>
      </c>
      <c r="K32" s="22" t="str">
        <f t="shared" si="2"/>
        <v>https://amazon.com/dp/B0BV2Q92RJ</v>
      </c>
    </row>
    <row r="33" spans="1:11" ht="45" x14ac:dyDescent="0.2">
      <c r="A33" s="18" t="s">
        <v>949</v>
      </c>
      <c r="B33" s="18" t="s">
        <v>950</v>
      </c>
      <c r="C33" s="41">
        <v>632.99</v>
      </c>
      <c r="D33" s="42">
        <v>36972.720000000001</v>
      </c>
      <c r="E33" s="43">
        <v>3081.06</v>
      </c>
      <c r="F33" s="44">
        <v>60</v>
      </c>
      <c r="G33" s="44">
        <v>5</v>
      </c>
      <c r="H33" s="44">
        <v>75</v>
      </c>
      <c r="I33" s="45">
        <v>4.0999999999999996</v>
      </c>
      <c r="J33" s="107" t="s">
        <v>951</v>
      </c>
      <c r="K33" s="22" t="str">
        <f t="shared" si="2"/>
        <v>https://amazon.com/dp/B0BV2VFMVZ</v>
      </c>
    </row>
    <row r="34" spans="1:11" ht="45" x14ac:dyDescent="0.2">
      <c r="A34" s="18" t="s">
        <v>952</v>
      </c>
      <c r="B34" s="18" t="s">
        <v>953</v>
      </c>
      <c r="C34" s="41">
        <v>185.99</v>
      </c>
      <c r="D34" s="42">
        <v>30267</v>
      </c>
      <c r="E34" s="43">
        <v>2522.25</v>
      </c>
      <c r="F34" s="44">
        <v>180</v>
      </c>
      <c r="G34" s="44">
        <v>15</v>
      </c>
      <c r="H34" s="44">
        <v>9</v>
      </c>
      <c r="I34" s="45">
        <v>3.3</v>
      </c>
      <c r="J34" s="107" t="s">
        <v>954</v>
      </c>
      <c r="K34" s="22" t="str">
        <f t="shared" ref="K34:K37" si="3">HYPERLINK(J34)</f>
        <v>https://amazon.com/dp/B0FP8M3NW4</v>
      </c>
    </row>
    <row r="35" spans="1:11" ht="45" x14ac:dyDescent="0.2">
      <c r="A35" s="18" t="s">
        <v>955</v>
      </c>
      <c r="B35" s="18" t="s">
        <v>956</v>
      </c>
      <c r="C35" s="41">
        <v>229.99</v>
      </c>
      <c r="D35" s="42">
        <v>23879.040000000001</v>
      </c>
      <c r="E35" s="43">
        <v>1989.92</v>
      </c>
      <c r="F35" s="44">
        <v>108</v>
      </c>
      <c r="G35" s="44">
        <v>9</v>
      </c>
      <c r="H35" s="44">
        <v>9</v>
      </c>
      <c r="I35" s="45">
        <v>3.3</v>
      </c>
      <c r="J35" s="107" t="s">
        <v>957</v>
      </c>
      <c r="K35" s="22" t="str">
        <f t="shared" si="3"/>
        <v>https://amazon.com/dp/B0FP8L21YT</v>
      </c>
    </row>
    <row r="36" spans="1:11" ht="45" x14ac:dyDescent="0.2">
      <c r="A36" s="18" t="s">
        <v>958</v>
      </c>
      <c r="B36" s="18" t="s">
        <v>959</v>
      </c>
      <c r="C36" s="41">
        <v>31.44</v>
      </c>
      <c r="D36" s="42">
        <v>20016.36</v>
      </c>
      <c r="E36" s="43">
        <v>1668.03</v>
      </c>
      <c r="F36" s="44">
        <v>588</v>
      </c>
      <c r="G36" s="44">
        <v>49</v>
      </c>
      <c r="H36" s="44">
        <v>187</v>
      </c>
      <c r="I36" s="45">
        <v>4.4000000000000004</v>
      </c>
      <c r="J36" s="107" t="s">
        <v>960</v>
      </c>
      <c r="K36" s="22" t="str">
        <f t="shared" si="3"/>
        <v>https://amazon.com/dp/B0DJGFL6B8</v>
      </c>
    </row>
    <row r="37" spans="1:11" ht="45" x14ac:dyDescent="0.2">
      <c r="A37" s="18" t="s">
        <v>961</v>
      </c>
      <c r="B37" s="18" t="s">
        <v>962</v>
      </c>
      <c r="C37" s="41">
        <v>39.99</v>
      </c>
      <c r="D37" s="42">
        <v>18193.560000000001</v>
      </c>
      <c r="E37" s="43">
        <v>1516.13</v>
      </c>
      <c r="F37" s="44">
        <v>432</v>
      </c>
      <c r="G37" s="44">
        <v>36</v>
      </c>
      <c r="H37" s="44">
        <v>270</v>
      </c>
      <c r="I37" s="45">
        <v>4.4000000000000004</v>
      </c>
      <c r="J37" s="107" t="s">
        <v>963</v>
      </c>
      <c r="K37" s="22" t="str">
        <f t="shared" si="3"/>
        <v>https://amazon.com/dp/B0DJ6NXXXS</v>
      </c>
    </row>
    <row r="38" spans="1:11" ht="45" x14ac:dyDescent="0.2">
      <c r="A38" s="18" t="s">
        <v>964</v>
      </c>
      <c r="B38" s="18" t="s">
        <v>965</v>
      </c>
      <c r="C38" s="41">
        <v>248.9</v>
      </c>
      <c r="D38" s="42">
        <v>11374.44</v>
      </c>
      <c r="E38" s="43">
        <v>947.87</v>
      </c>
      <c r="F38" s="44">
        <v>36</v>
      </c>
      <c r="G38" s="44">
        <v>3</v>
      </c>
      <c r="H38" s="44">
        <v>4</v>
      </c>
      <c r="I38" s="45">
        <v>2.8</v>
      </c>
      <c r="J38" s="81" t="s">
        <v>966</v>
      </c>
      <c r="K38" s="22" t="str">
        <f t="shared" ref="K38:K40" si="4">HYPERLINK(J38)</f>
        <v>https://amazon.com/dp/B0DZ66K1CC</v>
      </c>
    </row>
    <row r="39" spans="1:11" ht="45" x14ac:dyDescent="0.2">
      <c r="A39" s="18" t="s">
        <v>967</v>
      </c>
      <c r="B39" s="18" t="s">
        <v>968</v>
      </c>
      <c r="C39" s="41">
        <v>349.99</v>
      </c>
      <c r="D39" s="42">
        <v>10352.16</v>
      </c>
      <c r="E39" s="43">
        <v>862.68</v>
      </c>
      <c r="F39" s="44">
        <v>24</v>
      </c>
      <c r="G39" s="44">
        <v>2</v>
      </c>
      <c r="H39" s="44">
        <v>9</v>
      </c>
      <c r="I39" s="45">
        <v>3.3</v>
      </c>
      <c r="J39" s="81" t="s">
        <v>969</v>
      </c>
      <c r="K39" s="22" t="str">
        <f t="shared" si="4"/>
        <v>https://amazon.com/dp/B0FPBVG1QJ</v>
      </c>
    </row>
    <row r="40" spans="1:11" ht="45" x14ac:dyDescent="0.2">
      <c r="A40" s="18" t="s">
        <v>970</v>
      </c>
      <c r="B40" s="18" t="s">
        <v>971</v>
      </c>
      <c r="C40" s="41">
        <v>19.71</v>
      </c>
      <c r="D40" s="42">
        <v>8952.36</v>
      </c>
      <c r="E40" s="43">
        <v>746.03</v>
      </c>
      <c r="F40" s="44">
        <v>420</v>
      </c>
      <c r="G40" s="44">
        <v>35</v>
      </c>
      <c r="H40" s="44">
        <v>13</v>
      </c>
      <c r="I40" s="45">
        <v>4.0999999999999996</v>
      </c>
      <c r="J40" s="81" t="s">
        <v>972</v>
      </c>
      <c r="K40" s="22" t="str">
        <f t="shared" si="4"/>
        <v>https://amazon.com/dp/B0F6CS8QNY</v>
      </c>
    </row>
    <row r="41" spans="1:11" ht="45" x14ac:dyDescent="0.2">
      <c r="A41" s="18" t="s">
        <v>973</v>
      </c>
      <c r="B41" s="18" t="s">
        <v>974</v>
      </c>
      <c r="C41" s="41">
        <v>23.99</v>
      </c>
      <c r="D41" s="42">
        <v>8431.56</v>
      </c>
      <c r="E41" s="43">
        <v>702.63</v>
      </c>
      <c r="F41" s="44">
        <v>324</v>
      </c>
      <c r="G41" s="44">
        <v>27</v>
      </c>
      <c r="H41" s="44">
        <v>34</v>
      </c>
      <c r="I41" s="45">
        <v>3.9</v>
      </c>
      <c r="J41" s="107" t="s">
        <v>975</v>
      </c>
      <c r="K41" s="22" t="str">
        <f>HYPERLINK(J41)</f>
        <v>https://amazon.com/dp/B0F6WZPTJZ</v>
      </c>
    </row>
    <row r="42" spans="1:11" ht="45" x14ac:dyDescent="0.2">
      <c r="A42" s="18" t="s">
        <v>976</v>
      </c>
      <c r="B42" s="18" t="s">
        <v>977</v>
      </c>
      <c r="C42" s="41">
        <v>19.11</v>
      </c>
      <c r="D42" s="42">
        <v>2866.2</v>
      </c>
      <c r="E42" s="43">
        <v>238.85</v>
      </c>
      <c r="F42" s="44">
        <v>132</v>
      </c>
      <c r="G42" s="44">
        <v>11</v>
      </c>
      <c r="H42" s="44">
        <v>34</v>
      </c>
      <c r="I42" s="45">
        <v>3.9</v>
      </c>
      <c r="J42" s="107" t="s">
        <v>978</v>
      </c>
      <c r="K42" s="22" t="str">
        <f t="shared" ref="K42:K43" si="5">HYPERLINK(J42)</f>
        <v>https://amazon.com/dp/B0F6CSNVZJ</v>
      </c>
    </row>
    <row r="43" spans="1:11" ht="45" x14ac:dyDescent="0.2">
      <c r="A43" s="18" t="s">
        <v>979</v>
      </c>
      <c r="B43" s="18" t="s">
        <v>980</v>
      </c>
      <c r="C43" s="41">
        <v>14.44</v>
      </c>
      <c r="D43" s="42">
        <v>2026.2</v>
      </c>
      <c r="E43" s="43">
        <v>168.85</v>
      </c>
      <c r="F43" s="44">
        <v>96</v>
      </c>
      <c r="G43" s="44">
        <v>8</v>
      </c>
      <c r="H43" s="44">
        <v>34</v>
      </c>
      <c r="I43" s="45">
        <v>3.9</v>
      </c>
      <c r="J43" s="107" t="s">
        <v>981</v>
      </c>
      <c r="K43" s="22" t="str">
        <f t="shared" si="5"/>
        <v>https://amazon.com/dp/B0F6CTJM12</v>
      </c>
    </row>
    <row r="44" spans="1:11" ht="17" x14ac:dyDescent="0.2">
      <c r="A44" s="21" t="s">
        <v>4</v>
      </c>
      <c r="B44" s="20"/>
      <c r="C44" s="20"/>
      <c r="D44" s="40">
        <f>SUM(D9:D43)</f>
        <v>3058313.2200000011</v>
      </c>
      <c r="E44" s="40">
        <f>SUM(E9:E43)</f>
        <v>254859.42999999996</v>
      </c>
      <c r="H44" s="48"/>
      <c r="I44" s="23"/>
    </row>
    <row r="47" spans="1:11" x14ac:dyDescent="0.2">
      <c r="A47" s="111" t="s">
        <v>17</v>
      </c>
      <c r="B47" s="111"/>
      <c r="C47" s="111"/>
      <c r="D47" s="111"/>
      <c r="E47" s="111"/>
      <c r="F47" s="111"/>
      <c r="G47" s="111"/>
      <c r="H47" s="111"/>
      <c r="I47" s="111"/>
      <c r="J47" s="111"/>
      <c r="K47" s="111"/>
    </row>
    <row r="48" spans="1:11" ht="17" x14ac:dyDescent="0.2">
      <c r="A48" s="24" t="s">
        <v>6</v>
      </c>
      <c r="B48" s="25" t="s">
        <v>5</v>
      </c>
      <c r="C48" s="26" t="s">
        <v>11</v>
      </c>
      <c r="D48" s="27" t="s">
        <v>2</v>
      </c>
      <c r="E48" s="25" t="s">
        <v>27</v>
      </c>
      <c r="F48" s="29" t="s">
        <v>13</v>
      </c>
      <c r="G48" s="32" t="s">
        <v>28</v>
      </c>
      <c r="H48" s="29" t="s">
        <v>8</v>
      </c>
      <c r="I48" s="30" t="s">
        <v>12</v>
      </c>
      <c r="J48" s="30" t="s">
        <v>22</v>
      </c>
      <c r="K48" s="31" t="s">
        <v>10</v>
      </c>
    </row>
    <row r="49" spans="1:11" ht="45" x14ac:dyDescent="0.2">
      <c r="A49" s="18" t="s">
        <v>543</v>
      </c>
      <c r="B49" s="18" t="s">
        <v>542</v>
      </c>
      <c r="C49" s="41">
        <v>84.89</v>
      </c>
      <c r="D49" s="42">
        <v>343449</v>
      </c>
      <c r="E49" s="42">
        <v>28620.75</v>
      </c>
      <c r="F49" s="44">
        <v>3576</v>
      </c>
      <c r="G49" s="46">
        <v>298</v>
      </c>
      <c r="H49" s="44">
        <v>437</v>
      </c>
      <c r="I49" s="45">
        <v>4.5999999999999996</v>
      </c>
      <c r="J49" s="45" t="s">
        <v>545</v>
      </c>
      <c r="K49" s="22" t="str">
        <f>HYPERLINK(J49)</f>
        <v>https://amazon.com/dp/B0C9GR791B</v>
      </c>
    </row>
    <row r="50" spans="1:11" ht="45" x14ac:dyDescent="0.2">
      <c r="A50" s="18" t="s">
        <v>895</v>
      </c>
      <c r="B50" s="18" t="s">
        <v>896</v>
      </c>
      <c r="C50" s="41">
        <v>34.9</v>
      </c>
      <c r="D50" s="42">
        <v>112591.56</v>
      </c>
      <c r="E50" s="42">
        <v>9382.6299999999992</v>
      </c>
      <c r="F50" s="44">
        <v>2292</v>
      </c>
      <c r="G50" s="46">
        <v>191</v>
      </c>
      <c r="H50" s="44">
        <v>566</v>
      </c>
      <c r="I50" s="45">
        <v>4.5</v>
      </c>
      <c r="J50" s="45" t="s">
        <v>897</v>
      </c>
      <c r="K50" s="22" t="str">
        <f t="shared" ref="K50:K57" si="6">HYPERLINK(J50)</f>
        <v>https://amazon.com/dp/B0DJGFZQ5X</v>
      </c>
    </row>
    <row r="51" spans="1:11" ht="45" x14ac:dyDescent="0.2">
      <c r="A51" s="18" t="s">
        <v>916</v>
      </c>
      <c r="B51" s="18" t="s">
        <v>917</v>
      </c>
      <c r="C51" s="41">
        <v>55.99</v>
      </c>
      <c r="D51" s="42">
        <v>86511.959999999992</v>
      </c>
      <c r="E51" s="42">
        <v>7209.33</v>
      </c>
      <c r="F51" s="44">
        <v>1560</v>
      </c>
      <c r="G51" s="46">
        <v>130</v>
      </c>
      <c r="H51" s="44">
        <v>187</v>
      </c>
      <c r="I51" s="45">
        <v>4.4000000000000004</v>
      </c>
      <c r="J51" s="45" t="s">
        <v>918</v>
      </c>
      <c r="K51" s="22" t="str">
        <f t="shared" si="6"/>
        <v>https://amazon.com/dp/B0DHRTVQZB</v>
      </c>
    </row>
    <row r="52" spans="1:11" ht="45" x14ac:dyDescent="0.2">
      <c r="A52" s="18" t="s">
        <v>919</v>
      </c>
      <c r="B52" s="18" t="s">
        <v>920</v>
      </c>
      <c r="C52" s="41">
        <v>42.76</v>
      </c>
      <c r="D52" s="42">
        <v>82509.959999999992</v>
      </c>
      <c r="E52" s="42">
        <v>6875.83</v>
      </c>
      <c r="F52" s="44">
        <v>1536</v>
      </c>
      <c r="G52" s="46">
        <v>128</v>
      </c>
      <c r="H52" s="44">
        <v>570</v>
      </c>
      <c r="I52" s="45">
        <v>4.5</v>
      </c>
      <c r="J52" s="45" t="s">
        <v>921</v>
      </c>
      <c r="K52" s="22" t="str">
        <f t="shared" si="6"/>
        <v>https://amazon.com/dp/B0BVMFYQNS</v>
      </c>
    </row>
    <row r="53" spans="1:11" ht="45" x14ac:dyDescent="0.2">
      <c r="A53" s="18" t="s">
        <v>937</v>
      </c>
      <c r="B53" s="18" t="s">
        <v>938</v>
      </c>
      <c r="C53" s="41">
        <v>47.99</v>
      </c>
      <c r="D53" s="42">
        <v>60110.16</v>
      </c>
      <c r="E53" s="42">
        <v>5009.18</v>
      </c>
      <c r="F53" s="44">
        <v>1200</v>
      </c>
      <c r="G53" s="46">
        <v>100</v>
      </c>
      <c r="H53" s="44">
        <v>270</v>
      </c>
      <c r="I53" s="45">
        <v>4.4000000000000004</v>
      </c>
      <c r="J53" s="45" t="s">
        <v>939</v>
      </c>
      <c r="K53" s="22" t="str">
        <f t="shared" si="6"/>
        <v>https://amazon.com/dp/B0DGTFVHF3</v>
      </c>
    </row>
    <row r="54" spans="1:11" ht="45" x14ac:dyDescent="0.2">
      <c r="A54" s="18" t="s">
        <v>883</v>
      </c>
      <c r="B54" s="18" t="s">
        <v>884</v>
      </c>
      <c r="C54" s="41">
        <v>220.9</v>
      </c>
      <c r="D54" s="42">
        <v>248040.36</v>
      </c>
      <c r="E54" s="42">
        <v>20670.03</v>
      </c>
      <c r="F54" s="44">
        <v>1128</v>
      </c>
      <c r="G54" s="46">
        <v>94</v>
      </c>
      <c r="H54" s="44">
        <v>70</v>
      </c>
      <c r="I54" s="45">
        <v>4.3</v>
      </c>
      <c r="J54" s="45" t="s">
        <v>885</v>
      </c>
      <c r="K54" s="22" t="str">
        <f t="shared" si="6"/>
        <v>https://amazon.com/dp/B0CYPV6964</v>
      </c>
    </row>
    <row r="55" spans="1:11" ht="45" x14ac:dyDescent="0.2">
      <c r="A55" s="18" t="s">
        <v>943</v>
      </c>
      <c r="B55" s="18" t="s">
        <v>944</v>
      </c>
      <c r="C55" s="41">
        <v>73.98</v>
      </c>
      <c r="D55" s="42">
        <v>45808.92</v>
      </c>
      <c r="E55" s="42">
        <v>3817.41</v>
      </c>
      <c r="F55" s="44">
        <v>660</v>
      </c>
      <c r="G55" s="46">
        <v>55</v>
      </c>
      <c r="H55" s="44">
        <v>269</v>
      </c>
      <c r="I55" s="45">
        <v>4.4000000000000004</v>
      </c>
      <c r="J55" s="45" t="s">
        <v>945</v>
      </c>
      <c r="K55" s="22" t="str">
        <f t="shared" si="6"/>
        <v>https://amazon.com/dp/B0C2Z9ZK9F</v>
      </c>
    </row>
    <row r="56" spans="1:11" ht="45" x14ac:dyDescent="0.2">
      <c r="A56" s="18" t="s">
        <v>889</v>
      </c>
      <c r="B56" s="18" t="s">
        <v>890</v>
      </c>
      <c r="C56" s="41">
        <v>174.99</v>
      </c>
      <c r="D56" s="42">
        <v>128282.16</v>
      </c>
      <c r="E56" s="42">
        <v>10690.18</v>
      </c>
      <c r="F56" s="44">
        <v>636</v>
      </c>
      <c r="G56" s="46">
        <v>53</v>
      </c>
      <c r="H56" s="44">
        <v>9</v>
      </c>
      <c r="I56" s="45">
        <v>3.3</v>
      </c>
      <c r="J56" s="45" t="s">
        <v>891</v>
      </c>
      <c r="K56" s="22" t="str">
        <f t="shared" si="6"/>
        <v>https://amazon.com/dp/B0FPBZ2R5N</v>
      </c>
    </row>
    <row r="57" spans="1:11" ht="45" x14ac:dyDescent="0.2">
      <c r="A57" s="18" t="s">
        <v>958</v>
      </c>
      <c r="B57" s="18" t="s">
        <v>959</v>
      </c>
      <c r="C57" s="41">
        <v>31.44</v>
      </c>
      <c r="D57" s="42">
        <v>20016.36</v>
      </c>
      <c r="E57" s="42">
        <v>1668.03</v>
      </c>
      <c r="F57" s="44">
        <v>588</v>
      </c>
      <c r="G57" s="46">
        <v>49</v>
      </c>
      <c r="H57" s="44">
        <v>187</v>
      </c>
      <c r="I57" s="45">
        <v>4.4000000000000004</v>
      </c>
      <c r="J57" s="45" t="s">
        <v>960</v>
      </c>
      <c r="K57" s="22" t="str">
        <f t="shared" si="6"/>
        <v>https://amazon.com/dp/B0DJGFL6B8</v>
      </c>
    </row>
    <row r="58" spans="1:11" ht="45" x14ac:dyDescent="0.2">
      <c r="A58" s="18" t="s">
        <v>519</v>
      </c>
      <c r="B58" s="18" t="s">
        <v>518</v>
      </c>
      <c r="C58" s="41">
        <v>659.99</v>
      </c>
      <c r="D58" s="42">
        <v>397155</v>
      </c>
      <c r="E58" s="42">
        <v>33096.25</v>
      </c>
      <c r="F58" s="44">
        <v>576</v>
      </c>
      <c r="G58" s="46">
        <v>48</v>
      </c>
      <c r="H58" s="44">
        <v>22</v>
      </c>
      <c r="I58" s="45">
        <v>4.0999999999999996</v>
      </c>
      <c r="J58" s="45" t="s">
        <v>525</v>
      </c>
      <c r="K58" s="22" t="str">
        <f t="shared" ref="K58:K65" si="7">HYPERLINK(J58)</f>
        <v>https://amazon.com/dp/B0CM3FBXJT</v>
      </c>
    </row>
    <row r="59" spans="1:11" ht="45" x14ac:dyDescent="0.2">
      <c r="A59" s="18" t="s">
        <v>892</v>
      </c>
      <c r="B59" s="18" t="s">
        <v>893</v>
      </c>
      <c r="C59" s="41">
        <v>238.99</v>
      </c>
      <c r="D59" s="42">
        <v>119533.08</v>
      </c>
      <c r="E59" s="42">
        <v>9961.09</v>
      </c>
      <c r="F59" s="44">
        <v>456</v>
      </c>
      <c r="G59" s="46">
        <v>38</v>
      </c>
      <c r="H59" s="44">
        <v>99</v>
      </c>
      <c r="I59" s="45">
        <v>4</v>
      </c>
      <c r="J59" s="45" t="s">
        <v>894</v>
      </c>
      <c r="K59" s="22" t="str">
        <f t="shared" si="7"/>
        <v>https://amazon.com/dp/B098XFG46Y</v>
      </c>
    </row>
    <row r="60" spans="1:11" ht="45" x14ac:dyDescent="0.2">
      <c r="A60" s="18" t="s">
        <v>961</v>
      </c>
      <c r="B60" s="18" t="s">
        <v>962</v>
      </c>
      <c r="C60" s="41">
        <v>39.99</v>
      </c>
      <c r="D60" s="42">
        <v>18193.560000000001</v>
      </c>
      <c r="E60" s="42">
        <v>1516.13</v>
      </c>
      <c r="F60" s="44">
        <v>432</v>
      </c>
      <c r="G60" s="46">
        <v>36</v>
      </c>
      <c r="H60" s="44">
        <v>270</v>
      </c>
      <c r="I60" s="45">
        <v>4.4000000000000004</v>
      </c>
      <c r="J60" s="45" t="s">
        <v>963</v>
      </c>
      <c r="K60" s="22" t="str">
        <f t="shared" si="7"/>
        <v>https://amazon.com/dp/B0DJ6NXXXS</v>
      </c>
    </row>
    <row r="61" spans="1:11" ht="45" x14ac:dyDescent="0.2">
      <c r="A61" s="18" t="s">
        <v>970</v>
      </c>
      <c r="B61" s="18" t="s">
        <v>971</v>
      </c>
      <c r="C61" s="41">
        <v>19.71</v>
      </c>
      <c r="D61" s="42">
        <v>8952.36</v>
      </c>
      <c r="E61" s="42">
        <v>746.03</v>
      </c>
      <c r="F61" s="44">
        <v>420</v>
      </c>
      <c r="G61" s="46">
        <v>35</v>
      </c>
      <c r="H61" s="44">
        <v>13</v>
      </c>
      <c r="I61" s="45">
        <v>4.0999999999999996</v>
      </c>
      <c r="J61" s="45" t="s">
        <v>972</v>
      </c>
      <c r="K61" s="22" t="str">
        <f t="shared" si="7"/>
        <v>https://amazon.com/dp/B0F6CS8QNY</v>
      </c>
    </row>
    <row r="62" spans="1:11" ht="45" x14ac:dyDescent="0.2">
      <c r="A62" s="18" t="s">
        <v>925</v>
      </c>
      <c r="B62" s="18" t="s">
        <v>926</v>
      </c>
      <c r="C62" s="41">
        <v>203.69</v>
      </c>
      <c r="D62" s="42">
        <v>81991.200000000012</v>
      </c>
      <c r="E62" s="42">
        <v>6832.6</v>
      </c>
      <c r="F62" s="44">
        <v>384</v>
      </c>
      <c r="G62" s="46">
        <v>32</v>
      </c>
      <c r="H62" s="44">
        <v>70</v>
      </c>
      <c r="I62" s="45">
        <v>4.3</v>
      </c>
      <c r="J62" s="45" t="s">
        <v>927</v>
      </c>
      <c r="K62" s="22" t="str">
        <f t="shared" si="7"/>
        <v>https://amazon.com/dp/B0BYZ4P2ST</v>
      </c>
    </row>
    <row r="63" spans="1:11" ht="45" x14ac:dyDescent="0.2">
      <c r="A63" s="18" t="s">
        <v>973</v>
      </c>
      <c r="B63" s="18" t="s">
        <v>974</v>
      </c>
      <c r="C63" s="41">
        <v>23.99</v>
      </c>
      <c r="D63" s="42">
        <v>8431.56</v>
      </c>
      <c r="E63" s="42">
        <v>702.63</v>
      </c>
      <c r="F63" s="44">
        <v>324</v>
      </c>
      <c r="G63" s="46">
        <v>27</v>
      </c>
      <c r="H63" s="44">
        <v>34</v>
      </c>
      <c r="I63" s="45">
        <v>3.9</v>
      </c>
      <c r="J63" s="45" t="s">
        <v>975</v>
      </c>
      <c r="K63" s="22" t="str">
        <f t="shared" si="7"/>
        <v>https://amazon.com/dp/B0F6WZPTJZ</v>
      </c>
    </row>
    <row r="64" spans="1:11" ht="45" x14ac:dyDescent="0.2">
      <c r="A64" s="18" t="s">
        <v>928</v>
      </c>
      <c r="B64" s="18" t="s">
        <v>929</v>
      </c>
      <c r="C64" s="41">
        <v>250.99</v>
      </c>
      <c r="D64" s="42">
        <v>80349.959999999992</v>
      </c>
      <c r="E64" s="42">
        <v>6695.83</v>
      </c>
      <c r="F64" s="44">
        <v>312</v>
      </c>
      <c r="G64" s="46">
        <v>26</v>
      </c>
      <c r="H64" s="44">
        <v>151</v>
      </c>
      <c r="I64" s="45">
        <v>3.9</v>
      </c>
      <c r="J64" s="45" t="s">
        <v>930</v>
      </c>
      <c r="K64" s="22" t="str">
        <f t="shared" si="7"/>
        <v>https://amazon.com/dp/B0DNYWC4RS</v>
      </c>
    </row>
    <row r="65" spans="1:11" ht="45" x14ac:dyDescent="0.2">
      <c r="A65" s="18" t="s">
        <v>886</v>
      </c>
      <c r="B65" s="18" t="s">
        <v>887</v>
      </c>
      <c r="C65" s="41">
        <v>599.99</v>
      </c>
      <c r="D65" s="42">
        <v>187605</v>
      </c>
      <c r="E65" s="42">
        <v>15633.75</v>
      </c>
      <c r="F65" s="44">
        <v>300</v>
      </c>
      <c r="G65" s="46">
        <v>25</v>
      </c>
      <c r="H65" s="44">
        <v>10</v>
      </c>
      <c r="I65" s="45">
        <v>3.4</v>
      </c>
      <c r="J65" s="45" t="s">
        <v>888</v>
      </c>
      <c r="K65" s="22" t="str">
        <f t="shared" si="7"/>
        <v>https://amazon.com/dp/B0DNMF126P</v>
      </c>
    </row>
    <row r="66" spans="1:11" ht="30" x14ac:dyDescent="0.2">
      <c r="A66" s="18" t="s">
        <v>898</v>
      </c>
      <c r="B66" s="18" t="s">
        <v>899</v>
      </c>
      <c r="C66" s="41">
        <v>443.99</v>
      </c>
      <c r="D66" s="42">
        <v>107752.32000000001</v>
      </c>
      <c r="E66" s="42">
        <v>8979.36</v>
      </c>
      <c r="F66" s="44">
        <v>240</v>
      </c>
      <c r="G66" s="46">
        <v>20</v>
      </c>
      <c r="H66" s="44">
        <v>6</v>
      </c>
      <c r="I66" s="45">
        <v>3.5</v>
      </c>
      <c r="J66" s="45" t="s">
        <v>900</v>
      </c>
      <c r="K66" s="22" t="str">
        <f t="shared" ref="K66:K73" si="8">HYPERLINK(J66)</f>
        <v>https://amazon.com/dp/B0DNYTF8L4</v>
      </c>
    </row>
    <row r="67" spans="1:11" ht="45" x14ac:dyDescent="0.2">
      <c r="A67" s="18" t="s">
        <v>904</v>
      </c>
      <c r="B67" s="18" t="s">
        <v>905</v>
      </c>
      <c r="C67" s="41">
        <v>467.9</v>
      </c>
      <c r="D67" s="42">
        <v>101395.32</v>
      </c>
      <c r="E67" s="42">
        <v>8449.61</v>
      </c>
      <c r="F67" s="44">
        <v>216</v>
      </c>
      <c r="G67" s="46">
        <v>18</v>
      </c>
      <c r="H67" s="44">
        <v>151</v>
      </c>
      <c r="I67" s="45">
        <v>3.9</v>
      </c>
      <c r="J67" s="45" t="s">
        <v>906</v>
      </c>
      <c r="K67" s="22" t="str">
        <f t="shared" si="8"/>
        <v>https://amazon.com/dp/B0C1BN96WB</v>
      </c>
    </row>
    <row r="68" spans="1:11" ht="45" x14ac:dyDescent="0.2">
      <c r="A68" s="18" t="s">
        <v>901</v>
      </c>
      <c r="B68" s="18" t="s">
        <v>902</v>
      </c>
      <c r="C68" s="41">
        <v>467.99</v>
      </c>
      <c r="D68" s="42">
        <v>102513.84</v>
      </c>
      <c r="E68" s="42">
        <v>8542.82</v>
      </c>
      <c r="F68" s="44">
        <v>216</v>
      </c>
      <c r="G68" s="46">
        <v>18</v>
      </c>
      <c r="H68" s="44">
        <v>75</v>
      </c>
      <c r="I68" s="45">
        <v>4.0999999999999996</v>
      </c>
      <c r="J68" s="45" t="s">
        <v>903</v>
      </c>
      <c r="K68" s="22" t="str">
        <f t="shared" si="8"/>
        <v>https://amazon.com/dp/B0BV2SYJDK</v>
      </c>
    </row>
    <row r="69" spans="1:11" ht="45" x14ac:dyDescent="0.2">
      <c r="A69" s="18" t="s">
        <v>913</v>
      </c>
      <c r="B69" s="18" t="s">
        <v>914</v>
      </c>
      <c r="C69" s="41">
        <v>479.99</v>
      </c>
      <c r="D69" s="42">
        <v>86620.200000000012</v>
      </c>
      <c r="E69" s="42">
        <v>7218.35</v>
      </c>
      <c r="F69" s="44">
        <v>180</v>
      </c>
      <c r="G69" s="46">
        <v>15</v>
      </c>
      <c r="H69" s="44">
        <v>10</v>
      </c>
      <c r="I69" s="45">
        <v>5</v>
      </c>
      <c r="J69" s="45" t="s">
        <v>915</v>
      </c>
      <c r="K69" s="22" t="str">
        <f t="shared" si="8"/>
        <v>https://amazon.com/dp/B0DNMJ1WWW</v>
      </c>
    </row>
    <row r="70" spans="1:11" ht="45" x14ac:dyDescent="0.2">
      <c r="A70" s="18" t="s">
        <v>952</v>
      </c>
      <c r="B70" s="18" t="s">
        <v>953</v>
      </c>
      <c r="C70" s="41">
        <v>185.99</v>
      </c>
      <c r="D70" s="42">
        <v>30267</v>
      </c>
      <c r="E70" s="42">
        <v>2522.25</v>
      </c>
      <c r="F70" s="44">
        <v>180</v>
      </c>
      <c r="G70" s="46">
        <v>15</v>
      </c>
      <c r="H70" s="44">
        <v>9</v>
      </c>
      <c r="I70" s="45">
        <v>3.3</v>
      </c>
      <c r="J70" s="45" t="s">
        <v>954</v>
      </c>
      <c r="K70" s="22" t="str">
        <f t="shared" si="8"/>
        <v>https://amazon.com/dp/B0FP8M3NW4</v>
      </c>
    </row>
    <row r="71" spans="1:11" ht="45" x14ac:dyDescent="0.2">
      <c r="A71" s="18" t="s">
        <v>931</v>
      </c>
      <c r="B71" s="18" t="s">
        <v>932</v>
      </c>
      <c r="C71" s="41">
        <v>475.99</v>
      </c>
      <c r="D71" s="42">
        <v>74565.119999999995</v>
      </c>
      <c r="E71" s="42">
        <v>6213.76</v>
      </c>
      <c r="F71" s="44">
        <v>156</v>
      </c>
      <c r="G71" s="46">
        <v>13</v>
      </c>
      <c r="H71" s="44">
        <v>75</v>
      </c>
      <c r="I71" s="45">
        <v>4.0999999999999996</v>
      </c>
      <c r="J71" s="45" t="s">
        <v>933</v>
      </c>
      <c r="K71" s="22" t="str">
        <f t="shared" si="8"/>
        <v>https://amazon.com/dp/B0BTP4K3H7</v>
      </c>
    </row>
    <row r="72" spans="1:11" ht="45" x14ac:dyDescent="0.2">
      <c r="A72" s="18" t="s">
        <v>922</v>
      </c>
      <c r="B72" s="18" t="s">
        <v>923</v>
      </c>
      <c r="C72" s="41">
        <v>424.71</v>
      </c>
      <c r="D72" s="42">
        <v>82473.72</v>
      </c>
      <c r="E72" s="42">
        <v>6872.81</v>
      </c>
      <c r="F72" s="44">
        <v>156</v>
      </c>
      <c r="G72" s="46">
        <v>13</v>
      </c>
      <c r="H72" s="44">
        <v>151</v>
      </c>
      <c r="I72" s="45">
        <v>3.9</v>
      </c>
      <c r="J72" s="45" t="s">
        <v>924</v>
      </c>
      <c r="K72" s="22" t="str">
        <f t="shared" si="8"/>
        <v>https://amazon.com/dp/B0C1B657ST</v>
      </c>
    </row>
    <row r="73" spans="1:11" ht="45" x14ac:dyDescent="0.2">
      <c r="A73" s="18" t="s">
        <v>907</v>
      </c>
      <c r="B73" s="18" t="s">
        <v>908</v>
      </c>
      <c r="C73" s="41">
        <v>606.99</v>
      </c>
      <c r="D73" s="42">
        <v>99381.24</v>
      </c>
      <c r="E73" s="42">
        <v>8281.77</v>
      </c>
      <c r="F73" s="44">
        <v>144</v>
      </c>
      <c r="G73" s="46">
        <v>12</v>
      </c>
      <c r="H73" s="44">
        <v>8</v>
      </c>
      <c r="I73" s="45">
        <v>4.7</v>
      </c>
      <c r="J73" s="45" t="s">
        <v>909</v>
      </c>
      <c r="K73" s="22" t="str">
        <f t="shared" si="8"/>
        <v>https://amazon.com/dp/B0DNMH4MR6</v>
      </c>
    </row>
    <row r="74" spans="1:11" ht="45" x14ac:dyDescent="0.2">
      <c r="A74" s="18" t="s">
        <v>976</v>
      </c>
      <c r="B74" s="18" t="s">
        <v>977</v>
      </c>
      <c r="C74" s="41">
        <v>19.11</v>
      </c>
      <c r="D74" s="42">
        <v>2866.2</v>
      </c>
      <c r="E74" s="42">
        <v>238.85</v>
      </c>
      <c r="F74" s="44">
        <v>132</v>
      </c>
      <c r="G74" s="46">
        <v>11</v>
      </c>
      <c r="H74" s="44">
        <v>34</v>
      </c>
      <c r="I74" s="45">
        <v>3.9</v>
      </c>
      <c r="J74" s="45" t="s">
        <v>978</v>
      </c>
      <c r="K74" s="22" t="str">
        <f t="shared" ref="K74:K81" si="9">HYPERLINK(J74)</f>
        <v>https://amazon.com/dp/B0F6CSNVZJ</v>
      </c>
    </row>
    <row r="75" spans="1:11" ht="45" x14ac:dyDescent="0.2">
      <c r="A75" s="18" t="s">
        <v>934</v>
      </c>
      <c r="B75" s="18" t="s">
        <v>935</v>
      </c>
      <c r="C75" s="41">
        <v>613.11</v>
      </c>
      <c r="D75" s="42">
        <v>66490.319999999992</v>
      </c>
      <c r="E75" s="42">
        <v>5540.86</v>
      </c>
      <c r="F75" s="44">
        <v>108</v>
      </c>
      <c r="G75" s="46">
        <v>9</v>
      </c>
      <c r="H75" s="44">
        <v>151</v>
      </c>
      <c r="I75" s="45">
        <v>3.9</v>
      </c>
      <c r="J75" s="45" t="s">
        <v>936</v>
      </c>
      <c r="K75" s="22" t="str">
        <f t="shared" si="9"/>
        <v>https://amazon.com/dp/B0DNMFPQ9L</v>
      </c>
    </row>
    <row r="76" spans="1:11" ht="45" x14ac:dyDescent="0.2">
      <c r="A76" s="18" t="s">
        <v>955</v>
      </c>
      <c r="B76" s="18" t="s">
        <v>956</v>
      </c>
      <c r="C76" s="41">
        <v>229.99</v>
      </c>
      <c r="D76" s="42">
        <v>23879.040000000001</v>
      </c>
      <c r="E76" s="42">
        <v>1989.92</v>
      </c>
      <c r="F76" s="44">
        <v>108</v>
      </c>
      <c r="G76" s="46">
        <v>9</v>
      </c>
      <c r="H76" s="44">
        <v>9</v>
      </c>
      <c r="I76" s="45">
        <v>3.3</v>
      </c>
      <c r="J76" s="45" t="s">
        <v>957</v>
      </c>
      <c r="K76" s="22" t="str">
        <f t="shared" si="9"/>
        <v>https://amazon.com/dp/B0FP8L21YT</v>
      </c>
    </row>
    <row r="77" spans="1:11" ht="45" x14ac:dyDescent="0.2">
      <c r="A77" s="18" t="s">
        <v>940</v>
      </c>
      <c r="B77" s="18" t="s">
        <v>941</v>
      </c>
      <c r="C77" s="41">
        <v>526.9</v>
      </c>
      <c r="D77" s="42">
        <v>56957.399999999987</v>
      </c>
      <c r="E77" s="42">
        <v>4746.45</v>
      </c>
      <c r="F77" s="44">
        <v>108</v>
      </c>
      <c r="G77" s="46">
        <v>9</v>
      </c>
      <c r="H77" s="44">
        <v>75</v>
      </c>
      <c r="I77" s="45">
        <v>4.0999999999999996</v>
      </c>
      <c r="J77" s="45" t="s">
        <v>942</v>
      </c>
      <c r="K77" s="22" t="str">
        <f t="shared" si="9"/>
        <v>https://amazon.com/dp/B0BV2V59XB</v>
      </c>
    </row>
    <row r="78" spans="1:11" ht="45" x14ac:dyDescent="0.2">
      <c r="A78" s="18" t="s">
        <v>910</v>
      </c>
      <c r="B78" s="18" t="s">
        <v>911</v>
      </c>
      <c r="C78" s="41">
        <v>799.99</v>
      </c>
      <c r="D78" s="42">
        <v>88350.84</v>
      </c>
      <c r="E78" s="42">
        <v>7362.57</v>
      </c>
      <c r="F78" s="44">
        <v>108</v>
      </c>
      <c r="G78" s="46">
        <v>9</v>
      </c>
      <c r="H78" s="44">
        <v>10</v>
      </c>
      <c r="I78" s="45">
        <v>3.4</v>
      </c>
      <c r="J78" s="45" t="s">
        <v>912</v>
      </c>
      <c r="K78" s="22" t="str">
        <f t="shared" si="9"/>
        <v>https://amazon.com/dp/B0DNMHPJR6</v>
      </c>
    </row>
    <row r="79" spans="1:11" ht="45" x14ac:dyDescent="0.2">
      <c r="A79" s="18" t="s">
        <v>979</v>
      </c>
      <c r="B79" s="18" t="s">
        <v>980</v>
      </c>
      <c r="C79" s="41">
        <v>14.44</v>
      </c>
      <c r="D79" s="42">
        <v>2026.2</v>
      </c>
      <c r="E79" s="42">
        <v>168.85</v>
      </c>
      <c r="F79" s="44">
        <v>96</v>
      </c>
      <c r="G79" s="46">
        <v>8</v>
      </c>
      <c r="H79" s="44">
        <v>34</v>
      </c>
      <c r="I79" s="45">
        <v>3.9</v>
      </c>
      <c r="J79" s="45" t="s">
        <v>981</v>
      </c>
      <c r="K79" s="22" t="str">
        <f t="shared" si="9"/>
        <v>https://amazon.com/dp/B0F6CTJM12</v>
      </c>
    </row>
    <row r="80" spans="1:11" ht="45" x14ac:dyDescent="0.2">
      <c r="A80" s="18" t="s">
        <v>946</v>
      </c>
      <c r="B80" s="18" t="s">
        <v>947</v>
      </c>
      <c r="C80" s="41">
        <v>575.99</v>
      </c>
      <c r="D80" s="42">
        <v>44542.92</v>
      </c>
      <c r="E80" s="42">
        <v>3711.91</v>
      </c>
      <c r="F80" s="44">
        <v>84</v>
      </c>
      <c r="G80" s="46">
        <v>7</v>
      </c>
      <c r="H80" s="44">
        <v>74</v>
      </c>
      <c r="I80" s="45">
        <v>4.0999999999999996</v>
      </c>
      <c r="J80" s="45" t="s">
        <v>948</v>
      </c>
      <c r="K80" s="22" t="str">
        <f t="shared" si="9"/>
        <v>https://amazon.com/dp/B0BV2Q92RJ</v>
      </c>
    </row>
    <row r="81" spans="1:11" ht="45" x14ac:dyDescent="0.2">
      <c r="A81" s="18" t="s">
        <v>949</v>
      </c>
      <c r="B81" s="18" t="s">
        <v>950</v>
      </c>
      <c r="C81" s="41">
        <v>632.99</v>
      </c>
      <c r="D81" s="42">
        <v>36972.720000000001</v>
      </c>
      <c r="E81" s="42">
        <v>3081.06</v>
      </c>
      <c r="F81" s="44">
        <v>60</v>
      </c>
      <c r="G81" s="46">
        <v>5</v>
      </c>
      <c r="H81" s="44">
        <v>75</v>
      </c>
      <c r="I81" s="45">
        <v>4.0999999999999996</v>
      </c>
      <c r="J81" s="45" t="s">
        <v>951</v>
      </c>
      <c r="K81" s="22" t="str">
        <f t="shared" si="9"/>
        <v>https://amazon.com/dp/B0BV2VFMVZ</v>
      </c>
    </row>
    <row r="82" spans="1:11" ht="45" x14ac:dyDescent="0.2">
      <c r="A82" s="18" t="s">
        <v>964</v>
      </c>
      <c r="B82" s="18" t="s">
        <v>965</v>
      </c>
      <c r="C82" s="41">
        <v>248.9</v>
      </c>
      <c r="D82" s="42">
        <v>11374.44</v>
      </c>
      <c r="E82" s="42">
        <v>947.87</v>
      </c>
      <c r="F82" s="44">
        <v>36</v>
      </c>
      <c r="G82" s="46">
        <v>3</v>
      </c>
      <c r="H82" s="44">
        <v>4</v>
      </c>
      <c r="I82" s="45">
        <v>2.8</v>
      </c>
      <c r="J82" s="45" t="s">
        <v>966</v>
      </c>
      <c r="K82" s="22" t="str">
        <f t="shared" ref="K82:K83" si="10">HYPERLINK(J82)</f>
        <v>https://amazon.com/dp/B0DZ66K1CC</v>
      </c>
    </row>
    <row r="83" spans="1:11" ht="45" x14ac:dyDescent="0.2">
      <c r="A83" s="18" t="s">
        <v>967</v>
      </c>
      <c r="B83" s="18" t="s">
        <v>968</v>
      </c>
      <c r="C83" s="41">
        <v>349.99</v>
      </c>
      <c r="D83" s="42">
        <v>10352.16</v>
      </c>
      <c r="E83" s="42">
        <v>862.68</v>
      </c>
      <c r="F83" s="44">
        <v>24</v>
      </c>
      <c r="G83" s="46">
        <v>2</v>
      </c>
      <c r="H83" s="44">
        <v>9</v>
      </c>
      <c r="I83" s="45">
        <v>3.3</v>
      </c>
      <c r="J83" s="45" t="s">
        <v>969</v>
      </c>
      <c r="K83" s="22" t="str">
        <f t="shared" si="10"/>
        <v>https://amazon.com/dp/B0FPBVG1QJ</v>
      </c>
    </row>
    <row r="84" spans="1:11" ht="17" x14ac:dyDescent="0.2">
      <c r="A84" s="21" t="s">
        <v>4</v>
      </c>
      <c r="B84" s="20"/>
      <c r="C84" s="20"/>
      <c r="D84" s="20"/>
      <c r="E84" s="20"/>
      <c r="F84" s="48">
        <f>SUM(VEVOR!F49:F83)</f>
        <v>18732</v>
      </c>
      <c r="G84" s="48">
        <f>SUM(VEVOR!G49:G83)</f>
        <v>1561</v>
      </c>
      <c r="H84" s="48"/>
      <c r="I84" s="23"/>
    </row>
  </sheetData>
  <sortState xmlns:xlrd2="http://schemas.microsoft.com/office/spreadsheetml/2017/richdata2" ref="A49:J83">
    <sortCondition ref="F49:F83"/>
  </sortState>
  <mergeCells count="3">
    <mergeCell ref="A7:K7"/>
    <mergeCell ref="A1:K5"/>
    <mergeCell ref="A47:K47"/>
  </mergeCells>
  <hyperlinks>
    <hyperlink ref="K9" r:id="rId1" display="https://amazon.com/dp/B07S7H86Z1" xr:uid="{470E4773-E0EA-4A90-8373-A1F3B3558E2B}"/>
    <hyperlink ref="K49" r:id="rId2" display="https://amazon.com/dp/B07S7H86Z1" xr:uid="{00F4B7D9-0047-4E8B-B805-C520E1AB584D}"/>
    <hyperlink ref="K38:K40" r:id="rId3" display="https://amazon.com/dp/B07S7H86Z1" xr:uid="{CD85D58E-5121-4F0F-91C1-147D86B8888D}"/>
    <hyperlink ref="J9" r:id="rId4" xr:uid="{EA025E93-BC53-D441-B1AF-08FF47A9CA75}"/>
  </hyperlinks>
  <pageMargins left="0.7" right="0.7" top="0.75" bottom="0.75" header="0.3" footer="0.3"/>
  <tableParts count="2">
    <tablePart r:id="rId5"/>
    <tablePart r:id="rId6"/>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11ADD-7492-B44C-8043-14EECB0F5FE4}">
  <dimension ref="A1:K106"/>
  <sheetViews>
    <sheetView zoomScale="75" workbookViewId="0">
      <selection activeCell="M22" sqref="M22"/>
    </sheetView>
  </sheetViews>
  <sheetFormatPr baseColWidth="10" defaultColWidth="11.1640625" defaultRowHeight="16" x14ac:dyDescent="0.2"/>
  <cols>
    <col min="1" max="1" width="50.6640625" style="19" customWidth="1"/>
    <col min="2" max="2" width="12.6640625" style="19" customWidth="1"/>
    <col min="3" max="3" width="10.83203125" style="19" bestFit="1" customWidth="1"/>
    <col min="4" max="4" width="24.83203125" style="19" bestFit="1" customWidth="1"/>
    <col min="5" max="5" width="17.6640625" style="48" bestFit="1" customWidth="1"/>
    <col min="6" max="6" width="21.6640625" style="48" bestFit="1" customWidth="1"/>
    <col min="7" max="7" width="19.1640625" style="48" bestFit="1" customWidth="1"/>
    <col min="8" max="8" width="13.5" style="23" bestFit="1" customWidth="1"/>
    <col min="9" max="9" width="12.6640625" style="19" bestFit="1" customWidth="1"/>
    <col min="10" max="10" width="33" style="19" hidden="1" customWidth="1"/>
    <col min="11" max="11" width="35.6640625" style="19" customWidth="1"/>
    <col min="12" max="12" width="12.6640625" style="19" customWidth="1"/>
    <col min="13" max="16384" width="11.1640625" style="19"/>
  </cols>
  <sheetData>
    <row r="1" spans="1:11" ht="15.75" customHeight="1" x14ac:dyDescent="0.2">
      <c r="A1" s="113" t="e" vm="10">
        <v>#VALUE!</v>
      </c>
      <c r="B1" s="113"/>
      <c r="C1" s="113"/>
      <c r="D1" s="113"/>
      <c r="E1" s="113"/>
      <c r="F1" s="113"/>
      <c r="G1" s="113"/>
      <c r="H1" s="113"/>
      <c r="I1" s="113"/>
      <c r="J1" s="113"/>
      <c r="K1" s="113"/>
    </row>
    <row r="2" spans="1:11" ht="15.75" customHeight="1" x14ac:dyDescent="0.2">
      <c r="A2" s="113"/>
      <c r="B2" s="113"/>
      <c r="C2" s="113"/>
      <c r="D2" s="113"/>
      <c r="E2" s="113"/>
      <c r="F2" s="113"/>
      <c r="G2" s="113"/>
      <c r="H2" s="113"/>
      <c r="I2" s="113"/>
      <c r="J2" s="113"/>
      <c r="K2" s="113"/>
    </row>
    <row r="3" spans="1:11" ht="15.75" customHeight="1" x14ac:dyDescent="0.2">
      <c r="A3" s="113"/>
      <c r="B3" s="113"/>
      <c r="C3" s="113"/>
      <c r="D3" s="113"/>
      <c r="E3" s="113"/>
      <c r="F3" s="113"/>
      <c r="G3" s="113"/>
      <c r="H3" s="113"/>
      <c r="I3" s="113"/>
      <c r="J3" s="113"/>
      <c r="K3" s="113"/>
    </row>
    <row r="4" spans="1:11" ht="15.75" customHeight="1" x14ac:dyDescent="0.2">
      <c r="A4" s="113"/>
      <c r="B4" s="113"/>
      <c r="C4" s="113"/>
      <c r="D4" s="113"/>
      <c r="E4" s="113"/>
      <c r="F4" s="113"/>
      <c r="G4" s="113"/>
      <c r="H4" s="113"/>
      <c r="I4" s="113"/>
      <c r="J4" s="113"/>
      <c r="K4" s="113"/>
    </row>
    <row r="5" spans="1:11" ht="15.75" customHeight="1" x14ac:dyDescent="0.2">
      <c r="A5" s="113"/>
      <c r="B5" s="113"/>
      <c r="C5" s="113"/>
      <c r="D5" s="113"/>
      <c r="E5" s="113"/>
      <c r="F5" s="113"/>
      <c r="G5" s="113"/>
      <c r="H5" s="113"/>
      <c r="I5" s="113"/>
      <c r="J5" s="113"/>
      <c r="K5" s="113"/>
    </row>
    <row r="6" spans="1:11" x14ac:dyDescent="0.2">
      <c r="A6" s="17"/>
      <c r="B6" s="17"/>
      <c r="C6" s="33"/>
      <c r="D6" s="34"/>
      <c r="E6" s="34"/>
      <c r="F6" s="34"/>
      <c r="G6" s="34"/>
      <c r="H6" s="35"/>
      <c r="I6" s="36"/>
    </row>
    <row r="7" spans="1:11" x14ac:dyDescent="0.2">
      <c r="A7" s="111" t="s">
        <v>14</v>
      </c>
      <c r="B7" s="111"/>
      <c r="C7" s="111"/>
      <c r="D7" s="111"/>
      <c r="E7" s="111"/>
      <c r="F7" s="111"/>
      <c r="G7" s="111"/>
      <c r="H7" s="111"/>
      <c r="I7" s="111"/>
      <c r="J7" s="111"/>
      <c r="K7" s="111"/>
    </row>
    <row r="8" spans="1:11" ht="17" x14ac:dyDescent="0.2">
      <c r="A8" s="24" t="s">
        <v>6</v>
      </c>
      <c r="B8" s="25" t="s">
        <v>5</v>
      </c>
      <c r="C8" s="26" t="s">
        <v>11</v>
      </c>
      <c r="D8" s="27" t="s">
        <v>2</v>
      </c>
      <c r="E8" s="28" t="s">
        <v>27</v>
      </c>
      <c r="F8" s="29" t="s">
        <v>13</v>
      </c>
      <c r="G8" s="29" t="s">
        <v>28</v>
      </c>
      <c r="H8" s="29" t="s">
        <v>8</v>
      </c>
      <c r="I8" s="30" t="s">
        <v>12</v>
      </c>
      <c r="J8" s="30" t="s">
        <v>22</v>
      </c>
      <c r="K8" s="31" t="s">
        <v>10</v>
      </c>
    </row>
    <row r="9" spans="1:11" ht="45" x14ac:dyDescent="0.2">
      <c r="A9" s="18" t="s">
        <v>982</v>
      </c>
      <c r="B9" s="18" t="s">
        <v>983</v>
      </c>
      <c r="C9" s="41">
        <v>659.88</v>
      </c>
      <c r="D9" s="42">
        <v>228870.72</v>
      </c>
      <c r="E9" s="43">
        <v>19072.560000000001</v>
      </c>
      <c r="F9" s="44">
        <v>348</v>
      </c>
      <c r="G9" s="44">
        <v>29</v>
      </c>
      <c r="H9" s="44">
        <v>6</v>
      </c>
      <c r="I9" s="45">
        <v>4.8</v>
      </c>
      <c r="J9" s="81" t="s">
        <v>984</v>
      </c>
      <c r="K9" s="22" t="str">
        <f>HYPERLINK(J9)</f>
        <v>https://amazon.com/dp/B0DYDGXG2N</v>
      </c>
    </row>
    <row r="10" spans="1:11" ht="60" x14ac:dyDescent="0.2">
      <c r="A10" s="18" t="s">
        <v>985</v>
      </c>
      <c r="B10" s="18" t="s">
        <v>986</v>
      </c>
      <c r="C10" s="41">
        <v>759.88</v>
      </c>
      <c r="D10" s="42">
        <v>183450.72</v>
      </c>
      <c r="E10" s="43">
        <v>15287.56</v>
      </c>
      <c r="F10" s="44">
        <v>240</v>
      </c>
      <c r="G10" s="44">
        <v>20</v>
      </c>
      <c r="H10" s="44">
        <v>6</v>
      </c>
      <c r="I10" s="45">
        <v>4.8</v>
      </c>
      <c r="J10" s="107" t="s">
        <v>987</v>
      </c>
      <c r="K10" s="22" t="str">
        <f t="shared" ref="K10:K54" si="0">HYPERLINK(J10)</f>
        <v>https://amazon.com/dp/B0DY1KCDWW</v>
      </c>
    </row>
    <row r="11" spans="1:11" ht="45" x14ac:dyDescent="0.2">
      <c r="A11" s="18" t="s">
        <v>988</v>
      </c>
      <c r="B11" s="18" t="s">
        <v>989</v>
      </c>
      <c r="C11" s="41">
        <v>899.99</v>
      </c>
      <c r="D11" s="42">
        <v>151612.68</v>
      </c>
      <c r="E11" s="43">
        <v>12634.39</v>
      </c>
      <c r="F11" s="44">
        <v>168</v>
      </c>
      <c r="G11" s="44">
        <v>14</v>
      </c>
      <c r="H11" s="44">
        <v>120</v>
      </c>
      <c r="I11" s="45">
        <v>4.0999999999999996</v>
      </c>
      <c r="J11" s="107" t="s">
        <v>990</v>
      </c>
      <c r="K11" s="22" t="str">
        <f t="shared" si="0"/>
        <v>https://amazon.com/dp/B0DSJGPDB6</v>
      </c>
    </row>
    <row r="12" spans="1:11" ht="45" x14ac:dyDescent="0.2">
      <c r="A12" s="18" t="s">
        <v>991</v>
      </c>
      <c r="B12" s="18" t="s">
        <v>992</v>
      </c>
      <c r="C12" s="41">
        <v>859.88</v>
      </c>
      <c r="D12" s="42">
        <v>146140.32</v>
      </c>
      <c r="E12" s="43">
        <v>12178.36</v>
      </c>
      <c r="F12" s="44">
        <v>168</v>
      </c>
      <c r="G12" s="44">
        <v>14</v>
      </c>
      <c r="H12" s="44">
        <v>6</v>
      </c>
      <c r="I12" s="45">
        <v>4.8</v>
      </c>
      <c r="J12" s="107" t="s">
        <v>993</v>
      </c>
      <c r="K12" s="22" t="str">
        <f t="shared" si="0"/>
        <v>https://amazon.com/dp/B0DYJGWGHB</v>
      </c>
    </row>
    <row r="13" spans="1:11" ht="45" x14ac:dyDescent="0.2">
      <c r="A13" s="18" t="s">
        <v>994</v>
      </c>
      <c r="B13" s="18" t="s">
        <v>995</v>
      </c>
      <c r="C13" s="41">
        <v>399.99</v>
      </c>
      <c r="D13" s="42">
        <v>117906.96</v>
      </c>
      <c r="E13" s="43">
        <v>9825.58</v>
      </c>
      <c r="F13" s="44">
        <v>300</v>
      </c>
      <c r="G13" s="44">
        <v>25</v>
      </c>
      <c r="H13" s="44">
        <v>4</v>
      </c>
      <c r="I13" s="45">
        <v>4.2</v>
      </c>
      <c r="J13" s="107" t="s">
        <v>996</v>
      </c>
      <c r="K13" s="22" t="str">
        <f t="shared" si="0"/>
        <v>https://amazon.com/dp/B0DP8WKC2J</v>
      </c>
    </row>
    <row r="14" spans="1:11" ht="45" x14ac:dyDescent="0.2">
      <c r="A14" s="18" t="s">
        <v>997</v>
      </c>
      <c r="B14" s="18" t="s">
        <v>998</v>
      </c>
      <c r="C14" s="41">
        <v>659.88</v>
      </c>
      <c r="D14" s="42">
        <v>113137.56</v>
      </c>
      <c r="E14" s="43">
        <v>9428.1299999999992</v>
      </c>
      <c r="F14" s="44">
        <v>108</v>
      </c>
      <c r="G14" s="44">
        <v>9</v>
      </c>
      <c r="H14" s="44">
        <v>6</v>
      </c>
      <c r="I14" s="45">
        <v>4.8</v>
      </c>
      <c r="J14" s="107" t="s">
        <v>999</v>
      </c>
      <c r="K14" s="22" t="str">
        <f t="shared" si="0"/>
        <v>https://amazon.com/dp/B0DRP5QBNB</v>
      </c>
    </row>
    <row r="15" spans="1:11" ht="60" x14ac:dyDescent="0.2">
      <c r="A15" s="18" t="s">
        <v>1000</v>
      </c>
      <c r="B15" s="18" t="s">
        <v>1001</v>
      </c>
      <c r="C15" s="41">
        <v>479.63</v>
      </c>
      <c r="D15" s="42">
        <v>110067.72</v>
      </c>
      <c r="E15" s="43">
        <v>9172.31</v>
      </c>
      <c r="F15" s="44">
        <v>168</v>
      </c>
      <c r="G15" s="44">
        <v>14</v>
      </c>
      <c r="H15" s="44">
        <v>43</v>
      </c>
      <c r="I15" s="45">
        <v>4.4000000000000004</v>
      </c>
      <c r="J15" s="107" t="s">
        <v>1002</v>
      </c>
      <c r="K15" s="22" t="str">
        <f t="shared" si="0"/>
        <v>https://amazon.com/dp/B0DPFBKHT4</v>
      </c>
    </row>
    <row r="16" spans="1:11" ht="60" x14ac:dyDescent="0.2">
      <c r="A16" s="18" t="s">
        <v>1003</v>
      </c>
      <c r="B16" s="18" t="s">
        <v>1004</v>
      </c>
      <c r="C16" s="41">
        <v>949.99</v>
      </c>
      <c r="D16" s="42">
        <v>100595.88</v>
      </c>
      <c r="E16" s="43">
        <v>8382.99</v>
      </c>
      <c r="F16" s="44">
        <v>108</v>
      </c>
      <c r="G16" s="44">
        <v>9</v>
      </c>
      <c r="H16" s="44">
        <v>120</v>
      </c>
      <c r="I16" s="45">
        <v>4.0999999999999996</v>
      </c>
      <c r="J16" s="107" t="s">
        <v>1005</v>
      </c>
      <c r="K16" s="22" t="str">
        <f t="shared" si="0"/>
        <v>https://amazon.com/dp/B0FLVB6GYH</v>
      </c>
    </row>
    <row r="17" spans="1:11" ht="60" x14ac:dyDescent="0.2">
      <c r="A17" s="18" t="s">
        <v>1006</v>
      </c>
      <c r="B17" s="18" t="s">
        <v>1007</v>
      </c>
      <c r="C17" s="41">
        <v>659.88</v>
      </c>
      <c r="D17" s="42">
        <v>94431.959999999992</v>
      </c>
      <c r="E17" s="43">
        <v>7869.33</v>
      </c>
      <c r="F17" s="44">
        <v>144</v>
      </c>
      <c r="G17" s="44">
        <v>12</v>
      </c>
      <c r="H17" s="44">
        <v>43</v>
      </c>
      <c r="I17" s="45">
        <v>4.4000000000000004</v>
      </c>
      <c r="J17" s="107" t="s">
        <v>1008</v>
      </c>
      <c r="K17" s="22" t="str">
        <f t="shared" si="0"/>
        <v>https://amazon.com/dp/B0C9TP4FVP</v>
      </c>
    </row>
    <row r="18" spans="1:11" ht="60" x14ac:dyDescent="0.2">
      <c r="A18" s="18" t="s">
        <v>1009</v>
      </c>
      <c r="B18" s="18" t="s">
        <v>1010</v>
      </c>
      <c r="C18" s="41">
        <v>199.99</v>
      </c>
      <c r="D18" s="42">
        <v>90112.56</v>
      </c>
      <c r="E18" s="43">
        <v>7509.38</v>
      </c>
      <c r="F18" s="44">
        <v>456</v>
      </c>
      <c r="G18" s="44">
        <v>38</v>
      </c>
      <c r="H18" s="44">
        <v>4</v>
      </c>
      <c r="I18" s="45">
        <v>4</v>
      </c>
      <c r="J18" s="107" t="s">
        <v>1011</v>
      </c>
      <c r="K18" s="22" t="str">
        <f t="shared" si="0"/>
        <v>https://amazon.com/dp/B0FHVPYYQ7</v>
      </c>
    </row>
    <row r="19" spans="1:11" ht="45" x14ac:dyDescent="0.2">
      <c r="A19" s="18" t="s">
        <v>1012</v>
      </c>
      <c r="B19" s="18" t="s">
        <v>1013</v>
      </c>
      <c r="C19" s="41">
        <v>299.98</v>
      </c>
      <c r="D19" s="42">
        <v>88927.799999999988</v>
      </c>
      <c r="E19" s="43">
        <v>7410.65</v>
      </c>
      <c r="F19" s="44">
        <v>300</v>
      </c>
      <c r="G19" s="44">
        <v>25</v>
      </c>
      <c r="H19" s="44">
        <v>126</v>
      </c>
      <c r="I19" s="45">
        <v>4.4000000000000004</v>
      </c>
      <c r="J19" s="107" t="s">
        <v>1014</v>
      </c>
      <c r="K19" s="22" t="str">
        <f t="shared" si="0"/>
        <v>https://amazon.com/dp/B0DJLM28ZL</v>
      </c>
    </row>
    <row r="20" spans="1:11" ht="45" x14ac:dyDescent="0.2">
      <c r="A20" s="18" t="s">
        <v>1015</v>
      </c>
      <c r="B20" s="18" t="s">
        <v>1016</v>
      </c>
      <c r="C20" s="41">
        <v>759.88</v>
      </c>
      <c r="D20" s="42">
        <v>74096.160000000003</v>
      </c>
      <c r="E20" s="43">
        <v>6174.68</v>
      </c>
      <c r="F20" s="44">
        <v>96</v>
      </c>
      <c r="G20" s="44">
        <v>8</v>
      </c>
      <c r="H20" s="44">
        <v>43</v>
      </c>
      <c r="I20" s="45">
        <v>4.4000000000000004</v>
      </c>
      <c r="J20" s="107" t="s">
        <v>1017</v>
      </c>
      <c r="K20" s="22" t="str">
        <f t="shared" si="0"/>
        <v>https://amazon.com/dp/B0DPFBK493</v>
      </c>
    </row>
    <row r="21" spans="1:11" ht="45" x14ac:dyDescent="0.2">
      <c r="A21" s="18" t="s">
        <v>1018</v>
      </c>
      <c r="B21" s="18" t="s">
        <v>1019</v>
      </c>
      <c r="C21" s="41">
        <v>359.99</v>
      </c>
      <c r="D21" s="42">
        <v>63321.240000000013</v>
      </c>
      <c r="E21" s="43">
        <v>5276.77</v>
      </c>
      <c r="F21" s="44">
        <v>180</v>
      </c>
      <c r="G21" s="44">
        <v>15</v>
      </c>
      <c r="H21" s="44">
        <v>126</v>
      </c>
      <c r="I21" s="45">
        <v>4.4000000000000004</v>
      </c>
      <c r="J21" s="107" t="s">
        <v>1020</v>
      </c>
      <c r="K21" s="22" t="str">
        <f t="shared" si="0"/>
        <v>https://amazon.com/dp/B0DP9QQZC1</v>
      </c>
    </row>
    <row r="22" spans="1:11" ht="45" x14ac:dyDescent="0.2">
      <c r="A22" s="18" t="s">
        <v>1021</v>
      </c>
      <c r="B22" s="18" t="s">
        <v>1022</v>
      </c>
      <c r="C22" s="41">
        <v>799.88</v>
      </c>
      <c r="D22" s="42">
        <v>58265.279999999999</v>
      </c>
      <c r="E22" s="43">
        <v>4855.4399999999996</v>
      </c>
      <c r="F22" s="44">
        <v>72</v>
      </c>
      <c r="G22" s="44">
        <v>6</v>
      </c>
      <c r="H22" s="44">
        <v>43</v>
      </c>
      <c r="I22" s="45">
        <v>4.4000000000000004</v>
      </c>
      <c r="J22" s="107" t="s">
        <v>1023</v>
      </c>
      <c r="K22" s="22" t="str">
        <f t="shared" si="0"/>
        <v>https://amazon.com/dp/B0CN38GJNQ</v>
      </c>
    </row>
    <row r="23" spans="1:11" ht="45" x14ac:dyDescent="0.2">
      <c r="A23" s="18" t="s">
        <v>1024</v>
      </c>
      <c r="B23" s="18" t="s">
        <v>1025</v>
      </c>
      <c r="C23" s="41">
        <v>549.99</v>
      </c>
      <c r="D23" s="42">
        <v>53906.879999999997</v>
      </c>
      <c r="E23" s="43">
        <v>4492.24</v>
      </c>
      <c r="F23" s="44">
        <v>108</v>
      </c>
      <c r="G23" s="44">
        <v>9</v>
      </c>
      <c r="H23" s="44">
        <v>50</v>
      </c>
      <c r="I23" s="45">
        <v>4.2</v>
      </c>
      <c r="J23" s="107" t="s">
        <v>1026</v>
      </c>
      <c r="K23" s="22" t="str">
        <f t="shared" si="0"/>
        <v>https://amazon.com/dp/B0CCDK5GHP</v>
      </c>
    </row>
    <row r="24" spans="1:11" ht="45" x14ac:dyDescent="0.2">
      <c r="A24" s="18" t="s">
        <v>1027</v>
      </c>
      <c r="B24" s="18" t="s">
        <v>1028</v>
      </c>
      <c r="C24" s="41">
        <v>199.88</v>
      </c>
      <c r="D24" s="42">
        <v>44572.800000000003</v>
      </c>
      <c r="E24" s="43">
        <v>3714.4</v>
      </c>
      <c r="F24" s="44">
        <v>228</v>
      </c>
      <c r="G24" s="44">
        <v>19</v>
      </c>
      <c r="H24" s="44">
        <v>126</v>
      </c>
      <c r="I24" s="45">
        <v>4.4000000000000004</v>
      </c>
      <c r="J24" s="107" t="s">
        <v>1029</v>
      </c>
      <c r="K24" s="22" t="str">
        <f t="shared" si="0"/>
        <v>https://amazon.com/dp/B0FHK3NQ4R</v>
      </c>
    </row>
    <row r="25" spans="1:11" ht="45" x14ac:dyDescent="0.2">
      <c r="A25" s="18" t="s">
        <v>1030</v>
      </c>
      <c r="B25" s="18" t="s">
        <v>1031</v>
      </c>
      <c r="C25" s="41">
        <v>899.88</v>
      </c>
      <c r="D25" s="42">
        <v>44111.76</v>
      </c>
      <c r="E25" s="43">
        <v>3675.98</v>
      </c>
      <c r="F25" s="44">
        <v>48</v>
      </c>
      <c r="G25" s="44">
        <v>4</v>
      </c>
      <c r="H25" s="44">
        <v>43</v>
      </c>
      <c r="I25" s="45">
        <v>4.4000000000000004</v>
      </c>
      <c r="J25" s="107" t="s">
        <v>1032</v>
      </c>
      <c r="K25" s="22" t="str">
        <f t="shared" si="0"/>
        <v>https://amazon.com/dp/B0DPFC825X</v>
      </c>
    </row>
    <row r="26" spans="1:11" ht="30" x14ac:dyDescent="0.2">
      <c r="A26" s="18" t="s">
        <v>1033</v>
      </c>
      <c r="B26" s="18" t="s">
        <v>1034</v>
      </c>
      <c r="C26" s="41">
        <v>259.99</v>
      </c>
      <c r="D26" s="42">
        <v>31848.12</v>
      </c>
      <c r="E26" s="43">
        <v>2654.01</v>
      </c>
      <c r="F26" s="44">
        <v>120</v>
      </c>
      <c r="G26" s="44">
        <v>10</v>
      </c>
      <c r="H26" s="44">
        <v>1</v>
      </c>
      <c r="I26" s="45">
        <v>5</v>
      </c>
      <c r="J26" s="107" t="s">
        <v>1035</v>
      </c>
      <c r="K26" s="22" t="str">
        <f t="shared" si="0"/>
        <v>https://amazon.com/dp/B0FQTHB551</v>
      </c>
    </row>
    <row r="27" spans="1:11" ht="45" x14ac:dyDescent="0.2">
      <c r="A27" s="18" t="s">
        <v>1036</v>
      </c>
      <c r="B27" s="18" t="s">
        <v>1037</v>
      </c>
      <c r="C27" s="41">
        <v>269.99</v>
      </c>
      <c r="D27" s="42">
        <v>22025.64</v>
      </c>
      <c r="E27" s="43">
        <v>1835.47</v>
      </c>
      <c r="F27" s="44">
        <v>84</v>
      </c>
      <c r="G27" s="44">
        <v>7</v>
      </c>
      <c r="H27" s="44">
        <v>4</v>
      </c>
      <c r="I27" s="45">
        <v>4</v>
      </c>
      <c r="J27" s="107" t="s">
        <v>1038</v>
      </c>
      <c r="K27" s="22" t="str">
        <f t="shared" si="0"/>
        <v>https://amazon.com/dp/B0FJFX23ZH</v>
      </c>
    </row>
    <row r="28" spans="1:11" ht="45" x14ac:dyDescent="0.2">
      <c r="A28" s="18" t="s">
        <v>1039</v>
      </c>
      <c r="B28" s="18" t="s">
        <v>1040</v>
      </c>
      <c r="C28" s="41">
        <v>269.88</v>
      </c>
      <c r="D28" s="42">
        <v>19829.28</v>
      </c>
      <c r="E28" s="43">
        <v>1652.44</v>
      </c>
      <c r="F28" s="44">
        <v>72</v>
      </c>
      <c r="G28" s="44">
        <v>6</v>
      </c>
      <c r="H28" s="44">
        <v>126</v>
      </c>
      <c r="I28" s="45">
        <v>4.4000000000000004</v>
      </c>
      <c r="J28" s="107" t="s">
        <v>1041</v>
      </c>
      <c r="K28" s="22" t="str">
        <f t="shared" si="0"/>
        <v>https://amazon.com/dp/B0FHK5GK5M</v>
      </c>
    </row>
    <row r="29" spans="1:11" ht="45" x14ac:dyDescent="0.2">
      <c r="A29" s="18" t="s">
        <v>1042</v>
      </c>
      <c r="B29" s="18" t="s">
        <v>1043</v>
      </c>
      <c r="C29" s="41">
        <v>259.99</v>
      </c>
      <c r="D29" s="42">
        <v>16836.240000000002</v>
      </c>
      <c r="E29" s="43">
        <v>1403.02</v>
      </c>
      <c r="F29" s="44">
        <v>60</v>
      </c>
      <c r="G29" s="44">
        <v>5</v>
      </c>
      <c r="H29" s="44">
        <v>103</v>
      </c>
      <c r="I29" s="45">
        <v>4</v>
      </c>
      <c r="J29" s="107" t="s">
        <v>1044</v>
      </c>
      <c r="K29" s="22" t="str">
        <f t="shared" si="0"/>
        <v>https://amazon.com/dp/B0BR7NB31V</v>
      </c>
    </row>
    <row r="30" spans="1:11" ht="45" x14ac:dyDescent="0.2">
      <c r="A30" s="18" t="s">
        <v>1045</v>
      </c>
      <c r="B30" s="18" t="s">
        <v>1046</v>
      </c>
      <c r="C30" s="41">
        <v>299.99</v>
      </c>
      <c r="D30" s="42">
        <v>16780.919999999998</v>
      </c>
      <c r="E30" s="43">
        <v>1398.41</v>
      </c>
      <c r="F30" s="44">
        <v>60</v>
      </c>
      <c r="G30" s="44">
        <v>5</v>
      </c>
      <c r="H30" s="44">
        <v>103</v>
      </c>
      <c r="I30" s="45">
        <v>4</v>
      </c>
      <c r="J30" s="107" t="s">
        <v>1047</v>
      </c>
      <c r="K30" s="22" t="str">
        <f t="shared" si="0"/>
        <v>https://amazon.com/dp/B0BKSRTCRL</v>
      </c>
    </row>
    <row r="31" spans="1:11" ht="45" x14ac:dyDescent="0.2">
      <c r="A31" s="18" t="s">
        <v>1048</v>
      </c>
      <c r="B31" s="18" t="s">
        <v>1049</v>
      </c>
      <c r="C31" s="41">
        <v>429.99</v>
      </c>
      <c r="D31" s="42">
        <v>15352.32</v>
      </c>
      <c r="E31" s="43">
        <v>1279.3599999999999</v>
      </c>
      <c r="F31" s="44">
        <v>36</v>
      </c>
      <c r="G31" s="44">
        <v>3</v>
      </c>
      <c r="H31" s="44">
        <v>103</v>
      </c>
      <c r="I31" s="45">
        <v>4</v>
      </c>
      <c r="J31" s="107" t="s">
        <v>1050</v>
      </c>
      <c r="K31" s="22" t="str">
        <f t="shared" si="0"/>
        <v>https://amazon.com/dp/B09L5ND94Q</v>
      </c>
    </row>
    <row r="32" spans="1:11" ht="45" x14ac:dyDescent="0.2">
      <c r="A32" s="18" t="s">
        <v>1051</v>
      </c>
      <c r="B32" s="18" t="s">
        <v>1052</v>
      </c>
      <c r="C32" s="41">
        <v>469.99</v>
      </c>
      <c r="D32" s="42">
        <v>14713.44</v>
      </c>
      <c r="E32" s="43">
        <v>1226.1199999999999</v>
      </c>
      <c r="F32" s="44">
        <v>36</v>
      </c>
      <c r="G32" s="44">
        <v>3</v>
      </c>
      <c r="H32" s="44">
        <v>103</v>
      </c>
      <c r="I32" s="45">
        <v>4</v>
      </c>
      <c r="J32" s="107" t="s">
        <v>1053</v>
      </c>
      <c r="K32" s="22" t="str">
        <f t="shared" si="0"/>
        <v>https://amazon.com/dp/B0DP9S17QP</v>
      </c>
    </row>
    <row r="33" spans="1:11" ht="45" x14ac:dyDescent="0.2">
      <c r="A33" s="18" t="s">
        <v>1054</v>
      </c>
      <c r="B33" s="18" t="s">
        <v>1055</v>
      </c>
      <c r="C33" s="41">
        <v>329.99</v>
      </c>
      <c r="D33" s="42">
        <v>14085.24</v>
      </c>
      <c r="E33" s="43">
        <v>1173.77</v>
      </c>
      <c r="F33" s="44">
        <v>48</v>
      </c>
      <c r="G33" s="44">
        <v>4</v>
      </c>
      <c r="H33" s="44">
        <v>103</v>
      </c>
      <c r="I33" s="45">
        <v>4</v>
      </c>
      <c r="J33" s="107" t="s">
        <v>1056</v>
      </c>
      <c r="K33" s="22" t="str">
        <f t="shared" si="0"/>
        <v>https://amazon.com/dp/B0BWXV4PS6</v>
      </c>
    </row>
    <row r="34" spans="1:11" ht="45" x14ac:dyDescent="0.2">
      <c r="A34" s="18" t="s">
        <v>1057</v>
      </c>
      <c r="B34" s="18" t="s">
        <v>1058</v>
      </c>
      <c r="C34" s="41">
        <v>499.99</v>
      </c>
      <c r="D34" s="42">
        <v>13136.16</v>
      </c>
      <c r="E34" s="43">
        <v>1094.68</v>
      </c>
      <c r="F34" s="44">
        <v>24</v>
      </c>
      <c r="G34" s="44">
        <v>2</v>
      </c>
      <c r="H34" s="44">
        <v>103</v>
      </c>
      <c r="I34" s="45">
        <v>4</v>
      </c>
      <c r="J34" s="107" t="s">
        <v>1059</v>
      </c>
      <c r="K34" s="22" t="str">
        <f t="shared" si="0"/>
        <v>https://amazon.com/dp/B0DP9TKWT4</v>
      </c>
    </row>
    <row r="35" spans="1:11" ht="45" x14ac:dyDescent="0.2">
      <c r="A35" s="18" t="s">
        <v>1060</v>
      </c>
      <c r="B35" s="18" t="s">
        <v>1061</v>
      </c>
      <c r="C35" s="41">
        <v>359.99</v>
      </c>
      <c r="D35" s="42">
        <v>13064.4</v>
      </c>
      <c r="E35" s="43">
        <v>1088.7</v>
      </c>
      <c r="F35" s="44">
        <v>36</v>
      </c>
      <c r="G35" s="44">
        <v>3</v>
      </c>
      <c r="H35" s="44">
        <v>103</v>
      </c>
      <c r="I35" s="45">
        <v>4</v>
      </c>
      <c r="J35" s="107" t="s">
        <v>1062</v>
      </c>
      <c r="K35" s="22" t="str">
        <f t="shared" si="0"/>
        <v>https://amazon.com/dp/B09L4Z7T89</v>
      </c>
    </row>
    <row r="36" spans="1:11" ht="45" x14ac:dyDescent="0.2">
      <c r="A36" s="18" t="s">
        <v>1063</v>
      </c>
      <c r="B36" s="18" t="s">
        <v>1064</v>
      </c>
      <c r="C36" s="41">
        <v>569.99</v>
      </c>
      <c r="D36" s="42">
        <v>12879.96</v>
      </c>
      <c r="E36" s="43">
        <v>1073.33</v>
      </c>
      <c r="F36" s="44">
        <v>24</v>
      </c>
      <c r="G36" s="44">
        <v>2</v>
      </c>
      <c r="H36" s="44">
        <v>103</v>
      </c>
      <c r="I36" s="45">
        <v>4</v>
      </c>
      <c r="J36" s="107" t="s">
        <v>1065</v>
      </c>
      <c r="K36" s="22" t="str">
        <f t="shared" si="0"/>
        <v>https://amazon.com/dp/B0DP9TL922</v>
      </c>
    </row>
    <row r="37" spans="1:11" ht="45" x14ac:dyDescent="0.2">
      <c r="A37" s="18" t="s">
        <v>1066</v>
      </c>
      <c r="B37" s="18" t="s">
        <v>1067</v>
      </c>
      <c r="C37" s="41">
        <v>659.99</v>
      </c>
      <c r="D37" s="42">
        <v>12656.04</v>
      </c>
      <c r="E37" s="43">
        <v>1054.67</v>
      </c>
      <c r="F37" s="44">
        <v>24</v>
      </c>
      <c r="G37" s="44">
        <v>2</v>
      </c>
      <c r="H37" s="44">
        <v>103</v>
      </c>
      <c r="I37" s="45">
        <v>4</v>
      </c>
      <c r="J37" s="107" t="s">
        <v>1068</v>
      </c>
      <c r="K37" s="22" t="str">
        <f t="shared" si="0"/>
        <v>https://amazon.com/dp/B09MTFFT74</v>
      </c>
    </row>
    <row r="38" spans="1:11" ht="45" x14ac:dyDescent="0.2">
      <c r="A38" s="18" t="s">
        <v>1069</v>
      </c>
      <c r="B38" s="18" t="s">
        <v>1070</v>
      </c>
      <c r="C38" s="41">
        <v>709.99</v>
      </c>
      <c r="D38" s="42">
        <v>12080.16</v>
      </c>
      <c r="E38" s="43">
        <v>1006.68</v>
      </c>
      <c r="F38" s="44">
        <v>12</v>
      </c>
      <c r="G38" s="44">
        <v>1</v>
      </c>
      <c r="H38" s="44">
        <v>103</v>
      </c>
      <c r="I38" s="45">
        <v>4</v>
      </c>
      <c r="J38" s="107" t="s">
        <v>1071</v>
      </c>
      <c r="K38" s="22" t="str">
        <f t="shared" si="0"/>
        <v>https://amazon.com/dp/B09MHR62G4</v>
      </c>
    </row>
    <row r="39" spans="1:11" ht="45" x14ac:dyDescent="0.2">
      <c r="A39" s="18" t="s">
        <v>1072</v>
      </c>
      <c r="B39" s="18" t="s">
        <v>1073</v>
      </c>
      <c r="C39" s="41">
        <v>169.99</v>
      </c>
      <c r="D39" s="42">
        <v>10994.04</v>
      </c>
      <c r="E39" s="43">
        <v>916.17</v>
      </c>
      <c r="F39" s="44">
        <v>60</v>
      </c>
      <c r="G39" s="44">
        <v>5</v>
      </c>
      <c r="H39" s="44">
        <v>3</v>
      </c>
      <c r="I39" s="45">
        <v>4.7</v>
      </c>
      <c r="J39" s="107" t="s">
        <v>1074</v>
      </c>
      <c r="K39" s="22" t="str">
        <f t="shared" si="0"/>
        <v>https://amazon.com/dp/B09XDVLN1X</v>
      </c>
    </row>
    <row r="40" spans="1:11" ht="45" x14ac:dyDescent="0.2">
      <c r="A40" s="18" t="s">
        <v>1075</v>
      </c>
      <c r="B40" s="18" t="s">
        <v>1076</v>
      </c>
      <c r="C40" s="41">
        <v>169.99</v>
      </c>
      <c r="D40" s="42">
        <v>10952.76</v>
      </c>
      <c r="E40" s="43">
        <v>912.73</v>
      </c>
      <c r="F40" s="44">
        <v>60</v>
      </c>
      <c r="G40" s="44">
        <v>5</v>
      </c>
      <c r="H40" s="44">
        <v>3</v>
      </c>
      <c r="I40" s="45">
        <v>4.7</v>
      </c>
      <c r="J40" s="107" t="s">
        <v>1077</v>
      </c>
      <c r="K40" s="22" t="str">
        <f t="shared" si="0"/>
        <v>https://amazon.com/dp/B0BVZD1XBM</v>
      </c>
    </row>
    <row r="41" spans="1:11" ht="45" x14ac:dyDescent="0.2">
      <c r="A41" s="18" t="s">
        <v>1078</v>
      </c>
      <c r="B41" s="18" t="s">
        <v>1079</v>
      </c>
      <c r="C41" s="41">
        <v>759.99</v>
      </c>
      <c r="D41" s="42">
        <v>10807.68</v>
      </c>
      <c r="E41" s="43">
        <v>900.64</v>
      </c>
      <c r="F41" s="44">
        <v>12</v>
      </c>
      <c r="G41" s="44">
        <v>1</v>
      </c>
      <c r="H41" s="44">
        <v>104</v>
      </c>
      <c r="I41" s="45">
        <v>4</v>
      </c>
      <c r="J41" s="107" t="s">
        <v>1080</v>
      </c>
      <c r="K41" s="22" t="str">
        <f t="shared" si="0"/>
        <v>https://amazon.com/dp/B09MTF7YZQ</v>
      </c>
    </row>
    <row r="42" spans="1:11" ht="45" x14ac:dyDescent="0.2">
      <c r="A42" s="18" t="s">
        <v>1081</v>
      </c>
      <c r="B42" s="18" t="s">
        <v>1082</v>
      </c>
      <c r="C42" s="41">
        <v>799.99</v>
      </c>
      <c r="D42" s="42">
        <v>9779.2800000000007</v>
      </c>
      <c r="E42" s="43">
        <v>814.94</v>
      </c>
      <c r="F42" s="44">
        <v>12</v>
      </c>
      <c r="G42" s="44">
        <v>1</v>
      </c>
      <c r="H42" s="44">
        <v>103</v>
      </c>
      <c r="I42" s="45">
        <v>4</v>
      </c>
      <c r="J42" s="107" t="s">
        <v>1083</v>
      </c>
      <c r="K42" s="22" t="str">
        <f t="shared" si="0"/>
        <v>https://amazon.com/dp/B0DP9NH88V</v>
      </c>
    </row>
    <row r="43" spans="1:11" ht="45" x14ac:dyDescent="0.2">
      <c r="A43" s="18" t="s">
        <v>1084</v>
      </c>
      <c r="B43" s="18" t="s">
        <v>1085</v>
      </c>
      <c r="C43" s="41">
        <v>899.99</v>
      </c>
      <c r="D43" s="42">
        <v>9455.52</v>
      </c>
      <c r="E43" s="43">
        <v>787.96</v>
      </c>
      <c r="F43" s="44">
        <v>12</v>
      </c>
      <c r="G43" s="44">
        <v>1</v>
      </c>
      <c r="H43" s="44">
        <v>103</v>
      </c>
      <c r="I43" s="45">
        <v>4</v>
      </c>
      <c r="J43" s="107" t="s">
        <v>1086</v>
      </c>
      <c r="K43" s="22" t="str">
        <f t="shared" si="0"/>
        <v>https://amazon.com/dp/B0DP9TH46X</v>
      </c>
    </row>
    <row r="44" spans="1:11" ht="45" x14ac:dyDescent="0.2">
      <c r="A44" s="18" t="s">
        <v>1087</v>
      </c>
      <c r="B44" s="18" t="s">
        <v>1088</v>
      </c>
      <c r="C44" s="41">
        <v>299.99</v>
      </c>
      <c r="D44" s="42">
        <v>8124.12</v>
      </c>
      <c r="E44" s="43">
        <v>677.01</v>
      </c>
      <c r="F44" s="44">
        <v>24</v>
      </c>
      <c r="G44" s="44">
        <v>2</v>
      </c>
      <c r="H44" s="44">
        <v>3</v>
      </c>
      <c r="I44" s="45">
        <v>4.7</v>
      </c>
      <c r="J44" s="107" t="s">
        <v>1089</v>
      </c>
      <c r="K44" s="22" t="str">
        <f t="shared" si="0"/>
        <v>https://amazon.com/dp/B0BCK4ZV3G</v>
      </c>
    </row>
    <row r="45" spans="1:11" ht="45" x14ac:dyDescent="0.2">
      <c r="A45" s="18" t="s">
        <v>1090</v>
      </c>
      <c r="B45" s="18" t="s">
        <v>1091</v>
      </c>
      <c r="C45" s="41">
        <v>139.99</v>
      </c>
      <c r="D45" s="42">
        <v>8088.7199999999993</v>
      </c>
      <c r="E45" s="43">
        <v>674.06</v>
      </c>
      <c r="F45" s="44">
        <v>60</v>
      </c>
      <c r="G45" s="44">
        <v>5</v>
      </c>
      <c r="H45" s="44"/>
      <c r="I45" s="45"/>
      <c r="J45" s="107" t="s">
        <v>1092</v>
      </c>
      <c r="K45" s="22" t="str">
        <f t="shared" si="0"/>
        <v>https://amazon.com/dp/B0CST61RTM</v>
      </c>
    </row>
    <row r="46" spans="1:11" ht="45" x14ac:dyDescent="0.2">
      <c r="A46" s="18" t="s">
        <v>1093</v>
      </c>
      <c r="B46" s="18" t="s">
        <v>1094</v>
      </c>
      <c r="C46" s="41">
        <v>289.99</v>
      </c>
      <c r="D46" s="42">
        <v>6118.08</v>
      </c>
      <c r="E46" s="43">
        <v>509.84</v>
      </c>
      <c r="F46" s="44">
        <v>24</v>
      </c>
      <c r="G46" s="44">
        <v>2</v>
      </c>
      <c r="H46" s="44"/>
      <c r="I46" s="45"/>
      <c r="J46" s="107" t="s">
        <v>1095</v>
      </c>
      <c r="K46" s="22" t="str">
        <f t="shared" si="0"/>
        <v>https://amazon.com/dp/B0CZDGRGNZ</v>
      </c>
    </row>
    <row r="47" spans="1:11" ht="45" x14ac:dyDescent="0.2">
      <c r="A47" s="18" t="s">
        <v>1096</v>
      </c>
      <c r="B47" s="18" t="s">
        <v>1097</v>
      </c>
      <c r="C47" s="41">
        <v>24.99</v>
      </c>
      <c r="D47" s="42">
        <v>3002.76</v>
      </c>
      <c r="E47" s="43">
        <v>250.23</v>
      </c>
      <c r="F47" s="44">
        <v>96</v>
      </c>
      <c r="G47" s="44">
        <v>8</v>
      </c>
      <c r="H47" s="44">
        <v>42</v>
      </c>
      <c r="I47" s="45">
        <v>4.4000000000000004</v>
      </c>
      <c r="J47" s="107" t="s">
        <v>1098</v>
      </c>
      <c r="K47" s="22" t="str">
        <f t="shared" si="0"/>
        <v>https://amazon.com/dp/B0BCW5XW19</v>
      </c>
    </row>
    <row r="48" spans="1:11" ht="45" x14ac:dyDescent="0.2">
      <c r="A48" s="18" t="s">
        <v>1099</v>
      </c>
      <c r="B48" s="18" t="s">
        <v>1100</v>
      </c>
      <c r="C48" s="41">
        <v>25.99</v>
      </c>
      <c r="D48" s="42">
        <v>2546.16</v>
      </c>
      <c r="E48" s="43">
        <v>212.18</v>
      </c>
      <c r="F48" s="44">
        <v>96</v>
      </c>
      <c r="G48" s="44">
        <v>8</v>
      </c>
      <c r="H48" s="44">
        <v>1</v>
      </c>
      <c r="I48" s="45">
        <v>5</v>
      </c>
      <c r="J48" s="107" t="s">
        <v>1101</v>
      </c>
      <c r="K48" s="22" t="str">
        <f t="shared" si="0"/>
        <v>https://amazon.com/dp/B0CP3YBTT4</v>
      </c>
    </row>
    <row r="49" spans="1:11" ht="45" x14ac:dyDescent="0.2">
      <c r="A49" s="18" t="s">
        <v>1102</v>
      </c>
      <c r="B49" s="18" t="s">
        <v>1103</v>
      </c>
      <c r="C49" s="41">
        <v>25.99</v>
      </c>
      <c r="D49" s="42">
        <v>2370.84</v>
      </c>
      <c r="E49" s="43">
        <v>197.57</v>
      </c>
      <c r="F49" s="44">
        <v>96</v>
      </c>
      <c r="G49" s="44">
        <v>8</v>
      </c>
      <c r="H49" s="44">
        <v>3</v>
      </c>
      <c r="I49" s="45">
        <v>5</v>
      </c>
      <c r="J49" s="107" t="s">
        <v>1104</v>
      </c>
      <c r="K49" s="22" t="str">
        <f t="shared" si="0"/>
        <v>https://amazon.com/dp/B0B3DBLPF2</v>
      </c>
    </row>
    <row r="50" spans="1:11" ht="30" x14ac:dyDescent="0.2">
      <c r="A50" s="18" t="s">
        <v>1105</v>
      </c>
      <c r="B50" s="18" t="s">
        <v>1106</v>
      </c>
      <c r="C50" s="41">
        <v>39.99</v>
      </c>
      <c r="D50" s="42">
        <v>2042.04</v>
      </c>
      <c r="E50" s="43">
        <v>170.17</v>
      </c>
      <c r="F50" s="44">
        <v>48</v>
      </c>
      <c r="G50" s="44">
        <v>4</v>
      </c>
      <c r="H50" s="44"/>
      <c r="I50" s="45"/>
      <c r="J50" s="107" t="s">
        <v>1107</v>
      </c>
      <c r="K50" s="22" t="str">
        <f t="shared" si="0"/>
        <v>https://amazon.com/dp/B0DWMQTVC2</v>
      </c>
    </row>
    <row r="51" spans="1:11" ht="30" x14ac:dyDescent="0.2">
      <c r="A51" s="18" t="s">
        <v>1108</v>
      </c>
      <c r="B51" s="18" t="s">
        <v>1109</v>
      </c>
      <c r="C51" s="41">
        <v>59.99</v>
      </c>
      <c r="D51" s="42">
        <v>1092.1199999999999</v>
      </c>
      <c r="E51" s="43">
        <v>91.01</v>
      </c>
      <c r="F51" s="44">
        <v>24</v>
      </c>
      <c r="G51" s="44">
        <v>2</v>
      </c>
      <c r="H51" s="44"/>
      <c r="I51" s="45"/>
      <c r="J51" s="107" t="s">
        <v>1110</v>
      </c>
      <c r="K51" s="22" t="str">
        <f t="shared" si="0"/>
        <v>https://amazon.com/dp/B0DWMLN6VW</v>
      </c>
    </row>
    <row r="52" spans="1:11" ht="60" x14ac:dyDescent="0.2">
      <c r="A52" s="18" t="s">
        <v>1111</v>
      </c>
      <c r="B52" s="18" t="s">
        <v>1112</v>
      </c>
      <c r="C52" s="41">
        <v>999.99</v>
      </c>
      <c r="D52" s="42"/>
      <c r="E52" s="43"/>
      <c r="F52" s="44">
        <v>0</v>
      </c>
      <c r="G52" s="44">
        <v>0</v>
      </c>
      <c r="H52" s="44">
        <v>120</v>
      </c>
      <c r="I52" s="45">
        <v>4.0999999999999996</v>
      </c>
      <c r="J52" s="107" t="s">
        <v>1113</v>
      </c>
      <c r="K52" s="22" t="str">
        <f t="shared" si="0"/>
        <v>https://amazon.com/dp/B0BTM3S231</v>
      </c>
    </row>
    <row r="53" spans="1:11" ht="45" x14ac:dyDescent="0.2">
      <c r="A53" s="18" t="s">
        <v>1114</v>
      </c>
      <c r="B53" s="18" t="s">
        <v>1115</v>
      </c>
      <c r="C53" s="41">
        <v>209.99</v>
      </c>
      <c r="D53" s="42"/>
      <c r="E53" s="43"/>
      <c r="F53" s="44">
        <v>0</v>
      </c>
      <c r="G53" s="44">
        <v>0</v>
      </c>
      <c r="H53" s="44">
        <v>3</v>
      </c>
      <c r="I53" s="45">
        <v>4.7</v>
      </c>
      <c r="J53" s="107" t="s">
        <v>1116</v>
      </c>
      <c r="K53" s="22" t="str">
        <f t="shared" si="0"/>
        <v>https://amazon.com/dp/B0B3DH6L6Q</v>
      </c>
    </row>
    <row r="54" spans="1:11" ht="30" x14ac:dyDescent="0.2">
      <c r="A54" s="18" t="s">
        <v>1117</v>
      </c>
      <c r="B54" s="18" t="s">
        <v>1118</v>
      </c>
      <c r="C54" s="41">
        <v>259.99</v>
      </c>
      <c r="D54" s="42"/>
      <c r="E54" s="43"/>
      <c r="F54" s="44">
        <v>0</v>
      </c>
      <c r="G54" s="44">
        <v>0</v>
      </c>
      <c r="H54" s="44">
        <v>1</v>
      </c>
      <c r="I54" s="45">
        <v>5</v>
      </c>
      <c r="J54" s="107" t="s">
        <v>1119</v>
      </c>
      <c r="K54" s="22" t="str">
        <f t="shared" si="0"/>
        <v>https://amazon.com/dp/B0DWMNLK1B</v>
      </c>
    </row>
    <row r="55" spans="1:11" ht="17" x14ac:dyDescent="0.2">
      <c r="A55" s="21" t="s">
        <v>4</v>
      </c>
      <c r="B55" s="20"/>
      <c r="C55" s="20"/>
      <c r="D55" s="47">
        <f>SUM(D9:D54)</f>
        <v>2064191.04</v>
      </c>
      <c r="E55" s="47">
        <f>SUM(E9:E54)</f>
        <v>172015.92000000004</v>
      </c>
      <c r="H55" s="48"/>
      <c r="I55" s="23"/>
    </row>
    <row r="58" spans="1:11" x14ac:dyDescent="0.2">
      <c r="A58" s="111" t="s">
        <v>17</v>
      </c>
      <c r="B58" s="111"/>
      <c r="C58" s="111"/>
      <c r="D58" s="111"/>
      <c r="E58" s="111"/>
      <c r="F58" s="111"/>
      <c r="G58" s="111"/>
      <c r="H58" s="111"/>
      <c r="I58" s="111"/>
      <c r="J58" s="111"/>
      <c r="K58" s="111"/>
    </row>
    <row r="59" spans="1:11" ht="17" x14ac:dyDescent="0.2">
      <c r="A59" s="24" t="s">
        <v>6</v>
      </c>
      <c r="B59" s="25" t="s">
        <v>5</v>
      </c>
      <c r="C59" s="26" t="s">
        <v>11</v>
      </c>
      <c r="D59" s="27" t="s">
        <v>2</v>
      </c>
      <c r="E59" s="25" t="s">
        <v>27</v>
      </c>
      <c r="F59" s="29" t="s">
        <v>13</v>
      </c>
      <c r="G59" s="32" t="s">
        <v>28</v>
      </c>
      <c r="H59" s="29" t="s">
        <v>8</v>
      </c>
      <c r="I59" s="30" t="s">
        <v>12</v>
      </c>
      <c r="J59" s="30" t="s">
        <v>22</v>
      </c>
      <c r="K59" s="31" t="s">
        <v>10</v>
      </c>
    </row>
    <row r="60" spans="1:11" ht="60" x14ac:dyDescent="0.2">
      <c r="A60" s="18" t="s">
        <v>1009</v>
      </c>
      <c r="B60" s="18" t="s">
        <v>1010</v>
      </c>
      <c r="C60" s="41">
        <v>199.99</v>
      </c>
      <c r="D60" s="42">
        <v>90112.56</v>
      </c>
      <c r="E60" s="42">
        <v>7509.38</v>
      </c>
      <c r="F60" s="44">
        <v>456</v>
      </c>
      <c r="G60" s="46">
        <v>38</v>
      </c>
      <c r="H60" s="44">
        <v>4</v>
      </c>
      <c r="I60" s="45">
        <v>4</v>
      </c>
      <c r="J60" s="45" t="s">
        <v>1011</v>
      </c>
      <c r="K60" s="22" t="str">
        <f>HYPERLINK(J60)</f>
        <v>https://amazon.com/dp/B0FHVPYYQ7</v>
      </c>
    </row>
    <row r="61" spans="1:11" ht="45" x14ac:dyDescent="0.2">
      <c r="A61" s="18" t="s">
        <v>982</v>
      </c>
      <c r="B61" s="18" t="s">
        <v>983</v>
      </c>
      <c r="C61" s="41">
        <v>659.88</v>
      </c>
      <c r="D61" s="42">
        <v>228870.72</v>
      </c>
      <c r="E61" s="42">
        <v>19072.560000000001</v>
      </c>
      <c r="F61" s="44">
        <v>348</v>
      </c>
      <c r="G61" s="46">
        <v>29</v>
      </c>
      <c r="H61" s="44">
        <v>6</v>
      </c>
      <c r="I61" s="45">
        <v>4.8</v>
      </c>
      <c r="J61" s="45" t="s">
        <v>984</v>
      </c>
      <c r="K61" s="22" t="str">
        <f t="shared" ref="K61:K85" si="1">HYPERLINK(J61)</f>
        <v>https://amazon.com/dp/B0DYDGXG2N</v>
      </c>
    </row>
    <row r="62" spans="1:11" ht="45" x14ac:dyDescent="0.2">
      <c r="A62" s="18" t="s">
        <v>1012</v>
      </c>
      <c r="B62" s="18" t="s">
        <v>1013</v>
      </c>
      <c r="C62" s="41">
        <v>299.98</v>
      </c>
      <c r="D62" s="42">
        <v>88927.799999999988</v>
      </c>
      <c r="E62" s="42">
        <v>7410.65</v>
      </c>
      <c r="F62" s="44">
        <v>300</v>
      </c>
      <c r="G62" s="46">
        <v>25</v>
      </c>
      <c r="H62" s="44">
        <v>126</v>
      </c>
      <c r="I62" s="45">
        <v>4.4000000000000004</v>
      </c>
      <c r="J62" s="45" t="s">
        <v>1014</v>
      </c>
      <c r="K62" s="22" t="str">
        <f t="shared" si="1"/>
        <v>https://amazon.com/dp/B0DJLM28ZL</v>
      </c>
    </row>
    <row r="63" spans="1:11" ht="45" x14ac:dyDescent="0.2">
      <c r="A63" s="18" t="s">
        <v>994</v>
      </c>
      <c r="B63" s="18" t="s">
        <v>995</v>
      </c>
      <c r="C63" s="41">
        <v>399.99</v>
      </c>
      <c r="D63" s="42">
        <v>117906.96</v>
      </c>
      <c r="E63" s="42">
        <v>9825.58</v>
      </c>
      <c r="F63" s="44">
        <v>300</v>
      </c>
      <c r="G63" s="46">
        <v>25</v>
      </c>
      <c r="H63" s="44">
        <v>4</v>
      </c>
      <c r="I63" s="45">
        <v>4.2</v>
      </c>
      <c r="J63" s="45" t="s">
        <v>996</v>
      </c>
      <c r="K63" s="22" t="str">
        <f t="shared" si="1"/>
        <v>https://amazon.com/dp/B0DP8WKC2J</v>
      </c>
    </row>
    <row r="64" spans="1:11" ht="60" x14ac:dyDescent="0.2">
      <c r="A64" s="18" t="s">
        <v>985</v>
      </c>
      <c r="B64" s="18" t="s">
        <v>986</v>
      </c>
      <c r="C64" s="41">
        <v>759.88</v>
      </c>
      <c r="D64" s="42">
        <v>183450.72</v>
      </c>
      <c r="E64" s="42">
        <v>15287.56</v>
      </c>
      <c r="F64" s="44">
        <v>240</v>
      </c>
      <c r="G64" s="46">
        <v>20</v>
      </c>
      <c r="H64" s="44">
        <v>6</v>
      </c>
      <c r="I64" s="45">
        <v>4.8</v>
      </c>
      <c r="J64" s="45" t="s">
        <v>987</v>
      </c>
      <c r="K64" s="22" t="str">
        <f t="shared" ref="K64:K82" si="2">HYPERLINK(J64)</f>
        <v>https://amazon.com/dp/B0DY1KCDWW</v>
      </c>
    </row>
    <row r="65" spans="1:11" ht="45" x14ac:dyDescent="0.2">
      <c r="A65" s="18" t="s">
        <v>1027</v>
      </c>
      <c r="B65" s="18" t="s">
        <v>1028</v>
      </c>
      <c r="C65" s="41">
        <v>199.88</v>
      </c>
      <c r="D65" s="42">
        <v>44572.800000000003</v>
      </c>
      <c r="E65" s="42">
        <v>3714.4</v>
      </c>
      <c r="F65" s="44">
        <v>228</v>
      </c>
      <c r="G65" s="46">
        <v>19</v>
      </c>
      <c r="H65" s="44">
        <v>126</v>
      </c>
      <c r="I65" s="45">
        <v>4.4000000000000004</v>
      </c>
      <c r="J65" s="45" t="s">
        <v>1029</v>
      </c>
      <c r="K65" s="22" t="str">
        <f t="shared" si="2"/>
        <v>https://amazon.com/dp/B0FHK3NQ4R</v>
      </c>
    </row>
    <row r="66" spans="1:11" ht="45" x14ac:dyDescent="0.2">
      <c r="A66" s="18" t="s">
        <v>1018</v>
      </c>
      <c r="B66" s="18" t="s">
        <v>1019</v>
      </c>
      <c r="C66" s="41">
        <v>359.99</v>
      </c>
      <c r="D66" s="42">
        <v>63321.240000000013</v>
      </c>
      <c r="E66" s="42">
        <v>5276.77</v>
      </c>
      <c r="F66" s="44">
        <v>180</v>
      </c>
      <c r="G66" s="46">
        <v>15</v>
      </c>
      <c r="H66" s="44">
        <v>126</v>
      </c>
      <c r="I66" s="45">
        <v>4.4000000000000004</v>
      </c>
      <c r="J66" s="45" t="s">
        <v>1020</v>
      </c>
      <c r="K66" s="22" t="str">
        <f t="shared" si="2"/>
        <v>https://amazon.com/dp/B0DP9QQZC1</v>
      </c>
    </row>
    <row r="67" spans="1:11" ht="45" x14ac:dyDescent="0.2">
      <c r="A67" s="18" t="s">
        <v>991</v>
      </c>
      <c r="B67" s="18" t="s">
        <v>992</v>
      </c>
      <c r="C67" s="41">
        <v>859.88</v>
      </c>
      <c r="D67" s="42">
        <v>146140.32</v>
      </c>
      <c r="E67" s="42">
        <v>12178.36</v>
      </c>
      <c r="F67" s="44">
        <v>168</v>
      </c>
      <c r="G67" s="46">
        <v>14</v>
      </c>
      <c r="H67" s="44">
        <v>6</v>
      </c>
      <c r="I67" s="45">
        <v>4.8</v>
      </c>
      <c r="J67" s="45" t="s">
        <v>993</v>
      </c>
      <c r="K67" s="22" t="str">
        <f t="shared" si="2"/>
        <v>https://amazon.com/dp/B0DYJGWGHB</v>
      </c>
    </row>
    <row r="68" spans="1:11" ht="45" x14ac:dyDescent="0.2">
      <c r="A68" s="18" t="s">
        <v>988</v>
      </c>
      <c r="B68" s="18" t="s">
        <v>989</v>
      </c>
      <c r="C68" s="41">
        <v>899.99</v>
      </c>
      <c r="D68" s="42">
        <v>151612.68</v>
      </c>
      <c r="E68" s="42">
        <v>12634.39</v>
      </c>
      <c r="F68" s="44">
        <v>168</v>
      </c>
      <c r="G68" s="46">
        <v>14</v>
      </c>
      <c r="H68" s="44">
        <v>120</v>
      </c>
      <c r="I68" s="45">
        <v>4.0999999999999996</v>
      </c>
      <c r="J68" s="45" t="s">
        <v>990</v>
      </c>
      <c r="K68" s="22" t="str">
        <f t="shared" si="2"/>
        <v>https://amazon.com/dp/B0DSJGPDB6</v>
      </c>
    </row>
    <row r="69" spans="1:11" ht="60" x14ac:dyDescent="0.2">
      <c r="A69" s="18" t="s">
        <v>1000</v>
      </c>
      <c r="B69" s="18" t="s">
        <v>1001</v>
      </c>
      <c r="C69" s="41">
        <v>479.63</v>
      </c>
      <c r="D69" s="42">
        <v>110067.72</v>
      </c>
      <c r="E69" s="42">
        <v>9172.31</v>
      </c>
      <c r="F69" s="44">
        <v>168</v>
      </c>
      <c r="G69" s="46">
        <v>14</v>
      </c>
      <c r="H69" s="44">
        <v>43</v>
      </c>
      <c r="I69" s="45">
        <v>4.4000000000000004</v>
      </c>
      <c r="J69" s="45" t="s">
        <v>1002</v>
      </c>
      <c r="K69" s="22" t="str">
        <f t="shared" si="2"/>
        <v>https://amazon.com/dp/B0DPFBKHT4</v>
      </c>
    </row>
    <row r="70" spans="1:11" ht="60" x14ac:dyDescent="0.2">
      <c r="A70" s="18" t="s">
        <v>1006</v>
      </c>
      <c r="B70" s="18" t="s">
        <v>1007</v>
      </c>
      <c r="C70" s="41">
        <v>659.88</v>
      </c>
      <c r="D70" s="42">
        <v>94431.959999999992</v>
      </c>
      <c r="E70" s="42">
        <v>7869.33</v>
      </c>
      <c r="F70" s="44">
        <v>144</v>
      </c>
      <c r="G70" s="46">
        <v>12</v>
      </c>
      <c r="H70" s="44">
        <v>43</v>
      </c>
      <c r="I70" s="45">
        <v>4.4000000000000004</v>
      </c>
      <c r="J70" s="45" t="s">
        <v>1008</v>
      </c>
      <c r="K70" s="22" t="str">
        <f t="shared" si="2"/>
        <v>https://amazon.com/dp/B0C9TP4FVP</v>
      </c>
    </row>
    <row r="71" spans="1:11" ht="30" x14ac:dyDescent="0.2">
      <c r="A71" s="18" t="s">
        <v>1033</v>
      </c>
      <c r="B71" s="18" t="s">
        <v>1034</v>
      </c>
      <c r="C71" s="41">
        <v>259.99</v>
      </c>
      <c r="D71" s="42">
        <v>31848.12</v>
      </c>
      <c r="E71" s="42">
        <v>2654.01</v>
      </c>
      <c r="F71" s="44">
        <v>120</v>
      </c>
      <c r="G71" s="46">
        <v>10</v>
      </c>
      <c r="H71" s="44">
        <v>1</v>
      </c>
      <c r="I71" s="45">
        <v>5</v>
      </c>
      <c r="J71" s="45" t="s">
        <v>1035</v>
      </c>
      <c r="K71" s="22" t="str">
        <f t="shared" si="2"/>
        <v>https://amazon.com/dp/B0FQTHB551</v>
      </c>
    </row>
    <row r="72" spans="1:11" ht="45" x14ac:dyDescent="0.2">
      <c r="A72" s="18" t="s">
        <v>997</v>
      </c>
      <c r="B72" s="18" t="s">
        <v>998</v>
      </c>
      <c r="C72" s="41">
        <v>659.88</v>
      </c>
      <c r="D72" s="42">
        <v>113137.56</v>
      </c>
      <c r="E72" s="42">
        <v>9428.1299999999992</v>
      </c>
      <c r="F72" s="44">
        <v>108</v>
      </c>
      <c r="G72" s="46">
        <v>9</v>
      </c>
      <c r="H72" s="44">
        <v>6</v>
      </c>
      <c r="I72" s="45">
        <v>4.8</v>
      </c>
      <c r="J72" s="45" t="s">
        <v>999</v>
      </c>
      <c r="K72" s="22" t="str">
        <f t="shared" si="2"/>
        <v>https://amazon.com/dp/B0DRP5QBNB</v>
      </c>
    </row>
    <row r="73" spans="1:11" ht="45" x14ac:dyDescent="0.2">
      <c r="A73" s="18" t="s">
        <v>1024</v>
      </c>
      <c r="B73" s="18" t="s">
        <v>1025</v>
      </c>
      <c r="C73" s="41">
        <v>549.99</v>
      </c>
      <c r="D73" s="42">
        <v>53906.879999999997</v>
      </c>
      <c r="E73" s="42">
        <v>4492.24</v>
      </c>
      <c r="F73" s="44">
        <v>108</v>
      </c>
      <c r="G73" s="46">
        <v>9</v>
      </c>
      <c r="H73" s="44">
        <v>50</v>
      </c>
      <c r="I73" s="45">
        <v>4.2</v>
      </c>
      <c r="J73" s="45" t="s">
        <v>1026</v>
      </c>
      <c r="K73" s="22" t="str">
        <f t="shared" si="2"/>
        <v>https://amazon.com/dp/B0CCDK5GHP</v>
      </c>
    </row>
    <row r="74" spans="1:11" ht="60" x14ac:dyDescent="0.2">
      <c r="A74" s="18" t="s">
        <v>1003</v>
      </c>
      <c r="B74" s="18" t="s">
        <v>1004</v>
      </c>
      <c r="C74" s="41">
        <v>949.99</v>
      </c>
      <c r="D74" s="42">
        <v>100595.88</v>
      </c>
      <c r="E74" s="42">
        <v>8382.99</v>
      </c>
      <c r="F74" s="44">
        <v>108</v>
      </c>
      <c r="G74" s="46">
        <v>9</v>
      </c>
      <c r="H74" s="44">
        <v>120</v>
      </c>
      <c r="I74" s="45">
        <v>4.0999999999999996</v>
      </c>
      <c r="J74" s="45" t="s">
        <v>1005</v>
      </c>
      <c r="K74" s="22" t="str">
        <f t="shared" si="2"/>
        <v>https://amazon.com/dp/B0FLVB6GYH</v>
      </c>
    </row>
    <row r="75" spans="1:11" ht="45" x14ac:dyDescent="0.2">
      <c r="A75" s="18" t="s">
        <v>1096</v>
      </c>
      <c r="B75" s="18" t="s">
        <v>1097</v>
      </c>
      <c r="C75" s="41">
        <v>24.99</v>
      </c>
      <c r="D75" s="42">
        <v>3002.76</v>
      </c>
      <c r="E75" s="42">
        <v>250.23</v>
      </c>
      <c r="F75" s="44">
        <v>96</v>
      </c>
      <c r="G75" s="46">
        <v>8</v>
      </c>
      <c r="H75" s="44">
        <v>42</v>
      </c>
      <c r="I75" s="45">
        <v>4.4000000000000004</v>
      </c>
      <c r="J75" s="45" t="s">
        <v>1098</v>
      </c>
      <c r="K75" s="22" t="str">
        <f t="shared" si="2"/>
        <v>https://amazon.com/dp/B0BCW5XW19</v>
      </c>
    </row>
    <row r="76" spans="1:11" ht="45" x14ac:dyDescent="0.2">
      <c r="A76" s="18" t="s">
        <v>1099</v>
      </c>
      <c r="B76" s="18" t="s">
        <v>1100</v>
      </c>
      <c r="C76" s="41">
        <v>25.99</v>
      </c>
      <c r="D76" s="42">
        <v>2546.16</v>
      </c>
      <c r="E76" s="42">
        <v>212.18</v>
      </c>
      <c r="F76" s="44">
        <v>96</v>
      </c>
      <c r="G76" s="46">
        <v>8</v>
      </c>
      <c r="H76" s="44">
        <v>1</v>
      </c>
      <c r="I76" s="45">
        <v>5</v>
      </c>
      <c r="J76" s="45" t="s">
        <v>1101</v>
      </c>
      <c r="K76" s="22" t="str">
        <f t="shared" si="2"/>
        <v>https://amazon.com/dp/B0CP3YBTT4</v>
      </c>
    </row>
    <row r="77" spans="1:11" ht="45" x14ac:dyDescent="0.2">
      <c r="A77" s="18" t="s">
        <v>1102</v>
      </c>
      <c r="B77" s="18" t="s">
        <v>1103</v>
      </c>
      <c r="C77" s="41">
        <v>25.99</v>
      </c>
      <c r="D77" s="42">
        <v>2370.84</v>
      </c>
      <c r="E77" s="42">
        <v>197.57</v>
      </c>
      <c r="F77" s="44">
        <v>96</v>
      </c>
      <c r="G77" s="46">
        <v>8</v>
      </c>
      <c r="H77" s="44">
        <v>3</v>
      </c>
      <c r="I77" s="45">
        <v>5</v>
      </c>
      <c r="J77" s="45" t="s">
        <v>1104</v>
      </c>
      <c r="K77" s="22" t="str">
        <f t="shared" si="2"/>
        <v>https://amazon.com/dp/B0B3DBLPF2</v>
      </c>
    </row>
    <row r="78" spans="1:11" ht="45" x14ac:dyDescent="0.2">
      <c r="A78" s="18" t="s">
        <v>1015</v>
      </c>
      <c r="B78" s="18" t="s">
        <v>1016</v>
      </c>
      <c r="C78" s="41">
        <v>759.88</v>
      </c>
      <c r="D78" s="42">
        <v>74096.160000000003</v>
      </c>
      <c r="E78" s="42">
        <v>6174.68</v>
      </c>
      <c r="F78" s="44">
        <v>96</v>
      </c>
      <c r="G78" s="46">
        <v>8</v>
      </c>
      <c r="H78" s="44">
        <v>43</v>
      </c>
      <c r="I78" s="45">
        <v>4.4000000000000004</v>
      </c>
      <c r="J78" s="45" t="s">
        <v>1017</v>
      </c>
      <c r="K78" s="22" t="str">
        <f t="shared" si="2"/>
        <v>https://amazon.com/dp/B0DPFBK493</v>
      </c>
    </row>
    <row r="79" spans="1:11" ht="45" x14ac:dyDescent="0.2">
      <c r="A79" s="18" t="s">
        <v>1036</v>
      </c>
      <c r="B79" s="18" t="s">
        <v>1037</v>
      </c>
      <c r="C79" s="41">
        <v>269.99</v>
      </c>
      <c r="D79" s="42">
        <v>22025.64</v>
      </c>
      <c r="E79" s="42">
        <v>1835.47</v>
      </c>
      <c r="F79" s="44">
        <v>84</v>
      </c>
      <c r="G79" s="46">
        <v>7</v>
      </c>
      <c r="H79" s="44">
        <v>4</v>
      </c>
      <c r="I79" s="45">
        <v>4</v>
      </c>
      <c r="J79" s="45" t="s">
        <v>1038</v>
      </c>
      <c r="K79" s="22" t="str">
        <f t="shared" si="2"/>
        <v>https://amazon.com/dp/B0FJFX23ZH</v>
      </c>
    </row>
    <row r="80" spans="1:11" ht="45" x14ac:dyDescent="0.2">
      <c r="A80" s="18" t="s">
        <v>1039</v>
      </c>
      <c r="B80" s="18" t="s">
        <v>1040</v>
      </c>
      <c r="C80" s="41">
        <v>269.88</v>
      </c>
      <c r="D80" s="42">
        <v>19829.28</v>
      </c>
      <c r="E80" s="42">
        <v>1652.44</v>
      </c>
      <c r="F80" s="44">
        <v>72</v>
      </c>
      <c r="G80" s="46">
        <v>6</v>
      </c>
      <c r="H80" s="44">
        <v>126</v>
      </c>
      <c r="I80" s="45">
        <v>4.4000000000000004</v>
      </c>
      <c r="J80" s="45" t="s">
        <v>1041</v>
      </c>
      <c r="K80" s="22" t="str">
        <f t="shared" si="2"/>
        <v>https://amazon.com/dp/B0FHK5GK5M</v>
      </c>
    </row>
    <row r="81" spans="1:11" ht="45" x14ac:dyDescent="0.2">
      <c r="A81" s="18" t="s">
        <v>1021</v>
      </c>
      <c r="B81" s="18" t="s">
        <v>1022</v>
      </c>
      <c r="C81" s="41">
        <v>799.88</v>
      </c>
      <c r="D81" s="42">
        <v>58265.279999999999</v>
      </c>
      <c r="E81" s="42">
        <v>4855.4399999999996</v>
      </c>
      <c r="F81" s="44">
        <v>72</v>
      </c>
      <c r="G81" s="46">
        <v>6</v>
      </c>
      <c r="H81" s="44">
        <v>43</v>
      </c>
      <c r="I81" s="45">
        <v>4.4000000000000004</v>
      </c>
      <c r="J81" s="45" t="s">
        <v>1023</v>
      </c>
      <c r="K81" s="22" t="str">
        <f t="shared" si="2"/>
        <v>https://amazon.com/dp/B0CN38GJNQ</v>
      </c>
    </row>
    <row r="82" spans="1:11" ht="45" x14ac:dyDescent="0.2">
      <c r="A82" s="18" t="s">
        <v>1090</v>
      </c>
      <c r="B82" s="18" t="s">
        <v>1091</v>
      </c>
      <c r="C82" s="41">
        <v>139.99</v>
      </c>
      <c r="D82" s="42">
        <v>8088.7199999999993</v>
      </c>
      <c r="E82" s="42">
        <v>674.06</v>
      </c>
      <c r="F82" s="44">
        <v>60</v>
      </c>
      <c r="G82" s="46">
        <v>5</v>
      </c>
      <c r="H82" s="44"/>
      <c r="I82" s="45"/>
      <c r="J82" s="45" t="s">
        <v>1092</v>
      </c>
      <c r="K82" s="22" t="str">
        <f t="shared" si="2"/>
        <v>https://amazon.com/dp/B0CST61RTM</v>
      </c>
    </row>
    <row r="83" spans="1:11" ht="45" x14ac:dyDescent="0.2">
      <c r="A83" s="18" t="s">
        <v>1072</v>
      </c>
      <c r="B83" s="18" t="s">
        <v>1073</v>
      </c>
      <c r="C83" s="41">
        <v>169.99</v>
      </c>
      <c r="D83" s="42">
        <v>10994.04</v>
      </c>
      <c r="E83" s="42">
        <v>916.17</v>
      </c>
      <c r="F83" s="44">
        <v>60</v>
      </c>
      <c r="G83" s="46">
        <v>5</v>
      </c>
      <c r="H83" s="44">
        <v>3</v>
      </c>
      <c r="I83" s="45">
        <v>4.7</v>
      </c>
      <c r="J83" s="45" t="s">
        <v>1074</v>
      </c>
      <c r="K83" s="22" t="str">
        <f t="shared" si="1"/>
        <v>https://amazon.com/dp/B09XDVLN1X</v>
      </c>
    </row>
    <row r="84" spans="1:11" ht="45" x14ac:dyDescent="0.2">
      <c r="A84" s="18" t="s">
        <v>1075</v>
      </c>
      <c r="B84" s="18" t="s">
        <v>1076</v>
      </c>
      <c r="C84" s="41">
        <v>169.99</v>
      </c>
      <c r="D84" s="42">
        <v>10952.76</v>
      </c>
      <c r="E84" s="42">
        <v>912.73</v>
      </c>
      <c r="F84" s="44">
        <v>60</v>
      </c>
      <c r="G84" s="46">
        <v>5</v>
      </c>
      <c r="H84" s="44">
        <v>3</v>
      </c>
      <c r="I84" s="45">
        <v>4.7</v>
      </c>
      <c r="J84" s="45" t="s">
        <v>1077</v>
      </c>
      <c r="K84" s="22" t="str">
        <f t="shared" si="1"/>
        <v>https://amazon.com/dp/B0BVZD1XBM</v>
      </c>
    </row>
    <row r="85" spans="1:11" ht="45" x14ac:dyDescent="0.2">
      <c r="A85" s="18" t="s">
        <v>1042</v>
      </c>
      <c r="B85" s="18" t="s">
        <v>1043</v>
      </c>
      <c r="C85" s="41">
        <v>259.99</v>
      </c>
      <c r="D85" s="42">
        <v>16836.240000000002</v>
      </c>
      <c r="E85" s="42">
        <v>1403.02</v>
      </c>
      <c r="F85" s="44">
        <v>60</v>
      </c>
      <c r="G85" s="46">
        <v>5</v>
      </c>
      <c r="H85" s="44">
        <v>103</v>
      </c>
      <c r="I85" s="45">
        <v>4</v>
      </c>
      <c r="J85" s="45" t="s">
        <v>1044</v>
      </c>
      <c r="K85" s="22" t="str">
        <f t="shared" si="1"/>
        <v>https://amazon.com/dp/B0BR7NB31V</v>
      </c>
    </row>
    <row r="86" spans="1:11" ht="45" x14ac:dyDescent="0.2">
      <c r="A86" s="18" t="s">
        <v>1045</v>
      </c>
      <c r="B86" s="18" t="s">
        <v>1046</v>
      </c>
      <c r="C86" s="41">
        <v>299.99</v>
      </c>
      <c r="D86" s="42">
        <v>16780.919999999998</v>
      </c>
      <c r="E86" s="42">
        <v>1398.41</v>
      </c>
      <c r="F86" s="44">
        <v>60</v>
      </c>
      <c r="G86" s="46">
        <v>5</v>
      </c>
      <c r="H86" s="44">
        <v>103</v>
      </c>
      <c r="I86" s="45">
        <v>4</v>
      </c>
      <c r="J86" s="45" t="s">
        <v>1047</v>
      </c>
      <c r="K86" s="22" t="str">
        <f t="shared" ref="K86:K91" si="3">HYPERLINK(J86)</f>
        <v>https://amazon.com/dp/B0BKSRTCRL</v>
      </c>
    </row>
    <row r="87" spans="1:11" ht="45" x14ac:dyDescent="0.2">
      <c r="A87" s="18" t="s">
        <v>1054</v>
      </c>
      <c r="B87" s="18" t="s">
        <v>1055</v>
      </c>
      <c r="C87" s="41">
        <v>329.99</v>
      </c>
      <c r="D87" s="42">
        <v>14085.24</v>
      </c>
      <c r="E87" s="42">
        <v>1173.77</v>
      </c>
      <c r="F87" s="44">
        <v>48</v>
      </c>
      <c r="G87" s="46">
        <v>4</v>
      </c>
      <c r="H87" s="44">
        <v>103</v>
      </c>
      <c r="I87" s="45">
        <v>4</v>
      </c>
      <c r="J87" s="45" t="s">
        <v>1056</v>
      </c>
      <c r="K87" s="22" t="str">
        <f t="shared" si="3"/>
        <v>https://amazon.com/dp/B0BWXV4PS6</v>
      </c>
    </row>
    <row r="88" spans="1:11" ht="30" x14ac:dyDescent="0.2">
      <c r="A88" s="18" t="s">
        <v>1105</v>
      </c>
      <c r="B88" s="18" t="s">
        <v>1106</v>
      </c>
      <c r="C88" s="41">
        <v>39.99</v>
      </c>
      <c r="D88" s="42">
        <v>2042.04</v>
      </c>
      <c r="E88" s="42">
        <v>170.17</v>
      </c>
      <c r="F88" s="44">
        <v>48</v>
      </c>
      <c r="G88" s="46">
        <v>4</v>
      </c>
      <c r="H88" s="44"/>
      <c r="I88" s="45"/>
      <c r="J88" s="45" t="s">
        <v>1107</v>
      </c>
      <c r="K88" s="22" t="str">
        <f t="shared" si="3"/>
        <v>https://amazon.com/dp/B0DWMQTVC2</v>
      </c>
    </row>
    <row r="89" spans="1:11" ht="45" x14ac:dyDescent="0.2">
      <c r="A89" s="18" t="s">
        <v>1030</v>
      </c>
      <c r="B89" s="18" t="s">
        <v>1031</v>
      </c>
      <c r="C89" s="41">
        <v>899.88</v>
      </c>
      <c r="D89" s="42">
        <v>44111.76</v>
      </c>
      <c r="E89" s="42">
        <v>3675.98</v>
      </c>
      <c r="F89" s="44">
        <v>48</v>
      </c>
      <c r="G89" s="46">
        <v>4</v>
      </c>
      <c r="H89" s="44">
        <v>43</v>
      </c>
      <c r="I89" s="45">
        <v>4.4000000000000004</v>
      </c>
      <c r="J89" s="45" t="s">
        <v>1032</v>
      </c>
      <c r="K89" s="22" t="str">
        <f t="shared" si="3"/>
        <v>https://amazon.com/dp/B0DPFC825X</v>
      </c>
    </row>
    <row r="90" spans="1:11" ht="45" x14ac:dyDescent="0.2">
      <c r="A90" s="18" t="s">
        <v>1060</v>
      </c>
      <c r="B90" s="18" t="s">
        <v>1061</v>
      </c>
      <c r="C90" s="41">
        <v>359.99</v>
      </c>
      <c r="D90" s="42">
        <v>13064.4</v>
      </c>
      <c r="E90" s="42">
        <v>1088.7</v>
      </c>
      <c r="F90" s="44">
        <v>36</v>
      </c>
      <c r="G90" s="46">
        <v>3</v>
      </c>
      <c r="H90" s="44">
        <v>103</v>
      </c>
      <c r="I90" s="45">
        <v>4</v>
      </c>
      <c r="J90" s="45" t="s">
        <v>1062</v>
      </c>
      <c r="K90" s="22" t="str">
        <f t="shared" si="3"/>
        <v>https://amazon.com/dp/B09L4Z7T89</v>
      </c>
    </row>
    <row r="91" spans="1:11" ht="45" x14ac:dyDescent="0.2">
      <c r="A91" s="18" t="s">
        <v>1048</v>
      </c>
      <c r="B91" s="18" t="s">
        <v>1049</v>
      </c>
      <c r="C91" s="41">
        <v>429.99</v>
      </c>
      <c r="D91" s="42">
        <v>15352.32</v>
      </c>
      <c r="E91" s="42">
        <v>1279.3599999999999</v>
      </c>
      <c r="F91" s="44">
        <v>36</v>
      </c>
      <c r="G91" s="46">
        <v>3</v>
      </c>
      <c r="H91" s="44">
        <v>103</v>
      </c>
      <c r="I91" s="45">
        <v>4</v>
      </c>
      <c r="J91" s="45" t="s">
        <v>1050</v>
      </c>
      <c r="K91" s="22" t="str">
        <f t="shared" si="3"/>
        <v>https://amazon.com/dp/B09L5ND94Q</v>
      </c>
    </row>
    <row r="92" spans="1:11" ht="45" x14ac:dyDescent="0.2">
      <c r="A92" s="18" t="s">
        <v>1051</v>
      </c>
      <c r="B92" s="18" t="s">
        <v>1052</v>
      </c>
      <c r="C92" s="41">
        <v>469.99</v>
      </c>
      <c r="D92" s="42">
        <v>14713.44</v>
      </c>
      <c r="E92" s="42">
        <v>1226.1199999999999</v>
      </c>
      <c r="F92" s="44">
        <v>36</v>
      </c>
      <c r="G92" s="46">
        <v>3</v>
      </c>
      <c r="H92" s="44">
        <v>103</v>
      </c>
      <c r="I92" s="45">
        <v>4</v>
      </c>
      <c r="J92" s="45" t="s">
        <v>1053</v>
      </c>
      <c r="K92" s="22" t="str">
        <f t="shared" ref="K92:K97" si="4">HYPERLINK(J92)</f>
        <v>https://amazon.com/dp/B0DP9S17QP</v>
      </c>
    </row>
    <row r="93" spans="1:11" ht="45" x14ac:dyDescent="0.2">
      <c r="A93" s="18" t="s">
        <v>1066</v>
      </c>
      <c r="B93" s="18" t="s">
        <v>1067</v>
      </c>
      <c r="C93" s="41">
        <v>659.99</v>
      </c>
      <c r="D93" s="42">
        <v>12656.04</v>
      </c>
      <c r="E93" s="42">
        <v>1054.67</v>
      </c>
      <c r="F93" s="44">
        <v>24</v>
      </c>
      <c r="G93" s="46">
        <v>2</v>
      </c>
      <c r="H93" s="44">
        <v>103</v>
      </c>
      <c r="I93" s="45">
        <v>4</v>
      </c>
      <c r="J93" s="45" t="s">
        <v>1068</v>
      </c>
      <c r="K93" s="22" t="str">
        <f t="shared" si="4"/>
        <v>https://amazon.com/dp/B09MTFFT74</v>
      </c>
    </row>
    <row r="94" spans="1:11" ht="45" x14ac:dyDescent="0.2">
      <c r="A94" s="18" t="s">
        <v>1087</v>
      </c>
      <c r="B94" s="18" t="s">
        <v>1088</v>
      </c>
      <c r="C94" s="41">
        <v>299.99</v>
      </c>
      <c r="D94" s="42">
        <v>8124.12</v>
      </c>
      <c r="E94" s="42">
        <v>677.01</v>
      </c>
      <c r="F94" s="44">
        <v>24</v>
      </c>
      <c r="G94" s="46">
        <v>2</v>
      </c>
      <c r="H94" s="44">
        <v>3</v>
      </c>
      <c r="I94" s="45">
        <v>4.7</v>
      </c>
      <c r="J94" s="45" t="s">
        <v>1089</v>
      </c>
      <c r="K94" s="22" t="str">
        <f t="shared" si="4"/>
        <v>https://amazon.com/dp/B0BCK4ZV3G</v>
      </c>
    </row>
    <row r="95" spans="1:11" ht="45" x14ac:dyDescent="0.2">
      <c r="A95" s="18" t="s">
        <v>1057</v>
      </c>
      <c r="B95" s="18" t="s">
        <v>1058</v>
      </c>
      <c r="C95" s="41">
        <v>499.99</v>
      </c>
      <c r="D95" s="42">
        <v>13136.16</v>
      </c>
      <c r="E95" s="42">
        <v>1094.68</v>
      </c>
      <c r="F95" s="44">
        <v>24</v>
      </c>
      <c r="G95" s="46">
        <v>2</v>
      </c>
      <c r="H95" s="44">
        <v>103</v>
      </c>
      <c r="I95" s="45">
        <v>4</v>
      </c>
      <c r="J95" s="45" t="s">
        <v>1059</v>
      </c>
      <c r="K95" s="22" t="str">
        <f t="shared" si="4"/>
        <v>https://amazon.com/dp/B0DP9TKWT4</v>
      </c>
    </row>
    <row r="96" spans="1:11" ht="45" x14ac:dyDescent="0.2">
      <c r="A96" s="18" t="s">
        <v>1093</v>
      </c>
      <c r="B96" s="18" t="s">
        <v>1094</v>
      </c>
      <c r="C96" s="41">
        <v>289.99</v>
      </c>
      <c r="D96" s="42">
        <v>6118.08</v>
      </c>
      <c r="E96" s="42">
        <v>509.84</v>
      </c>
      <c r="F96" s="44">
        <v>24</v>
      </c>
      <c r="G96" s="46">
        <v>2</v>
      </c>
      <c r="H96" s="44"/>
      <c r="I96" s="45"/>
      <c r="J96" s="45" t="s">
        <v>1095</v>
      </c>
      <c r="K96" s="22" t="str">
        <f t="shared" si="4"/>
        <v>https://amazon.com/dp/B0CZDGRGNZ</v>
      </c>
    </row>
    <row r="97" spans="1:11" ht="30" x14ac:dyDescent="0.2">
      <c r="A97" s="18" t="s">
        <v>1108</v>
      </c>
      <c r="B97" s="18" t="s">
        <v>1109</v>
      </c>
      <c r="C97" s="41">
        <v>59.99</v>
      </c>
      <c r="D97" s="42">
        <v>1092.1199999999999</v>
      </c>
      <c r="E97" s="42">
        <v>91.01</v>
      </c>
      <c r="F97" s="44">
        <v>24</v>
      </c>
      <c r="G97" s="46">
        <v>2</v>
      </c>
      <c r="H97" s="44"/>
      <c r="I97" s="45"/>
      <c r="J97" s="45" t="s">
        <v>1110</v>
      </c>
      <c r="K97" s="22" t="str">
        <f t="shared" si="4"/>
        <v>https://amazon.com/dp/B0DWMLN6VW</v>
      </c>
    </row>
    <row r="98" spans="1:11" ht="45" x14ac:dyDescent="0.2">
      <c r="A98" s="18" t="s">
        <v>1063</v>
      </c>
      <c r="B98" s="18" t="s">
        <v>1064</v>
      </c>
      <c r="C98" s="41">
        <v>569.99</v>
      </c>
      <c r="D98" s="42">
        <v>12879.96</v>
      </c>
      <c r="E98" s="42">
        <v>1073.33</v>
      </c>
      <c r="F98" s="44">
        <v>24</v>
      </c>
      <c r="G98" s="46">
        <v>2</v>
      </c>
      <c r="H98" s="44">
        <v>103</v>
      </c>
      <c r="I98" s="45">
        <v>4</v>
      </c>
      <c r="J98" s="45" t="s">
        <v>1065</v>
      </c>
      <c r="K98" s="22" t="str">
        <f t="shared" ref="K98:K99" si="5">HYPERLINK(J98)</f>
        <v>https://amazon.com/dp/B0DP9TL922</v>
      </c>
    </row>
    <row r="99" spans="1:11" ht="45" x14ac:dyDescent="0.2">
      <c r="A99" s="18" t="s">
        <v>1084</v>
      </c>
      <c r="B99" s="18" t="s">
        <v>1085</v>
      </c>
      <c r="C99" s="41">
        <v>899.99</v>
      </c>
      <c r="D99" s="42">
        <v>9455.52</v>
      </c>
      <c r="E99" s="42">
        <v>787.96</v>
      </c>
      <c r="F99" s="44">
        <v>12</v>
      </c>
      <c r="G99" s="46">
        <v>1</v>
      </c>
      <c r="H99" s="44">
        <v>103</v>
      </c>
      <c r="I99" s="45">
        <v>4</v>
      </c>
      <c r="J99" s="45" t="s">
        <v>1086</v>
      </c>
      <c r="K99" s="22" t="str">
        <f t="shared" si="5"/>
        <v>https://amazon.com/dp/B0DP9TH46X</v>
      </c>
    </row>
    <row r="100" spans="1:11" ht="45" x14ac:dyDescent="0.2">
      <c r="A100" s="18" t="s">
        <v>1078</v>
      </c>
      <c r="B100" s="18" t="s">
        <v>1079</v>
      </c>
      <c r="C100" s="41">
        <v>759.99</v>
      </c>
      <c r="D100" s="42">
        <v>10807.68</v>
      </c>
      <c r="E100" s="42">
        <v>900.64</v>
      </c>
      <c r="F100" s="44">
        <v>12</v>
      </c>
      <c r="G100" s="46">
        <v>1</v>
      </c>
      <c r="H100" s="44">
        <v>104</v>
      </c>
      <c r="I100" s="45">
        <v>4</v>
      </c>
      <c r="J100" s="45" t="s">
        <v>1080</v>
      </c>
      <c r="K100" s="22" t="str">
        <f t="shared" ref="K100:K101" si="6">HYPERLINK(J100)</f>
        <v>https://amazon.com/dp/B09MTF7YZQ</v>
      </c>
    </row>
    <row r="101" spans="1:11" ht="45" x14ac:dyDescent="0.2">
      <c r="A101" s="18" t="s">
        <v>1081</v>
      </c>
      <c r="B101" s="18" t="s">
        <v>1082</v>
      </c>
      <c r="C101" s="41">
        <v>799.99</v>
      </c>
      <c r="D101" s="42">
        <v>9779.2800000000007</v>
      </c>
      <c r="E101" s="42">
        <v>814.94</v>
      </c>
      <c r="F101" s="44">
        <v>12</v>
      </c>
      <c r="G101" s="46">
        <v>1</v>
      </c>
      <c r="H101" s="44">
        <v>103</v>
      </c>
      <c r="I101" s="45">
        <v>4</v>
      </c>
      <c r="J101" s="45" t="s">
        <v>1083</v>
      </c>
      <c r="K101" s="22" t="str">
        <f t="shared" si="6"/>
        <v>https://amazon.com/dp/B0DP9NH88V</v>
      </c>
    </row>
    <row r="102" spans="1:11" ht="45" x14ac:dyDescent="0.2">
      <c r="A102" s="18" t="s">
        <v>1069</v>
      </c>
      <c r="B102" s="18" t="s">
        <v>1070</v>
      </c>
      <c r="C102" s="41">
        <v>709.99</v>
      </c>
      <c r="D102" s="42">
        <v>12080.16</v>
      </c>
      <c r="E102" s="42">
        <v>1006.68</v>
      </c>
      <c r="F102" s="44">
        <v>12</v>
      </c>
      <c r="G102" s="46">
        <v>1</v>
      </c>
      <c r="H102" s="44">
        <v>103</v>
      </c>
      <c r="I102" s="45">
        <v>4</v>
      </c>
      <c r="J102" s="45" t="s">
        <v>1071</v>
      </c>
      <c r="K102" s="22" t="str">
        <f>HYPERLINK(J102)</f>
        <v>https://amazon.com/dp/B09MHR62G4</v>
      </c>
    </row>
    <row r="103" spans="1:11" ht="45" x14ac:dyDescent="0.2">
      <c r="A103" s="18" t="s">
        <v>1114</v>
      </c>
      <c r="B103" s="18" t="s">
        <v>1115</v>
      </c>
      <c r="C103" s="41">
        <v>209.99</v>
      </c>
      <c r="D103" s="42"/>
      <c r="E103" s="42"/>
      <c r="F103" s="44">
        <v>0</v>
      </c>
      <c r="G103" s="46">
        <v>0</v>
      </c>
      <c r="H103" s="44">
        <v>3</v>
      </c>
      <c r="I103" s="45">
        <v>4.7</v>
      </c>
      <c r="J103" s="45" t="s">
        <v>1116</v>
      </c>
      <c r="K103" s="22" t="str">
        <f>HYPERLINK(J103)</f>
        <v>https://amazon.com/dp/B0B3DH6L6Q</v>
      </c>
    </row>
    <row r="104" spans="1:11" ht="30" x14ac:dyDescent="0.2">
      <c r="A104" s="18" t="s">
        <v>1117</v>
      </c>
      <c r="B104" s="18" t="s">
        <v>1118</v>
      </c>
      <c r="C104" s="41">
        <v>259.99</v>
      </c>
      <c r="D104" s="42"/>
      <c r="E104" s="42"/>
      <c r="F104" s="44">
        <v>0</v>
      </c>
      <c r="G104" s="46">
        <v>0</v>
      </c>
      <c r="H104" s="44">
        <v>1</v>
      </c>
      <c r="I104" s="45">
        <v>5</v>
      </c>
      <c r="J104" s="45" t="s">
        <v>1119</v>
      </c>
      <c r="K104" s="22" t="str">
        <f t="shared" ref="K104:K105" si="7">HYPERLINK(J104)</f>
        <v>https://amazon.com/dp/B0DWMNLK1B</v>
      </c>
    </row>
    <row r="105" spans="1:11" ht="60" x14ac:dyDescent="0.2">
      <c r="A105" s="18" t="s">
        <v>1111</v>
      </c>
      <c r="B105" s="18" t="s">
        <v>1112</v>
      </c>
      <c r="C105" s="41">
        <v>999.99</v>
      </c>
      <c r="D105" s="42"/>
      <c r="E105" s="42"/>
      <c r="F105" s="44">
        <v>0</v>
      </c>
      <c r="G105" s="46">
        <v>0</v>
      </c>
      <c r="H105" s="44">
        <v>120</v>
      </c>
      <c r="I105" s="45">
        <v>4.0999999999999996</v>
      </c>
      <c r="J105" s="45" t="s">
        <v>1113</v>
      </c>
      <c r="K105" s="22" t="str">
        <f t="shared" si="7"/>
        <v>https://amazon.com/dp/B0BTM3S231</v>
      </c>
    </row>
    <row r="106" spans="1:11" ht="17" x14ac:dyDescent="0.2">
      <c r="A106" s="21" t="s">
        <v>4</v>
      </c>
      <c r="B106" s="20"/>
      <c r="C106" s="20"/>
      <c r="D106" s="20"/>
      <c r="E106" s="20"/>
      <c r="F106" s="120">
        <f>SUM(SANYIPACE!F60:F105)</f>
        <v>4500</v>
      </c>
      <c r="G106" s="120">
        <f>SUM(SANYIPACE!G60:G105)</f>
        <v>375</v>
      </c>
      <c r="H106" s="48"/>
      <c r="I106" s="23"/>
    </row>
  </sheetData>
  <mergeCells count="3">
    <mergeCell ref="A1:K5"/>
    <mergeCell ref="A7:K7"/>
    <mergeCell ref="A58:K58"/>
  </mergeCells>
  <hyperlinks>
    <hyperlink ref="K9" r:id="rId1" display="https://amazon.com/dp/B07S7H86Z1" xr:uid="{128213B1-B08C-B64C-9071-3CB7FD5AF45C}"/>
    <hyperlink ref="K60" r:id="rId2" display="https://amazon.com/dp/B07S7H86Z1" xr:uid="{862BFA0E-F2C2-B94E-88FC-DBAC29259777}"/>
    <hyperlink ref="K103" r:id="rId3" display="https://amazon.com/dp/B07S7H86Z1" xr:uid="{7C8B228B-0168-5148-AA67-B5ED3E52D3FF}"/>
    <hyperlink ref="J9" r:id="rId4" display="https://amazon.com/dp/B0CFF8Z1NF" xr:uid="{580D1E60-1F1A-5E49-842B-206D087ED5B4}"/>
  </hyperlinks>
  <pageMargins left="0.7" right="0.7" top="0.75" bottom="0.75" header="0.3" footer="0.3"/>
  <tableParts count="2">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Top 50</vt:lpstr>
      <vt:lpstr>Top 50 Type Summary</vt:lpstr>
      <vt:lpstr>Top50 2or4way Summary </vt:lpstr>
      <vt:lpstr>Top 50 Display Summary </vt:lpstr>
      <vt:lpstr>Top50 Lensdiameter Summary  </vt:lpstr>
      <vt:lpstr>Top50 Lens count Summary </vt:lpstr>
      <vt:lpstr>Top50 Cable length Summary  </vt:lpstr>
      <vt:lpstr>Teslong</vt:lpstr>
      <vt:lpstr>DEPSTECH</vt:lpstr>
      <vt:lpstr>KINPTHY</vt:lpstr>
      <vt:lpstr>Acoath</vt:lpstr>
      <vt:lpstr>DAXIONGMAO</vt:lpstr>
      <vt:lpstr>DZXtoz</vt:lpstr>
      <vt:lpstr>RALCAM</vt:lpstr>
      <vt:lpstr>ANYSUN</vt:lpstr>
      <vt:lpstr>VEVOR</vt:lpstr>
      <vt:lpstr>SANYIPACE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dcterms:created xsi:type="dcterms:W3CDTF">2023-02-23T16:09:11Z</dcterms:created>
  <dcterms:modified xsi:type="dcterms:W3CDTF">2025-12-16T19:05:21Z</dcterms:modified>
</cp:coreProperties>
</file>