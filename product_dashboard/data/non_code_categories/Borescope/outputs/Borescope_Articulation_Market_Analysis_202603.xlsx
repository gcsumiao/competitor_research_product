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umiaoc/competitor_research_product/NewProductCategory/Borescope/outputs/"/>
    </mc:Choice>
  </mc:AlternateContent>
  <xr:revisionPtr revIDLastSave="0" documentId="13_ncr:1_{9AE3C718-EA8A-F34B-9919-4B7FE68F8F1F}" xr6:coauthVersionLast="47" xr6:coauthVersionMax="47" xr10:uidLastSave="{00000000-0000-0000-0000-000000000000}"/>
  <bookViews>
    <workbookView xWindow="0" yWindow="660" windowWidth="34560" windowHeight="21680" xr2:uid="{00000000-000D-0000-FFFF-FFFF00000000}"/>
  </bookViews>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definedNames>
    <definedName name="_xlnm._FilterDatabase" localSheetId="5" hidden="1">'All ASINs'!$A$2:$P$541</definedName>
    <definedName name="_xlnm._FilterDatabase" localSheetId="1" hidden="1">'Top 50 Revenue'!$A$2:$P$52</definedName>
    <definedName name="_xlnm._FilterDatabase" localSheetId="2" hidden="1">'Top 50 Units'!$A$2:$P$52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1" i="6" l="1"/>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alcChain>
</file>

<file path=xl/sharedStrings.xml><?xml version="1.0" encoding="utf-8"?>
<sst xmlns="http://schemas.openxmlformats.org/spreadsheetml/2006/main" count="6761" uniqueCount="1399">
  <si>
    <t>Borescope Articulation Market Analysis 202603 - Summary</t>
  </si>
  <si>
    <t>Brand</t>
  </si>
  <si>
    <t># of Listings</t>
  </si>
  <si>
    <t>Monthly Rev</t>
  </si>
  <si>
    <t>Monthly Units</t>
  </si>
  <si>
    <t>Monthly Rev Market Share %</t>
  </si>
  <si>
    <t>Price Per Unit</t>
  </si>
  <si>
    <t>Avg Rating</t>
  </si>
  <si>
    <t>Teslong</t>
  </si>
  <si>
    <t>DXZtoz</t>
  </si>
  <si>
    <t>DEPSTECH</t>
  </si>
  <si>
    <t>Ralcam</t>
  </si>
  <si>
    <t>Anykit</t>
  </si>
  <si>
    <t>VEVOR</t>
  </si>
  <si>
    <t>FOXWELL</t>
  </si>
  <si>
    <t>T TAKMLY</t>
  </si>
  <si>
    <t>Innova</t>
  </si>
  <si>
    <t>KAIWEETS</t>
  </si>
  <si>
    <t>Daxiongmao</t>
  </si>
  <si>
    <t>MugEasy</t>
  </si>
  <si>
    <t>NIDAGE</t>
  </si>
  <si>
    <t>Zorlet</t>
  </si>
  <si>
    <t>Hialemi</t>
  </si>
  <si>
    <t>zealtron</t>
  </si>
  <si>
    <t>Vafafinder</t>
  </si>
  <si>
    <t>VIVIDIA</t>
  </si>
  <si>
    <t>AukonVee</t>
  </si>
  <si>
    <t>SCOPIX</t>
  </si>
  <si>
    <t>Ferdiiz</t>
  </si>
  <si>
    <t>COOVIE</t>
  </si>
  <si>
    <t>KLEIN TOOLS</t>
  </si>
  <si>
    <t>BESTISAN</t>
  </si>
  <si>
    <t>UJOYOK</t>
  </si>
  <si>
    <t>GinoCaco</t>
  </si>
  <si>
    <t>LumenScope</t>
  </si>
  <si>
    <t>anysun</t>
  </si>
  <si>
    <t>Milwaukee</t>
  </si>
  <si>
    <t>Autel</t>
  </si>
  <si>
    <t>RIDGID</t>
  </si>
  <si>
    <t>AUTOOL</t>
  </si>
  <si>
    <t>Oiiwak</t>
  </si>
  <si>
    <t>Level Up Auto</t>
  </si>
  <si>
    <t>Ennovor</t>
  </si>
  <si>
    <t>Boresoeil</t>
  </si>
  <si>
    <t>Jeseral</t>
  </si>
  <si>
    <t>AMYLAC</t>
  </si>
  <si>
    <t>ZOIOT</t>
  </si>
  <si>
    <t>KOMSHINE</t>
  </si>
  <si>
    <t>Klaray</t>
  </si>
  <si>
    <t>ZEENSUY</t>
  </si>
  <si>
    <t>SAIVXIAN</t>
  </si>
  <si>
    <t>WANAWONG K</t>
  </si>
  <si>
    <t>SVBONY</t>
  </si>
  <si>
    <t>Mrcartool</t>
  </si>
  <si>
    <t>HBUDS</t>
  </si>
  <si>
    <t>Hopefox</t>
  </si>
  <si>
    <t>thinkcar</t>
  </si>
  <si>
    <t>EASTBEAR</t>
  </si>
  <si>
    <t>gogolux</t>
  </si>
  <si>
    <t>Milwoukee</t>
  </si>
  <si>
    <t>FBLFOBELI</t>
  </si>
  <si>
    <t>ZZQIN</t>
  </si>
  <si>
    <t>Ulefone</t>
  </si>
  <si>
    <t>GearView</t>
  </si>
  <si>
    <t>LANTOTEK</t>
  </si>
  <si>
    <t>Triplett</t>
  </si>
  <si>
    <t>ALIESTFDNO</t>
  </si>
  <si>
    <t>Luxonis</t>
  </si>
  <si>
    <t>JYTONE</t>
  </si>
  <si>
    <t>TURN RAISE</t>
  </si>
  <si>
    <t>WINWEND</t>
  </si>
  <si>
    <t>Jonard Tools</t>
  </si>
  <si>
    <t>Anhendeler</t>
  </si>
  <si>
    <t>CPI Products</t>
  </si>
  <si>
    <t>GODIAG</t>
  </si>
  <si>
    <t>PLAYOCCAR</t>
  </si>
  <si>
    <t>BAOSHLA</t>
  </si>
  <si>
    <t>MR CARTOOL</t>
  </si>
  <si>
    <t>AMTorin</t>
  </si>
  <si>
    <t>MAIYIS</t>
  </si>
  <si>
    <t>Dearsee</t>
  </si>
  <si>
    <t>THCLUS</t>
  </si>
  <si>
    <t>Generic</t>
  </si>
  <si>
    <t>Luqeeg</t>
  </si>
  <si>
    <t>JINMEI</t>
  </si>
  <si>
    <t>LAUREII</t>
  </si>
  <si>
    <t>SYANSPAN</t>
  </si>
  <si>
    <t>Julaiwy</t>
  </si>
  <si>
    <t>VNisenllc</t>
  </si>
  <si>
    <t>JIOTV</t>
  </si>
  <si>
    <t>Kinpthy</t>
  </si>
  <si>
    <t>General Tools</t>
  </si>
  <si>
    <t>BaiTTang</t>
  </si>
  <si>
    <t>HTENG VISHI</t>
  </si>
  <si>
    <t>EFUTONPRO</t>
  </si>
  <si>
    <t>MOTOCOCHE</t>
  </si>
  <si>
    <t>KozyOne</t>
  </si>
  <si>
    <t>ELROTONEG</t>
  </si>
  <si>
    <t>LIIAMOAR</t>
  </si>
  <si>
    <t>Ddewing</t>
  </si>
  <si>
    <t>HEAXIY</t>
  </si>
  <si>
    <t>TOPDC</t>
  </si>
  <si>
    <t>Performance Tool</t>
  </si>
  <si>
    <t>MEIBAOGE</t>
  </si>
  <si>
    <t>Supereyes</t>
  </si>
  <si>
    <t>Smartfly info</t>
  </si>
  <si>
    <t>GuliTech</t>
  </si>
  <si>
    <t>HOAYVKJ</t>
  </si>
  <si>
    <t>gzpce</t>
  </si>
  <si>
    <t>Mephwiuo</t>
  </si>
  <si>
    <t>UNI-T</t>
  </si>
  <si>
    <t>bopopo</t>
  </si>
  <si>
    <t>Tiansiao</t>
  </si>
  <si>
    <t>Hilitand</t>
  </si>
  <si>
    <t>KOOPOOL</t>
  </si>
  <si>
    <t>DIKHEE</t>
  </si>
  <si>
    <t>LotaTools</t>
  </si>
  <si>
    <t>Walfront</t>
  </si>
  <si>
    <t>ludotline</t>
  </si>
  <si>
    <t>SUNGOOYUE</t>
  </si>
  <si>
    <t>YINCORD</t>
  </si>
  <si>
    <t>QWQJ</t>
  </si>
  <si>
    <t>Yunseity</t>
  </si>
  <si>
    <t>SereneLife</t>
  </si>
  <si>
    <t>YUELER</t>
  </si>
  <si>
    <t>AOPICK</t>
  </si>
  <si>
    <t>KUUAUX</t>
  </si>
  <si>
    <t>CaseSack</t>
  </si>
  <si>
    <t>Salaty</t>
  </si>
  <si>
    <t>BoxWave</t>
  </si>
  <si>
    <t>Jadeshay</t>
  </si>
  <si>
    <t>SG Store</t>
  </si>
  <si>
    <t>MAJIAOFANG</t>
  </si>
  <si>
    <t>GAOSHA</t>
  </si>
  <si>
    <t>NSKI</t>
  </si>
  <si>
    <t>KONKIN BOO</t>
  </si>
  <si>
    <t>ioseecj</t>
  </si>
  <si>
    <t>Basyurity</t>
  </si>
  <si>
    <t>AYNEFY</t>
  </si>
  <si>
    <t>EIMSOAH</t>
  </si>
  <si>
    <t>aokiinn</t>
  </si>
  <si>
    <t>Topyond</t>
  </si>
  <si>
    <t>THE PERFECT PART</t>
  </si>
  <si>
    <t>Acekool</t>
  </si>
  <si>
    <t>Denpetec</t>
  </si>
  <si>
    <t>Aprafie</t>
  </si>
  <si>
    <t>FTVOGUE</t>
  </si>
  <si>
    <t>Ddkxndb</t>
  </si>
  <si>
    <t>Wohler</t>
  </si>
  <si>
    <t>ZGHQHCDRH</t>
  </si>
  <si>
    <t>zatagen</t>
  </si>
  <si>
    <t>UDBU</t>
  </si>
  <si>
    <t>Danculpe</t>
  </si>
  <si>
    <t>BINBINNIAO</t>
  </si>
  <si>
    <t>ADBEN</t>
  </si>
  <si>
    <t>Ubxvamm</t>
  </si>
  <si>
    <t>DIMITU</t>
  </si>
  <si>
    <t>UrbanHui</t>
  </si>
  <si>
    <t>onerbl</t>
  </si>
  <si>
    <t>YWBL-WH</t>
  </si>
  <si>
    <t>AOERWEI</t>
  </si>
  <si>
    <t>COMOAEW</t>
  </si>
  <si>
    <t>CCYLEZ</t>
  </si>
  <si>
    <t>StarNY</t>
  </si>
  <si>
    <t>WILDERNESSHOME</t>
  </si>
  <si>
    <t>KIMORE</t>
  </si>
  <si>
    <t>SKYBASIC</t>
  </si>
  <si>
    <t>Splenssy</t>
  </si>
  <si>
    <t>MeterTo</t>
  </si>
  <si>
    <t>MeetChanning</t>
  </si>
  <si>
    <t>Holdwell S</t>
  </si>
  <si>
    <t>Hyuduo</t>
  </si>
  <si>
    <t>IPG</t>
  </si>
  <si>
    <t>InvRio10ML</t>
  </si>
  <si>
    <t>Irosiy</t>
  </si>
  <si>
    <t>Leipan</t>
  </si>
  <si>
    <t>Launch Tech USA</t>
  </si>
  <si>
    <t>Larlarsa</t>
  </si>
  <si>
    <t>LZKW</t>
  </si>
  <si>
    <t>LOUBOL</t>
  </si>
  <si>
    <t>ACAGALA</t>
  </si>
  <si>
    <t>Jebousike</t>
  </si>
  <si>
    <t>LAUNCH</t>
  </si>
  <si>
    <t>Jopwkuin</t>
  </si>
  <si>
    <t>LANRU</t>
  </si>
  <si>
    <t>JzcsdkSIL</t>
  </si>
  <si>
    <t>K Tool International</t>
  </si>
  <si>
    <t>KAPRO</t>
  </si>
  <si>
    <t>MekUk</t>
  </si>
  <si>
    <t>Happybuy</t>
  </si>
  <si>
    <t>Solar Eclipse</t>
  </si>
  <si>
    <t>Hamwesh</t>
  </si>
  <si>
    <t>SmartFly info</t>
  </si>
  <si>
    <t>Saker</t>
  </si>
  <si>
    <t>Fafeicy</t>
  </si>
  <si>
    <t>FeiYeup</t>
  </si>
  <si>
    <t>Fydun</t>
  </si>
  <si>
    <t>GAOMON</t>
  </si>
  <si>
    <t>GEYOPMID</t>
  </si>
  <si>
    <t>RAINPOT</t>
  </si>
  <si>
    <t>Qiilu</t>
  </si>
  <si>
    <t>QPKING</t>
  </si>
  <si>
    <t>Probe360</t>
  </si>
  <si>
    <t>GOLDEN BLUE</t>
  </si>
  <si>
    <t>PKPOWER</t>
  </si>
  <si>
    <t>PCE Instruments</t>
  </si>
  <si>
    <t>Natudeco</t>
  </si>
  <si>
    <t>NIHUIFA</t>
  </si>
  <si>
    <t>NGCG</t>
  </si>
  <si>
    <t>NDNCZDHC</t>
  </si>
  <si>
    <t>HHIP</t>
  </si>
  <si>
    <t>4UCAM EXTEND YOUR VISION</t>
  </si>
  <si>
    <t>Total</t>
  </si>
  <si>
    <t>Borescope Articulation Market Analysis 202603 - Top 50 Revenue</t>
  </si>
  <si>
    <t>ASIN</t>
  </si>
  <si>
    <t>Title</t>
  </si>
  <si>
    <t>Type</t>
  </si>
  <si>
    <t>Price</t>
  </si>
  <si>
    <t># of Reviews</t>
  </si>
  <si>
    <t>Link</t>
  </si>
  <si>
    <t>Connection Type</t>
  </si>
  <si>
    <t>2/4-way</t>
  </si>
  <si>
    <t>Display</t>
  </si>
  <si>
    <t>Lens Diameter</t>
  </si>
  <si>
    <t>Lens Count</t>
  </si>
  <si>
    <t>Cable Length</t>
  </si>
  <si>
    <t>B0CJY5C9QX</t>
  </si>
  <si>
    <t>Teslong Two-Way Articulating Borescope with Light, Industrial Endoscope Inspection Camera with Articulated Probe, Flexible Mechanic Fiber Optic Snake Scope Cam for Wall Automotive Engine Inspect-5FT</t>
  </si>
  <si>
    <t>Articulation</t>
  </si>
  <si>
    <t>Screen/Wired</t>
  </si>
  <si>
    <t>2-way</t>
  </si>
  <si>
    <t>4.5"</t>
  </si>
  <si>
    <t>8mm</t>
  </si>
  <si>
    <t>Single</t>
  </si>
  <si>
    <t>5ft</t>
  </si>
  <si>
    <t>B0B28HRSBP</t>
  </si>
  <si>
    <t>DXZtoz Two-Way Articulating Borescope with Light, Video Industrial Endoscope Inspection Camera with 0.33in Articulated Scope for Engine Automotive Aircraft Mechanics- 5.5FT</t>
  </si>
  <si>
    <t>4.3"</t>
  </si>
  <si>
    <t>8.5mm</t>
  </si>
  <si>
    <t>5.5ft</t>
  </si>
  <si>
    <t>B0DT4H7QQM</t>
  </si>
  <si>
    <t>Teslong Two-Way Articulating Borescope, 5.5mm Slim Probe, 5.0'' Industrial Endoscope with Light, 5FT Flexible Snake Scope for Automotive, HVAC &amp; Mechanics</t>
  </si>
  <si>
    <t>5.0"</t>
  </si>
  <si>
    <t>5.5mm</t>
  </si>
  <si>
    <t>B0CJY6SWBN</t>
  </si>
  <si>
    <t>Articulating Borescope with Dual Lens Endoscope Camera, Teslong Two-Way Articulated Industrial Inspection Camera with LED Light, Flexible Mechanic Fiber Optic Snake Scope Cam for Wall Automotive-5FT</t>
  </si>
  <si>
    <t>Dual</t>
  </si>
  <si>
    <t>B0C3B32Q9Z</t>
  </si>
  <si>
    <t>DXZtoz Dual-Lens Articulating Borescope with Light, 5'' Screen Engine Endoscope Inspection Camera with 0.33in Articulated Snake Camera, 1080P Videoscope for Automotive Home Mechanics-5FT</t>
  </si>
  <si>
    <t>B0CLG67RHF</t>
  </si>
  <si>
    <t>Teslong 4-Way Articulating Borescope with Dual Lens Endoscope, 1080P HD Steerable Mechanic Inspection Camera with with LED Light, See in Wall Automotive Engine Scope(0.24inch-5FT)</t>
  </si>
  <si>
    <t>4-way</t>
  </si>
  <si>
    <t>6.0"</t>
  </si>
  <si>
    <t>6mm</t>
  </si>
  <si>
    <t>B0F62WJY8N</t>
  </si>
  <si>
    <t>DEPSTECH 10FT Articulating Endoscope Camera with Light: Dual Lens Industrial Borescope with 4.5" Screen and Flexible Cable, Video Inspection Snake Scope Camera Tool for Wall, Auto, Pipe, Mechanics</t>
  </si>
  <si>
    <t>10ft</t>
  </si>
  <si>
    <t>B0FGJ8WVGP</t>
  </si>
  <si>
    <t>Anykit Articulating Borescope, 210° Two-Way 0.22in Slim Probe Endoscope with High-Brightness LED Lights, 4.3" IPS HD Video Inspection Snake Camera for Automotive Engine Inspect - 4FT</t>
  </si>
  <si>
    <t>4ft</t>
  </si>
  <si>
    <t>B0CHW4FLS7</t>
  </si>
  <si>
    <t>Articulating Borescope with Dual Lens Endoscope, Teslong 5-inch IPS Automotive Inspection Camera with Two-Way Articulation Tip, 6+1 LED Lights, Mechanics Fiber Optic Scope-Dia. 0.25 inch &amp; L 5.0 feet</t>
  </si>
  <si>
    <t>6.5mm</t>
  </si>
  <si>
    <t>B0CLG4LHWP</t>
  </si>
  <si>
    <t>Teslong 3.9mm Two-Way Articulating Borescope with Light, 5-inch IPS Endoscope Inspection Camera with Articulated Probe, Flexible Automotive Mechanics Gadgets Fiber Optic Scope Cam-0.15inch</t>
  </si>
  <si>
    <t>3.9mm</t>
  </si>
  <si>
    <t>B0DTHZDGYD</t>
  </si>
  <si>
    <t>Teslong 360 Articulating Borescope with Light, 5'' Monitor Industrial Inspection Camera with 4-Way Joystick Articulation, HD Endoscope Camera for Automotive, Pipes, and Mechanics (0.24inch-5FT)</t>
  </si>
  <si>
    <t>B082JCSB4Z</t>
  </si>
  <si>
    <t>Innova 3380 Automotive Borescope with Light, 2.7" Inspection Camera, 39" Extension, IP67 Waterproof Digital Scope</t>
  </si>
  <si>
    <t>2.4"</t>
  </si>
  <si>
    <t>Unknown</t>
  </si>
  <si>
    <t>B0FFT6SJHW</t>
  </si>
  <si>
    <t>Two-Way Articulating Borescope Camera with Light, 0.25in Slim Probe, Industrial Endoscope Inspection Camera with Light, 5.3FT Flexible Snake Scope for Automotive, HVAC and Aircraft Mechanics</t>
  </si>
  <si>
    <t>6.4mm</t>
  </si>
  <si>
    <t>5.3ft</t>
  </si>
  <si>
    <t>B08519F2W9</t>
  </si>
  <si>
    <t>Teslong Inspection Camera, Dual Lens Borescope Camera with Light, NTS300 5" IPS Industrial Endoscope, 1080P Waterproof Flexible Mechanic Fiber Optic Snake Scope Cam for Wall Automotive Engine (3.3FT)</t>
  </si>
  <si>
    <t>3.3ft</t>
  </si>
  <si>
    <t>B0DNFL72B5</t>
  </si>
  <si>
    <t>DXZtoz Dual-Lens Articulating Borescope with Light, 6.5mm Thin Articulated Industrial Endoscope Inspection Camera, 5'' Dual Screen HD Engine Scope for Aircraft Automotive Mechanic Electrician-5FT</t>
  </si>
  <si>
    <t>B0D7PYRRKD</t>
  </si>
  <si>
    <t>Teslong 3.9mm 4-Way Articulating Borescope with Light, 6'' IPS Endoscope Inspection Camera with 360 Articulated Probe, Flexible Automotive Mechanics Gadgets Fiber Optic Scope Cam (0.15inch-5FT)</t>
  </si>
  <si>
    <t>B0F2H49C2D</t>
  </si>
  <si>
    <t>Teslong Two-Way Articulating Borescope with Light, USB-C Endoscope Inspection Camera with 5FT Semi-Rigid Probe, Flexible Snake Scope for Home Repair, Automotive, Compatible with iPhone 15/16 &amp; Android</t>
  </si>
  <si>
    <t>USB</t>
  </si>
  <si>
    <t>Wireless/Connected</t>
  </si>
  <si>
    <t>App</t>
  </si>
  <si>
    <t>B0DSW1DKTZ</t>
  </si>
  <si>
    <t>Ralcam 360° Articulating Borescope Dual Lens, 5'' Joystick 4 Ways Industrial Endoscope Camera with Light, 6.5mm Slim Probe, 5.0FT Semi-Rigid Snake Inspection Camera for Automotive Mechanics</t>
  </si>
  <si>
    <t>B09ZV7KJHL</t>
  </si>
  <si>
    <t>Teslong Two-Way Articulating Borescope with Light, 5-inch IPS Endoscope Inspection Camera with Articulation Head, Automotive Mechanics Fiber Optic Scope-0.33inch</t>
  </si>
  <si>
    <t>B0DT16R78W</t>
  </si>
  <si>
    <t>DEPSTECH Dual Lens Two-Way Articulating Borescope Camera with Light, 4.5" Screen and 5FT Flexible Snake Scope Industrial Endoscope, Inspection Video Camera Tool for Wall, Engine, Auto, Mechanics</t>
  </si>
  <si>
    <t>B0FJFD212D</t>
  </si>
  <si>
    <t>Ralcam 4-Way 360° Articulating Borescope, 6.2mm Ultra-Slim Waterproof Inspection Camera with Light, 4.3" HD Screen, 4X Zoom, 6.6FT Semi-Rigid Endoscope for Engine, Pipe, HVAC &amp; Automotive</t>
  </si>
  <si>
    <t>6.2mm</t>
  </si>
  <si>
    <t>6.6ft</t>
  </si>
  <si>
    <t>B0DPHJSPBY</t>
  </si>
  <si>
    <t>FOXWELL Y400 Two-Way Articulating Borescope with Light, 0.24in Ultra-Slim Probe, 220° Articulation, IPS HD Screen, Industrial Endoscope Inspection Camera for Automotive Engine, HVAC &amp; Plumbing – 5.3FT</t>
  </si>
  <si>
    <t>5.25ft</t>
  </si>
  <si>
    <t>B0C64RBKJL</t>
  </si>
  <si>
    <t>Ralcam 360° Articulating Borescope, 6.2mm/0.24in Slim Probe, Joystick 4 Ways Endoscope Inspection Camera with Light, 3.3 FT Flexible Snake Tube for Automotive, HVAC, Mechanics</t>
  </si>
  <si>
    <t>B0FJR2Y5B9</t>
  </si>
  <si>
    <t>T TAKMLY Endoscope Camera with Light, Dual Lens 1080P Industrial Borescope with 8 LED Lights, 4.3'' Inspection Snake Cameras, 16.4FT Semi-Rigid Cable, IP67 Waterproof (Blue)</t>
  </si>
  <si>
    <t>16.5ft</t>
  </si>
  <si>
    <t>B0G1MM25PR</t>
  </si>
  <si>
    <t>Anykit 360° 4 Ways Articulating Borescope, Industrial Endoscope with 0.26 in Articulated Snake Camera, Inspection Camera with 6 Adjustable LED Lights Compatible with Phone and Android - 3.3 FT</t>
  </si>
  <si>
    <t>B0F8QLHGZR</t>
  </si>
  <si>
    <t>FOXWELL Dual Lens Articulating Borescope, 0.25in Slim 220° Two-Way Endoscope Camera with LED Light, IPS HD Screen, IP67 Waterproof Snake Camera for Automotive, Pipe, Wall &amp; Engine Inspection – 5.3FT</t>
  </si>
  <si>
    <t>B0C4FBM6GV</t>
  </si>
  <si>
    <t>Endoscope Camera with Light, 1920P HD Bore Scope Borescope with 8 Lights, Waterproof 16.4FT Semi-Rigid Cord for Pipe Inspection, Industrial Endoscope for Phones(Black)</t>
  </si>
  <si>
    <t>B0C9GR791B</t>
  </si>
  <si>
    <t>VEVOR Articulating Borescope Camera with Light, Two-Way Articulated Endoscope Inspection Camera with 6.4mm Tiny Lens, 5" IPS 1080P HD Screen, 8X Zoom, 8 LED Light Snake Camera for Automotive, Plumbing</t>
  </si>
  <si>
    <t>B0BVMFYQNS</t>
  </si>
  <si>
    <t>VEVOR Triple Lens Endoscope Camera, 4.5" IPS Screen Borescope Inspection Camera with 1080P Lens, 10 Adjustable Light, 2860 mAh Battery, Waterproof &amp; Oilproof Endoscope for Auto, Wall, Drain Inspection</t>
  </si>
  <si>
    <t>Triple</t>
  </si>
  <si>
    <t>B0B71PT47Q</t>
  </si>
  <si>
    <t>DXZtoz 10FT Articulating Borescope with Light, Two-Way Steering Industrial Endoscope Inspection Camera 0.33in Fiber Optic Snake Camera Waterproof for Electriction Wall Pipeline Inspection</t>
  </si>
  <si>
    <t>B0CJC65Q9P</t>
  </si>
  <si>
    <t>Daxiongmao Endoscope Camera with Light, 1080P HD Borescope, IP67 Waterproof Snake Camera – Ideal for Inspecting Walls, Vents, Automotive Engines, Pipes – A Great Gift Tool for Men (33ft)</t>
  </si>
  <si>
    <t>33ft</t>
  </si>
  <si>
    <t>B07SQ4FLYX</t>
  </si>
  <si>
    <t>Dual Lens Endoscope with 5" Monitor, Teslong NTS500 Industrial Waterproof Borescope Inspection Camera with 0.21in Front &amp; Side-View Double Lens with 9.8FT Probe, 5-Inch IPS LCD Screen &amp; Case</t>
  </si>
  <si>
    <t>9.8ft</t>
  </si>
  <si>
    <t>B0FXL4JXC5</t>
  </si>
  <si>
    <t>Hialemi 3.9mm Borescope, 5" IPS Screen 1080P Endoscope Camera with Light, Inspection Camera, 5FT Semi-Rigid Snake, IP67 Waterproof Industrial Borescope for Automotive Engine Aircraft Mechanic Tools</t>
  </si>
  <si>
    <t>B09NBRQ4ST</t>
  </si>
  <si>
    <t>Triple Lens Borescope Inspection Camera, Teslong Professional Endoscope with Light, Digital Video Scope Camera, 5" IPS Screen, Waterproof Flexible Cable for Automotive/Home/Wall/Pipe/Car (5FT)</t>
  </si>
  <si>
    <t>B0FGD1CNPW</t>
  </si>
  <si>
    <t>Borescope Dual Lens Endoscope Camera with Light, 4.3" IPS 1920P HD Inspection Camera, 7.9mm IP67 Waterproof with 8+1 Adjustable LEDs, 16.5FT Semi-Rigid Snake Cable for Mechanic, Cool Gadgets for Men</t>
  </si>
  <si>
    <t>B0F8VS1FV6</t>
  </si>
  <si>
    <t>Two-Way Endoscope Camera with Light [360°Rotation],1920P HD,Borescope for iPhone IP67 Waterproof Automotive Engine Plumbing HVAC Inspection 6.2 mm Lens Industrial</t>
  </si>
  <si>
    <t>B0FQBWRMHQ</t>
  </si>
  <si>
    <t>ZORLET Dual Lens 360° Articulating Borescope with Light, 5'' HD Monitor 4-Way Joystick Inspection Camera, 0.25in Slim Probe 5.0FT Semi-Rigid Snake Industrial Endoscope Camera for Automotive Mechanics</t>
  </si>
  <si>
    <t>B08519V6GW</t>
  </si>
  <si>
    <t>Teslong Inspection Camera, Dual Lens Borescope Camera with Light, NTS300 5" IPS Industrial Endoscope, 1080P Waterproof Flexible Mechanic Fiber Optic Snake Scope Cam for Wall Automotive Engine (10FT)</t>
  </si>
  <si>
    <t>B09Y1F2MPB</t>
  </si>
  <si>
    <t>5mm Dual Lens Inspection Camera, Teslong Borescope with LED Light, HD Industrial Endoscope, 5" IPS Screen, Waterproof Video Scope Camera, Flexible Cable for Home/Automotive/Pipe/Car/Wall(5FT)</t>
  </si>
  <si>
    <t>5mm</t>
  </si>
  <si>
    <t>B0C4H7RJY7</t>
  </si>
  <si>
    <t>Teslong Triple Lens Borescope with 7" IPS Screen, 1080P HD Mechanic Endoscope Inspection Camera with Light, 16.5FT Flexible Industrial Automotive Mechanic Scope Tool, Waterproof Pipe Snake Wall Cam</t>
  </si>
  <si>
    <t>7.0"</t>
  </si>
  <si>
    <t>B0FFGZC3WX</t>
  </si>
  <si>
    <t>Teslong Dual Lens 360 Articulating Borescope with Light, 5'' Monitor Industrial Inspection Camera with 4-Way Joystick Articulation, HD Endoscope Camera for Automotive and Mechanics (0.24inch-5FT)</t>
  </si>
  <si>
    <t>B07TTQF24F</t>
  </si>
  <si>
    <t>Teslong Rifle Borescope, Bore Camera Gun Cleaning Camera - Fits .20 Caliber &amp; Larger-Hunting Shooting Firearms Visual Barrel Inspection Tool w/3 Right-Angle Mirrors and Carrying Case(45inch-Flexible)</t>
  </si>
  <si>
    <t>B0FQC32XV7</t>
  </si>
  <si>
    <t>DEPSTECH Dual Lens Borescope Camera with Light, Two-Way Articulating Borescope, 5" IPS Dual View Endoscope with 0.33in Slim Probe, 1080P Waterproof Inspection Camera for Wall Auto Engine Inspect-5FT</t>
  </si>
  <si>
    <t>B0D1VGWHJ4</t>
  </si>
  <si>
    <t>NIDAGE Dual Lens Borescope Inspection Camera 1920P HD Endoscope Camera with Light, 4.3" IPS Screen, 11.5FT Flexible Cable, IP67 Waterproof Snake Cam for Car Engine Mechanic Tools, Gift for Men</t>
  </si>
  <si>
    <t>11.5ft</t>
  </si>
  <si>
    <t>B08Y5S32YV</t>
  </si>
  <si>
    <t>Ralcam Two-Way Articulating Borescope for iPhone&amp;Android, Endoscope Camera with Light, HD Inspection Camera with Battery for Automotive, Engine, Pipe 0.33in Lens-3.3FT Flexible Cable</t>
  </si>
  <si>
    <t>B0DZNQSLMP</t>
  </si>
  <si>
    <t>SCOPIX Articulating Borescope Camera with Screen, 2-Way Flexible Inspection Camera with Light, 1080P HD Endoscope Camera with 0.24” Probe, 5in Display, for Engine, Pipe and Wall Inspection, 5ft</t>
  </si>
  <si>
    <t>B0FJLPG74M</t>
  </si>
  <si>
    <t>Ralcam 360° Articulating Borescope Dual Lens 5'', Joystick 4-Way Industrial Endoscope Camera with Light, 0.25in Slim Probe Flexible Inspection Camera for Automotive Mechanics</t>
  </si>
  <si>
    <t>B0FZ851CGL</t>
  </si>
  <si>
    <t>T Takmly Two-Way Articulating Borescope Camera, 0.33in Industrial Endoscope Inspection Camera with LED Light, 4.3'' IPS 1080P HD Screen, 5.5FT Flexible Snake Bore Scope for Automotive Wall Mechanics</t>
  </si>
  <si>
    <t>B0BVML78W1</t>
  </si>
  <si>
    <t>DEPSTECH Endoscope, 7'' IPS Screen Borescope Camera with Light, Triple-Lens Inspection Camera with Sound Recording, 1080P HD 7.9 mm Snake Camera, 16.5ft Gooseneck Camera for Automotive Wall Pipe HVAC</t>
  </si>
  <si>
    <t>B0D2KRN3XR</t>
  </si>
  <si>
    <t>Endoscope Camera with Light, 1920P HD Borescope Inspection Camera with 4.3" IPS Screen, IP67 Waterproof with 8 LEDs &amp; 16.5ft Semi-Rigid Snake Camera for Automotive Pipe Tools Gadgets for Men</t>
  </si>
  <si>
    <t>Borescope Articulation Market Analysis 202603 - Top 50 Units</t>
  </si>
  <si>
    <t>B0G6L4JSWF</t>
  </si>
  <si>
    <t>Dual-Lens Borescope with Light, Endoscope Camera with Light with 4.3" IPS Screen,1920P HD with 8 LED Lights,16.4ft Semi-Rigid Cable and Back LED Light,IP67 Waterproof Borescope, Cool Gadgets for Men</t>
  </si>
  <si>
    <t>B0FM82MR7C</t>
  </si>
  <si>
    <t>Endoscope Camera with Light, 1920P HD Bore Scope Borescope with 8 Lights, Waterproof 16.4FT Semi-Rigid Cord for Pipe Inspection, Industrial Endoscope for Phones(Dual Lens)</t>
  </si>
  <si>
    <t>B0FX99L27P</t>
  </si>
  <si>
    <t>DEPSTECH Dual Lens Borescope Camera with Light, HD Endoscope, 4.3'' IPS Screen, Inspection IP67 Waterproof, 16.5ft Semi-Rigid Snake Camera Cable for Car Wall Drain Pipe</t>
  </si>
  <si>
    <t>B0DCNM5MGW</t>
  </si>
  <si>
    <t>Anykit Endoscope Camera with Light, 1080P Industrial Endoscope Camera with 0.3 Slim Probe, 4.3” HD Screen Snake Cam, 33 FT Semi-Rigid Cable Bore Scope for Pipe, Engine, Inside Wall IP67 Waterproof</t>
  </si>
  <si>
    <t>B0D5QZBDRX</t>
  </si>
  <si>
    <t>Endoscope Camera with Light, 4.3" HD 1920P Borescope Snake Inspection Camera, IP67 Waterproof 8 Adjustable LEDs 16.4ft Semi-Rigid Tool Kit for Automotive Plumbing DIY Cool Gadgets</t>
  </si>
  <si>
    <t>B0FHWCZ5RB</t>
  </si>
  <si>
    <t>Endoscope Camera with Light, 4.3" IPS Screen, 16.4 Ft Semi-Rigid IP67 Borescope Camera with Light, 1080P Inspection Camera with 8 LEDs, No App Needed, Waterproof Drain Camera, Cool Gadget for Men</t>
  </si>
  <si>
    <t>B0F13SHCYH</t>
  </si>
  <si>
    <t>Dual-Lens Borescope with Light,Endoscope Camera with Light with 4.3" IPS Screen,1920P HD with 8 LED Lights,32.8ft Semi-Rigid Cable and Back LED Light,IP67 Waterproof Borescope, Cool Gadgets for Men</t>
  </si>
  <si>
    <t>32.8ft</t>
  </si>
  <si>
    <t>B0F13SV3DP</t>
  </si>
  <si>
    <t>Endoscope Camera with Light,Inspection Camera with 4.3" IPS Screen,1920P HD with 8 LED Lights,32.8ft Semi-Rigid Cable and Back LED Light,IP67 Waterproof Borescope, Cool Gadgets for Men</t>
  </si>
  <si>
    <t>B094XGX6GQ</t>
  </si>
  <si>
    <t>DEPSTECH 5.5mm Industrial Endoscope, 1080P Digital Borescope Inspection Camera with 4.3" Screen, IP67 Waterproof Snake Camera with Lights,16.5FT Semi-Rigid Cable, 32GB Card &amp;Photo Capture,Helpful Tool</t>
  </si>
  <si>
    <t>B0DJGFZQ5X</t>
  </si>
  <si>
    <t>VEVOR Endoscope Camera with Light, Dual Lens Borescope with 49.2FT Semi-Rigid Cable, 4.3" Screen 1080P Inspection Camera, 8 + 1 LED Lights, 4X Zoom, IP67 Waterproof Snake Camera for Auto, Plumbing</t>
  </si>
  <si>
    <t>49.2ft</t>
  </si>
  <si>
    <t>B0DHRPXGRL</t>
  </si>
  <si>
    <t>NIDAGE Two-Way Articulating Endoscope Camera with Light, Industrial Borescope with 0.24in Articulated Snake Inspection Camera, Flexible Fiber Optic Scope Cam for Automotive Aircraft Mechanics, 5.2FT</t>
  </si>
  <si>
    <t>5.2ft</t>
  </si>
  <si>
    <t>B0C9L96KF7</t>
  </si>
  <si>
    <t>Borescope Inspection with Light, Industrial Endoscope Camera with 4.3” HD Screen, Waterproof Digital Snake Camera, Semi-Rigid Cable Bore Scope for Home Pipe, Engine, Inside Wall, Duct (11.5 FT)</t>
  </si>
  <si>
    <t>B0F47SBC8N</t>
  </si>
  <si>
    <t>FBLFOBELI Hard Case for MugEasy/SKYBASIC/Daxiongmao/DEPSTECH/Lightswim Borescope Inspection Camera, Fits 4.3'' Screen Borescopes, Lens Industrial Endoscope Carrying Case</t>
  </si>
  <si>
    <t>Borescope Articulation Market Analysis 202603 - Segment Summary</t>
  </si>
  <si>
    <t>Avg Price</t>
  </si>
  <si>
    <t>Quantity/Mo</t>
  </si>
  <si>
    <t>Qty By %</t>
  </si>
  <si>
    <t>Revenue/Mo</t>
  </si>
  <si>
    <t>Revenue By %</t>
  </si>
  <si>
    <t>Borescope Articulation Market Analysis 202603 - Price Tier Analysis</t>
  </si>
  <si>
    <t>Price Tier</t>
  </si>
  <si>
    <t>Total Revenue</t>
  </si>
  <si>
    <t>Total Sales</t>
  </si>
  <si>
    <t>Rev Share %</t>
  </si>
  <si>
    <t>Unit Share %</t>
  </si>
  <si>
    <t>$0-40</t>
  </si>
  <si>
    <t>$40-60</t>
  </si>
  <si>
    <t>$60-90</t>
  </si>
  <si>
    <t>$90-100</t>
  </si>
  <si>
    <t>$100-150</t>
  </si>
  <si>
    <t>$150-200</t>
  </si>
  <si>
    <t>$200+</t>
  </si>
  <si>
    <t>Borescope Articulation Market Analysis 202603 - All ASINs</t>
  </si>
  <si>
    <t>B0DZMN1941</t>
  </si>
  <si>
    <t>Anykit 360° Articulated Engine Endoscope, Aviation Hole Sight with 0.25" Convertible Snake Camera, 5" IPS Video Check Camera with Light for Mechanic Maintenance Technician - 3.28'</t>
  </si>
  <si>
    <t>B08D9GDQD5</t>
  </si>
  <si>
    <t>Teslong Rigid Rifle Borescope, 0.2inch Rod Digital Gun Barrel Bore Scope Gun Cleaning Camera-Fits .20 Caliber &amp; Larger Hunting Shooting Firearms, 26inch Long Insertion Tube &amp; 4.5inch 1080P HD Screen</t>
  </si>
  <si>
    <t>B0CNPWHCQG</t>
  </si>
  <si>
    <t>Triple Lens Borescope Inspection Camera, Teslong Professional Endoscope with Light, Digital Video Scope Camera, 5" IPS Screen, Waterproof Flexible Cable for Automotive/Home/Wall/Pipe/Car (10FT)</t>
  </si>
  <si>
    <t>B0DCHMC6L8</t>
  </si>
  <si>
    <t>Klein Tools ET18 Plumbing Borescope with 5.5 mm 4.9-Foot Armored Waterproof Gooseneck Snake, LEDs, 4.3-Inch LCD, Endoscope Inspection Camera</t>
  </si>
  <si>
    <t>B0FGXN5HBK</t>
  </si>
  <si>
    <t>Zealtron Two-Way Articulating Borescope with Light, 6.2mm Probe Industrial Endoscope Camera with 1.5m Self-Resetting Tube, 5" IPS Screen Inspection Camera with Light for Engine/Pipe</t>
  </si>
  <si>
    <t>B0DFHL8YN5</t>
  </si>
  <si>
    <t>Two-Way Articulating Borescope with Light, UJOYOK Industrial Endoscope with Snake Scope Camera, Borescope Inspection Camera with Light for Automotive &amp; Aircraft Mechanics, 5.5FT</t>
  </si>
  <si>
    <t>B0DBZ6Q4YH</t>
  </si>
  <si>
    <t>DEPSTECH 210° Two-Way Articulating Borescope, 0.24in Ultra-Slim Endoscope Camera with Lights, 4.5” IPS Screen, 5ft Waterproof Flexible Snake Tube, Industrial Inspection Camera for Automotive Mechanics</t>
  </si>
  <si>
    <t>B0GDFG41PS</t>
  </si>
  <si>
    <t>FOXWELL Elite Dual Lens 2-Way 220° Articulating Borescope, 0.25in Ultra-Slim Probe, HD IPS Display, IP67 Waterproof, Flexible Camera for Automotive, HVAC, Plumbing &amp; Industrial Inspections 5.3FT</t>
  </si>
  <si>
    <t>B0FZTB97PN</t>
  </si>
  <si>
    <t>RALCAM Dual Lens Articulating Borescope, 10FT Semi-Rigid Inspection Camera with 5" HD Screen, 8.5mm Slim Waterproof Probe, Two-Way Endoscope Camera with Light for Automotive, HVAC, Pipes</t>
  </si>
  <si>
    <t>B0CT5L1H9B</t>
  </si>
  <si>
    <t>DEPSTECH 7'' IPS Endoscope Camera with Lights, 1080P Triple-Lens Digital Borescope Tool, Inspection Camera with Split Screen, Sound Recording, 16.5ft IP67 Waterproof Snake Cable, 180° Rotation View</t>
  </si>
  <si>
    <t>B0FRMFNFHL</t>
  </si>
  <si>
    <t>LumenScope Articulating Borescope Camera with Light,Two-Way Industrial Endoscope Inspection Camera with 0.24In Articulated Probe, 5.3FT Flexible Snake Bore Scope Cam for Automotive Engine Inspect</t>
  </si>
  <si>
    <t>B0BG27Q1JS</t>
  </si>
  <si>
    <t>Teslong Telescopic Endoscope Inspection Camera with Screen &amp; Light, 4.5" IPS Display Borescope with 5FT Telescoping Pole, IP67 Waterproof Inspection Camera for Ceiling, Wall, Chimney, Automotive &amp;HVAC</t>
  </si>
  <si>
    <t>B0DSVY5LQD</t>
  </si>
  <si>
    <t>Ralcam Dual Lens Articulating Borescope, 6.5mm Slim Probe, 5" Endoscope Camera with Light, 5FT Semi-Rigid Cable, Two-Way Articulated Inspection Camera for Automotive Wall Pipe</t>
  </si>
  <si>
    <t>B0GDFRH4J8</t>
  </si>
  <si>
    <t>FOXWELL Elite 220° Two-Way Articulating Borescope, 0.24in Ultra-Slim Endoscope Camera with Light, 1920P HD, IP67 Waterproof, 5.3FT Flexible Snake Scope for Automotive Engine Pipe Home Inspection</t>
  </si>
  <si>
    <t>B0FD3NRZ5S</t>
  </si>
  <si>
    <t>DEPSTECH Articulating Borescope Camera with Light, 5" IPS HD Screen, Industrial Endoscope Inspection Camera with Two-Way Articulated Probe, 0.24'' Flexible Snake Scope for Wall Automotive Engine - 5FT</t>
  </si>
  <si>
    <t>B0FLNJ8CNL</t>
  </si>
  <si>
    <t>Ralcam 3mm Two-Way Articulating Borescope, 5 Inch HD Industrial Endoscope Inspection Camera with Light, Stainless Steel Flexible Fiber Optic Scope Camera 0.12in Automotive Mechanics Tool</t>
  </si>
  <si>
    <t>3mm</t>
  </si>
  <si>
    <t>B0FHGMHLJR</t>
  </si>
  <si>
    <t>Ralcam Two-Way Articulating Borescope, 5.5mm/0.22in Slim Probe, 5" Industrial Endoscope Camera with Light, 8X Zoom 5FT Flexible Snake Inspection Scope for Engine, Automotive, HVAC</t>
  </si>
  <si>
    <t>B0G48WTXYF</t>
  </si>
  <si>
    <t>4-Way 360° Articulating Borescope, Joystick 5" HD Endoscope Camera with Light, Waterproof Snake Inspection Camera for Engine, Pipe, HVAC, Wall (6.5mm Dual Lens-5FT Semi-Rigid Cable)</t>
  </si>
  <si>
    <t>B0CXSTNWTW</t>
  </si>
  <si>
    <t>Dual Lens Articulating Borescope, DEPSTECH Endoscope Camera with Light, Articulated Probe, Flexible Snake Inspection Camera for Wall, Automotive Engine Inspect-4.92FT</t>
  </si>
  <si>
    <t>B0FBWTBNTY</t>
  </si>
  <si>
    <t>NIDAGE Two-Way Articulating Endoscope Camera with Light: 7'' IPS Borescope with Articulated Snake Head and 5.3FT Cable 1080P Waterproof Industrial Inspection Camera for Auto Mechanics Wall</t>
  </si>
  <si>
    <t>B0FGH475P3</t>
  </si>
  <si>
    <t>Milwaukee Electric - M12. AUTO Technician BORESCOPE</t>
  </si>
  <si>
    <t>B0GGLZCT28</t>
  </si>
  <si>
    <t>T Takmly Two-Way Articulating Borescope Camera, 0.23in Industrial Endoscope Inspection Camera with LED Light, 4.3'' IPS 1080P HD Screen, 5.5FT Flexible Snake Bore Scope for Automotive Wall Mechanics</t>
  </si>
  <si>
    <t>B0FSQFN58Q</t>
  </si>
  <si>
    <t>Zealtron Two-Way Articulating Borescope with Light, 3.9mm Articulating Probe Industrial Endoscope Camera with 3.3ft/1m Self-Resetting Tube, 5" IPS Screen Inspection Camera with Light for Engine/Pipe</t>
  </si>
  <si>
    <t>B0CW67ZYP1</t>
  </si>
  <si>
    <t>Daxiongmao Endoscope Camera with Lights, 1080P HD Two-Way Articulating Borescope, IP67 Waterproof Snake Camera – Ideal for Inspecting Walls, Vents, Automotive Engines, Pipes – A Tool for Men (5ft)</t>
  </si>
  <si>
    <t>B0F8B96XV6</t>
  </si>
  <si>
    <t>Two-Way Articulating Borescope Camera with Light,360°Rotation,1920P, 6.2 mm Industrial Endoscope IP67 Waterproof Flexible Semi-Rigid Cable for Automotive, Pipe Inspection</t>
  </si>
  <si>
    <t>B093SVJZRZ</t>
  </si>
  <si>
    <t>Anysun 100ft Pipe Video Inspection Camera with 512Hz Sonde and Receiver, Waterproof Drain Plumbing Camera Snake with 7' LCD Monitor DVR Recorder (8GB SD Card Included)</t>
  </si>
  <si>
    <t>100ft</t>
  </si>
  <si>
    <t>B0DHRTVQZB</t>
  </si>
  <si>
    <t>VEVOR Endoscope Camera with Light, Triple Lens Industrial Borescope, 5" Screen 1080P Inspection Camera, 8 + 2 Lights, IP67 Waterproof Snake Cameras for Automotive, Plumbing (16.4FT Cable, 32GB Card)</t>
  </si>
  <si>
    <t>B08QCCZHC6</t>
  </si>
  <si>
    <t>Teslong Endoscope Replacement Cable with Light, Dual Lens Inspection Camera 5.5mm/0.21inch Waterproof Probe Compatible with NTS500, NTS300(3.3FT)</t>
  </si>
  <si>
    <t>B0FJF9SXSR</t>
  </si>
  <si>
    <t>SCOPIX Articulating Borescope Camera with Screen, 2-Way Flexible Inspection Camera with Light, 1080P HD Endoscope, 0.24 Inch Probe, 4.3 Inch Display, for Engine and Pipe, 3.3ft Cable (Orange)</t>
  </si>
  <si>
    <t>B0FJLL4LY1</t>
  </si>
  <si>
    <t>Ralcam 3.9mm Two-Way Articulating Borescope, 5 Inch HD Industrial Endoscope Inspection Camera with Light, Stainless Steel Flexible Fiber Optic Scope Camera 0.15in Automotive Mechanics Tool</t>
  </si>
  <si>
    <t>B0FZT8LXG2</t>
  </si>
  <si>
    <t>RALCAM Two-Way Articulating Borescope, 5" Industrial Endoscope Camera with Light, 0.24in/6.2mm Slim Probe, 5FT Semi-Rigid Video Inspection for Automotive Engine, HVAC, Mechanical, Wall</t>
  </si>
  <si>
    <t>B0DPQ2HV9T</t>
  </si>
  <si>
    <t>Two-Way Articulating Borescope, Dual Lens Inspection Camera with Light, 6mm Lens Snake Camera for Mechanic Inspections, and Plumbing, .24in Borescope Automotive, Industrial Endoscope, 5ft</t>
  </si>
  <si>
    <t>B0FDF9WVNK</t>
  </si>
  <si>
    <t>Dual Lens Articulating Borescope, 5" Endoscope Camera with Light, 1080P Two-Way Articulated Industrial Flexible Snake Inspection Camera for Auto Home Wall &amp; HVAC-5FT</t>
  </si>
  <si>
    <t>B0DZFTBJXN</t>
  </si>
  <si>
    <t>Boresoeil 360° Articulating Borescope with 0.25 in Slim Probe, 5" HD 4-Ways Industrial Endoscope Camera with Light, Articulated Flexible Snake Camera for Plumbing &amp; Machinery Inspection</t>
  </si>
  <si>
    <t>B09YGNWL44</t>
  </si>
  <si>
    <t>Dual Lens Endoscope Camera with Light, Teslong 4.5" HD Snake Borescope Inspection Camera, 0.2inch Automotive Scope Camera with Flexible Cable, Industrial Fiber Optic for Engine Mechanic(5FT)</t>
  </si>
  <si>
    <t>B0F21RD15V</t>
  </si>
  <si>
    <t>Zealtron 360° Joystick Articulating Borescope with Light,5'' Monitor 6.2mm Slim Probe Endoscope Inspection Camera,4-Way Articulating Borescope with 5ft Resilient Gooseneck Cable-Dual Battery Pack</t>
  </si>
  <si>
    <t>B0C2Z9ZK9F</t>
  </si>
  <si>
    <t>VEVOR Triple Lens Inspection Camera with Light, 5" IPS Screen Industrial Borescope, 8X Zoom 1080P HD Split Screen, 10 LED Lights Scope Camera for Automotive, Plumbing(16.5FT)</t>
  </si>
  <si>
    <t>B085L57J5W</t>
  </si>
  <si>
    <t>Autel MaxiVideo MV480 Inspection Camera, 1080P HD Industrial Endoscope with Light, Dual Cameras, 10-Level Adjustable LED, 7X Zoom, Snake Borescope with Audio Annotation, 360°Rotation, Up of MV460</t>
  </si>
  <si>
    <t>B07PBW52SF</t>
  </si>
  <si>
    <t>Oiiwak Endoscope Camera with Light, 5.5 mm Borescope, 4.3" IPS Screen HD Digital Snake Inspection Camera, IP67 Waterproof for Drain, Plumbing, Wall, Automotive- 3.5 m/11.5 ft</t>
  </si>
  <si>
    <t>B0F3X42K51</t>
  </si>
  <si>
    <t>Zorlet 360 Articulating Borescope, 5" Monitor, 6.2mm Industrial Inspection Camera with 4-Way Joystick Articulation and 3.3FT Semi-Rigid Snake Tube, HD Endoscope for Automotive, Pipe &amp; Equipment</t>
  </si>
  <si>
    <t>B0DJGFL6B8</t>
  </si>
  <si>
    <t>VEVOR Endoscope Camera with Light, Dual Lens Industrial Borescope, 4.3" Screen 1080P Inspection Camera, 8 + 1 Lights, 4X Zoom, IP67 Waterproof Snake Camera for Auto, Plumbing (16.4FT Cable, 32GB Card)</t>
  </si>
  <si>
    <t>B00GY7C9ZW</t>
  </si>
  <si>
    <t>Vividia Ablescope VA-400 v5 Rigid One-Way Articulating USB Borescope 8.5mm/0.33" Diameter 42cm/16.5" IP67 Waterproof Probe</t>
  </si>
  <si>
    <t>B0FXLZZPF2</t>
  </si>
  <si>
    <t>Hialemi 6.4mm 4-Way Articulating Borescope with Joystick, 5" IPS Screen Endoscope Camera with Light, 360° Articulated Probe, 5.0FT Semi-Rigid Snake, IP67 Waterproof, 1080P 32GB Mechanics Inspection</t>
  </si>
  <si>
    <t>B008H1EAOQ</t>
  </si>
  <si>
    <t>RIDGID 40043 Micro CA-25 Hand-Held Inspection Camera with 4' Cable, Borescope, Red</t>
  </si>
  <si>
    <t>B0FCFWRV19</t>
  </si>
  <si>
    <t>Dual Lens Borescope with 5" IPS Screen, Endoscope Camera with Lights 16.5FT Semi-Rigid Cable, 1080P Inspection Camera, Supports Memory Cards with Photo and Video Capabilities</t>
  </si>
  <si>
    <t>B0G5KYXKVW</t>
  </si>
  <si>
    <t>Epicmate Two-Way Articulating Borescope,0.24in Probe, 5" Inspection Endoscope Camera with Light,Flexible Industrial Boerscope Snake Camera for Automotive, HVAC &amp; Mechanics-3.3FT</t>
  </si>
  <si>
    <t>B0FCRFV5TX</t>
  </si>
  <si>
    <t>Daxiongmao Endoscope Camera with Light, 1080P HD Borescope, IP67 Waterproof Snake Camera – Ideal for Inspecting Walls, Vents, Automotive Engines, Pipes – A Great Tool for Men</t>
  </si>
  <si>
    <t>B0FJL74Z8H</t>
  </si>
  <si>
    <t>Zorlet Two-Way Articulating Borescope Camera with Light, Industrial Endoscope Inspection Camera with 0.25 in Slim Articulated Probe, Waterproof Snake Scope for Mechanics &amp; Engine Inspection - 5FT</t>
  </si>
  <si>
    <t>B09WMFTQYB</t>
  </si>
  <si>
    <t>Teslong Endoscope Replacement Cable with Light, Triple Lens Inspection Camera 7.9mm/0.3inch Waterproof Probe Compatible with NTS500, NTS300(3.3FT)</t>
  </si>
  <si>
    <t>B0DT95GVP1</t>
  </si>
  <si>
    <t>Ralcam Articulating Borescope, Industrial Endoscope Inspection Camera for Android and iOS Smartphone, 8.5mm HD 1080P with 10FT Semi Rigid Cable</t>
  </si>
  <si>
    <t>B0D8SDT9HT</t>
  </si>
  <si>
    <t>Ralcam Two-Way Articulating Borescope, Endoscope Camera with Light 0.24in/6.2mm Articulated Inspection Camera, 3.3 FT Semi-Rigid HD Video Snake Scope for Automotive Aircraft Mechanics</t>
  </si>
  <si>
    <t>B0DNYTF8L4</t>
  </si>
  <si>
    <t>VEVOR 165 ft/50m Self-Leveling Pipeline Inspection Camera with 9" 1080P HD Screen, 36X Zoom, IP68 Waterproof, 32GB Card, Black</t>
  </si>
  <si>
    <t>9.0"</t>
  </si>
  <si>
    <t>165ft</t>
  </si>
  <si>
    <t>B0B8HKQFPD</t>
  </si>
  <si>
    <t>Daxiongmao Endoscope Camera with Light, 1080P HD Borescope, IP67 Waterproof Snake Camera – Ideal for Inspecting Walls, Vents, Automotive Engines, Pipes – A Great Gift Tool for Men</t>
  </si>
  <si>
    <t>B0G43L1BD9</t>
  </si>
  <si>
    <t>2-Way 180° Articulating Borescope Camera with Light, 6.2mm Ultra-Slim Probe, 4.3" HD Inspection Camera, 6.6FT Flexible Snake Industrial Endoscope for Automotive Engine Wall</t>
  </si>
  <si>
    <t>B0CXR3J9ZS</t>
  </si>
  <si>
    <t>Vividia VA-400i USB One-Way Articulation Rigid Borescope Inspection Camera for iOS Phone Tablet Android Windows PC</t>
  </si>
  <si>
    <t>B0FZSZV9DJ</t>
  </si>
  <si>
    <t>ZORLET Dual Lens Two-Way Articulating Borescope Camera with Light, 5" Inspection Camera Endoscope, 0.25in Slim Probe, Waterproof 5.0FT Snake Camera for Automotive, Mechanics &amp; Engine Inspection</t>
  </si>
  <si>
    <t>B0F9959W84</t>
  </si>
  <si>
    <t>Borescope Inspection Camera with Light – 4.3" Display, 16FT Semi-Rigid Cable, IP67 Waterproof Endoscope for Pipe, Engine &amp; HVAC</t>
  </si>
  <si>
    <t>16ft</t>
  </si>
  <si>
    <t>B0DT98YB3X</t>
  </si>
  <si>
    <t>Two-Way Articulating Borescope Camera with Light: Industrial Endoscope Inspection Snake Camera - Flexible Bore Scope Cam with 0.33in Articulated Probe for Mechanic Automotive Engine Wall - 5.5FT</t>
  </si>
  <si>
    <t>B071S8J2X8</t>
  </si>
  <si>
    <t>400X Fiber Optic Video Inspection Probe and Display KOMSHINE KIP-600V Real-time Video Recording + TF Card 4000mAH Large Capacity Optic Cable Connector Scope Inspector 400 Magnification</t>
  </si>
  <si>
    <t>B0G1MGRCZ1</t>
  </si>
  <si>
    <t>Anykit Endoscope Camera with Light, 1080P Industrial Endoscope Camera with 0.3 Slim Probe, 4.3” HD Screen Snake Cam, 16.5 FT Semi-Rigid Cable Bore Scope for Pipe, Engine, Inside Wall IP67 Waterproof</t>
  </si>
  <si>
    <t>B0D8TBXFTJ</t>
  </si>
  <si>
    <t>Borescope Camera with Light, Video Inspection Scope with 8 LED Lights, 1920P HD Industrial Endoscope with 4.3'' IPS Screen,16.4 ft Detachable Flexible Snake Endoscope, 32G TF Card, for Car, Mechanics</t>
  </si>
  <si>
    <t>B0BTH4WYWX</t>
  </si>
  <si>
    <t>AUTOOL Borescope Camera with Light, 210° Two-Way Endoscope Inspection Camera, 6.45mm Steering Len, 6 LED Light, HD 1080P Video Borescope Compatible with Android and iOS Phone with 3FT Snake Cable</t>
  </si>
  <si>
    <t>3ft</t>
  </si>
  <si>
    <t>B0DD47VS7S</t>
  </si>
  <si>
    <t>DEPSTECH Dual Lens Endoscope, HD Borescope Inspection Camera with Light, 4.3'' IPS Screen, IP67 Waterproof, 16.5ft Semi-Rigid Snake Camera Cable for Car Wall Drain Pipe</t>
  </si>
  <si>
    <t>B0G34PXC7N</t>
  </si>
  <si>
    <t>4-Way 360° Articulating Borescope with 6 Light, Endoscope Camera with 6.2mm Probe, 8X Zoom Inspection Camera for Automotive Engine Pipe HVAC</t>
  </si>
  <si>
    <t>B0DFGTYXD5</t>
  </si>
  <si>
    <t>Borecope with Light 5M, 5in Dual Lens Endoscope Camera with Light, Digital Inspection Camera, 7.9mm IP67 Waterproof Endoscope, 5M/16.4FT Semi-Rigid for Car Wall Plumbing-6PCS ACCS</t>
  </si>
  <si>
    <t>B0FLXRVP6M</t>
  </si>
  <si>
    <t>THINKCAR TES102 Endoscope Camera with Light, 0.21 Inch HD Borescope with 6 Adjustable LED Light, IP67 Waterproof Semi-Rigid Snake Camera, One Click Snapshot Inspection Borescope</t>
  </si>
  <si>
    <t>B07SR2LHBT</t>
  </si>
  <si>
    <t>HBUDS Pipe Camera, 50M/165ft Cable, 7 Inch LCD, Black, Wired, IP68 Waterproof</t>
  </si>
  <si>
    <t>B0D8W215CX</t>
  </si>
  <si>
    <t>Endoscope Camera with Light,1920P HD Endoscope with 5.9ft Semi-Rigid,Endoscope Camera with 8 Adjustable LED Lights,7.9mm IP67 Waterproof</t>
  </si>
  <si>
    <t>5.9ft</t>
  </si>
  <si>
    <t>B09KFGS7WN</t>
  </si>
  <si>
    <t>Vivida ME-610i Joystick Articulating Borescope 6mm Diameter 1m Flexible IP67 Waterproof Probe for iOS &amp; Android</t>
  </si>
  <si>
    <t>B0CJC8KTBM</t>
  </si>
  <si>
    <t>Daxiongmao Endoscope Camera with Light, Dual Lens 1080p HD Borescope, IP67 Waterproof Snake Camera – Ideal for Inspecting Walls, Vents, Automotive Engines, Pipes – A Great Tool Gift for Men (16.5ft)</t>
  </si>
  <si>
    <t>B0F2DXHV3Q</t>
  </si>
  <si>
    <t>Orange A-600 Handheld 400x Fiber Optic end face Detector Magnifier Fiber Optic Microscope 5-inch high-Definition Touch Screen for SC/FC/ST/LC UPC Male/Female Head Interface Fiber Inspector (A-600U)</t>
  </si>
  <si>
    <t>B0C7LWWYZ5</t>
  </si>
  <si>
    <t>Vividia CX-4010i Flexible Joystick Articulating 1280x720 HD USB Inspection Camera Borescope Videoscope with 4mm (0.16") Diameter 1m Long for iPhone iPad and for Android Devices</t>
  </si>
  <si>
    <t>B0GKLTBHH3</t>
  </si>
  <si>
    <t>Teslong 10FT Articulating Borescope with Light, 0.25inch Two-Way Mechanic Endoscope Inspection Camera with Articulated Probe, Flexible Fiber Optic Snake Scope Cam for Wall Automotive Engine Inspect</t>
  </si>
  <si>
    <t>B0FH6LPBYH</t>
  </si>
  <si>
    <t>Two-Way Articulating Borescope Camera with Light, Industrial Endoscope Inspection Camera with Light, 0.24in Articulated Probe, 5FT Flexible Snake Scope for Wall Automotive Engine Plumbing HVAC Inspect</t>
  </si>
  <si>
    <t>B0D8B5ZKFQ</t>
  </si>
  <si>
    <t>Ginocaco 16.4FT Endoscope with Light, 4.3'' HD 1080P Borescope Inspection Camera, 8 Adjust LED Lights, Semi-Rigid Cable, IP67 Waterproof Scope for HVAC Tool, Gadget Gift for Men</t>
  </si>
  <si>
    <t>B0FX4FQC6Y</t>
  </si>
  <si>
    <t>Ralcam Articulating Borescope Endoscope Camera with Light, 210° Dual-Direction Snake Camera for Automotive Inspection, 6.2mm Probe, 4.3" HD Screen, 6 Adjustable LEDs, IP67 Waterproof Semi-Rigid Cable</t>
  </si>
  <si>
    <t>B0F5W6HJF8</t>
  </si>
  <si>
    <t>Two-Way Articulating Borescope for iPhone &amp; Smartphone, Ralcam 5.5mm/0.21in Endoscope Camera with Light, HD Inspection Snake Camera with Battery for Engine, Pipe, HVAC Inspection</t>
  </si>
  <si>
    <t>B0D2H2C95S</t>
  </si>
  <si>
    <t>Articulating Borescope 2-Way 210° - JESERAL 6.2mm Len Endoscope camera with 6 light, HD1080P Inspection Camera with Steering Probe, Compatible with Android&amp;iOS Phone, scope with 3.3FT Semi-Rigid Cable</t>
  </si>
  <si>
    <t>B0GKQFBN85</t>
  </si>
  <si>
    <t>KLARAY US23-MD62 Two-Way Articulating Borescope with Light, Industrial Inspection Camera with 6.2mm Articulated Probe, Flexible Mechanic Snake Scope for Automotive Engine Inspection – 3.3FT</t>
  </si>
  <si>
    <t>B0BTNSJ4PZ</t>
  </si>
  <si>
    <t>5FT Dual Lens Probe, 5mm/0.2inch Diameter Semi-Rigid Cable Compatible with MS450 Inspection Camera</t>
  </si>
  <si>
    <t>B0F62RBVSF</t>
  </si>
  <si>
    <t>360°Articulating Borescope Camera - JESERAL 5" HD 1080P Inspection Camera Screen with 6 Light, Endoscope with 6.2mm IP67 Waterproof Probe, 3X Zoom 4-Way Borescope Engine with 1M Flexible Cable</t>
  </si>
  <si>
    <t>B08PTVBGBQ</t>
  </si>
  <si>
    <t>5mm Dual Lens Inspection Camera, Teslong Borescope with LED Light, HD Industrial Endoscope, 5" IPS Screen, Waterproof Video Scope Camera, Flexible Cable for Home/Automotive/Pipe/Car/Wall(16.5FT)</t>
  </si>
  <si>
    <t>B0D1CJ68KG</t>
  </si>
  <si>
    <t>Milwoukee Fits Milwaukee 3150-20 M12 12V Auto Technician Borescope w/ 5mm Camera Head</t>
  </si>
  <si>
    <t>B0GLN5KH95</t>
  </si>
  <si>
    <t>Two-Way Articulating Borescope Camera with Light, 1080P HD Snake Camera with 360° Rotation, 5.01ft IP67 Waterproof for Mechanics &amp; Plumbers, Borescope with Articulating Head for iPhone &amp; Android</t>
  </si>
  <si>
    <t>B09RQ4KMK2</t>
  </si>
  <si>
    <t>Vividia W2460 WiFi/USB Wireless USB 2-Way Articulation Rigid 4mm (0.16") Diameter Long 28" Long Borescope Videoscope Inspection Camera for Windows iPhone iPad Android MacOS Chromebook PC</t>
  </si>
  <si>
    <t>Wireless</t>
  </si>
  <si>
    <t>B0DXFBLWLJ</t>
  </si>
  <si>
    <t>Ralcam Two-Way Articulating Borescope, 0.24in/6.2mm Inspection Endoscope Camera with Light HD 6.6FT Semi-Rigid Cable Video Snake Camera Scope for Automotive Aircraft Mechanics</t>
  </si>
  <si>
    <t>B0G3ZQDT5B</t>
  </si>
  <si>
    <t>Endoscope Camera with Light[360°Rotation],1920P HD Articulating Borescope with Semi-Rigid Snake Camera, IP67 Waterproof Inspection,Gifts/Tools Bore Scope Girls for Men for iPhone</t>
  </si>
  <si>
    <t>B0G6XZF1YN</t>
  </si>
  <si>
    <t>Single-Lens Endoscope Camera with Light, 1080P Borescope Inspection Camera, 4.3" IPS Screen, 16.5FT Semi-Rigid Cable, 8 LEDs, IP67 Waterproof Inspection Tool for Automotive &amp; Plumbing– Gadgets for Men</t>
  </si>
  <si>
    <t>B0FXXB799G</t>
  </si>
  <si>
    <t>Hialemi 3.9mm 4-Way Articulating Borescope with Joystick, 5" IPS Screen Endoscope Camera with Light, 360° Articulated Probe, 3.94FT Flexible Fiber Optic Scope Cam(0.15inch), 1080P Mechanics Inspection</t>
  </si>
  <si>
    <t>3.9ft</t>
  </si>
  <si>
    <t>B0FR4KB3KL</t>
  </si>
  <si>
    <t>NIDAGE 2-Way Articulating Borescope 5.5mm Industrial Endoscope with Articulated Probe Flexible Video Inspection Camera with Light, Snake Scope Cam for Automotive Aircraft Mechanics, 4.3FT</t>
  </si>
  <si>
    <t>B0F64LBZW5</t>
  </si>
  <si>
    <t>GearView 210°Articulating Borescope Camera - Inspection Camera 6 Light, Endoscope with 6.2mm IP67 Waterproof Probe, 3X Zoom 2-Way Borescope with Flexible Cablegabg</t>
  </si>
  <si>
    <t>B09WMFVTWJ</t>
  </si>
  <si>
    <t>Teslong Endoscope Replacement Cable with Light, Triple Lens Inspection Camera 7.9mm/0.3inch Waterproof Probe Compatible with NTS500, NTS300(16.5FT)</t>
  </si>
  <si>
    <t>B0F3X5MSMM</t>
  </si>
  <si>
    <t>Zorlet 360 Articulating Borescope, 5" Monitor, 6.2mm Industrial Inspection Camera with 4-Way Joystick Articulation and 5.0FT Semi-Rigid Snake Tube, HD Endoscope for Automotive, Pipe &amp; Equipment</t>
  </si>
  <si>
    <t>B0FMJ29TWN</t>
  </si>
  <si>
    <t>T TAKMLY Endoscope Camera with Light, Dual Lens 1080P Industrial Borescope with 8 LED Lights, 4.3'' Inspection Snake Cameras, 16.4FT Semi-Rigid Cable, IP67 Waterproof (Deep Blue)</t>
  </si>
  <si>
    <t>B0F9KTCD56</t>
  </si>
  <si>
    <t>Articulating Borescope Inspection Camera, 180° Rotatable Head, 1M/3.28FT, IP67 Waterproof, 6 LED Lights, Android iOS Compatible</t>
  </si>
  <si>
    <t>B0BTHFGGMW</t>
  </si>
  <si>
    <t>AUTOOL Two-Way 210° Endoscope Camera with Light, 0.21inch Borescope Inspection Camera, 5-inch 1080P Articulating Borescope with LED Light 3FT Flexible Cable, 32GB SD Card</t>
  </si>
  <si>
    <t>B0FYLV8TND</t>
  </si>
  <si>
    <t>Hialemi Two-Way Articulating Borescope with Probe Hover Lock, 6.2mm Endoscope Camera with Light, 5" IPS/ 1080P/ 0.24in, 5.0FT Semi-Rigid Snake Camera, Industrial Endoscope for Mechanical Inspection</t>
  </si>
  <si>
    <t>B0D97DVVN3</t>
  </si>
  <si>
    <t>Teslong Autofocus Articulating Borescope, 5-inch IPS Endoscope Inspection Camera with Two-Way Articulation Auto Focus Probe, Industrial Fiber Optic Scope for Automotive Mechanics (0.24inch-5FT)</t>
  </si>
  <si>
    <t>B0DGTFVHF3</t>
  </si>
  <si>
    <t>VEVOR Endoscope Camera with Light, Triple Lens Borescope with 49.2FT Semi-Rigid Cable, 5" Screen 1080P Inspection Camera, 8 + 2 LED Lights, IP67 Waterproof Snake Cameras for Auto, Plumbing (32GB Card)</t>
  </si>
  <si>
    <t>B0DRNW1YY9</t>
  </si>
  <si>
    <t>Teslong Ultra-Thin 3.9mm Industrial Endoscope with Lights, 6" IPS Screen Hnadle Borescope Automotive Mechanic Inspection Camera with 6000mAh Battery, 5FT Flexible Waterproof Gooseneck Probe</t>
  </si>
  <si>
    <t>B0FH6P1X48</t>
  </si>
  <si>
    <t>3.9mm Two-Way Articulating Borescope Camera with Light, Industrial Endoscope Inspection Camera with Light, 5FT Flexible Semi-Rigid Cable for Wall Automotive Engine Plumbing HVAC Inspect</t>
  </si>
  <si>
    <t>B0C8161FYD</t>
  </si>
  <si>
    <t>Luxonis OAK-D Pro PoE OV9782 - Fixed Foxus</t>
  </si>
  <si>
    <t>B0FKG3KVM7</t>
  </si>
  <si>
    <t>SCOPIX Articulating Borescope Camera with Screen, 2-Way Flexible Endoscope Camera with Light, 1080P HD, Small Diameter 0.24 Inch Probe for Engine and Pipe Inspection (Red)</t>
  </si>
  <si>
    <t>B0DBHT4HVX</t>
  </si>
  <si>
    <t>Teslong Endoscope Replacement Cable with Light, Single Lens Inspection Camera 3.9mm/0.15inch Waterproof Probe Compatible with NTS500, NTS300(3.3FT)</t>
  </si>
  <si>
    <t>B095K8XHY2</t>
  </si>
  <si>
    <t>DEPSTECH 5.5mm Industrial Endoscope, 1080P Digital Borescope Inspection Camera with 4.3" Screen, IP67 Waterproof Snake Camera with Lights,16.5FT Semi-Rigid Cable, 32GB Card &amp;Photo Capture (Orange)</t>
  </si>
  <si>
    <t>B0F2F2X365</t>
  </si>
  <si>
    <t>A-600 Handheld 400x Fiber Optic end face Detector Magnifier Fiber Optic Microscope 5-inch high-Definition Touch Screen for SCUPC/FCUPC/STUPC/LCUPC and SCAPC Male/Female Head Interface Fiber Inspector</t>
  </si>
  <si>
    <t>B0FHCQYXRP</t>
  </si>
  <si>
    <t>Ralcam Two-Way Articulating Borescope with 10FT Semi-Rigid Cable, 0.33in/8.5mm Inspection Endoscope Camera with Light HD Video Snake Camera Scope for Automotive Aircraft Mechanics</t>
  </si>
  <si>
    <t>B0DKHMFTVN</t>
  </si>
  <si>
    <t>Endoscope Camera with Light &amp; 32GB Card, 1080P HD Borescope Inspection Camera 4.3" IPS Screen, 5.5mm IP67 Waterproof Probe with 6 Adjustable LEDs,16.4FT Semi-Rigid Cable, Tools, Gadgets for Men</t>
  </si>
  <si>
    <t>B0FMJD4CHD</t>
  </si>
  <si>
    <t>Endoscope Camera with Light 1920P HD Industrial Borescope with 4.3" IPS Screen, 11.5FT Semi-Rigid Cable, IP67 Waterproof Inspection Snake Camera for Car Engine, Mechanical Tools, Pipeline Inspection</t>
  </si>
  <si>
    <t>B09917WMZM</t>
  </si>
  <si>
    <t>Vividia FM-130 All-in-One LCD/HDMI Digital Forensic Document Examination Analyzer Camera with White/Blue/IR/UVA/UVC/Laser</t>
  </si>
  <si>
    <t>B0DXP6S228</t>
  </si>
  <si>
    <t>Dual-Lens Endoscope Camera with Light, Borescope with 5" IPS Screen, Photo &amp; Record Video Inspection Cameras with 32G SD Card, IP67 Waterproof Snake Camera, Tools Cool Gadgets for Men (16.5FT)</t>
  </si>
  <si>
    <t>B09WMH43L3</t>
  </si>
  <si>
    <t>Teslong Endoscope Replacement Cable with Light, Triple Lens Inspection Camera 7.9mm/0.3inch Waterproof Probe Compatible with NTS500, NTS300(10FT)</t>
  </si>
  <si>
    <t>B0FBX2NSHL</t>
  </si>
  <si>
    <t>gogolux Two-Way Articulating Borescope Camera with Light, 1920P HD Articulating Endoscope with Semi-Rigid Snake Camera, IP67 Waterproof Inspection, Gifts/Tools Bore Scope for Men for iPhone</t>
  </si>
  <si>
    <t>5.6ft</t>
  </si>
  <si>
    <t>B0DDG3FMPV</t>
  </si>
  <si>
    <t>[Dual-Lens] Inspection Endoscope, Industrial Borescope Camera with Light, IP67 Waterproof Drain Pipe Scope Camera, 16.5ft Semi-Rigid Cord Borescope with Light, 1080 HD Screen(32GB Capacity)</t>
  </si>
  <si>
    <t>B0DHCQF22J</t>
  </si>
  <si>
    <t>50FT Borescope Camera with Light, 4.3‘’ Endoscope with 8 Adjust Lights, 1080P Inspection Camera with Semi-Rigid Cable, IP67 Waterproof Bore Scope for Automobile Inspection, Cool Gadgets for Men</t>
  </si>
  <si>
    <t>50ft</t>
  </si>
  <si>
    <t>B0FF1WH9GJ</t>
  </si>
  <si>
    <t>Zealtron Dual Lens Endoscope Camera with Light, 5.0'' IPS Screen Inspection Camera, 1080P HD Handheld Borescope with 8 LED Lights, 7.9mm IP67 Waterproof Lens with 16.5ft Semi-Rigid Cable</t>
  </si>
  <si>
    <t>B0C7631F4R</t>
  </si>
  <si>
    <t>Vividia CX-6010i Joystick Articulating 1280x720 Inspection Camera Borescope with 6mm (0.236") Diameter for Apple iOS Phones Tablets and Android Devices (Flexible Probe)</t>
  </si>
  <si>
    <t>B0GL4F1PJ6</t>
  </si>
  <si>
    <t>Klaray UW19-MP60 Two-Way Articulating Borescope with Light, 6mm Inspection Camera for iPhone &amp; Android, Type-C &amp; Lightning Compatible Flexible Snake Camera for Automotive Engine Inspection, 3.3FT</t>
  </si>
  <si>
    <t>B06XKDL1YR</t>
  </si>
  <si>
    <t>RIDGID 36848 Micro CA-150 Hand-Held Inspection Camera with 3' Cable, Borescope</t>
  </si>
  <si>
    <t>B0D7RL6YN5</t>
  </si>
  <si>
    <t>Inspection Endoscope, Industrial Borescope Camera with 4.3" IPS Screen, 1920P HD Snake Camera with 8 LED Lights, 16.5FT Semi-Rigid Cord Bore Scope - Cool Gadgets Tool</t>
  </si>
  <si>
    <t>B0C76FCT81</t>
  </si>
  <si>
    <t>Vividia CX-6078i Joystick Articulating 1280x720 Inspection Camera Borescope with 6mm (0.236") Diameter for Apple iOS Phones Tablets and Android Devices (Semi-Rigid Probe Short)</t>
  </si>
  <si>
    <t>B0DBHT7F23</t>
  </si>
  <si>
    <t>Teslong Endoscope Replacement Cable with Light, Dual Lens Inspection Camera 8mm/0.31inch Waterproof Probe Compatible with NTS500, NTS300(3.3FT)</t>
  </si>
  <si>
    <t>B0F5PNMVD9</t>
  </si>
  <si>
    <t>Zealtron Two-Way Articulating Borescope with Light, 5 Inch IPS Screen Industrial Endoscope with 0.24in/6.2mm Articulated Probe, 5ft Highly Resilient Snake Cable Inspection Camera for Wall Automotive</t>
  </si>
  <si>
    <t>B0CHH8NY8G</t>
  </si>
  <si>
    <t>Anykit Endoscope Camera with Light,1080P Dual Lens Endoscope，6" IPS Screen Borescope, Plumbing Snake Inspection Camera with Split Screen, 32GB Card, Plumbing Snake Camera for Home (16.5FT)</t>
  </si>
  <si>
    <t>B0D4PP5W9S</t>
  </si>
  <si>
    <t>Triple Lens 1080P Borescope with 50FT Semi-Rigid Cable, 5" IPS Screen Endoscope Camera with Lights, 1080P Industrial Borescope with 32G Storage Card,IP67 Waterproof Drain Camera</t>
  </si>
  <si>
    <t>B0FCF1CC7D</t>
  </si>
  <si>
    <t>Dual Lens Articulating Borescope NIDAGE Two-Way Endoscope Camera with Light Articulated Probe, 0.25in Engine Inspection Camera Waterproof Fiber Optic Scope Cam Tool for Automotive Wall Mechanics 5.3FT</t>
  </si>
  <si>
    <t>B0885RH9PV</t>
  </si>
  <si>
    <t>Vividia VA-450 LCD/WiFi Two-Way Articulating Borescope Videoscope Inspection Camera with 5.5mm Diameter 1m Probe and IPS 4.5" LCD Monitor and Wireless for iOS and Android Devices and Side-View Mirror</t>
  </si>
  <si>
    <t>B08DV62166</t>
  </si>
  <si>
    <t>Ulefone uSmart Endoscope E01 for Ulefone Armor 30/29/28/27/26/24/21/18/Pad Series, IP67 Waterproof 3-in-1, 2M Semi-Rigid, 5.5 mm Borescope Inspection Camera, 6 LED Lights</t>
  </si>
  <si>
    <t>B091L6L1GV</t>
  </si>
  <si>
    <t>Industrial Endoscope Borescope Inspection Camera with Light, Dual Lens Snake Drain Bore Scople Digital Cameras 1080P, 4.3 Inch LCD Screen, 16.5FT Semi-Rigid Cable</t>
  </si>
  <si>
    <t>B0FNN7VV63</t>
  </si>
  <si>
    <t>Two-Way Articulating Borescope 1080P, Industrial Endoscope Camera with Light, Inspection Snake Camera with 5.5mm Probe for Automotive Aircraft Home Mechanics (5.5FT)</t>
  </si>
  <si>
    <t>B072DS7LQN</t>
  </si>
  <si>
    <t>Vividia Ablescope VA-980 Semi-Flexible USB Digital Inspection Camera Borescope with 180 Degree Articulating 8.5mm Diameter Probe</t>
  </si>
  <si>
    <t>B09QBTJB5Z</t>
  </si>
  <si>
    <t>Vividia CT-6010 LCD/WiFi Flexible Two-Way Articulating Inspection Camera Borescope Videoscope with 6mm (0.236") Diameter 1.0m Long Waterproof IP67 Probe</t>
  </si>
  <si>
    <t>B08Z9THK1B</t>
  </si>
  <si>
    <t>DrainTrain Video Camera Roller Skid for Pipe Inspection. Works with Any Camera up to 1.375" or 35mm in Diameter. Centers Cameras in 3" (75mm) Pipes</t>
  </si>
  <si>
    <t>3.0"</t>
  </si>
  <si>
    <t>B0FN38759M</t>
  </si>
  <si>
    <t>Ralcam Two-Way 210° Articulating Borescope, 6.2mm Slim Probe USB-C Flexible Endoscope Inspection Camera Compatible with iPhone &amp; Android for Engine, Pipe &amp; HVAC Inspection</t>
  </si>
  <si>
    <t>B0FC5K4J6L</t>
  </si>
  <si>
    <t>Two-Way Articulating Borescope,4'' HD Screen Endoscope Camera with Light,4 FT Snake Inspection Camera for Automotive, HVAC &amp; Mechanics</t>
  </si>
  <si>
    <t>B08QC2X5VL</t>
  </si>
  <si>
    <t>Teslong Endoscope Replacement Cable with Light, Dual Lens Inspection Camera 8mm/0.31inch Waterproof Probe Compatible with NTS500, NTS300(10FT)</t>
  </si>
  <si>
    <t>B0FSS5Q37H</t>
  </si>
  <si>
    <t>AUTOOL Dual Lens Borescope, 4.3” IPS Screen HD Inspection Camera, 0.25inch Endoscope 3FT Semi-Rigid Cable, 210° Articulation, 6 LED Lights, IP67 Waterproof, 32GB SD Card</t>
  </si>
  <si>
    <t>B0F2H52LH5</t>
  </si>
  <si>
    <t>BAOSHLA A-600 5-inch Touch Screen Fiber Optic Microscope 400x Fiber Optic Cleaning Microscope SCUPC FCUPC STUPC LCUPC Male/Female Interface Adapter Handheld end face Inspector Real time Video Probe</t>
  </si>
  <si>
    <t>B0CR4CKCQ3</t>
  </si>
  <si>
    <t>Dual Lens Endoscope Camera with Light，16.5FT Anhendeler Borescope Inspection Camera, IP67 Waterproof Borescope, 4.3" IPS Screen, for Automotive, Pipe, Wall, Gadgets for Men</t>
  </si>
  <si>
    <t>B071ZHXRZZ</t>
  </si>
  <si>
    <t>Komshine Fiber Optic Inspection Video Probe KIP-600V 400X Magnification Real-time Video Recording + 4 UPC Tips + 3.5 inch HD LCD Display + 4,000mAh Large Battery Capacity FTTX Tool</t>
  </si>
  <si>
    <t>3.5"</t>
  </si>
  <si>
    <t>B0CRGX2SGZ</t>
  </si>
  <si>
    <t>Japanese Company Borescope with Night Vision Function AMTORIN Endoscope Camera Diameter 0.34inch Night Vision Scope Camera 5" IPS Screen 16.5FT Cable 32GB IP67 8 LED Lights</t>
  </si>
  <si>
    <t>B0FL7HMLTG</t>
  </si>
  <si>
    <t>MAIYIS Two-Way Articulating Borescope Camera with Light, 0.24 in Mini Inspection Camera with 5 in HD Screen, 6.5ft Semi-Rigid Snake Cable Endoscope for Wall, Engine, HVAC and Plumbing Checks</t>
  </si>
  <si>
    <t>B0DK91NK8Q</t>
  </si>
  <si>
    <t>4.5 Inch Dual-Lens Industrial Endoscope, 1080P Photo Video Borescope Inspection Camera, 5.5mm IP67 Waterproof Snake Camera, 8+1 LED Lights, 16.5FT Cable, 32GB</t>
  </si>
  <si>
    <t>B076CNDVFL</t>
  </si>
  <si>
    <t>Jonard Tools FIM-400 Fiber Optic Inspection Microscope 400x with FC/SC/ST and LC Adapters</t>
  </si>
  <si>
    <t>B0DJSSV6X9</t>
  </si>
  <si>
    <t>Dearsee ZX2-D1 Two-Way Articulating Borescope with Light, 0.25in Industrial Endoscope Inspection Camera, 5-inch IPS Articulated Snake Camera, 8X Zoom Video Inspection Scope - 10FT</t>
  </si>
  <si>
    <t>B08HH9899J</t>
  </si>
  <si>
    <t>Camera Head for Pipe Inspection Camera Waterproof (IP68) Industrial Endoscope Video Inspection System Camera Head</t>
  </si>
  <si>
    <t>B0FPF369GV</t>
  </si>
  <si>
    <t>Two-Way Articulating Borescope with Light, 0.24in Industrial Endoscope Inspection Camera, 5-inch IPS Screen 5ft Waterproof Flexible Snake Tube 5000mAh Battery for Car Wall Pipeline Machine Maintenance</t>
  </si>
  <si>
    <t>B0FR9KWW83</t>
  </si>
  <si>
    <t>Endoscope Camera with Light, 4.3" HD Display, 5.5mm Waterproof Borescope, 6.6ft Semi-Rigid Cable, 6 LED Plumbing Camera for Pipe, Car Engine, and Drain Inspection</t>
  </si>
  <si>
    <t>B0D2H6N6KD</t>
  </si>
  <si>
    <t>Articulating Borescope Camera - JESERAL 5" HD 1080P Inspection Camera Screen with 6 Led Light, Endoscope with 6.2mm Len IP67 Waterproof Probe, 3X Zoom Borescope with Semi-Rigid 5FT Cable for Mechanic</t>
  </si>
  <si>
    <t>B0FJLQJ18V</t>
  </si>
  <si>
    <t>Ralcam Dual Lens Articulating Borescope 5", 6.5mm Slim Probe, Two-Way Articulated Endoscope Inspection Camera with 5FT Flexible Snake Cable for Engine Automotive HVAC Wall Pipe</t>
  </si>
  <si>
    <t>B0CPDLCW1B</t>
  </si>
  <si>
    <t>Ulefone uSmart Endoscope E02 for Ulefone Armor 30/29/28/27/26/24/21/18/Pad Series, IP67 Waterproof, 2M Semi-Rigid, 5.5 mm Borescope Dual Camera, 7 LED Lights</t>
  </si>
  <si>
    <t>B0G6XZS5YP</t>
  </si>
  <si>
    <t>Dual-Lens Endoscope Camera with Light, 1080P Borescope Inspection Camera, 4.3" IPS Screen, 16.5FT Semi-Rigid Cable, 8 LEDs, IP67 Waterproof Inspection Tool for Automotive &amp; Plumbing– Gadgets for Men</t>
  </si>
  <si>
    <t>B0C7S32LYT</t>
  </si>
  <si>
    <t>Vividia VA-650 LCD/WiFi Two-Way Articulating Borescope Inspection Camera with 0.25" Diameter 3.3ft Long Probe, 1280x720 Resolution, IPS 5" LCD Monitor</t>
  </si>
  <si>
    <t>B0GJ6YM2NJ</t>
  </si>
  <si>
    <t>Vividia ME-410i Joystick Articulating Borescope 4mm Diameter 1m Flexible IP67 Waterproof Probe for iOS &amp; Android</t>
  </si>
  <si>
    <t>B0DBHXHWVG</t>
  </si>
  <si>
    <t>10FT Dual Lens Probe, 8mm/0.31inch Diameter Semi-Rigid Cable Compatible with MS450 Inspection Camera</t>
  </si>
  <si>
    <t>B0B31HCHNB</t>
  </si>
  <si>
    <t>Autel MaxiVideo MV108S Digital Inspection Camera, 2026 Upgrade MV108/ MV105S/ MV105, 2MP 1920x1080, IP67 Waterproof Industrial Endoscope, 39.37'' Flexible Snake Cable, Compatible w/Autel Scanner &amp; PC</t>
  </si>
  <si>
    <t>B0FQ4ZS2ZK</t>
  </si>
  <si>
    <t>Two-Way 210° Articulating Borescope, Steering Snake Inspection Endoscope with 4.3in HD IPS Screen,6 LED Lights, IP67 Waterproof Endoscope for Mechanics A/C Wall Pipe Inspection - 3.28FT</t>
  </si>
  <si>
    <t>B0F8V51XJ7</t>
  </si>
  <si>
    <t>Two-Way Articulating Borescope with Light, Industrial Endoscope Camera with 0.24in/6.25mm Articulated Probe, IP67 Waterproof Snake Inspection Scope for Mechanic Aircraft Automotive Engine</t>
  </si>
  <si>
    <t>B0BLTX4VFJ</t>
  </si>
  <si>
    <t>Autel MaxiVIDEO MV108S Digital Inspection Camera - 2MP 1080P, Up of MV108/MV105S, IP67 Waterproof Industrial Endoscope, 8 LED Lights (Hook/Mirror/Magnet Included), Work w/PC &amp; Autel Scanners</t>
  </si>
  <si>
    <t>B0CG6RLXW6</t>
  </si>
  <si>
    <t>Car Inspection Camera, Under Vehicle Inspection Camera, Wide Angle HD Waterproof Telescopic Pole Video Inspection Camera with Infrared Night for Cars, Machinery, Trucks (US Plug)</t>
  </si>
  <si>
    <t>B07SXR6TF6</t>
  </si>
  <si>
    <t>Oiiwak Endoscope Camera with Light, 3.9mm Industrial Borescope Inspection Camera, 4.3" IPS Screen 1080P HD IP68 Waterproof 6 LED Lights for Drain Pipe Wall Automotive, 5FT Semi-Rigid Cable</t>
  </si>
  <si>
    <t>B0D2Z14P81</t>
  </si>
  <si>
    <t>JINMEI Hard EVA Carrying Case Compatible with MugEasy/Daxiongmao/DEPSTECH Borescope Inspection Camera,Lens Industrial Endoscope storage case (5M-10M line can also be accommodated)</t>
  </si>
  <si>
    <t>B0G8HPL9XB</t>
  </si>
  <si>
    <t>5" IPS Dual Lens Endoscope Camera with Lights, 1080P Photo Video Inspection Borescope, IP67 Waterproof Endoscope 16.5FT Industrial Snake Camera with 32GB Card</t>
  </si>
  <si>
    <t>B0D2R7QG47</t>
  </si>
  <si>
    <t>Two-Way Articulating Borescope with Light, GODIAG Industrial Endoscope with Snake Scope Camera, Borescope Inspection Camera with Light for Automotive &amp; Aircraft Mechanics (3.3FT Cord)</t>
  </si>
  <si>
    <t>B0F8BN91TL</t>
  </si>
  <si>
    <t>4-Way 360° Articulating Borescope, Joystick 5" HD Endoscope Camera with Light, Waterproof Snake Inspection Camera for Engine, Pipe, HVAC, Wall (6.2mm Single Lens-5FT Semi-Rigid Cable)</t>
  </si>
  <si>
    <t>B0F9F5ZNK2</t>
  </si>
  <si>
    <t>Dual Lens Endoscope Camera with Light, 4.3" Borescope with Photo/Video Function &amp; Free(Built in 32GB Card), 16.4FT Semi-Rigid Snake Cable with IP67 Waterproof for Pipe, Engine &amp; HVAC Inspection</t>
  </si>
  <si>
    <t>B0D17T3N3P</t>
  </si>
  <si>
    <t>Julaiwy Industrial Endoscope Borescope Camera with Light, Borescope Inspection Camera, Industrial Cameras 1080P HD 4.3" Screen, IP67 Waterproof Snake Cameras with 8 LED lights, Gadgets for Men, 16.5Ft</t>
  </si>
  <si>
    <t>B0FGK4X6X2</t>
  </si>
  <si>
    <t>1920P HD Endoscope Camera with Light, 4.3" IPS Handheld Borescope with 8 Adjustable LED Lights, IP67 Waterproof Snake Camera, 16.5FT Semi-Rigid Cable Scope for Automotive Plumbing HVAC, Mechanic Tools</t>
  </si>
  <si>
    <t>B0CZNQKW3L</t>
  </si>
  <si>
    <t>Endoscope Camera with Light, Bidirectional 180°Steering Articulating Borescope, 8.5mm Waterproof Pipe Camera with 4.5" Screen, Automotive Steering Endoscopes F408B</t>
  </si>
  <si>
    <t>B0GMTRXT21</t>
  </si>
  <si>
    <t>KLARAY US18-UD80 Dual-Lens Articulating Borescope with 5” IPS Screen, Industrial Inspection Camera for Pipe, Vent, and Machinery Inspection</t>
  </si>
  <si>
    <t>B0DSZNLHLW</t>
  </si>
  <si>
    <t>JYTONE Endoscope Camera with Light, 5.5mm Waterproof Borescope with 4.3" HD Screen, 16.5ft Semi-Rigid Cable for Automotive, Plumbing, Pipe Inspection</t>
  </si>
  <si>
    <t>B0CRB2C49G</t>
  </si>
  <si>
    <t>JIOTV for Milwaukee Tool 2319-20 M-Spector™ 4' Inspection Camera</t>
  </si>
  <si>
    <t>B0DSHGG8VW</t>
  </si>
  <si>
    <t>Two-Way Articulating Borescope Camera with Light, GODIAG Industrial Endoscope with 0.33in Articulated Snake Cam, Video Inspection Scope with Light for Automotive Aircraft Mechanics- 5.5FT</t>
  </si>
  <si>
    <t>B09WGRSRFQ</t>
  </si>
  <si>
    <t>Vividia CL-6010 Flexible USB 2-Way Articulation 6mm (0.24") Diameter 1m (3ft) Long Borescope Videoscope Inspection Camera for Windows PC MacBook Android MacOS Chromebook</t>
  </si>
  <si>
    <t>B0DBDJ3FK2</t>
  </si>
  <si>
    <t>Endoscope 4-Piece Accessories Hook Magnet Side View Mirror Set, 8-Piece Accessories, Suitable for Kinpthy W400 W400-B Series</t>
  </si>
  <si>
    <t>B0GGQM678V</t>
  </si>
  <si>
    <t>Dual-Lens Endoscope with Light, Endoscope Camera with Light with 4.3" IPS Screen,1920P HD with 8 LED Lights,16.4ft Semi-Rigid Cable and Back LED Light,IP67 Waterproof Endoscope Cool Gadgets for Men</t>
  </si>
  <si>
    <t>B0DJWQD2QZ</t>
  </si>
  <si>
    <t>Vividia VA-106i Flexible One-Way Articulating Digital USB Camera Borescope Videoscope with 6mm (0.24") Diameter 0.6m (24") Long for iOS &amp; Android Devices &amp; Windows PCs</t>
  </si>
  <si>
    <t>2.0ft</t>
  </si>
  <si>
    <t>B076CH47TD</t>
  </si>
  <si>
    <t>Jonard Tools FIM-200 Fiber Optic Inspection Microscope 200x with FC/SC/ST and LC Adapters</t>
  </si>
  <si>
    <t>B08QCZQMJ4</t>
  </si>
  <si>
    <t>Teslong Endoscope Replacement Cable with Light, Single Lens Inspection Camera 5.5mm/0.21inch Waterproof Probe Compatible with NTS500, NTS300(10FT)</t>
  </si>
  <si>
    <t>B0FV8GH1PT</t>
  </si>
  <si>
    <t>Anysun 512Hz Pipe Locator Receiver</t>
  </si>
  <si>
    <t>B00Z19DRNC</t>
  </si>
  <si>
    <t>General Tools DCS600A Waterproof Borescope Video Inspection Camera with 1m Long &amp; 8mm Diameter Camera Head</t>
  </si>
  <si>
    <t>B0FM3D358Z</t>
  </si>
  <si>
    <t>33FT Dual Lens Endoscope Camera with Light, 4.3" Borescope with Photo/Video(Built-in 32GB Card), IP67 Waterproof with 8 LED Lights, Semi-Rigid Snake Cable for Pipe, Engine &amp; HVAC Inspection</t>
  </si>
  <si>
    <t>B098FVNLN4</t>
  </si>
  <si>
    <t>Borescope Industrial Endoscope, 5.0 inch HD Explosion-Proof Big Screen &amp; Full Body Rainproof, 3.9mm Inspection Camera IP67 Waterproof, 32G TF Card, Built-in Microphone and Speaker</t>
  </si>
  <si>
    <t>B0FCMCJD8F</t>
  </si>
  <si>
    <t>Triple Lens 5" IPS Borescope Inspection Camera, Ginocaco 1080P Digital Video Endoscope with Light, Waterproof Scope Camera with 16.5FT Semi-Rigid Cable, Drain Pipe Tool, Carrying Case, 32G Card</t>
  </si>
  <si>
    <t>B0GGSTXTKR</t>
  </si>
  <si>
    <t>AUTOOL SVB208 Articulating Video Borescope, Endoscope Camera with Light,6.25mm Ultra-Thin Probe,4.3" LCD with 8X Zoom Articulated Camera,IP67 Waterproof Snake Camera for Automotive Engine Inspection</t>
  </si>
  <si>
    <t>B003IFRITU</t>
  </si>
  <si>
    <t>RIDGID 37098 6-mm Imager Head Accessory with 1-meter Cable, Camera Head, RIDGID SeeSnake Parts</t>
  </si>
  <si>
    <t>B09Y1R7MG7</t>
  </si>
  <si>
    <t>High Speed USB3.0 Color 20MP 1" Industrial Camera Machine Vision C-Mouth SDK Area Scan Camera Sensor 5488X3672 19.5FPS</t>
  </si>
  <si>
    <t>25.4mm</t>
  </si>
  <si>
    <t>B0FY1FZNR6</t>
  </si>
  <si>
    <t>Articulating Borescope Camera with Light, 3.9 mm Two-Way 180° Probe, 1080P HD Industrial Endoscope Inspection Camera with 4.3'' IPS Screen, Borescope for Automotive, Engine, Mechanical Inspect</t>
  </si>
  <si>
    <t>B0F6BG1FT7</t>
  </si>
  <si>
    <t>Upgraded Articulating Borescope with Light, 5'' 1080P HD Display Industrial Endoscope Inspection Camera, for Wall Automotive Engine Inspect, Snake Camera for Automotive HVAC and Industrial Mechanics</t>
  </si>
  <si>
    <t>B0CLR1L4N7</t>
  </si>
  <si>
    <t>Articulating Borescope Inspection Camera HD1080P, Endoscope Automotive Scope with 8GB Memory Card, 5" LCD Display, 3 Level LED Light and lP67 Waterproof Camera Lens Diameter 6.35mm</t>
  </si>
  <si>
    <t>B0DYDPG8WK</t>
  </si>
  <si>
    <t>Dual-Lens Industrial Borescope Camera with 5 inch IPS Screen, 32GB Memory Card, Photo/Video Recording Enabled, 16.5FT/5M Semi-Rigid Cable with 8+1 Adjustable LEDs, IP67 Waterproof</t>
  </si>
  <si>
    <t>B0DK6RFMLT</t>
  </si>
  <si>
    <t>N150 Articulating Borescope, 210° Two-Way Endoscope Camera with 0.24in IP67 Waterproof Probe, 3.3FT Flexible Hose, Borescope Tool for Appliances, Automotive HVAC and Industrial Machinery</t>
  </si>
  <si>
    <t>B0DKR2SJ3B</t>
  </si>
  <si>
    <t>Triplett BR400A Waterproof High Definition Borescope with 360° Rotating Dual Camera</t>
  </si>
  <si>
    <t>B0FCMDKKZC</t>
  </si>
  <si>
    <t>50FT Triple Lens 5" IPS Borescope Inspection Camera, Ginocaco 1080P Digital Video Endoscope with Light, Waterproof Scope Camera with Semi-Rigid Cable, Drain Pipe Tool, Carrying Case, 32G Card</t>
  </si>
  <si>
    <t>B0DSV7NH64</t>
  </si>
  <si>
    <t>Endoscope Camera with Light ELROTONEG, Borescope with 4.3" LCD Screen, Inspection Camera HD with 8 Adjust LED Lights, 6.56 ft Semi-Rigid Cable, IP68 Waterproof Snake Camera</t>
  </si>
  <si>
    <t>B0FHK1Z8WD</t>
  </si>
  <si>
    <t>Borescope Camera with Light, HOPEFOX Endoscope Inspection Camera with 8+1 Adjustable LEDs, 4.3" Dual Lens Endoscope with 16.4ft Semi-Rigid Cable, 8mm IP67 Waterproof Lens-Gift&amp;Cool Gadgets for Men</t>
  </si>
  <si>
    <t>B0DMVH4B71</t>
  </si>
  <si>
    <t>Endoscope Camera with Light, Anhendeler 1080P HD Borescope 4.3" IPS Screen, IP67 Waterproof Snake Camera， for Automotive, Pipe, Wall Inspection</t>
  </si>
  <si>
    <t>B09P4WNYBB</t>
  </si>
  <si>
    <t>16.5FT Triple Lens Probe, 7.9mm/0.3inch Diameter Semi-Rigid Cable Compatible with MS450 Inspection Camera</t>
  </si>
  <si>
    <t>B09KBSMWJ3</t>
  </si>
  <si>
    <t>DEPSTECH Accessories Including Hook Magnet Protective Cap Reset Pin, for DEPSTECH DS300 DS520 WF028 DS350 DS500 DS600 DS450 Dual Lens Inspection Camera, 7.9mm Dia Probe - Black</t>
  </si>
  <si>
    <t>B0F4QQK5BN</t>
  </si>
  <si>
    <t>1920P HD Dual Lens Endoscope Camera Semi-Rigid Snake Cable IP67 Waterproof 8LED Lights Dimmable HD Industrial Pipeline Inspection Probe Compatible with Smartphones Endoscope Camera (3.5ft)</t>
  </si>
  <si>
    <t>B0FB3815Z5</t>
  </si>
  <si>
    <t>Articulating Borescope 2-Way 210°- JESERAL 8.5mm Lens Endoscope camera with 6 light, HD1080P Inspection Camera with Steering Probe, Compatible with Android&amp;iOS Phone, scope with 3.3FT Semi-Rigid Cable</t>
  </si>
  <si>
    <t>B0CPSJGH42</t>
  </si>
  <si>
    <t>HEAXIY Iris Analyzer Camera, High Resolution Iriscope Eye Camera with HD 30x Iris Lens &amp; Analysis Software, Precise Iridology Camera for Detailed Eye Examination</t>
  </si>
  <si>
    <t>B0GHMGTBDF</t>
  </si>
  <si>
    <t>Inspection Camera with 6 Light, Two-Way 210° Articulating Borescope with 6.25mm Lens Snake Camera for Mechanic Inspections</t>
  </si>
  <si>
    <t>B0DTNVS1MY</t>
  </si>
  <si>
    <t>TOPDC Two-Way Articulating Borescope Camera with Light, Industrial Endoscope with 0.24in Articulating Snake Camera, 1920P HD Video Inspection Scope for Automotive &amp; Aircraft Mechanics, 6.5ft</t>
  </si>
  <si>
    <t>B0DHZQCZM4</t>
  </si>
  <si>
    <t>VNisenllc Industrial Endoscope Camera 0° Detector with Light Handheld High Brightness Borescope LED Mini Cold Light Source</t>
  </si>
  <si>
    <t>B07P4CWV7V</t>
  </si>
  <si>
    <t>Pipeline Camera Charging Lithium Battery 6PCS 12V 4500mAh (Only for Brands: HBUDS, IHBUDS, Anysuns)</t>
  </si>
  <si>
    <t>B0DCGT58W8</t>
  </si>
  <si>
    <t>Klein Tools 69464 Replacement 5.5 mm 4.9-Foot Armored Waterproof Snake, LEDs, Inspection Camera for Klein Plumber's Borescope Cat. No. ET18</t>
  </si>
  <si>
    <t>B08DK2GV9S</t>
  </si>
  <si>
    <t>HB37S 3.7mm 1 Meter 3.5" LCD Endoscope Borescope Snake Inspection DVR Vehicle Inspection Pipeline((Only Snake Tube))</t>
  </si>
  <si>
    <t>B0DCNTRGM6</t>
  </si>
  <si>
    <t>Gulitech Two-Way Articulating Borescope Camera with Light, Industrial Endoscope Inspection Camera with Articulated Probe,Mechanic Fiber Optic Snake Scope Cam for Wall Automotive Engine Inspect</t>
  </si>
  <si>
    <t>B0DHZPH6NN</t>
  </si>
  <si>
    <t>VNisenllc Handheld High Brightness Industrial Endoscope Cold Light Source LED 10W with 3 Adaptors</t>
  </si>
  <si>
    <t>B00CBKFJ9Y</t>
  </si>
  <si>
    <t>Supereyes NA002-1 Digital Borescope Side View Mirror Set 30 45 60 Degrees for Supereyes Borescope N005 N013J N015 Series …</t>
  </si>
  <si>
    <t>B0DSZT4GNC</t>
  </si>
  <si>
    <t>JYTONE Endoscope Camera with Light, 5.5mm Waterproof Borescope with 4.3" HD Screen, 33ft Semi-Rigid Cable for Automotive, Plumbing, Pipe Inspection</t>
  </si>
  <si>
    <t>B0B8332C5S</t>
  </si>
  <si>
    <t>Performance Tool W50146 2.4in LCD Inspection Camera</t>
  </si>
  <si>
    <t>B0D4CLNVT3</t>
  </si>
  <si>
    <t>Borescope, 7'' IPS Dual Lens 210° Two-Way Articulating Endoscope, 6 mm Tiny Flexible Snake Dual Camera with Light for Automotive and Aircraft Mechanical Video Inspection Scope</t>
  </si>
  <si>
    <t>B0GHWJ3S2S</t>
  </si>
  <si>
    <t>Zealtron Borescope with Light, 1920P HD Endoscope Inspection Camera with 4.3" IPS Screen, 8mm Lens IP67 Waterproof with 8 LEDs, 16.5ft Semi-Rigid Snake Camera for Automotive Pipe Inspection</t>
  </si>
  <si>
    <t>B0DKQPKJFC</t>
  </si>
  <si>
    <t>Triplett BR400ACAM-10M Replacement Camera for BR400A Borescope with 10M Cable</t>
  </si>
  <si>
    <t>B0FZGNG588</t>
  </si>
  <si>
    <t>5" Dual-View Handle Endoscope Camera,2MP Front&amp;Side Lens,IP67 Waterproof 5M Semi-Rigid Cable,360° Probe Control,4-Level LED,3X Zoom,Video&amp;Photo Recording,Inspection Camera for Industrial Use,32GB Card</t>
  </si>
  <si>
    <t>B0F4VZKFMV</t>
  </si>
  <si>
    <t>GearView 360°Articulating Borescope Camera - 5" HD 1080P Inspection Camera Screen with 6 Light, Endoscope with 6.2mm IP67 Waterproof Probe, 3X Zoom 4-Way Borescope with Flexible Cable</t>
  </si>
  <si>
    <t>B09TBMGC5B</t>
  </si>
  <si>
    <t>Triplett BR350 High Definition Forward and Side View Videoscope with Dual Waterproof 5mm Cameras and 5" Color LCD Display</t>
  </si>
  <si>
    <t>B0FDR3H2YQ</t>
  </si>
  <si>
    <t>Digital Camera Borescope, Endoscope Camera with 4.3" IPS 1920P HD Screen, 16.4FT Long with 8 LED Lights 8MM Semi-Rigid Cord Waterproof Bore Scope</t>
  </si>
  <si>
    <t>B09TBK4QZG</t>
  </si>
  <si>
    <t>Triplett BR300 High Definition Forward View Videoscope with Waterproof 5.5mm Camera and 5" Color LCD Display</t>
  </si>
  <si>
    <t>B0FCG5JRN9</t>
  </si>
  <si>
    <t>UNI-T Inspection Camera UT663B 1m/2m/3m Industrial Borescope Inspection Camera with 5 inch Screen 180° Turning High Definition Visual Endoscope(UT663B 1M)</t>
  </si>
  <si>
    <t>B0DPHCYQDF</t>
  </si>
  <si>
    <t>BOPOPO Dual Lens Endoscope Camera with Light, 1080P HD Borescope with 4.3" IPS Screen, IP67 Waterproof Inspection Camera, 16.4ft Cable for Inspection and Repair Work, Photo &amp; Video Support, 32GB Card</t>
  </si>
  <si>
    <t>B0CKSLNNM3</t>
  </si>
  <si>
    <t>Oiiwak Dual Lens Articulating Borescope, 5" IPS Endoscope Camera with Light Inspection Snake Bore Scope Camera for Wall Automotive Aircraft Plumbing House</t>
  </si>
  <si>
    <t>B0BQWZCGFY</t>
  </si>
  <si>
    <t>Triplett SBR2M Waterproof Security Camera Borescope</t>
  </si>
  <si>
    <t>B0FF4X5J9S</t>
  </si>
  <si>
    <t>TIANSIAO Dual Lens Endoscope Camera with Light, 1920P HD Borescope with 4.3" IPS Screen, IP67 Waterproof Inspection Camera with 8 Adjustable LEDs, 16.5ft Semi-Rigid Cable, 32GB Card-Black</t>
  </si>
  <si>
    <t>B0B47D3T1D</t>
  </si>
  <si>
    <t>Triplett BR260 High Definition Videoscope with Waterproof 5.5mm Camera, 3" Color LCD Display, and 2M Cable</t>
  </si>
  <si>
    <t>B09TBLMGMB</t>
  </si>
  <si>
    <t>Triplett BR300CAM-5M Replacement Camera for BR300 Videoscope with 5M Cable</t>
  </si>
  <si>
    <t>B0F4QQLWK5</t>
  </si>
  <si>
    <t>1920P HD Dual Lens Endoscope Camera Semi-Rigid Snake Cable IP67 Waterproof 8LED Lights Dimmable HD Industrial Pipeline Inspection Probe Compatible with Smartphones Endoscope Camera (9.9ft)</t>
  </si>
  <si>
    <t>B0BZSFK2HC</t>
  </si>
  <si>
    <t>Industrial Endoscope, 8mm 1080P HD Digital Borescope Inspection Camera 4.3 Inch LCD Screen IP67 Waterproof Snake Camera with LED Lights(Green 7m)</t>
  </si>
  <si>
    <t>23.0ft</t>
  </si>
  <si>
    <t>B0F4QR3BF1</t>
  </si>
  <si>
    <t>1920P HD Dual Lens Endoscope Camera Semi-Rigid Snake Cable IP67 Waterproof 8LED Lights Dimmable HD Industrial Pipeline Inspection Probe Compatible with Smartphones Endoscope Camera (16.4ft)</t>
  </si>
  <si>
    <t>B0D9WVH12B</t>
  </si>
  <si>
    <t>Triplett BR330CAM-10M Replacement Borescope Camera Probe for BR330, 10M Cable</t>
  </si>
  <si>
    <t>B07P2K31M6</t>
  </si>
  <si>
    <t>Pipeline Camera Control Box, Adjustable Camera, Good Image Clarity, Quickly and Accurately Find The Target (only for HBUDS、IHBUDS、Anysuns) (with DVR)</t>
  </si>
  <si>
    <t>B0B47ZH5C1</t>
  </si>
  <si>
    <t>Triplett BR260CAM-2M Replacement Camera for BR260 Videoscope with 2M Cable</t>
  </si>
  <si>
    <t>B0DJT7SPXW</t>
  </si>
  <si>
    <t>Endoscope(E01) for Ulefone Armor 33/30/28/27/26/24/21/19/18/13/9 Series, Pad 4 Ultra/Pad 3 Pro/Pad 2/Pad Series, IP67 Waterproof 3 in 1, Practical Inspection Tool</t>
  </si>
  <si>
    <t>B0DB1NNBGK</t>
  </si>
  <si>
    <t>5" Dual Lens Endoscope Camera, 1080P HD Borescope with Light, 16.5FT Flexible Cable, IP67 Waterproof Snake Camera for Plumbing, Wall, and Automotive Inspections</t>
  </si>
  <si>
    <t>B0D9K3J5W8</t>
  </si>
  <si>
    <t>MEIBAOGE Endoscope Camera With Adjustable LED Light, Waterproof Inspection Borescope, 1 Meter Soft Cord</t>
  </si>
  <si>
    <t>B0D1CLV28L</t>
  </si>
  <si>
    <t>Borescope with Dual Cameras Rotating 360°, 5.0 MP Pixel HD Camera, 5 Inch IPS Screen, 16.5 ft Snake Pipe Inspection Endoscope for Automotive and Aircraft Mechanical Video Inspection Scope Black</t>
  </si>
  <si>
    <t>B0CR3HNJFP</t>
  </si>
  <si>
    <t>Adjustable</t>
  </si>
  <si>
    <t>B0F54F5S7T</t>
  </si>
  <si>
    <t>1920P HD Endoscope Camera with Light, 4.3'' Color LCD Screen Borescope, IP67 Waterproof Inspection Camera with 8 Adjustable LED Lights,16.5ft Semi-Rigid Cable (Black)</t>
  </si>
  <si>
    <t>B0DTDY464M</t>
  </si>
  <si>
    <t>Gzpce Two-Way Articulating Endoscope with Light, Industrial Endoscopic with 5" IPS Screen,6.4mm IP67 Waterproof Borescope,Snake Camera with 3.28FT Semi-Rigid Cable,32GB SD Card</t>
  </si>
  <si>
    <t>B0DDWXDS9W</t>
  </si>
  <si>
    <t>Two-Way Articulating Borescope, Inspection Endoscope Camera with 7.9mm Snake Gooseneck Camera IP67 Probe, 1080P Inspection Camera for iPhone, Android, Cell Phone not Include (3.3FT)</t>
  </si>
  <si>
    <t>B08QCCLCKW</t>
  </si>
  <si>
    <t>Teslong Endoscope Replacement Cable with Light, Dual Lens Inspection Camera 8mm/0.31inch Waterproof Probe Compatible with NTS500, NTS300(16.5FT)</t>
  </si>
  <si>
    <t>B099WYM3FD</t>
  </si>
  <si>
    <t>LCD Endoscope Cleaning Gun Visual Direct‑View Injection Industrial Endoscope for Car Air Conditioning Pipe</t>
  </si>
  <si>
    <t>B0D4C8Q2XR</t>
  </si>
  <si>
    <t>Triplett BR300CAM-10M Replacement Borescope 8mm Camera Probe 8mm for BR300, 10M Cable</t>
  </si>
  <si>
    <t>B0GLF9912L</t>
  </si>
  <si>
    <t>Ludotline Handheld Inspection Camera with 7.2” Screen, Built-in 16GB Storage, Standalone Endoscope Camera – Record &amp; Playback, 8 LED Lights, Rechargeable Borescope for Pipe, Wall &amp; Auto Inspection</t>
  </si>
  <si>
    <t>B0BZSG8VL8</t>
  </si>
  <si>
    <t>Industrial Endoscope, 8mm 1080P HD Digital Borescope Inspection Camera 4.3 Inch LCD Screen IP67 Waterproof Snake Camera with LED Lights(Yellow 2m)</t>
  </si>
  <si>
    <t>B08L8FTY8G</t>
  </si>
  <si>
    <t>Performance Tool W50145 2.4-Inch LCD Monitor Submersible Inspection Camera - Ideal for Engine Compartments and Hard to Reach Areas</t>
  </si>
  <si>
    <t>B0G26V2RDN</t>
  </si>
  <si>
    <t>SUNGOOYUE Detachable 360 Degree Rotating Plastic Periscope for Teaching, Multi Purpose Periscope for Indoor Use, Convenient Rotatable</t>
  </si>
  <si>
    <t>B0DCZFWVH8</t>
  </si>
  <si>
    <t>YINCORD Industrial Endoscope - Handheld Snake Camera with 16.4ft/5m Flexible Cable, 1080P HD IP67 Waterproof 8mm Probe, 4.3" IPS Screen, 8 LED Lights for Home Wall Pipe Automotive</t>
  </si>
  <si>
    <t>B0DQFQD48H</t>
  </si>
  <si>
    <t>QWQJ Borescope Endoscope Camera with Light Snake Cameras Inspection Cameras with Adjustable LED Light</t>
  </si>
  <si>
    <t>B08QCP8YFM</t>
  </si>
  <si>
    <t>Teslong Endoscope Replacement Cable with Light, Single Lens Inspection Camera 5.5mm/0.21inch Waterproof Probe Compatible with NTS500, NTS300(3.3FT)</t>
  </si>
  <si>
    <t>B0D9K3BNRY</t>
  </si>
  <si>
    <t>Endoscope Camera with Light, Borescope with Adjustable LED Light,Endoscope Camera,Waterproof Inspection Camera</t>
  </si>
  <si>
    <t>B0DLLMJM11</t>
  </si>
  <si>
    <t>Borescope Camera, 360° Rotatable IP67 Water Snake Camera 6 Adjustable LED Lights for Phone (Black 2m / 6.6ft Hardwire)</t>
  </si>
  <si>
    <t>B0D9JZP3YH</t>
  </si>
  <si>
    <t>B00J9RZQGS</t>
  </si>
  <si>
    <t>Klein Tools 69455 Borescope Extension, 17 mm x 1 m</t>
  </si>
  <si>
    <t>17mm</t>
  </si>
  <si>
    <t>B07846C89X</t>
  </si>
  <si>
    <t>SereneLife Fiber Optic Otoscope/Auriscope Home Ear Inspection Tool DIY, 3X Magnification, Bright LED, Includes Reusable Ear Tips, Travel Case, Battery Operated For All Ages &amp; Pets</t>
  </si>
  <si>
    <t>B00CBKFJVM</t>
  </si>
  <si>
    <t>Supereyes Hook Magnet Side View Mirror Set for Borescope Endoscope N005 N013J N015 series</t>
  </si>
  <si>
    <t>B0F9KZTNX4</t>
  </si>
  <si>
    <t>Gzpce Dual Lens Industrial Endoscope, 1080P Digital Borescope Inspection Camera,4.3" IPS Screen, 1920P HD with 9 LED Lights, 16.4FT Semi-Rigid Cord Bore Scope, IP67 Waterproof Snake Camera</t>
  </si>
  <si>
    <t>B0BZSCJBW8</t>
  </si>
  <si>
    <t>Industrial Endoscope, 8mm 1080P HD Digital Borescope Inspection Camera 4.3 Inch LCD Screen IP67 Waterproof Snake Camera with LED Lights(Green and Black,5m)</t>
  </si>
  <si>
    <t>B0CMY35BTX</t>
  </si>
  <si>
    <t>3 in 1 Endoscope 3.9mm Lens Type C Inspection Camera IP67 Borescope Snake Camera with 6 Adjustable LED Lights 1 Meter Soft Cord</t>
  </si>
  <si>
    <t>B0C7TXY5G8</t>
  </si>
  <si>
    <t>AOPICK Endoscope Camera with Light - 4.3'' IPS Screen 1080P HD Borescope with 8 Adjustable Led Lights, IP67 Waterproof Endoscope Inspection Camera with 16.5ft Semi-Rigid Snake Cable</t>
  </si>
  <si>
    <t>B0DLGLR6JK</t>
  </si>
  <si>
    <t>KUUAUX Endoscope Camera with Light, 1080P HD Handheld Industrial Endoscope with 4.3 Inch LCD Screen, IP67 Waterproof, Adjustable LED Lights, Inspection Camera with 16.4Ft Semi-Rigid Cable</t>
  </si>
  <si>
    <t>B073FFTKFR</t>
  </si>
  <si>
    <t>CaseSack Carrying Case for Industrial Endoscope, Large-Capacity design, universal for Endoscope.</t>
  </si>
  <si>
    <t>B0CX9JJ17F</t>
  </si>
  <si>
    <t>1080P Home Security Camera 360° Panoramic WiFi Camera with Motion Tracking 2 Way Audio Siren Alarm Gooseneck Mount Indoor Wireless Camera for Home Pet Dog House Security Nanny Cam</t>
  </si>
  <si>
    <t>B096K242BL</t>
  </si>
  <si>
    <t>Borescope Camera, 15m Endoscope Camera, Handheld Flexible for Computer Recording Videos Laptop Phone Pictures</t>
  </si>
  <si>
    <t>B0DGPWCCYB</t>
  </si>
  <si>
    <t>YUELER Borescope,Endoscope Camera with Light, Waterproof Snake Cameras Inspection Cameras with Adjustable LED Light</t>
  </si>
  <si>
    <t>B0DRQHQ48D</t>
  </si>
  <si>
    <t>BoxWave Screen Protector Compatible With Thinkcar Endoscope ES401 - ClearTouch Crystal (2-Pack), HD Film Skin - Shields From Scratches</t>
  </si>
  <si>
    <t>B0DDXLLQD4</t>
  </si>
  <si>
    <t>Jadeshay Industrial Endoscope, 4.3'' LCD 1080P HD Screen Waterproof Camera, 16.4FT Semi-Rigid Cable and Adjustable LED Lights</t>
  </si>
  <si>
    <t>B003YHA006</t>
  </si>
  <si>
    <t>General Tools Obedient Borescope Probe Extension #P230-1X for use with General Tools DCS 200 and DCS 300 Borescopes, 3.3-Foot</t>
  </si>
  <si>
    <t>B0CJ7CLRD1</t>
  </si>
  <si>
    <t>Pipeline Phone Borescope, 2MP Phone Endoscope Camera Type C Single Lens Industrial Pipeline Mobile Phone Borescope for Home Appliance, Borescopes</t>
  </si>
  <si>
    <t>B0CYPT6GYX</t>
  </si>
  <si>
    <t>Endoscope Camera with Light,Inspection Camera 16.4ft Gadgets for Men 1080P HD Endoscope with 8 Adjustable LED Lights</t>
  </si>
  <si>
    <t>B0F212TN9N</t>
  </si>
  <si>
    <t>SG Store 1 Set 7.9mm Endoscope Hook Magnet Protective Cap Accessories Compatible with DEPSTECH DS300 DS520 WF028 DS350 DS500 DS600 DS450 Dual Lens Inspection Camera</t>
  </si>
  <si>
    <t>B0D1N9HZWX</t>
  </si>
  <si>
    <t>Endoscope Camera with Light,Triple Lens 1080P HD Borescope,16.4ft/5M Cable,2MP IP67 Waterproof Inspection Camera,2600mAh Battery,8GB Storage (M60-3lens-8GB-5M)</t>
  </si>
  <si>
    <t>B0DN1BBTTB</t>
  </si>
  <si>
    <t>GAOSHA Inspection Cameras Borescope,Endoscope, Waterproof Snake Cameras Inspection Cameras with Adjustable LED Light</t>
  </si>
  <si>
    <t>B08X1HQSNG</t>
  </si>
  <si>
    <t>50 Pcs Disposable Camera Sheath Cover Sleeves Endoscope Protect Sheath A04-6A</t>
  </si>
  <si>
    <t>B0DGPXTZJQ</t>
  </si>
  <si>
    <t>B08ZS1S4K8</t>
  </si>
  <si>
    <t>AC Adapter for Klein Tools ET510 Borescope Inspection Camera Power Supply Cord</t>
  </si>
  <si>
    <t>B0F27HZ5JF</t>
  </si>
  <si>
    <t>MAJIAOFANG Endoscope Camera with 6 LED Light Borescope Inspection Cameras Snake Cameras for Cellphone PC</t>
  </si>
  <si>
    <t>B0F27JTJZQ</t>
  </si>
  <si>
    <t>B0GG9LFJPJ</t>
  </si>
  <si>
    <t>Endoscope Camera with Light, Plug and Play Borescope Camera with 6 Adjustable LED Light, IP67 Water-Proof with Semi-Rigid Snake Cable for Androi-d</t>
  </si>
  <si>
    <t>B0GLQ5LGC9</t>
  </si>
  <si>
    <t>Endoscope Inspection Camera for Phone, Phone Borescope with 6 LED Lights Adjustable, 3.3ft Flexible Cable, IP67 Waterproof, Portable Inspection Camera for Engine, Plumbing and Car Repair</t>
  </si>
  <si>
    <t>B0F98KMM3C</t>
  </si>
  <si>
    <t>Borescope Camera with Light, 4.3" IPS Screen Endoscope, No Phone No App Inspection Camera with Light, 16.4ft Semi-Rigid Cable, 8LED Industrial Endoscope with 32GB Card for Auto, Pipe &amp; Home Inspection</t>
  </si>
  <si>
    <t>B0CL2CQXP2</t>
  </si>
  <si>
    <t>Hopefox Endoscope Camera with Light, 4.3'' IPS Screen Borescope Inspection Camera with 8 LED Lights, Handheld IP67 Waterproof Snake Camera, Drain Camera with 16.5FT Semi-Rigid Cable, Gadgets for Men</t>
  </si>
  <si>
    <t>B0GJRH8578</t>
  </si>
  <si>
    <t>10FT Two-Way Articulating Borescope with 5" HD Screen, Industrial Endoscope Camera with Light, 0.33in Slim Probe Video Inspection for Automotive Engine, HVAC, Mechanics, Wall</t>
  </si>
  <si>
    <t>B0G4L9PP65</t>
  </si>
  <si>
    <t>MAIYIS Two-Way Articulating Borescope Camera with Light, 0.15 in Mini Inspection Camera with 5 in HD Screen, 6.5ft Flexible Snake Cable Endoscope for Wall, Engine, HVAC and Plumbing Checks</t>
  </si>
  <si>
    <t>B0CJ939D78</t>
  </si>
  <si>
    <t>Anykit Borescope Camera with Light, 6" IPS Screen, Dual Lens Endoscope 1080P Plumbing Snake Inspection Camera with Split Screen, 32GB Card, Plumbing Snake Camera for Home (10FT)</t>
  </si>
  <si>
    <t>B0GK8W9JSV</t>
  </si>
  <si>
    <t>Holdwell S Articulating Borescope Camera, 8mm Borescope Endoscope with 5" IPS Screen, 1080P HD, 4.9FT Gooseneck Cable, IP67 Waterproof Snake Cameras with 8 Lights for Automotive, Plumbing</t>
  </si>
  <si>
    <t>B09TBR5PZW</t>
  </si>
  <si>
    <t>Triplett BR350CAM-5M Replacement Camera for BR350 Videoscope with 5M Cable</t>
  </si>
  <si>
    <t>B0DKR99QBW</t>
  </si>
  <si>
    <t>Triplett BR510 Waterproof High Definition Borescope with 360° Articulating Camera</t>
  </si>
  <si>
    <t>B0C762VM9D</t>
  </si>
  <si>
    <t>Vividia CX-60150i Joystick Articulating 1280x720 Inspection Camera Borescope with 6mm (0.236") Diameter for Apple iOS Phones Tablets and for Android Devices (Semi-Rigid Long Probe)</t>
  </si>
  <si>
    <t>B0GK66FSZF</t>
  </si>
  <si>
    <t>Ludotline Inspection Camera with 7.2” Built-in Screen, Standalone Endoscope Camera – No Phone Needed, 1m Semi-Rigid Cable, 8 LED Lights, Rechargeable Borescope for Pipe, Wall &amp; Auto Inspection</t>
  </si>
  <si>
    <t>B0G239JCXJ</t>
  </si>
  <si>
    <t>4-Way 360° Articulating Borescope with Light &amp; Detachable Joystick, 5" HD Screen 6.2mm/0.24 in Slim Inspection Camera, 4.0Ft Semi-Rigid Cable for Automotive,HVAC,Mechanical</t>
  </si>
  <si>
    <t>B09GC5Z4GD</t>
  </si>
  <si>
    <t>Triplett BR500 High Definition Articulating Videoscope with Waterproof 6mm Camera and 3.5" Color TFT LCD Display</t>
  </si>
  <si>
    <t>B0DSL994B3</t>
  </si>
  <si>
    <t>FeiYeup Endoscope Camera with Light, Borescope with Adjustable LED Light,Endoscope Camera,Waterproof Inspection Cameras</t>
  </si>
  <si>
    <t>B0GLHF64SG</t>
  </si>
  <si>
    <t>Anykit Two-Way Articulating Borescope with Light, Industrial Endoscope Inspection Camera with 0.22in Articulated Scope Flexible Snake Scope for Wall Automotive Engine Inspect- 5FT</t>
  </si>
  <si>
    <t>B0GK8HGMLP</t>
  </si>
  <si>
    <t>Holdwell S Dual Lens Articulating Borescope Camera, 8mm Borescope Endoscope with 5" IPS Screen, 720P HD, 4.9FT Gooseneck Cable, IP67 Waterproof Snake Cameras with 9 Lights for Automotive, Plumbing</t>
  </si>
  <si>
    <t>B0F1LS9SDZ</t>
  </si>
  <si>
    <t>Launch Tech USA Launch Videoscope/Borescope</t>
  </si>
  <si>
    <t>B0GHXZPW62</t>
  </si>
  <si>
    <t>Handheld Endoscope Camera with Light – 16.5FT Semi-Rigid Cable 4.3'' IPS Screen Snake Camera with 8 LED Lights, IP67 Waterproof Borescope for Automotive Repair, Plumbing Inspection, HVAC</t>
  </si>
  <si>
    <t>B089Q4DBPT</t>
  </si>
  <si>
    <t>Autel MaxiVideo MV108S Inspection Camera, Waterproof Endoscope Video Scope for Autel MX900 / TS900 / MK808 S / MK906 / MS909 / Ultra</t>
  </si>
  <si>
    <t>B0GCHGS6DD</t>
  </si>
  <si>
    <t>InvRio10ML Two-Way 180° Articulating Borescope, 1080P HD 4.3" Screen Automotive Endoscope with 85°C High-Temp Alarm, 2600mAh Battery for 3h Runtime, Includes 32GB Card &amp; Case</t>
  </si>
  <si>
    <t>B0D4CFGXRL</t>
  </si>
  <si>
    <t>S50 Bndoscopy, 6mm Diameter 10.0MP Camera, 720° Steering, 1920 * 1080p High-Definition IPS Screen, Inspection Endoscope, Suitable for Automobile and Aircraft Mechanical Video Inspection Range</t>
  </si>
  <si>
    <t>B06XNWQ96Z</t>
  </si>
  <si>
    <t>PK Power AC/DC Adapter for Snapon BK6000 Borescope Inspection Camera 12VDC Power Supply Cord Cable PS Wall Home Battery Charger Mains PSU (Note: NOT Fit 5V DC Type. Thanks.)</t>
  </si>
  <si>
    <t>B0DKNK4RG9</t>
  </si>
  <si>
    <t>GEYOPMID Endoscope Camera with Light, 1200tvl HD 4.5" Display Borescope Camera with 9 Adjustable LED Lights, 32.81ft Semi-Rigid Snake Camera with Light Ip68 Waterproof Inspection Camera with Light</t>
  </si>
  <si>
    <t>B0FR5HTWXN</t>
  </si>
  <si>
    <t>Equus Products 3381 HD Borescope Inspection Camera</t>
  </si>
  <si>
    <t>B0DQY9BM4H</t>
  </si>
  <si>
    <t>Dual Lens Borescope, Endoscope Camera with Light, IP67 Waterproof Endoscope, 1080P HD Inspection Camera, Borescope Camera with Light, Snake Camera, 32.8ft Endoscope Camera, Gadgets for Men (4.3”)</t>
  </si>
  <si>
    <t>B0F89Y8S2H</t>
  </si>
  <si>
    <t>Endoscope Camera with Light, Borescope with 8 Adjustable LED Lights, 4.3" Endoscope with Semi-Rigid Snake Camera, IP67 Waterproof Inspection Borescope, Cool Gadgets for Men</t>
  </si>
  <si>
    <t>B0CYPT5V6H</t>
  </si>
  <si>
    <t>B0D1RHPK3R</t>
  </si>
  <si>
    <t>Endoscope Camera with 4.3" Screen, Triple Lens, 1080P 32GB Card, 33FT Cable, Zoom, Inspection Camera for Home</t>
  </si>
  <si>
    <t>B0D8VTS9DS</t>
  </si>
  <si>
    <t>Autel MaxiVideo MV108S Digital Inspection Camera, 2025 Upgrade MV108/MV105S IP67 Waterproof 8.5mm Borescope 39.37'' 2MP Camera + LED Light 1920x1080 Compatible with Autel Scanner &amp; PC</t>
  </si>
  <si>
    <t>B0DFCNZM93</t>
  </si>
  <si>
    <t>HD Screen Endoscope Camera with LED Light, Flexible Borescope for Pipeline &amp; Car Inspections, Portable, 2000mAh Battery, Waterproof, Single Lens Design</t>
  </si>
  <si>
    <t>B08QCN6B9G</t>
  </si>
  <si>
    <t>Teslong Endoscope Replacement Cable with Light, Dual Lens Inspection Camera 5.5mm/0.21inch Waterproof Probe Compatible with NTS500, NTS300(10FT)</t>
  </si>
  <si>
    <t>B0G4MKGQXB</t>
  </si>
  <si>
    <t>Handheld High Brightness Industrial Endoscope Cold Light Source LED 10W with 3 Adaptors(Light Source Without Adapter)</t>
  </si>
  <si>
    <t>B0FXGM97SY</t>
  </si>
  <si>
    <t>Industrial Endoscope Camera with Light, 4.3‘’ Screen, 8mm Scope IP67 Waterproof Borescope, 2600mAh Battery Inspection Camera for Automotive, Plumbing, HVAC, Wall, Pipe (5M (16.4FT))</t>
  </si>
  <si>
    <t>B0CCWSFBFP</t>
  </si>
  <si>
    <t>Endoscope 3.9Mm Endoscope Plastic 3 in 1 for Typece Phone 3.9Mm Lens High Definition Endoscope(1M Cable) (5m Cord)</t>
  </si>
  <si>
    <t>B0CPLMR6S4</t>
  </si>
  <si>
    <t>B09GG5X539</t>
  </si>
  <si>
    <t>3 in 1 Endoscope Inspection Camera, Industrial Borescope Black Hd Camera, Waterproof Snake Tube Camera Digital Semi-Rigid Borescope (Size:10m/393inch)</t>
  </si>
  <si>
    <t>B01403J8AU</t>
  </si>
  <si>
    <t>Vividia TVS-500DVR Telescopic Pole Video Inspection Camera Borescope System 4.6 Meter Long with DVR Recording, 5" LCD Screen and Sturdy Case</t>
  </si>
  <si>
    <t>15.1ft</t>
  </si>
  <si>
    <t>B0DRNZXBBX</t>
  </si>
  <si>
    <t>Larlarsa Industrial Endoscope Borescope with Light, 8mm Dual Lens 1080P HD IP67 Waterproof Snake Camera with 4.3" LCD, 8 LEDs &amp; Semi-Rigid Cable - Inspection Tool for Industrial Use (32GB Included)</t>
  </si>
  <si>
    <t>B09GG1YN3H</t>
  </si>
  <si>
    <t>3 in 1 Endoscope Inspection Camera, Industrial Borescope Black Hd Camera, Waterproof Snake Tube Camera Digital Semi-Rigid Borescope (Size:1.5m/59inch)</t>
  </si>
  <si>
    <t>B09GG4W335</t>
  </si>
  <si>
    <t>3 in 1 Endoscope Inspection Camera, Industrial Borescope Black Hd Camera, Waterproof Snake Tube Camera Digital Semi-Rigid Borescope (Size:5m/196.8inch)</t>
  </si>
  <si>
    <t>B09GG59RDV</t>
  </si>
  <si>
    <t>3 in 1 Endoscope Inspection Camera, Industrial Borescope Black Hd Camera, Waterproof Snake Tube Camera Digital Semi-Rigid Borescope (Size:2m/78.7inch)</t>
  </si>
  <si>
    <t>B0FGXZR9ZK</t>
  </si>
  <si>
    <t>Endoscope Camera with Light, 1080P HD Borescope with 4.3'' Screen, Semi-Rigid Cable, IP67 Waterproof Scope Inspection Camera for Automotive, Plumbing, Drain, Pipe</t>
  </si>
  <si>
    <t>B0FGXR42WC</t>
  </si>
  <si>
    <t>B0C4K1RRPP</t>
  </si>
  <si>
    <t>THE PERFECT PART HD LED Ear Endoscope Otoscope Camera Wax Pick Cleaning Tool Cleaner Removal Kit</t>
  </si>
  <si>
    <t>B0BXRGS9NK</t>
  </si>
  <si>
    <t>Autel MaxiVideo MV460 Digital Inspection Camera Video Scope Videoscope Endoscope 1920 * 1080 70° Field 7X Zoom LED Header Waterproof Cable Image Capture Video Recording Better MV108 MV105 MV160 MV400</t>
  </si>
  <si>
    <t>B0D3TV89KV</t>
  </si>
  <si>
    <t>Three Lenses Borescope Camera 8mm IP67 Waterproof Snake Camera AMTORIN Industrial Endoscope 5''IPS Screen 32GB Memory 16.4FT Semi-Rigid Cable Bore Scope for Home (8mm-5m（0.31 in-16.4 ft） Triple Lens)</t>
  </si>
  <si>
    <t>B0D3TMMQF5</t>
  </si>
  <si>
    <t>Dual-Lens Borescope Camera 5mm lP67 Waterproof Digital Snake Camera AMTORIN Industrial Endoscope 5''IPS Screen 32GB Memory Card 16.4FT Semi-Rigid Cable Bore Scope for Home (16.4 ft-0.2 in Dual Lens)</t>
  </si>
  <si>
    <t>B0CLP62J18</t>
  </si>
  <si>
    <t>Endoscope Camera with Light, 4.3-inch LCD Display Borescope Inspection Camera, Waterproof, 8mm Camera Diameter, Support 11 Languages(10 Meter)</t>
  </si>
  <si>
    <t>B0C2CVF5PT</t>
  </si>
  <si>
    <t>Iris Diaphragm Mechanical Adjustable Manual Aperture Lens Mechanical for Digital Camera M4 SK12 1~12mm</t>
  </si>
  <si>
    <t>12mm</t>
  </si>
  <si>
    <t>B0CJM9JWZL</t>
  </si>
  <si>
    <t>Topyond Industrial Endoscope Camera with Light, 1080P HD 8mm Borescope, 2.4" LCD Screen, 8 LED Lights, Waterproof Snake Camera for Mechanics, Plumbing, Automotive Inspection</t>
  </si>
  <si>
    <t>B006PEZ58M</t>
  </si>
  <si>
    <t>Milwaukee 2313-20 M12 M-Spector 360 Tool Only</t>
  </si>
  <si>
    <t>39.4ft</t>
  </si>
  <si>
    <t>B08QSM45SY</t>
  </si>
  <si>
    <t>Vividia VA-400W3B WiFi Bundle: W03B Wireless Box and VA-400 USB 1-Way Articulating Rigid Borescope with 0.33" Diameter and 15.7" Long Probe for iPhone iPad Windows PC Android Devices</t>
  </si>
  <si>
    <t>B0BLTY4HNG</t>
  </si>
  <si>
    <t>Autel MV480 MaxiVideo Inspection Camera Industrial Endoscope Semi-Rigid Flexible Cable 10-Level Adjustable LED Light Dual Front and Side Cameras High Resolution Advanced MV108 MV105 MV160 MV400 MV460</t>
  </si>
  <si>
    <t>B0BZSHSNZH</t>
  </si>
  <si>
    <t>Industrial Endoscope, 8mm 1080P HD Digital Borescope Inspection Camera 4.3 Inch LCD Screen IP67 Waterproof Snake Camera with LED Lights(Green and Black,7m)</t>
  </si>
  <si>
    <t>B0FJ5NN2KG</t>
  </si>
  <si>
    <t>Industrial Endoscope Camera with 4.3'' HD Screen, 1080P Borescope Inspection Camera with 8 LED Lights, IP67 Waterproof Scope for Automotive, Pipe, Wall, Drain Inspection (5M (16.4FT))</t>
  </si>
  <si>
    <t>B0FJ5KPPRB</t>
  </si>
  <si>
    <t>Industrial Endoscope Camera with 4.3'' HD Screen, 1080P Borescope Inspection Camera with 8 LED Lights, IP67 Waterproof Scope for Automotive, Pipe, Wall, Drain Inspection (10M (32.8FT))</t>
  </si>
  <si>
    <t>B01IB26MP0</t>
  </si>
  <si>
    <t>M12 M-SPECTOR FLEX 3'FTINS CAMERA CABLE KIT</t>
  </si>
  <si>
    <t>B0CP6P5C3M</t>
  </si>
  <si>
    <t>4-Way 360° Articulating Borescope, Joystick 5" HD Endoscope Camera with Light, Waterproof Snake Inspection Camera for Engine, Pipe, HVAC, Wall (6mm Single Lens-3.3FT Flexible Cable)</t>
  </si>
  <si>
    <t>B09BTDWTCQ</t>
  </si>
  <si>
    <t>VSP-600 Car Inspection Camera Videoscope Borescope Scope Camera HD Inspection Camera, Zoom Waterproof Borescope</t>
  </si>
  <si>
    <t>B0CY9FLRDV</t>
  </si>
  <si>
    <t>Milwoukee Fits Milwaukee 2319-20 M-Spector 4’ Inspection Camera,360 Inspection Camera,360 borescope</t>
  </si>
  <si>
    <t>65.6ft</t>
  </si>
  <si>
    <t>B00PWKZCHE</t>
  </si>
  <si>
    <t>General Tools PCS55 PalmScope Compact Borescope Video Inspection Camera , Grey</t>
  </si>
  <si>
    <t>B005NHJIDU</t>
  </si>
  <si>
    <t>ViVidia AbleScope VA-800 USB Flexible Inspection Camera Borescope Vedioscope with 180 Degree Articulating 8.5mm Diameter Probe</t>
  </si>
  <si>
    <t>B0FNN4ZG8D</t>
  </si>
  <si>
    <t>Endoscope Camera with 4.3" Screen, 8 LED Lights, 8mm Borescope, IP67 Waterproof Snake Inspection Camera with Semi-Rigid Cable for Automotive, Plumbing, HVAC, Home DIY (2M (6.5FT))</t>
  </si>
  <si>
    <t>B0CMXZG7T4</t>
  </si>
  <si>
    <t>3 in 1 Endoscope Borescope Camera with 6 Adjustable LED Lights 3.9mm Lens Type C IP67 Waterproof Snake Camera 5 Meters Soft Cord</t>
  </si>
  <si>
    <t>B0FNN3VSSR</t>
  </si>
  <si>
    <t>Endoscope Camera with 4.3" Screen, 8 LED Lights, 8mm Borescope, IP67 Waterproof Snake Inspection Camera with Semi-Rigid Cable for Automotive, Plumbing, HVAC, Home DIY (5M (16.4FT))</t>
  </si>
  <si>
    <t>B0C8GQGDRP</t>
  </si>
  <si>
    <t>Borescope Inspection Camera Accessory, 23mm Pipe Inspection Camera 140 Degrees View Professional with 12 LED Lights for Pipe Camera</t>
  </si>
  <si>
    <t>23mm</t>
  </si>
  <si>
    <t>B0BD4N11HJ</t>
  </si>
  <si>
    <t>Autel MV105 MaxiVideo Digital Inspection Camera 5.5mm Image Head HD Video Scope with Waterproof Snake Cable Work with PC and MX808 MS906S MS906TS MK906BT MK908P MS908P MS909 MS919 MS Ultra MS Elite</t>
  </si>
  <si>
    <t>B0CSZ4CFDR</t>
  </si>
  <si>
    <t>Acekool Articulating Borescope, 360 Endoscope Camera with Light,1280P Inspection Snake Camera for Borescope Automotive Engine 5.5ft Industrial Borescope</t>
  </si>
  <si>
    <t>B08HD8W26Y</t>
  </si>
  <si>
    <t>P40 Handheld Endoscope 1920 x 1080P Industrial Inspection Camera 4.3inch Color Display Screen Endoscope 8mm</t>
  </si>
  <si>
    <t>B0BNLP3ZR9</t>
  </si>
  <si>
    <t>Wohler VE 400 HD Video Endoscope</t>
  </si>
  <si>
    <t>B01I2574LM</t>
  </si>
  <si>
    <t>Milwaukee Electric Tool 2309-20 M-Spector Inspection Scope Kit, 9 mm, 4.92 " x 10.55 " x 13.39"</t>
  </si>
  <si>
    <t>9mm</t>
  </si>
  <si>
    <t>B07ZH9P8QH</t>
  </si>
  <si>
    <t>SKYBASIC Industrial Endoscope - Digital Borescope with 4.3 Inch LCD, HD Snake Camera, 6 LED Lights, Semi-Rigid Cable, 32GB Card and Tool - 16.5FT</t>
  </si>
  <si>
    <t>B0DJSTV32W</t>
  </si>
  <si>
    <t>ZX3-D1 Two-Way Articulating Borescope with Light, 0.15in Industrial Endoscope Inspection Camera, 5-inch IPS Articulated Snake Camera, 8X Zoom Video Inspection Scope- 3.3FT</t>
  </si>
  <si>
    <t>B01D8UDBOK</t>
  </si>
  <si>
    <t>Milwaukee New 2313-21 12 Volt M12 Cordless Inspection Camera System Scope Sale</t>
  </si>
  <si>
    <t>B0DLNMQVG5</t>
  </si>
  <si>
    <t>Endoscope Camera with Light</t>
  </si>
  <si>
    <t>B0DFBX5K4H</t>
  </si>
  <si>
    <t>Ubxvamm Endoscope Camera with Light, Borescope with Adjustable LED Light,Endoscope Camera,Waterproof Inspection Cameras</t>
  </si>
  <si>
    <t>B0DFBTRKSG</t>
  </si>
  <si>
    <t>B0DFBSJYXG</t>
  </si>
  <si>
    <t>B00UW6OQYI</t>
  </si>
  <si>
    <t>Vividia TVS-300DVR Telescopic Industrial Video Inspection Camera System 3 Meter Long with DVR Recording, 5" LCD Screen and Sturdy Case</t>
  </si>
  <si>
    <t>B00JXDWBMA</t>
  </si>
  <si>
    <t>Supereyes Y002 7mm 200X Waterproof Handheld Digital Microscope Borescope Endoscope Otoscope with LED</t>
  </si>
  <si>
    <t>7mm</t>
  </si>
  <si>
    <t>B0CQK65MV3</t>
  </si>
  <si>
    <t>LANRU P100 Industrial Endoscope 8mm 1080P Digital Borescope IP67 Waterproof Snake Scope Camera Handheld Inspection Camera with 2.4'' IPS Screen 6 LED-Lights</t>
  </si>
  <si>
    <t>B0CQK4PV6R</t>
  </si>
  <si>
    <t>B0FLY67WHM</t>
  </si>
  <si>
    <t>Saker T40 Endoscope</t>
  </si>
  <si>
    <t>B0CPL36CD9</t>
  </si>
  <si>
    <t>Endoscope Camera with Light,Inspection Camera 16.4ft Gadgets for Men 1080P HD Endoscope with 8 Adjustable LED Lights(9.8ft)</t>
  </si>
  <si>
    <t>B0CW9R7FV8</t>
  </si>
  <si>
    <t>0.15in (3.9mm) Ultra Thin Two-Way Articulating Turnable Borescope with Dimmable Light, Flexible Cable, Screen Rotation, Waterproof Probe, 3-Step Zoom</t>
  </si>
  <si>
    <t>B0D9WSXMS3</t>
  </si>
  <si>
    <t>Triplett BR350CAM-5M-5.5MM Replacement Borescope Camera Probe for BR350, 5M Cable</t>
  </si>
  <si>
    <t>B08VVWVM7P</t>
  </si>
  <si>
    <t>Vividia VA-880 USB 2-Way Articulating Automotive Borescope Diagnostic Inspection Camera 8.5mm 0.335" Diameter 1m Long Probe for Mechanics Technician (WiFi Box + VA-880 Scope)</t>
  </si>
  <si>
    <t>B08VWBR4LJ</t>
  </si>
  <si>
    <t>Vividia VA-880 USB 2-Way Articulating Automotive Borescope Diagnostic Inspection Camera 8.5mm 0.335" Diameter 1m Long Probe for Mechanics Technician (VA-880 Scope only)</t>
  </si>
  <si>
    <t>B08VW1BRHJ</t>
  </si>
  <si>
    <t>Vividia VA-880 USB 2-Way Articulating Automotive Borescope Diagnostic Inspection Camera 8.5mm 0.335" Diameter 1m Long Probe for Mechanics Technician (LCD Monitor + VA-880 Scope)</t>
  </si>
  <si>
    <t>B09QBDSQ19</t>
  </si>
  <si>
    <t>Vividia CT-4010 LCD/WiFi Flexible Two-Way Articulating Inspection Camera Borescope Videoscope with 4mm (0.16") Diameter 1.0m Long Waterproof IP67 Probe</t>
  </si>
  <si>
    <t>B0C7GJNTB9</t>
  </si>
  <si>
    <t>Splenssy Endoscope Camera with Light, 0.3 MP 7mm Lens HD Borescope with 6 Adjustable LED Lights, Endoscope with Semi-Rigid Snake Cable, IP67 Waterproof Inspection Camera</t>
  </si>
  <si>
    <t>B00LE61MV0</t>
  </si>
  <si>
    <t>Vividia Mini 4.5mm Photo &amp; Video Recordable Flexible Inspection Camera Borescope Endoscope with 3.5" LCD Monitor</t>
  </si>
  <si>
    <t>4.5mm</t>
  </si>
  <si>
    <t>B0BZVN4HY8</t>
  </si>
  <si>
    <t>IPG For Industrial Endoscope Inspection Camera 4.3" LCD Screen Protector (2 Units) Hydrogel Invisible Screen Guard - HD Quality/Self-Healing/Bubble -Free for Endoscope</t>
  </si>
  <si>
    <t>B0B14ZT6GT</t>
  </si>
  <si>
    <t>Wall Charger AC Power Adapter for Extech BR250 BR200 borescope Inspection Camera</t>
  </si>
  <si>
    <t>B0DDCTNDTF</t>
  </si>
  <si>
    <t>2324-21 Drain Camera, Inspection Camera, Borescope for Milwaukee M12 12V 360 Cordless M-Spector 10' Inspection Camera Kit</t>
  </si>
  <si>
    <t>B019RAUAHG</t>
  </si>
  <si>
    <t>HHIP 8902-0065 Wired Borescope with LCD Monitor, 9 mm Camera Head</t>
  </si>
  <si>
    <t>B0D14SJ93Q</t>
  </si>
  <si>
    <t>3.9mm Borescope High Definition Inspection Camera, 6 LED Lights Flexible Endoscope Camera for Car Industry (Soft Cord 1m)</t>
  </si>
  <si>
    <t>B08J27J2QY</t>
  </si>
  <si>
    <t>Vividia AbleScope VA-408 USB Rigid Long Articulating Borescope with 180 Degree One-Way Articulation 8.5mm Diameter and 31 Inch Long Probe and 1280x720 Pixel Resolution (VA-408 and LCD Screen)</t>
  </si>
  <si>
    <t>B08J1SHSCJ</t>
  </si>
  <si>
    <t>Vividia AbleScope VA-408 USB Rigid Long Articulating Borescope with 180 Degree One-Way Articulation 8.5mm Diameter and 31 Inch Long Probe and 1280x720 Pixel Resolution (VA-408 USB only)</t>
  </si>
  <si>
    <t>B08J1Y8QHK</t>
  </si>
  <si>
    <t>Vividia AbleScope VA-408 USB Rigid Long Articulating Borescope with 180 Degree One-Way Articulation 8.5mm Diameter and 31 Inch Long Probe and 1280x720 Pixel Resolution (VA-408 and WiFi Box)</t>
  </si>
  <si>
    <t>B003629WRQ</t>
  </si>
  <si>
    <t>Solar Eclipse SE001CAM Wall and Pipe Inspection Camera with 2.4" Color LCD Monitor</t>
  </si>
  <si>
    <t>B0CMV7M4JG</t>
  </si>
  <si>
    <t>5in LCD Industrial Endoscope Borescope Handheld Inspection Camera Borescope IP67 for Car Maintenance, Pipelin Repair, Mechanical Inspection (10m / 32.8ft)</t>
  </si>
  <si>
    <t>B0DGXP7DHW</t>
  </si>
  <si>
    <t>NIHUIFA Borescope Endoscope Camera with Light Snake Cameras Inspection Cameras with Adjustable LED Light</t>
  </si>
  <si>
    <t>B0DGXPF1G5</t>
  </si>
  <si>
    <t>B0DGXHW6JJ</t>
  </si>
  <si>
    <t>B0C7LV1WSY</t>
  </si>
  <si>
    <t>Vividia CXM-6010 Flexible Joystick Articulation Video Borescope 1 Meter Long Videoscope Inspection Camera Endoscope with 4.5" LCD Monitor (6mm Camera Head Diameter)</t>
  </si>
  <si>
    <t>B0CNV5RBBH</t>
  </si>
  <si>
    <t>BoxWave Screen Protector Compatible with Depstech Triple Lens borescope Inspection Camera (5 in) - ClearTouch Anti-Glare (2-Pack), Anti-Fingerprint Matte Film Skin</t>
  </si>
  <si>
    <t>B0DTRS2K13</t>
  </si>
  <si>
    <t>BoxWave Screen Protector Compatible with Depstech Triple Lens borescope (7 in) - ClearTouch ImpactShield (2-Pack), Impenetrable Screen Protector Flexible Film</t>
  </si>
  <si>
    <t>B00Z19DSWW</t>
  </si>
  <si>
    <t>General Tools DCS660A Wet/Dry Recording Video Inspection System with 1 Meter Long &amp; 8mm Diameter Camera Tipped Probe</t>
  </si>
  <si>
    <t>B0CTJ4DB4L</t>
  </si>
  <si>
    <t>Inspection Camera, Inspection Camera 5.5mm, Digital Endoscope 4.3inch Screen, 1080P, 11.5FT Cable, Automotive Plumbing, Borescopes (10m / 32.8ft)</t>
  </si>
  <si>
    <t>B0F62NZLTC</t>
  </si>
  <si>
    <t>Danculpe Two-Way Articulating Borescope Camera with Light, Endoscope Inspection Camera with 3.3FT Semi-Rigid Probe, IP67 Waterproof Inspection, Flexible Snake Scope for Home Repair, Automotive</t>
  </si>
  <si>
    <t>B0C7LV2PLL</t>
  </si>
  <si>
    <t>Vividia CXM-4010 Flexible Joystick Articulation Video Borescope 1 Meter Long Videoscope Inspection Camera Endoscope with 4.5" LCD Monitor (4mm Camera Head Diameter)</t>
  </si>
  <si>
    <t>B01HS8697E</t>
  </si>
  <si>
    <t>PCE Instruments PCE-VE 200 Industrial Borescope, for Visual inspections in Hard-to-Reach Areas, Features 1 m / 3.3 ft Probe, 3.5" Display, Plus LED Lighting and Image/Video Storage</t>
  </si>
  <si>
    <t>B0BNLNCQS7</t>
  </si>
  <si>
    <t>Wohler VIS Camera Trolley</t>
  </si>
  <si>
    <t>B0FCGBDMJJ</t>
  </si>
  <si>
    <t>UNI-T Inspection Camera UT663B 1m/2m/3m Industrial Borescope Inspection Camera with 5 inch Screen 180° Turning High Definition Visual Endoscope(UT663B 2M)</t>
  </si>
  <si>
    <t>B0FCG5N9V2</t>
  </si>
  <si>
    <t>UNI-T Inspection Camera UT663B 1m/2m/3m Industrial Borescope Inspection Camera with 5 inch Screen 180° Turning High Definition Visual Endoscope(UT663B 3M)</t>
  </si>
  <si>
    <t>B0CNV59R6S</t>
  </si>
  <si>
    <t>BoxWave Screen Protector Compatible with Depstech Triple Lens borescope (7 in) - ClearTouch Crystal (2-Pack), HD Film Skin - Shields from Scratches</t>
  </si>
  <si>
    <t>B0FJXKBV6W</t>
  </si>
  <si>
    <t>BINBINNIAO S20 6mm Lens 360° Rotation Pipeline Detector Turnable Handheld Endoscope for Home Appliance Testing Blockage Troubleshoot(S20-6mm-4.3INCH)</t>
  </si>
  <si>
    <t>B09PPHJ35Z</t>
  </si>
  <si>
    <t>K Tool International XD3K Digital Video Inspection Borescope for Garages, Repair Shops, and DIY, 2.5" LCD Color Screen, (4) AA Batteries, 8.5mm Camera, 4x Digital Zoom, 6-Level Adjustable LED Lighting</t>
  </si>
  <si>
    <t>B0D49NCDSK</t>
  </si>
  <si>
    <t>2MP HD Lens Articulating Borescope Camera with 5in Screen Inspection Rotatable View Angle for Excellent Inspection Experience 5 Meters 16.4ft</t>
  </si>
  <si>
    <t>B0FD4GDCDK</t>
  </si>
  <si>
    <t>Vividia ME-610A 360° Joystick Articulating Borescope, 6mm/0.24in Diameter, 3.3ft/1m Flexible IP67 Waterproof Probe, 5" LCD Monitor</t>
  </si>
  <si>
    <t>B0FD54M2V2</t>
  </si>
  <si>
    <t>Vividia ME-410A 360° Joystick Articulating Borescope, 4mm/0.16in Diameter, 3.3ft/1m Flexible IP67 Waterproof Probe, 4.3" LCD Monitor</t>
  </si>
  <si>
    <t>B07NCZXTHX</t>
  </si>
  <si>
    <t>Vividia D3145 USB Digital 180 Degree One-Way Articulating Borescope with 4.5mm Diameter 1 Meter Long Camera Probe for Diesel Engines for PC Mac Android Phone Tablet Chromebook</t>
  </si>
  <si>
    <t>B0F9WCCBGQ</t>
  </si>
  <si>
    <t>1pc Thick 10mm Borosilicate View Mirror, Sight Glass Disc, Dia 50-165mm High Pressure Boiler Valve Lens(150x10mm)(50x10mm)</t>
  </si>
  <si>
    <t>10mm</t>
  </si>
  <si>
    <t>B0DHZMTS64</t>
  </si>
  <si>
    <t>WILDERNESSHOME Explore Hidden Spaces Like Never Before with Our Tools - Endoscope Camera with Light - 4.3" IPS Screen, 8 LED Lights, and IP67 Waterproof Design, 16.4FT Semi-Rigid Cord Bore Scope</t>
  </si>
  <si>
    <t>B0G8DN7V2G</t>
  </si>
  <si>
    <t>Articulating Borescope, 6mm Handheld Industrial Endoscope with 360° Rotation - 4.3 Inch LCD Screen, Semi-Rigid Cable for Pipeline &amp; Appliance Testing, Blockage Troubleshoot, Auto Focus, 6mm, 4.3IN</t>
  </si>
  <si>
    <t>B0DQLNHPYW</t>
  </si>
  <si>
    <t>MeetChanning Pro-Grade 1920P HD Endoscope Camera with Lights for Phone and Tablet,Borescope Waterproof Inspection Camera 16.4FT Semi-Rigid for Pipe Inspection &amp; Industrial Use</t>
  </si>
  <si>
    <t>B01171MZNA</t>
  </si>
  <si>
    <t>NTS200 Digital Endoscope 7.6mm Waterproof Inspection Camera 1M Probe Cable 4.3 Inch LCD-GOLDEN BLUE</t>
  </si>
  <si>
    <t>7.6mm</t>
  </si>
  <si>
    <t>B0CS6RPTTQ</t>
  </si>
  <si>
    <t>ACAGALA Endoscope 0.3MP Endoscope 3 in 1 Endoscope with Adjustable LEDs 1/2/5 Meters</t>
  </si>
  <si>
    <t>B0CM8FRRC8</t>
  </si>
  <si>
    <t>ADBEN P100 Industrial Endoscope 5.5mm 1080P Digital Borescope IP67 Waterof Snake Scope Camera Handheld Inspection Camera with 2.4" IPS Screen 6 LED-Lights</t>
  </si>
  <si>
    <t>B098FKBKF6</t>
  </si>
  <si>
    <t>B0D54BF8SV</t>
  </si>
  <si>
    <t>NGCG Waterproof Duct Inspection Camera With 5-inch Screen Suitable For Plumber Fitting Wall Inspection Carbon Deposition Industrial Endoscope Camera Lens With Screen</t>
  </si>
  <si>
    <t>B0D54CJL4G</t>
  </si>
  <si>
    <t>NGCG Waterproof Duct Inspection Camera with 5-inch Screen, Suitable for Plumber Fitting Wall Inspection, Carbon Deposition, Industrial Endoscope Camera Lens with Screen</t>
  </si>
  <si>
    <t>B0CS6QRM53</t>
  </si>
  <si>
    <t>ACAGALA Endoscope 0.3MP 3 in 1 Endoscope with Adjustable LEDs 1/2/5 Meters</t>
  </si>
  <si>
    <t>B07DNGSLRT</t>
  </si>
  <si>
    <t>Vividia Ablescope UV-400 Articulating 0 to 180 Degree USB Digital Borescope Videoscope with UV/White LED Lights</t>
  </si>
  <si>
    <t>B0CLRVR7SV</t>
  </si>
  <si>
    <t>Bi-Directional Articulating Borescope, 5-Inch Serpentine Camera with Illuminated Video Inspection Mirror for Automotive and Aerospace Mechanics, Men's Gadgets</t>
  </si>
  <si>
    <t>B0FW53JTBG</t>
  </si>
  <si>
    <t>Borescope Camera, 360-degree Industrial Pipe Endoscope, HD 1080P, Suitable for Car Maintenance and Pipeline Inspection,Industrial Endoscope</t>
  </si>
  <si>
    <t>B0B1BLYGHC</t>
  </si>
  <si>
    <t>Vividia CL-4010 Flexible USB 2-Way Articulation 4mm (0.16") Diameter 1m (3ft) Long Borescope Videoscope Inspection Camera for Windows PC MacBook Android MacOS Chromebook</t>
  </si>
  <si>
    <t>B09RQ4WXRL</t>
  </si>
  <si>
    <t>Vividia W2430 WiFi/USB Wireless USB 2-Way Articulation Rigid 4mm (0.16") Diameter Short 16" Long Borescope Videoscope Inspection Camera for Windows iPhone iPad Android MacOS Chromebook PC</t>
  </si>
  <si>
    <t>B0G25RPRQZ</t>
  </si>
  <si>
    <t>1080P Industrial Borescope 4.3 Inch HD Inspection Camera 8mm Lens 5M Cable IP67 Waterproof 8 LED Lights 2000mAh Battery Automotive Repair</t>
  </si>
  <si>
    <t>B0G2VSFHRL</t>
  </si>
  <si>
    <t>PROBE360 Articulating Borescope Camera with 5" 1080P HD Display, 6.2mm IP67 Waterproof Probe, 5X Zoom Industrial Endoscope with 2-Way Steering and Semi-Rigid Cable</t>
  </si>
  <si>
    <t>B0D5HSCNY1</t>
  </si>
  <si>
    <t>2600mAh Industrial Endoscope 1080P 4.3 Inch Digital Borescope Inspection Camera Waterproof Snake Camera For Car Engine 4.3 Inch Color Screen Car Inspection Camera Automotive Maintenance Tool Screen To</t>
  </si>
  <si>
    <t>B09HRF4NBL</t>
  </si>
  <si>
    <t>Pipe Inspection Camera, Pipeline Endoscope 7in LCD Display for Slow Draining Pipes for Homeowner Inspection for Wall Inspection(30m)</t>
  </si>
  <si>
    <t>98.4ft</t>
  </si>
  <si>
    <t>B0DSTWK4GG</t>
  </si>
  <si>
    <t>Happybuy Two-Way Articulating Borescope with Light, 0.25" Lens Inspection Camera, 5" IPS HD Screen, Flexible Fiber Optic Snake Scope for Wall, Automotive &amp; Engine Inspection, 4.9FT</t>
  </si>
  <si>
    <t>B075HSQY3B</t>
  </si>
  <si>
    <t>VA-980-WiFi Bundle: Vividia AbleScope VA-980 USB Semi-Flexible Articulating Borescope Plus VA-B2 WiFi AirBox for iPad iPhone and Android</t>
  </si>
  <si>
    <t>B0FPWMYBGV</t>
  </si>
  <si>
    <t>Handheld LED Endoscope Cold Light Source, High Brightness Industrial Borescope LED Lights, 10W Without Adaptors</t>
  </si>
  <si>
    <t>B07MCX148K</t>
  </si>
  <si>
    <t>Vividia D3160 USB Digital 180 Degree One-Way Articulating Borescope with 5.9mm Diameter 1 Meter Long Camera Probe</t>
  </si>
  <si>
    <t>B0DJRS77PP</t>
  </si>
  <si>
    <t>Kapro 397 Deep Vision Borescope - Industrial Endoscope Camera with Light - IP67 Water Proof - 0.3M Pixel</t>
  </si>
  <si>
    <t>1.0ft</t>
  </si>
  <si>
    <t>B08NXK323G</t>
  </si>
  <si>
    <t>Handheld Endoscope, P40 8mm 1920 x 1080P IP67 Waterproof Portable Endoscope, 4.3inch Color Display Screen Handheld Endoscope, Borescopes And Fiberscopes</t>
  </si>
  <si>
    <t>B0FP44SMVW</t>
  </si>
  <si>
    <t>Hamwesh Industrial Endoscope, 8mm 1080P HD 70 Degree Digital Borescope Camera with Assist Light for Automotive Pipe Inspection (5m)</t>
  </si>
  <si>
    <t>B0CZNR8LWP</t>
  </si>
  <si>
    <t>MekUk Endoscope Endoscope Camera Measuring Tools 4.5 Inch IPS Screen Industrial Endoscope HD Borescope with 6 LED Lights for Automotive, Plumbing</t>
  </si>
  <si>
    <t>B077LBTCH1</t>
  </si>
  <si>
    <t>Vividia GB-4510 Gun Barrel Rigid 4.0mm Borescope Kit with Mirror Tube and Phone Attachment (Side View)</t>
  </si>
  <si>
    <t>B0CM2YRDJX</t>
  </si>
  <si>
    <t>GAOMON Dual Lens Serpentine Pipe Borescope with Illuminated Video Inspection Scope, 5-Inch IPS Screen, IP67 Waterproof LED Lights, 5.5-Feet Long, for Automotive, Aerospace, and Mechanical Inspections</t>
  </si>
  <si>
    <t>B0CQXWDFDT</t>
  </si>
  <si>
    <t>Two Way Articulating Borescope, 360 Degree Endoscope Inspection Camera, 3.5in Screen, with, Automotive Mechanics Fiber Optic Scope (1m / 3.3ft)</t>
  </si>
  <si>
    <t>B07GB716JW</t>
  </si>
  <si>
    <t>MeterTo HT-660 3.5˝ LCD Industrial Digital Portable Video Borescope Endoscope Inspection Snake Camera 300000 Pixels</t>
  </si>
  <si>
    <t>B0F8PJX87C</t>
  </si>
  <si>
    <t>Vividia CF-6010 360° Joystick Articulating Borescope, 6mm/0.24in Diameter, 3.3ft/1m Flexible IP67 Waterproof Probe, 5" LCD Monitor</t>
  </si>
  <si>
    <t>B0CQXVMRW5</t>
  </si>
  <si>
    <t>Two Way Articulating Borescope, 360 Degree Endoscope Inspection Camera, 3.5in Screen, with, Automotive Mechanics Fiber Optic Scope (/ 9.8ft)</t>
  </si>
  <si>
    <t>B08J5V581B</t>
  </si>
  <si>
    <t>Vividia VA-150 Two-Way Articulating Borescope Videoscope Inspection Camera with 6.0mm Diameter 80cm Long Probe and 2.7" LCD Monitor 640x480 Resolution for Automotive Aircraft Mechanics and Technicians</t>
  </si>
  <si>
    <t>B0F3DJ43SQ</t>
  </si>
  <si>
    <t>2025 Upgraded Two-Way Articulating Borescope, Endoscope Camera with Light, Fexible Snake Inspection Scope, Industrial Inspection Camera 1080 3.4screen (6MM-1M)</t>
  </si>
  <si>
    <t>B0F3DK2Z4P</t>
  </si>
  <si>
    <t>2025 Upgraded Two-Way Articulating Borescope, Endoscope Camera with Light, Fexible Snake Inspection Scope, Industrial Inspection Camera 1080 3.4screen (8MM-1M + Memory Card)</t>
  </si>
  <si>
    <t>B0F3DJ5DNW</t>
  </si>
  <si>
    <t>2025 Upgraded Two-Way Articulating Borescope, Endoscope Camera with Light, Fexible Snake Inspection Scope, Industrial Inspection Camera 1080 3.4screen (8MM-1M)</t>
  </si>
  <si>
    <t>B0F3DJSRSV</t>
  </si>
  <si>
    <t>2025 Upgraded Two-Way Articulating Borescope, Endoscope Camera with Light, Fexible Snake Inspection Scope, Industrial Inspection Camera 1080 3.4screen (8MM-1M Connected Phone(No Screen))</t>
  </si>
  <si>
    <t>B07CKZCJYK</t>
  </si>
  <si>
    <t>PCE Instruments PCE-VE 200SV1 Industrial Borescope for Visual inspections, Features 1 m / 3.3 ft Probe, 3.5" Display, Plus LED Lighting, Image Capture, and Waterproof Camera Head</t>
  </si>
  <si>
    <t>B008DYJWRC</t>
  </si>
  <si>
    <t>Klein Tools ET510 Borescope</t>
  </si>
  <si>
    <t>B0C7RZ837B</t>
  </si>
  <si>
    <t>Vividia DA-60 LCD/WiFi Flexible Joystick Articulating Inspection Camera Borescope Videoscope with 6mm (0.24") Diameter Waterproof IP67 Probe (1m / 3.3ft Long Probe)</t>
  </si>
  <si>
    <t>B0DNFC37SG</t>
  </si>
  <si>
    <t>Endoscope for Automotive Inspection, Portable Borescope with Display Screen, Visual Ear Spoon, for Automotive Inspection, Pipe Inspection</t>
  </si>
  <si>
    <t>B0CCVV1S1F</t>
  </si>
  <si>
    <t>1PCS NEW FOR Endoscope White Balance Cap MH-155</t>
  </si>
  <si>
    <t>B0D9JZYBZC</t>
  </si>
  <si>
    <t>Borescope,Endoscope Camera with Light, Waterproof Snake Camera Inspection Camera with Adjustable LED Light</t>
  </si>
  <si>
    <t>B0F3JS4FBH</t>
  </si>
  <si>
    <t>UT663B Industrial Borescope Automotive Pipeline Inspection Inspection,with 8 Adjustable LED Lights | 5.0" LCD Screen | 360° Rotatable HD 1080P Snake Camera, 8mm Probe Diameter IP67 (UT663B)</t>
  </si>
  <si>
    <t>B005AMZ6K2</t>
  </si>
  <si>
    <t>Triplett CobraCam 5.5mm Waterproof &amp; Flexible Camera Wand, 3 ft - Works with Triplett Inspection Cameras 8125, 8120, 8115 (CC2-CAM3FM)</t>
  </si>
  <si>
    <t>B0BTD2SFYV</t>
  </si>
  <si>
    <t>Articulating Video Borescope, 5-inch IPS Articulating Endoscope Inspection Camera Two-Way 210° Steering Lens Waterproof Automotive Mechanic Fiber Optic Scope LED Light Control Multilingual</t>
  </si>
  <si>
    <t>B08T8J8H8C</t>
  </si>
  <si>
    <t>P30 Orange Hand-held Endoscopes Industrial 4.3inch High-Definition 1080P Display Screen Borescope with 8 LEDs - 1M</t>
  </si>
  <si>
    <t>B0DSL962KG</t>
  </si>
  <si>
    <t>B073ZHFCFL</t>
  </si>
  <si>
    <t>Vividia VQ-3910 Handheld 3.9mm (0.15") Diameter 2.4" LCD Screen Borescope Inspection Camera</t>
  </si>
  <si>
    <t>B07W73MJYP</t>
  </si>
  <si>
    <t>Endoscope Camera 5.5mm Lens, 3-in-1 Borescope with 6 LED Lights &amp; 5M IP67 Waterproof Cable for Pipe, Automotive, and Home Inspection</t>
  </si>
  <si>
    <t>B097PXCJJL</t>
  </si>
  <si>
    <t>720P HD Industrial Endoscope with 5 Inch IPS Screen &amp; 5mm Dual Lens Borescope Camera, IP67 Waterproof, Built-in 32GB Memory Card, Hard Plastic Toolbox, 16.4ft Semi-Rigid Cable</t>
  </si>
  <si>
    <t>B08PDVT5N5</t>
  </si>
  <si>
    <t>Vividia VA-150 Gray Two-Way Articulating Borescope Videoscope Inspection Camera with 6mm Diameter Probe and 2.7" Monitor and 640x480 Image Resolution</t>
  </si>
  <si>
    <t>B07P2JGTNZ</t>
  </si>
  <si>
    <t>Pipeline Camera Control Box, Adjustable Camera, Good Image Clarity, Quickly and Accurately Find the Target (only for HBUDS、IHBUDS、Anysuns)</t>
  </si>
  <si>
    <t>B0CKHS2W4V</t>
  </si>
  <si>
    <t>Bi-Directional Articulating Borescope 5" LPS Screen 1080P Lens Endoscope, Dual Lens IP67 Water-Resistant LED Light and Serpentine Tube Scope, Suitable for Home Machinery Or Aerospace 32 GB TF Card</t>
  </si>
  <si>
    <t>B0DF2KHRCR</t>
  </si>
  <si>
    <t>DIMITU Borescope Endoscope Camera with Light Snake Cameras Inspection Cameras with Adjustable LED Light</t>
  </si>
  <si>
    <t>B0CLRWJW6K</t>
  </si>
  <si>
    <t>Single Lens Tube Borescope, 5-inch IPS Screen, 1080P HD Lens, IP67 Waterproof LED Light with Illuminated Video Inspection Mirror for Automotive, Aerospace and Mechanical Inspections</t>
  </si>
  <si>
    <t>B00Z0Q5VDA</t>
  </si>
  <si>
    <t>General Tools DCS665-ART Recording Borescope Video Inspection Camera with Articulating 1 Meter Long Waterproof Probe</t>
  </si>
  <si>
    <t>B0BDSDCK2X</t>
  </si>
  <si>
    <t>Ddkxndb Car DC Adapter Charger for Klein Tools ET510 Borescope Inspection Camera Power</t>
  </si>
  <si>
    <t>B0DFB9RLLX</t>
  </si>
  <si>
    <t>Ubxvamm Borescope,Endoscope Camera with Light, Waterproof Snake Cameras Inspection Cameras with Adjustable LED Light</t>
  </si>
  <si>
    <t>B0DFC338TD</t>
  </si>
  <si>
    <t>B06XXBTJBS</t>
  </si>
  <si>
    <t>[SmartFly] HB37S 3.7mm 1 Meter 3.5" LCD Endoscope Borescope Snake Inspection DVR Vehicle Inspection Pipeline</t>
  </si>
  <si>
    <t>B0CWS7NN8R</t>
  </si>
  <si>
    <t>K Tool International Video Inspection Borescope 5.5MM Imager Diameter</t>
  </si>
  <si>
    <t>B0D6X55RWS</t>
  </si>
  <si>
    <t>BoxWave Screen Protector Compatible with Depstech Triple Lens borescope Inspection Camera (5 in) - ClearTouch Crystal ToughShield 9H (2-Pack), Clear 9H Tough Flexible Film Screen Protector</t>
  </si>
  <si>
    <t>B07198K75P</t>
  </si>
  <si>
    <t>4UCam 9mm Inspection Camera Color LCD plumbing endoscope waterproof optical scrope</t>
  </si>
  <si>
    <t>B0D7CN6WVY</t>
  </si>
  <si>
    <t>Articulating Video Borescope SVB303 4-Way 360° Articulating Borescope Industrial Endoscope With One-Button Photo&amp;Video Capture,High-Temp Protection,1080P HD Camera,Metal Mobile Phone Holder,Waterproof</t>
  </si>
  <si>
    <t>B0CGJD9PL6</t>
  </si>
  <si>
    <t>Digital Inspection Endoscope, 1920x1080P Inspection Camera 90° Borescope Endoscope Snake Camera with Display Screen, for Pipeline Inspection</t>
  </si>
  <si>
    <t>B0C1L65F94</t>
  </si>
  <si>
    <t>Industrial Borescope 4.5 Inch Screen 1080P High Definition Lens Endoscope Handheld Inspection Camera IP67 Snake Camera with 8 LED Lights</t>
  </si>
  <si>
    <t>B08TB7XCMN</t>
  </si>
  <si>
    <t>Vividia Ablescope VA-920 USB Videoscope Semi-Rigid One-Way Articulating Borescope Inspection Camera with 8.5mm (0.33") Diameter 35cm (13.8") Long Probe for Windows PC Mac and Selective Android Devices</t>
  </si>
  <si>
    <t>B0CGT1N3VR</t>
  </si>
  <si>
    <t>DEPSTECH DS300 Dual Lens Industrial Endoscope</t>
  </si>
  <si>
    <t>B0GR4Y131Y</t>
  </si>
  <si>
    <t>Ralcam 360° Joystick Articulating Borescope, 6.2mm Probe 4 Ways Automotive Endoscope Inspection Camera with 6 Adjustable LED Lights</t>
  </si>
  <si>
    <t>Borescope Articulation Market Analysis 202603 - Metadata</t>
  </si>
  <si>
    <t>Field</t>
  </si>
  <si>
    <t>Value</t>
  </si>
  <si>
    <t>Category</t>
  </si>
  <si>
    <t>Borescope Articulation Split</t>
  </si>
  <si>
    <t>Category ID</t>
  </si>
  <si>
    <t>borescope_type_articulation_split</t>
  </si>
  <si>
    <t>Snapshot Month</t>
  </si>
  <si>
    <t>202603</t>
  </si>
  <si>
    <t>Snapshot Date</t>
  </si>
  <si>
    <t>2026-03-31</t>
  </si>
  <si>
    <t>Latest Run Date</t>
  </si>
  <si>
    <t>2026-04-17</t>
  </si>
  <si>
    <t>Generated At</t>
  </si>
  <si>
    <t>2026-04-17T16:09:40.484366</t>
  </si>
  <si>
    <t>ASIN Count</t>
  </si>
  <si>
    <t>Scope Rule</t>
  </si>
  <si>
    <t>Includes Type=Articulation plus articulating USB/Wireless ASINs; Connection Type splits Wireless/Connected vs Screen/Wired.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</si>
</sst>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6" x14ac:knownFonts="1">
    <font>
      <sz val="11"/>
      <color theme="1"/>
      <name val="Calibri"/>
      <family val="2"/>
      <scheme val="minor"/>
    </font>
    <font>
      <b/>
      <sz val="20"/>
      <color rgb="FF000000"/>
      <name val="Arial"/>
      <family val="2"/>
    </font>
    <font>
      <b/>
      <sz val="11"/>
      <color rgb="FF000000"/>
      <name val="Arial"/>
      <family val="2"/>
    </font>
    <font>
      <sz val="10"/>
      <color rgb="FF000000"/>
      <name val="Calibri"/>
      <family val="2"/>
    </font>
    <font>
      <b/>
      <sz val="11"/>
      <color rgb="FFFFFFFF"/>
      <name val="Arial"/>
      <family val="2"/>
    </font>
    <font>
      <u/>
      <sz val="10"/>
      <color rgb="FF0563C1"/>
      <name val="Calibri"/>
      <family val="2"/>
    </font>
  </fonts>
  <fills count="6">
    <fill>
      <patternFill patternType="none"/>
    </fill>
    <fill>
      <patternFill patternType="gray125"/>
    </fill>
    <fill>
      <patternFill patternType="solid">
        <fgColor rgb="FFB4A7D6"/>
      </patternFill>
    </fill>
    <fill>
      <patternFill patternType="solid">
        <fgColor rgb="FFD9D2E9"/>
      </patternFill>
    </fill>
    <fill>
      <patternFill patternType="solid">
        <fgColor rgb="FFEAE4F5"/>
      </patternFill>
    </fill>
    <fill>
      <patternFill patternType="solid">
        <fgColor rgb="FF2E1A4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2E1A47"/>
      </left>
      <right style="thin">
        <color rgb="FF2E1A47"/>
      </right>
      <top style="medium">
        <color rgb="FF2E1A47"/>
      </top>
      <bottom style="medium">
        <color rgb="FF2E1A47"/>
      </bottom>
      <diagonal/>
    </border>
  </borders>
  <cellStyleXfs count="1">
    <xf numFmtId="0" fontId="0" fillId="0" borderId="0"/>
  </cellStyleXfs>
  <cellXfs count="23">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0" fontId="3" fillId="4" borderId="1" xfId="0" applyFont="1" applyFill="1" applyBorder="1" applyAlignment="1">
      <alignment horizontal="left" vertical="center" wrapText="1"/>
    </xf>
    <xf numFmtId="3" fontId="3"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66" fontId="3" fillId="4" borderId="1" xfId="0" applyNumberFormat="1" applyFont="1" applyFill="1" applyBorder="1" applyAlignment="1">
      <alignment horizontal="center" vertical="center"/>
    </xf>
    <xf numFmtId="0" fontId="4" fillId="5" borderId="2" xfId="0" applyFont="1" applyFill="1" applyBorder="1" applyAlignment="1">
      <alignment horizontal="left" vertical="center"/>
    </xf>
    <xf numFmtId="3" fontId="4" fillId="5" borderId="2" xfId="0" applyNumberFormat="1" applyFont="1" applyFill="1" applyBorder="1" applyAlignment="1">
      <alignment horizontal="center" vertical="center"/>
    </xf>
    <xf numFmtId="164" fontId="4" fillId="5" borderId="2" xfId="0" applyNumberFormat="1" applyFont="1" applyFill="1" applyBorder="1" applyAlignment="1">
      <alignment horizontal="center" vertical="center"/>
    </xf>
    <xf numFmtId="165" fontId="4" fillId="5" borderId="2" xfId="0" applyNumberFormat="1" applyFont="1" applyFill="1" applyBorder="1" applyAlignment="1">
      <alignment horizontal="center" vertical="center"/>
    </xf>
    <xf numFmtId="166" fontId="4" fillId="5" borderId="2" xfId="0" applyNumberFormat="1" applyFont="1" applyFill="1" applyBorder="1" applyAlignment="1">
      <alignment horizontal="center" vertical="center"/>
    </xf>
    <xf numFmtId="0" fontId="5" fillId="0" borderId="1" xfId="0" applyFont="1" applyBorder="1" applyAlignment="1">
      <alignment horizontal="left" vertical="center" wrapText="1"/>
    </xf>
    <xf numFmtId="0" fontId="3" fillId="0" borderId="1" xfId="0" applyFont="1" applyBorder="1" applyAlignment="1">
      <alignment horizontal="center" vertical="center"/>
    </xf>
    <xf numFmtId="0" fontId="5"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Top Brands - Monthly Revenue</a:t>
            </a:r>
          </a:p>
        </c:rich>
      </c:tx>
      <c:overlay val="1"/>
    </c:title>
    <c:autoTitleDeleted val="0"/>
    <c:plotArea>
      <c:layout/>
      <c:barChart>
        <c:barDir val="bar"/>
        <c:grouping val="clustered"/>
        <c:varyColors val="1"/>
        <c:ser>
          <c:idx val="0"/>
          <c:order val="0"/>
          <c:tx>
            <c:strRef>
              <c:f>Summary!$C$2</c:f>
              <c:strCache>
                <c:ptCount val="1"/>
                <c:pt idx="0">
                  <c:v>Monthly Rev</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E7DC-3143-AB5E-1102DFCAB3EF}"/>
              </c:ext>
            </c:extLst>
          </c:dPt>
          <c:dPt>
            <c:idx val="1"/>
            <c:invertIfNegative val="1"/>
            <c:bubble3D val="0"/>
            <c:spPr>
              <a:solidFill>
                <a:srgbClr val="8E7CC3"/>
              </a:solidFill>
              <a:ln>
                <a:prstDash val="solid"/>
              </a:ln>
            </c:spPr>
            <c:extLst>
              <c:ext xmlns:c16="http://schemas.microsoft.com/office/drawing/2014/chart" uri="{C3380CC4-5D6E-409C-BE32-E72D297353CC}">
                <c16:uniqueId val="{00000003-E7DC-3143-AB5E-1102DFCAB3EF}"/>
              </c:ext>
            </c:extLst>
          </c:dPt>
          <c:dPt>
            <c:idx val="2"/>
            <c:invertIfNegative val="1"/>
            <c:bubble3D val="0"/>
            <c:spPr>
              <a:solidFill>
                <a:srgbClr val="B4A7D6"/>
              </a:solidFill>
              <a:ln>
                <a:prstDash val="solid"/>
              </a:ln>
            </c:spPr>
            <c:extLst>
              <c:ext xmlns:c16="http://schemas.microsoft.com/office/drawing/2014/chart" uri="{C3380CC4-5D6E-409C-BE32-E72D297353CC}">
                <c16:uniqueId val="{00000005-E7DC-3143-AB5E-1102DFCAB3EF}"/>
              </c:ext>
            </c:extLst>
          </c:dPt>
          <c:dPt>
            <c:idx val="3"/>
            <c:invertIfNegative val="1"/>
            <c:bubble3D val="0"/>
            <c:spPr>
              <a:solidFill>
                <a:srgbClr val="4A90E2"/>
              </a:solidFill>
              <a:ln>
                <a:prstDash val="solid"/>
              </a:ln>
            </c:spPr>
            <c:extLst>
              <c:ext xmlns:c16="http://schemas.microsoft.com/office/drawing/2014/chart" uri="{C3380CC4-5D6E-409C-BE32-E72D297353CC}">
                <c16:uniqueId val="{00000007-E7DC-3143-AB5E-1102DFCAB3EF}"/>
              </c:ext>
            </c:extLst>
          </c:dPt>
          <c:dPt>
            <c:idx val="4"/>
            <c:invertIfNegative val="1"/>
            <c:bubble3D val="0"/>
            <c:spPr>
              <a:solidFill>
                <a:srgbClr val="50C2C9"/>
              </a:solidFill>
              <a:ln>
                <a:prstDash val="solid"/>
              </a:ln>
            </c:spPr>
            <c:extLst>
              <c:ext xmlns:c16="http://schemas.microsoft.com/office/drawing/2014/chart" uri="{C3380CC4-5D6E-409C-BE32-E72D297353CC}">
                <c16:uniqueId val="{00000009-E7DC-3143-AB5E-1102DFCAB3EF}"/>
              </c:ext>
            </c:extLst>
          </c:dPt>
          <c:dPt>
            <c:idx val="5"/>
            <c:invertIfNegative val="1"/>
            <c:bubble3D val="0"/>
            <c:spPr>
              <a:solidFill>
                <a:srgbClr val="7FB069"/>
              </a:solidFill>
              <a:ln>
                <a:prstDash val="solid"/>
              </a:ln>
            </c:spPr>
            <c:extLst>
              <c:ext xmlns:c16="http://schemas.microsoft.com/office/drawing/2014/chart" uri="{C3380CC4-5D6E-409C-BE32-E72D297353CC}">
                <c16:uniqueId val="{0000000B-E7DC-3143-AB5E-1102DFCAB3EF}"/>
              </c:ext>
            </c:extLst>
          </c:dPt>
          <c:dPt>
            <c:idx val="6"/>
            <c:invertIfNegative val="1"/>
            <c:bubble3D val="0"/>
            <c:spPr>
              <a:solidFill>
                <a:srgbClr val="F4B942"/>
              </a:solidFill>
              <a:ln>
                <a:prstDash val="solid"/>
              </a:ln>
            </c:spPr>
            <c:extLst>
              <c:ext xmlns:c16="http://schemas.microsoft.com/office/drawing/2014/chart" uri="{C3380CC4-5D6E-409C-BE32-E72D297353CC}">
                <c16:uniqueId val="{0000000D-E7DC-3143-AB5E-1102DFCAB3EF}"/>
              </c:ext>
            </c:extLst>
          </c:dPt>
          <c:dPt>
            <c:idx val="7"/>
            <c:invertIfNegative val="1"/>
            <c:bubble3D val="0"/>
            <c:spPr>
              <a:solidFill>
                <a:srgbClr val="E8833A"/>
              </a:solidFill>
              <a:ln>
                <a:prstDash val="solid"/>
              </a:ln>
            </c:spPr>
            <c:extLst>
              <c:ext xmlns:c16="http://schemas.microsoft.com/office/drawing/2014/chart" uri="{C3380CC4-5D6E-409C-BE32-E72D297353CC}">
                <c16:uniqueId val="{0000000F-E7DC-3143-AB5E-1102DFCAB3EF}"/>
              </c:ext>
            </c:extLst>
          </c:dPt>
          <c:dPt>
            <c:idx val="8"/>
            <c:invertIfNegative val="1"/>
            <c:bubble3D val="0"/>
            <c:spPr>
              <a:solidFill>
                <a:srgbClr val="D7567A"/>
              </a:solidFill>
              <a:ln>
                <a:prstDash val="solid"/>
              </a:ln>
            </c:spPr>
            <c:extLst>
              <c:ext xmlns:c16="http://schemas.microsoft.com/office/drawing/2014/chart" uri="{C3380CC4-5D6E-409C-BE32-E72D297353CC}">
                <c16:uniqueId val="{00000011-E7DC-3143-AB5E-1102DFCAB3EF}"/>
              </c:ext>
            </c:extLst>
          </c:dPt>
          <c:dPt>
            <c:idx val="9"/>
            <c:invertIfNegative val="1"/>
            <c:bubble3D val="0"/>
            <c:spPr>
              <a:solidFill>
                <a:srgbClr val="9B5DE5"/>
              </a:solidFill>
              <a:ln>
                <a:prstDash val="solid"/>
              </a:ln>
            </c:spPr>
            <c:extLst>
              <c:ext xmlns:c16="http://schemas.microsoft.com/office/drawing/2014/chart" uri="{C3380CC4-5D6E-409C-BE32-E72D297353CC}">
                <c16:uniqueId val="{00000013-E7DC-3143-AB5E-1102DFCAB3EF}"/>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Summary!$A$3:$A$12</c:f>
              <c:strCache>
                <c:ptCount val="10"/>
                <c:pt idx="0">
                  <c:v>Teslong</c:v>
                </c:pt>
                <c:pt idx="1">
                  <c:v>DXZtoz</c:v>
                </c:pt>
                <c:pt idx="2">
                  <c:v>DEPSTECH</c:v>
                </c:pt>
                <c:pt idx="3">
                  <c:v>Ralcam</c:v>
                </c:pt>
                <c:pt idx="4">
                  <c:v>Anykit</c:v>
                </c:pt>
                <c:pt idx="5">
                  <c:v>VEVOR</c:v>
                </c:pt>
                <c:pt idx="6">
                  <c:v>FOXWELL</c:v>
                </c:pt>
                <c:pt idx="7">
                  <c:v>T TAKMLY</c:v>
                </c:pt>
                <c:pt idx="8">
                  <c:v>Innova</c:v>
                </c:pt>
                <c:pt idx="9">
                  <c:v>KAIWEETS</c:v>
                </c:pt>
              </c:strCache>
            </c:strRef>
          </c:cat>
          <c:val>
            <c:numRef>
              <c:f>Summary!$C$3:$C$12</c:f>
              <c:numCache>
                <c:formatCode>\$#,##0</c:formatCode>
                <c:ptCount val="10"/>
                <c:pt idx="0">
                  <c:v>1902848.83</c:v>
                </c:pt>
                <c:pt idx="1">
                  <c:v>347820.17</c:v>
                </c:pt>
                <c:pt idx="2">
                  <c:v>185835.72</c:v>
                </c:pt>
                <c:pt idx="3">
                  <c:v>175634.34</c:v>
                </c:pt>
                <c:pt idx="4">
                  <c:v>116916.41</c:v>
                </c:pt>
                <c:pt idx="5">
                  <c:v>66114.66</c:v>
                </c:pt>
                <c:pt idx="6">
                  <c:v>66031.94</c:v>
                </c:pt>
                <c:pt idx="7">
                  <c:v>45541.38</c:v>
                </c:pt>
                <c:pt idx="8">
                  <c:v>42439.15</c:v>
                </c:pt>
                <c:pt idx="9">
                  <c:v>41716.44</c:v>
                </c:pt>
              </c:numCache>
            </c:numRef>
          </c:val>
          <c:extLst>
            <c:ext xmlns:c16="http://schemas.microsoft.com/office/drawing/2014/chart" uri="{C3380CC4-5D6E-409C-BE32-E72D297353CC}">
              <c16:uniqueId val="{00000014-E7DC-3143-AB5E-1102DFCAB3EF}"/>
            </c:ext>
          </c:extLst>
        </c:ser>
        <c:dLbls>
          <c:showLegendKey val="0"/>
          <c:showVal val="1"/>
          <c:showCatName val="0"/>
          <c:showSerName val="0"/>
          <c:showPercent val="0"/>
          <c:showBubbleSize val="1"/>
        </c:dLbls>
        <c:gapWidth val="150"/>
        <c:axId val="10"/>
        <c:axId val="100"/>
      </c:barChart>
      <c:catAx>
        <c:axId val="10"/>
        <c:scaling>
          <c:orientation val="minMax"/>
        </c:scaling>
        <c:delete val="1"/>
        <c:axPos val="l"/>
        <c:title>
          <c:tx>
            <c:rich>
              <a:bodyPr/>
              <a:lstStyle/>
              <a:p>
                <a:pPr>
                  <a:defRPr/>
                </a:pPr>
                <a:r>
                  <a:rPr lang="en-US"/>
                  <a:t>Monthly Revenue ($)</a:t>
                </a:r>
              </a:p>
            </c:rich>
          </c:tx>
          <c:overlay val="1"/>
        </c:title>
        <c:numFmt formatCode="\$#,##0" sourceLinked="0"/>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rPr lang="en-US"/>
                  <a:t>Brand</a:t>
                </a:r>
              </a:p>
            </c:rich>
          </c:tx>
          <c:overlay val="1"/>
        </c:title>
        <c:numFmt formatCode="\$#,##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Brand Revenue Share</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Summary!$A$3:$A$12</c:f>
              <c:strCache>
                <c:ptCount val="10"/>
                <c:pt idx="0">
                  <c:v>Teslong</c:v>
                </c:pt>
                <c:pt idx="1">
                  <c:v>DXZtoz</c:v>
                </c:pt>
                <c:pt idx="2">
                  <c:v>DEPSTECH</c:v>
                </c:pt>
                <c:pt idx="3">
                  <c:v>Ralcam</c:v>
                </c:pt>
                <c:pt idx="4">
                  <c:v>Anykit</c:v>
                </c:pt>
                <c:pt idx="5">
                  <c:v>VEVOR</c:v>
                </c:pt>
                <c:pt idx="6">
                  <c:v>FOXWELL</c:v>
                </c:pt>
                <c:pt idx="7">
                  <c:v>T TAKMLY</c:v>
                </c:pt>
                <c:pt idx="8">
                  <c:v>Innova</c:v>
                </c:pt>
                <c:pt idx="9">
                  <c:v>KAIWEETS</c:v>
                </c:pt>
              </c:strCache>
            </c:strRef>
          </c:cat>
          <c:val>
            <c:numRef>
              <c:f>Summary!$C$3:$C$12</c:f>
              <c:numCache>
                <c:formatCode>\$#,##0</c:formatCode>
                <c:ptCount val="10"/>
                <c:pt idx="0">
                  <c:v>1902848.83</c:v>
                </c:pt>
                <c:pt idx="1">
                  <c:v>347820.17</c:v>
                </c:pt>
                <c:pt idx="2">
                  <c:v>185835.72</c:v>
                </c:pt>
                <c:pt idx="3">
                  <c:v>175634.34</c:v>
                </c:pt>
                <c:pt idx="4">
                  <c:v>116916.41</c:v>
                </c:pt>
                <c:pt idx="5">
                  <c:v>66114.66</c:v>
                </c:pt>
                <c:pt idx="6">
                  <c:v>66031.94</c:v>
                </c:pt>
                <c:pt idx="7">
                  <c:v>45541.38</c:v>
                </c:pt>
                <c:pt idx="8">
                  <c:v>42439.15</c:v>
                </c:pt>
                <c:pt idx="9">
                  <c:v>41716.44</c:v>
                </c:pt>
              </c:numCache>
            </c:numRef>
          </c:val>
          <c:extLst>
            <c:ext xmlns:c16="http://schemas.microsoft.com/office/drawing/2014/chart" uri="{C3380CC4-5D6E-409C-BE32-E72D297353CC}">
              <c16:uniqueId val="{00000000-C31A-F649-B339-C647FDD0883F}"/>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Connection Type Revenue</a:t>
            </a:r>
          </a:p>
        </c:rich>
      </c:tx>
      <c:overlay val="1"/>
    </c:title>
    <c:autoTitleDeleted val="0"/>
    <c:plotArea>
      <c:layout/>
      <c:barChart>
        <c:barDir val="col"/>
        <c:grouping val="clustered"/>
        <c:varyColors val="1"/>
        <c:ser>
          <c:idx val="0"/>
          <c:order val="0"/>
          <c:tx>
            <c:strRef>
              <c:f>'Top 50 Summary'!$E$2</c:f>
              <c:strCache>
                <c:ptCount val="1"/>
                <c:pt idx="0">
                  <c:v>Revenue/Mo</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42A3-E84B-928B-1A583C181925}"/>
              </c:ext>
            </c:extLst>
          </c:dPt>
          <c:dPt>
            <c:idx val="1"/>
            <c:invertIfNegative val="1"/>
            <c:bubble3D val="0"/>
            <c:spPr>
              <a:solidFill>
                <a:srgbClr val="8E7CC3"/>
              </a:solidFill>
              <a:ln>
                <a:prstDash val="solid"/>
              </a:ln>
            </c:spPr>
            <c:extLst>
              <c:ext xmlns:c16="http://schemas.microsoft.com/office/drawing/2014/chart" uri="{C3380CC4-5D6E-409C-BE32-E72D297353CC}">
                <c16:uniqueId val="{00000003-42A3-E84B-928B-1A583C181925}"/>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'Top 50 Summary'!$A$3:$A$4</c:f>
              <c:strCache>
                <c:ptCount val="2"/>
                <c:pt idx="0">
                  <c:v>Screen/Wired</c:v>
                </c:pt>
                <c:pt idx="1">
                  <c:v>Wireless/Connected</c:v>
                </c:pt>
              </c:strCache>
            </c:strRef>
          </c:cat>
          <c:val>
            <c:numRef>
              <c:f>'Top 50 Summary'!$E$3:$E$4</c:f>
              <c:numCache>
                <c:formatCode>\$#,##0</c:formatCode>
                <c:ptCount val="2"/>
                <c:pt idx="0">
                  <c:v>2814711.82</c:v>
                </c:pt>
                <c:pt idx="1">
                  <c:v>87445.87</c:v>
                </c:pt>
              </c:numCache>
            </c:numRef>
          </c:val>
          <c:extLst>
            <c:ext xmlns:c16="http://schemas.microsoft.com/office/drawing/2014/chart" uri="{C3380CC4-5D6E-409C-BE32-E72D297353CC}">
              <c16:uniqueId val="{00000004-42A3-E84B-928B-1A583C181925}"/>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t>Connection Type</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Revenue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2/4-way Revenue Share</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'Top 50 Summary'!$A$7:$A$8</c:f>
              <c:strCache>
                <c:ptCount val="2"/>
                <c:pt idx="0">
                  <c:v>2-way</c:v>
                </c:pt>
                <c:pt idx="1">
                  <c:v>4-way</c:v>
                </c:pt>
              </c:strCache>
            </c:strRef>
          </c:cat>
          <c:val>
            <c:numRef>
              <c:f>'Top 50 Summary'!$E$7:$E$8</c:f>
              <c:numCache>
                <c:formatCode>\$#,##0</c:formatCode>
                <c:ptCount val="2"/>
                <c:pt idx="0">
                  <c:v>2552543.7200000002</c:v>
                </c:pt>
                <c:pt idx="1">
                  <c:v>349613.97</c:v>
                </c:pt>
              </c:numCache>
            </c:numRef>
          </c:val>
          <c:extLst>
            <c:ext xmlns:c16="http://schemas.microsoft.com/office/drawing/2014/chart" uri="{C3380CC4-5D6E-409C-BE32-E72D297353CC}">
              <c16:uniqueId val="{00000000-5154-A741-95CB-3883F725670F}"/>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Display Units</a:t>
            </a:r>
          </a:p>
        </c:rich>
      </c:tx>
      <c:overlay val="1"/>
    </c:title>
    <c:autoTitleDeleted val="0"/>
    <c:plotArea>
      <c:layout/>
      <c:barChart>
        <c:barDir val="col"/>
        <c:grouping val="clustered"/>
        <c:varyColors val="1"/>
        <c:ser>
          <c:idx val="0"/>
          <c:order val="0"/>
          <c:tx>
            <c:strRef>
              <c:f>'Top 50 Summary'!$C$10</c:f>
              <c:strCache>
                <c:ptCount val="1"/>
                <c:pt idx="0">
                  <c:v>Quantity/Mo</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2471-F04C-BC2D-D953E1430E0C}"/>
              </c:ext>
            </c:extLst>
          </c:dPt>
          <c:dPt>
            <c:idx val="1"/>
            <c:invertIfNegative val="1"/>
            <c:bubble3D val="0"/>
            <c:spPr>
              <a:solidFill>
                <a:srgbClr val="8E7CC3"/>
              </a:solidFill>
              <a:ln>
                <a:prstDash val="solid"/>
              </a:ln>
            </c:spPr>
            <c:extLst>
              <c:ext xmlns:c16="http://schemas.microsoft.com/office/drawing/2014/chart" uri="{C3380CC4-5D6E-409C-BE32-E72D297353CC}">
                <c16:uniqueId val="{00000003-2471-F04C-BC2D-D953E1430E0C}"/>
              </c:ext>
            </c:extLst>
          </c:dPt>
          <c:dPt>
            <c:idx val="2"/>
            <c:invertIfNegative val="1"/>
            <c:bubble3D val="0"/>
            <c:spPr>
              <a:solidFill>
                <a:srgbClr val="B4A7D6"/>
              </a:solidFill>
              <a:ln>
                <a:prstDash val="solid"/>
              </a:ln>
            </c:spPr>
            <c:extLst>
              <c:ext xmlns:c16="http://schemas.microsoft.com/office/drawing/2014/chart" uri="{C3380CC4-5D6E-409C-BE32-E72D297353CC}">
                <c16:uniqueId val="{00000005-2471-F04C-BC2D-D953E1430E0C}"/>
              </c:ext>
            </c:extLst>
          </c:dPt>
          <c:dPt>
            <c:idx val="3"/>
            <c:invertIfNegative val="1"/>
            <c:bubble3D val="0"/>
            <c:spPr>
              <a:solidFill>
                <a:srgbClr val="4A90E2"/>
              </a:solidFill>
              <a:ln>
                <a:prstDash val="solid"/>
              </a:ln>
            </c:spPr>
            <c:extLst>
              <c:ext xmlns:c16="http://schemas.microsoft.com/office/drawing/2014/chart" uri="{C3380CC4-5D6E-409C-BE32-E72D297353CC}">
                <c16:uniqueId val="{00000007-2471-F04C-BC2D-D953E1430E0C}"/>
              </c:ext>
            </c:extLst>
          </c:dPt>
          <c:dPt>
            <c:idx val="4"/>
            <c:invertIfNegative val="1"/>
            <c:bubble3D val="0"/>
            <c:spPr>
              <a:solidFill>
                <a:srgbClr val="50C2C9"/>
              </a:solidFill>
              <a:ln>
                <a:prstDash val="solid"/>
              </a:ln>
            </c:spPr>
            <c:extLst>
              <c:ext xmlns:c16="http://schemas.microsoft.com/office/drawing/2014/chart" uri="{C3380CC4-5D6E-409C-BE32-E72D297353CC}">
                <c16:uniqueId val="{00000009-2471-F04C-BC2D-D953E1430E0C}"/>
              </c:ext>
            </c:extLst>
          </c:dPt>
          <c:dPt>
            <c:idx val="5"/>
            <c:invertIfNegative val="1"/>
            <c:bubble3D val="0"/>
            <c:spPr>
              <a:solidFill>
                <a:srgbClr val="7FB069"/>
              </a:solidFill>
              <a:ln>
                <a:prstDash val="solid"/>
              </a:ln>
            </c:spPr>
            <c:extLst>
              <c:ext xmlns:c16="http://schemas.microsoft.com/office/drawing/2014/chart" uri="{C3380CC4-5D6E-409C-BE32-E72D297353CC}">
                <c16:uniqueId val="{0000000B-2471-F04C-BC2D-D953E1430E0C}"/>
              </c:ext>
            </c:extLst>
          </c:dPt>
          <c:dPt>
            <c:idx val="6"/>
            <c:invertIfNegative val="1"/>
            <c:bubble3D val="0"/>
            <c:spPr>
              <a:solidFill>
                <a:srgbClr val="F4B942"/>
              </a:solidFill>
              <a:ln>
                <a:prstDash val="solid"/>
              </a:ln>
            </c:spPr>
            <c:extLst>
              <c:ext xmlns:c16="http://schemas.microsoft.com/office/drawing/2014/chart" uri="{C3380CC4-5D6E-409C-BE32-E72D297353CC}">
                <c16:uniqueId val="{0000000D-2471-F04C-BC2D-D953E1430E0C}"/>
              </c:ext>
            </c:extLst>
          </c:dPt>
          <c:dPt>
            <c:idx val="7"/>
            <c:invertIfNegative val="1"/>
            <c:bubble3D val="0"/>
            <c:spPr>
              <a:solidFill>
                <a:srgbClr val="E8833A"/>
              </a:solidFill>
              <a:ln>
                <a:prstDash val="solid"/>
              </a:ln>
            </c:spPr>
            <c:extLst>
              <c:ext xmlns:c16="http://schemas.microsoft.com/office/drawing/2014/chart" uri="{C3380CC4-5D6E-409C-BE32-E72D297353CC}">
                <c16:uniqueId val="{0000000F-2471-F04C-BC2D-D953E1430E0C}"/>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'Top 50 Summary'!$A$11:$A$18</c:f>
              <c:strCache>
                <c:ptCount val="8"/>
                <c:pt idx="0">
                  <c:v>4.5"</c:v>
                </c:pt>
                <c:pt idx="1">
                  <c:v>5.0"</c:v>
                </c:pt>
                <c:pt idx="2">
                  <c:v>4.3"</c:v>
                </c:pt>
                <c:pt idx="3">
                  <c:v>6.0"</c:v>
                </c:pt>
                <c:pt idx="4">
                  <c:v>App</c:v>
                </c:pt>
                <c:pt idx="5">
                  <c:v>Unknown</c:v>
                </c:pt>
                <c:pt idx="6">
                  <c:v>2.4"</c:v>
                </c:pt>
                <c:pt idx="7">
                  <c:v>7.0"</c:v>
                </c:pt>
              </c:strCache>
            </c:strRef>
          </c:cat>
          <c:val>
            <c:numRef>
              <c:f>'Top 50 Summary'!$C$11:$C$18</c:f>
              <c:numCache>
                <c:formatCode>#,##0</c:formatCode>
                <c:ptCount val="8"/>
                <c:pt idx="0">
                  <c:v>10285</c:v>
                </c:pt>
                <c:pt idx="1">
                  <c:v>5186</c:v>
                </c:pt>
                <c:pt idx="2">
                  <c:v>3951</c:v>
                </c:pt>
                <c:pt idx="3">
                  <c:v>204</c:v>
                </c:pt>
                <c:pt idx="4">
                  <c:v>952</c:v>
                </c:pt>
                <c:pt idx="5">
                  <c:v>2587</c:v>
                </c:pt>
                <c:pt idx="6">
                  <c:v>460</c:v>
                </c:pt>
                <c:pt idx="7">
                  <c:v>43</c:v>
                </c:pt>
              </c:numCache>
            </c:numRef>
          </c:val>
          <c:extLst>
            <c:ext xmlns:c16="http://schemas.microsoft.com/office/drawing/2014/chart" uri="{C3380CC4-5D6E-409C-BE32-E72D297353CC}">
              <c16:uniqueId val="{00000010-2471-F04C-BC2D-D953E1430E0C}"/>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t>Display</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Units</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by Price Tier</a:t>
            </a:r>
          </a:p>
        </c:rich>
      </c:tx>
      <c:overlay val="1"/>
    </c:title>
    <c:autoTitleDeleted val="0"/>
    <c:plotArea>
      <c:layout/>
      <c:barChart>
        <c:barDir val="col"/>
        <c:grouping val="clustered"/>
        <c:varyColors val="1"/>
        <c:ser>
          <c:idx val="0"/>
          <c:order val="0"/>
          <c:tx>
            <c:strRef>
              <c:f>'Price Tiers'!$B$2</c:f>
              <c:strCache>
                <c:ptCount val="1"/>
                <c:pt idx="0">
                  <c:v>Total Revenue</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8350-2241-BE8A-F0C4D31E9C86}"/>
              </c:ext>
            </c:extLst>
          </c:dPt>
          <c:dPt>
            <c:idx val="1"/>
            <c:invertIfNegative val="1"/>
            <c:bubble3D val="0"/>
            <c:spPr>
              <a:solidFill>
                <a:srgbClr val="8E7CC3"/>
              </a:solidFill>
              <a:ln>
                <a:prstDash val="solid"/>
              </a:ln>
            </c:spPr>
            <c:extLst>
              <c:ext xmlns:c16="http://schemas.microsoft.com/office/drawing/2014/chart" uri="{C3380CC4-5D6E-409C-BE32-E72D297353CC}">
                <c16:uniqueId val="{00000003-8350-2241-BE8A-F0C4D31E9C86}"/>
              </c:ext>
            </c:extLst>
          </c:dPt>
          <c:dPt>
            <c:idx val="2"/>
            <c:invertIfNegative val="1"/>
            <c:bubble3D val="0"/>
            <c:spPr>
              <a:solidFill>
                <a:srgbClr val="B4A7D6"/>
              </a:solidFill>
              <a:ln>
                <a:prstDash val="solid"/>
              </a:ln>
            </c:spPr>
            <c:extLst>
              <c:ext xmlns:c16="http://schemas.microsoft.com/office/drawing/2014/chart" uri="{C3380CC4-5D6E-409C-BE32-E72D297353CC}">
                <c16:uniqueId val="{00000005-8350-2241-BE8A-F0C4D31E9C86}"/>
              </c:ext>
            </c:extLst>
          </c:dPt>
          <c:dPt>
            <c:idx val="3"/>
            <c:invertIfNegative val="1"/>
            <c:bubble3D val="0"/>
            <c:spPr>
              <a:solidFill>
                <a:srgbClr val="4A90E2"/>
              </a:solidFill>
              <a:ln>
                <a:prstDash val="solid"/>
              </a:ln>
            </c:spPr>
            <c:extLst>
              <c:ext xmlns:c16="http://schemas.microsoft.com/office/drawing/2014/chart" uri="{C3380CC4-5D6E-409C-BE32-E72D297353CC}">
                <c16:uniqueId val="{00000007-8350-2241-BE8A-F0C4D31E9C86}"/>
              </c:ext>
            </c:extLst>
          </c:dPt>
          <c:dPt>
            <c:idx val="4"/>
            <c:invertIfNegative val="1"/>
            <c:bubble3D val="0"/>
            <c:spPr>
              <a:solidFill>
                <a:srgbClr val="50C2C9"/>
              </a:solidFill>
              <a:ln>
                <a:prstDash val="solid"/>
              </a:ln>
            </c:spPr>
            <c:extLst>
              <c:ext xmlns:c16="http://schemas.microsoft.com/office/drawing/2014/chart" uri="{C3380CC4-5D6E-409C-BE32-E72D297353CC}">
                <c16:uniqueId val="{00000009-8350-2241-BE8A-F0C4D31E9C86}"/>
              </c:ext>
            </c:extLst>
          </c:dPt>
          <c:dPt>
            <c:idx val="5"/>
            <c:invertIfNegative val="1"/>
            <c:bubble3D val="0"/>
            <c:spPr>
              <a:solidFill>
                <a:srgbClr val="7FB069"/>
              </a:solidFill>
              <a:ln>
                <a:prstDash val="solid"/>
              </a:ln>
            </c:spPr>
            <c:extLst>
              <c:ext xmlns:c16="http://schemas.microsoft.com/office/drawing/2014/chart" uri="{C3380CC4-5D6E-409C-BE32-E72D297353CC}">
                <c16:uniqueId val="{0000000B-8350-2241-BE8A-F0C4D31E9C86}"/>
              </c:ext>
            </c:extLst>
          </c:dPt>
          <c:dPt>
            <c:idx val="6"/>
            <c:invertIfNegative val="1"/>
            <c:bubble3D val="0"/>
            <c:spPr>
              <a:solidFill>
                <a:srgbClr val="F4B942"/>
              </a:solidFill>
              <a:ln>
                <a:prstDash val="solid"/>
              </a:ln>
            </c:spPr>
            <c:extLst>
              <c:ext xmlns:c16="http://schemas.microsoft.com/office/drawing/2014/chart" uri="{C3380CC4-5D6E-409C-BE32-E72D297353CC}">
                <c16:uniqueId val="{0000000D-8350-2241-BE8A-F0C4D31E9C86}"/>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'Price Tiers'!$A$3:$A$9</c:f>
              <c:strCache>
                <c:ptCount val="7"/>
                <c:pt idx="0">
                  <c:v>$0-40</c:v>
                </c:pt>
                <c:pt idx="1">
                  <c:v>$40-60</c:v>
                </c:pt>
                <c:pt idx="2">
                  <c:v>$60-90</c:v>
                </c:pt>
                <c:pt idx="3">
                  <c:v>$90-100</c:v>
                </c:pt>
                <c:pt idx="4">
                  <c:v>$100-150</c:v>
                </c:pt>
                <c:pt idx="5">
                  <c:v>$150-200</c:v>
                </c:pt>
                <c:pt idx="6">
                  <c:v>$200+</c:v>
                </c:pt>
              </c:strCache>
            </c:strRef>
          </c:cat>
          <c:val>
            <c:numRef>
              <c:f>'Price Tiers'!$B$3:$B$9</c:f>
              <c:numCache>
                <c:formatCode>\$#,##0</c:formatCode>
                <c:ptCount val="7"/>
                <c:pt idx="0">
                  <c:v>167037.29</c:v>
                </c:pt>
                <c:pt idx="1">
                  <c:v>106669.37</c:v>
                </c:pt>
                <c:pt idx="2">
                  <c:v>266987.24</c:v>
                </c:pt>
                <c:pt idx="3">
                  <c:v>171617.38</c:v>
                </c:pt>
                <c:pt idx="4">
                  <c:v>1922667.56</c:v>
                </c:pt>
                <c:pt idx="5">
                  <c:v>206722.76</c:v>
                </c:pt>
                <c:pt idx="6">
                  <c:v>596767.22</c:v>
                </c:pt>
              </c:numCache>
            </c:numRef>
          </c:val>
          <c:extLst>
            <c:ext xmlns:c16="http://schemas.microsoft.com/office/drawing/2014/chart" uri="{C3380CC4-5D6E-409C-BE32-E72D297353CC}">
              <c16:uniqueId val="{0000000E-8350-2241-BE8A-F0C4D31E9C86}"/>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t>Price Tier</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Revenue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Unit Share by Price Tier</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'Price Tiers'!$A$3:$A$9</c:f>
              <c:strCache>
                <c:ptCount val="7"/>
                <c:pt idx="0">
                  <c:v>$0-40</c:v>
                </c:pt>
                <c:pt idx="1">
                  <c:v>$40-60</c:v>
                </c:pt>
                <c:pt idx="2">
                  <c:v>$60-90</c:v>
                </c:pt>
                <c:pt idx="3">
                  <c:v>$90-100</c:v>
                </c:pt>
                <c:pt idx="4">
                  <c:v>$100-150</c:v>
                </c:pt>
                <c:pt idx="5">
                  <c:v>$150-200</c:v>
                </c:pt>
                <c:pt idx="6">
                  <c:v>$200+</c:v>
                </c:pt>
              </c:strCache>
            </c:strRef>
          </c:cat>
          <c:val>
            <c:numRef>
              <c:f>'Price Tiers'!$E$3:$E$9</c:f>
              <c:numCache>
                <c:formatCode>0.0%</c:formatCode>
                <c:ptCount val="7"/>
                <c:pt idx="0">
                  <c:v>0.1993</c:v>
                </c:pt>
                <c:pt idx="1">
                  <c:v>6.4799999999999996E-2</c:v>
                </c:pt>
                <c:pt idx="2">
                  <c:v>0.1087</c:v>
                </c:pt>
                <c:pt idx="3">
                  <c:v>5.5E-2</c:v>
                </c:pt>
                <c:pt idx="4">
                  <c:v>0.4713</c:v>
                </c:pt>
                <c:pt idx="5">
                  <c:v>4.4699999999999997E-2</c:v>
                </c:pt>
                <c:pt idx="6">
                  <c:v>5.62E-2</c:v>
                </c:pt>
              </c:numCache>
            </c:numRef>
          </c:val>
          <c:extLst>
            <c:ext xmlns:c16="http://schemas.microsoft.com/office/drawing/2014/chart" uri="{C3380CC4-5D6E-409C-BE32-E72D297353CC}">
              <c16:uniqueId val="{00000000-39AE-D94D-AE47-5F5109C877C8}"/>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Revenue Share by Price Tier</a:t>
            </a:r>
          </a:p>
        </c:rich>
      </c:tx>
      <c:overlay val="1"/>
    </c:title>
    <c:autoTitleDeleted val="0"/>
    <c:plotArea>
      <c:layout/>
      <c:barChart>
        <c:barDir val="col"/>
        <c:grouping val="clustered"/>
        <c:varyColors val="1"/>
        <c:ser>
          <c:idx val="0"/>
          <c:order val="0"/>
          <c:tx>
            <c:strRef>
              <c:f>'Price Tiers'!$D$2</c:f>
              <c:strCache>
                <c:ptCount val="1"/>
                <c:pt idx="0">
                  <c:v>Rev Share %</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9A1E-2843-8585-79C3FE116234}"/>
              </c:ext>
            </c:extLst>
          </c:dPt>
          <c:dPt>
            <c:idx val="1"/>
            <c:invertIfNegative val="1"/>
            <c:bubble3D val="0"/>
            <c:spPr>
              <a:solidFill>
                <a:srgbClr val="8E7CC3"/>
              </a:solidFill>
              <a:ln>
                <a:prstDash val="solid"/>
              </a:ln>
            </c:spPr>
            <c:extLst>
              <c:ext xmlns:c16="http://schemas.microsoft.com/office/drawing/2014/chart" uri="{C3380CC4-5D6E-409C-BE32-E72D297353CC}">
                <c16:uniqueId val="{00000003-9A1E-2843-8585-79C3FE116234}"/>
              </c:ext>
            </c:extLst>
          </c:dPt>
          <c:dPt>
            <c:idx val="2"/>
            <c:invertIfNegative val="1"/>
            <c:bubble3D val="0"/>
            <c:spPr>
              <a:solidFill>
                <a:srgbClr val="B4A7D6"/>
              </a:solidFill>
              <a:ln>
                <a:prstDash val="solid"/>
              </a:ln>
            </c:spPr>
            <c:extLst>
              <c:ext xmlns:c16="http://schemas.microsoft.com/office/drawing/2014/chart" uri="{C3380CC4-5D6E-409C-BE32-E72D297353CC}">
                <c16:uniqueId val="{00000005-9A1E-2843-8585-79C3FE116234}"/>
              </c:ext>
            </c:extLst>
          </c:dPt>
          <c:dPt>
            <c:idx val="3"/>
            <c:invertIfNegative val="1"/>
            <c:bubble3D val="0"/>
            <c:spPr>
              <a:solidFill>
                <a:srgbClr val="4A90E2"/>
              </a:solidFill>
              <a:ln>
                <a:prstDash val="solid"/>
              </a:ln>
            </c:spPr>
            <c:extLst>
              <c:ext xmlns:c16="http://schemas.microsoft.com/office/drawing/2014/chart" uri="{C3380CC4-5D6E-409C-BE32-E72D297353CC}">
                <c16:uniqueId val="{00000007-9A1E-2843-8585-79C3FE116234}"/>
              </c:ext>
            </c:extLst>
          </c:dPt>
          <c:dPt>
            <c:idx val="4"/>
            <c:invertIfNegative val="1"/>
            <c:bubble3D val="0"/>
            <c:spPr>
              <a:solidFill>
                <a:srgbClr val="50C2C9"/>
              </a:solidFill>
              <a:ln>
                <a:prstDash val="solid"/>
              </a:ln>
            </c:spPr>
            <c:extLst>
              <c:ext xmlns:c16="http://schemas.microsoft.com/office/drawing/2014/chart" uri="{C3380CC4-5D6E-409C-BE32-E72D297353CC}">
                <c16:uniqueId val="{00000009-9A1E-2843-8585-79C3FE116234}"/>
              </c:ext>
            </c:extLst>
          </c:dPt>
          <c:dPt>
            <c:idx val="5"/>
            <c:invertIfNegative val="1"/>
            <c:bubble3D val="0"/>
            <c:spPr>
              <a:solidFill>
                <a:srgbClr val="7FB069"/>
              </a:solidFill>
              <a:ln>
                <a:prstDash val="solid"/>
              </a:ln>
            </c:spPr>
            <c:extLst>
              <c:ext xmlns:c16="http://schemas.microsoft.com/office/drawing/2014/chart" uri="{C3380CC4-5D6E-409C-BE32-E72D297353CC}">
                <c16:uniqueId val="{0000000B-9A1E-2843-8585-79C3FE116234}"/>
              </c:ext>
            </c:extLst>
          </c:dPt>
          <c:dPt>
            <c:idx val="6"/>
            <c:invertIfNegative val="1"/>
            <c:bubble3D val="0"/>
            <c:spPr>
              <a:solidFill>
                <a:srgbClr val="F4B942"/>
              </a:solidFill>
              <a:ln>
                <a:prstDash val="solid"/>
              </a:ln>
            </c:spPr>
            <c:extLst>
              <c:ext xmlns:c16="http://schemas.microsoft.com/office/drawing/2014/chart" uri="{C3380CC4-5D6E-409C-BE32-E72D297353CC}">
                <c16:uniqueId val="{0000000D-9A1E-2843-8585-79C3FE116234}"/>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'Price Tiers'!$A$3:$A$9</c:f>
              <c:strCache>
                <c:ptCount val="7"/>
                <c:pt idx="0">
                  <c:v>$0-40</c:v>
                </c:pt>
                <c:pt idx="1">
                  <c:v>$40-60</c:v>
                </c:pt>
                <c:pt idx="2">
                  <c:v>$60-90</c:v>
                </c:pt>
                <c:pt idx="3">
                  <c:v>$90-100</c:v>
                </c:pt>
                <c:pt idx="4">
                  <c:v>$100-150</c:v>
                </c:pt>
                <c:pt idx="5">
                  <c:v>$150-200</c:v>
                </c:pt>
                <c:pt idx="6">
                  <c:v>$200+</c:v>
                </c:pt>
              </c:strCache>
            </c:strRef>
          </c:cat>
          <c:val>
            <c:numRef>
              <c:f>'Price Tiers'!$D$3:$D$9</c:f>
              <c:numCache>
                <c:formatCode>0.0%</c:formatCode>
                <c:ptCount val="7"/>
                <c:pt idx="0">
                  <c:v>4.8599999999999997E-2</c:v>
                </c:pt>
                <c:pt idx="1">
                  <c:v>3.1E-2</c:v>
                </c:pt>
                <c:pt idx="2">
                  <c:v>7.7600000000000002E-2</c:v>
                </c:pt>
                <c:pt idx="3">
                  <c:v>4.99E-2</c:v>
                </c:pt>
                <c:pt idx="4">
                  <c:v>0.55920000000000003</c:v>
                </c:pt>
                <c:pt idx="5">
                  <c:v>6.0100000000000001E-2</c:v>
                </c:pt>
                <c:pt idx="6">
                  <c:v>0.1736</c:v>
                </c:pt>
              </c:numCache>
            </c:numRef>
          </c:val>
          <c:extLst>
            <c:ext xmlns:c16="http://schemas.microsoft.com/office/drawing/2014/chart" uri="{C3380CC4-5D6E-409C-BE32-E72D297353CC}">
              <c16:uniqueId val="{0000000E-9A1E-2843-8585-79C3FE116234}"/>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t>Price Tier</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Revenue Share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8</xdr:col>
      <xdr:colOff>0</xdr:colOff>
      <xdr:row>2</xdr:row>
      <xdr:rowOff>0</xdr:rowOff>
    </xdr:from>
    <xdr:ext cx="11520000" cy="79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45</xdr:row>
      <xdr:rowOff>152400</xdr:rowOff>
    </xdr:from>
    <xdr:ext cx="9360000" cy="79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2</xdr:row>
      <xdr:rowOff>0</xdr:rowOff>
    </xdr:from>
    <xdr:ext cx="9360000" cy="64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23</xdr:row>
      <xdr:rowOff>0</xdr:rowOff>
    </xdr:from>
    <xdr:ext cx="9360000" cy="79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47</xdr:row>
      <xdr:rowOff>0</xdr:rowOff>
    </xdr:from>
    <xdr:ext cx="9360000" cy="648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2</xdr:row>
      <xdr:rowOff>0</xdr:rowOff>
    </xdr:from>
    <xdr:ext cx="9360000" cy="64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23</xdr:row>
      <xdr:rowOff>0</xdr:rowOff>
    </xdr:from>
    <xdr:ext cx="9360000" cy="79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47</xdr:row>
      <xdr:rowOff>0</xdr:rowOff>
    </xdr:from>
    <xdr:ext cx="9360000" cy="648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7"/>
  <sheetViews>
    <sheetView tabSelected="1" workbookViewId="0">
      <pane ySplit="2" topLeftCell="A3" activePane="bottomLeft" state="frozen"/>
      <selection pane="bottomLeft" activeCell="Y50" sqref="Y50"/>
    </sheetView>
  </sheetViews>
  <sheetFormatPr baseColWidth="10" defaultColWidth="8.83203125" defaultRowHeight="15" x14ac:dyDescent="0.2"/>
  <cols>
    <col min="1" max="1" width="22" customWidth="1"/>
    <col min="2" max="2" width="14" customWidth="1"/>
    <col min="3" max="4" width="16" customWidth="1"/>
    <col min="5" max="5" width="18" customWidth="1"/>
    <col min="6" max="6" width="14" customWidth="1"/>
    <col min="7" max="7" width="12" customWidth="1"/>
  </cols>
  <sheetData>
    <row r="1" spans="1:7" ht="34" customHeight="1" x14ac:dyDescent="0.2">
      <c r="A1" s="21" t="s">
        <v>0</v>
      </c>
      <c r="B1" s="22"/>
      <c r="C1" s="22"/>
      <c r="D1" s="22"/>
      <c r="E1" s="22"/>
      <c r="F1" s="22"/>
      <c r="G1" s="22"/>
    </row>
    <row r="2" spans="1:7" ht="30" customHeight="1" x14ac:dyDescent="0.2">
      <c r="A2" s="1" t="s">
        <v>1</v>
      </c>
      <c r="B2" s="1" t="s">
        <v>2</v>
      </c>
      <c r="C2" s="1" t="s">
        <v>3</v>
      </c>
      <c r="D2" s="1" t="s">
        <v>4</v>
      </c>
      <c r="E2" s="1" t="s">
        <v>5</v>
      </c>
      <c r="F2" s="1" t="s">
        <v>6</v>
      </c>
      <c r="G2" s="1" t="s">
        <v>7</v>
      </c>
    </row>
    <row r="3" spans="1:7" x14ac:dyDescent="0.2">
      <c r="A3" s="2" t="s">
        <v>8</v>
      </c>
      <c r="B3" s="3">
        <v>40</v>
      </c>
      <c r="C3" s="4">
        <v>1902848.83</v>
      </c>
      <c r="D3" s="3">
        <v>12979</v>
      </c>
      <c r="E3" s="5">
        <v>0.5534</v>
      </c>
      <c r="F3" s="4">
        <v>146.61000000000001</v>
      </c>
      <c r="G3" s="6">
        <v>4.57</v>
      </c>
    </row>
    <row r="4" spans="1:7" x14ac:dyDescent="0.2">
      <c r="A4" s="7" t="s">
        <v>9</v>
      </c>
      <c r="B4" s="8">
        <v>4</v>
      </c>
      <c r="C4" s="9">
        <v>347820.17</v>
      </c>
      <c r="D4" s="8">
        <v>2501</v>
      </c>
      <c r="E4" s="10">
        <v>0.1012</v>
      </c>
      <c r="F4" s="9">
        <v>139.07</v>
      </c>
      <c r="G4" s="11">
        <v>4.55</v>
      </c>
    </row>
    <row r="5" spans="1:7" x14ac:dyDescent="0.2">
      <c r="A5" s="2" t="s">
        <v>10</v>
      </c>
      <c r="B5" s="3">
        <v>14</v>
      </c>
      <c r="C5" s="4">
        <v>185835.72</v>
      </c>
      <c r="D5" s="3">
        <v>1807</v>
      </c>
      <c r="E5" s="5">
        <v>5.3999999999999999E-2</v>
      </c>
      <c r="F5" s="4">
        <v>102.84</v>
      </c>
      <c r="G5" s="6">
        <v>4.47</v>
      </c>
    </row>
    <row r="6" spans="1:7" x14ac:dyDescent="0.2">
      <c r="A6" s="7" t="s">
        <v>11</v>
      </c>
      <c r="B6" s="8">
        <v>25</v>
      </c>
      <c r="C6" s="9">
        <v>175634.34</v>
      </c>
      <c r="D6" s="8">
        <v>910</v>
      </c>
      <c r="E6" s="10">
        <v>5.11E-2</v>
      </c>
      <c r="F6" s="9">
        <v>193</v>
      </c>
      <c r="G6" s="11">
        <v>4.37</v>
      </c>
    </row>
    <row r="7" spans="1:7" x14ac:dyDescent="0.2">
      <c r="A7" s="2" t="s">
        <v>12</v>
      </c>
      <c r="B7" s="3">
        <v>9</v>
      </c>
      <c r="C7" s="4">
        <v>116916.41</v>
      </c>
      <c r="D7" s="3">
        <v>1500</v>
      </c>
      <c r="E7" s="5">
        <v>3.4000000000000002E-2</v>
      </c>
      <c r="F7" s="4">
        <v>77.94</v>
      </c>
      <c r="G7" s="6">
        <v>4.5199999999999996</v>
      </c>
    </row>
    <row r="8" spans="1:7" x14ac:dyDescent="0.2">
      <c r="A8" s="7" t="s">
        <v>13</v>
      </c>
      <c r="B8" s="8">
        <v>8</v>
      </c>
      <c r="C8" s="9">
        <v>66114.66</v>
      </c>
      <c r="D8" s="8">
        <v>918</v>
      </c>
      <c r="E8" s="10">
        <v>1.9199999999999998E-2</v>
      </c>
      <c r="F8" s="9">
        <v>72.02</v>
      </c>
      <c r="G8" s="11">
        <v>4.46</v>
      </c>
    </row>
    <row r="9" spans="1:7" x14ac:dyDescent="0.2">
      <c r="A9" s="2" t="s">
        <v>14</v>
      </c>
      <c r="B9" s="3">
        <v>4</v>
      </c>
      <c r="C9" s="4">
        <v>66031.94</v>
      </c>
      <c r="D9" s="3">
        <v>450</v>
      </c>
      <c r="E9" s="5">
        <v>1.9199999999999998E-2</v>
      </c>
      <c r="F9" s="4">
        <v>146.74</v>
      </c>
      <c r="G9" s="6">
        <v>4.6399999999999997</v>
      </c>
    </row>
    <row r="10" spans="1:7" x14ac:dyDescent="0.2">
      <c r="A10" s="7" t="s">
        <v>15</v>
      </c>
      <c r="B10" s="8">
        <v>5</v>
      </c>
      <c r="C10" s="9">
        <v>45541.38</v>
      </c>
      <c r="D10" s="8">
        <v>812</v>
      </c>
      <c r="E10" s="10">
        <v>1.32E-2</v>
      </c>
      <c r="F10" s="9">
        <v>56.09</v>
      </c>
      <c r="G10" s="11">
        <v>4.6100000000000003</v>
      </c>
    </row>
    <row r="11" spans="1:7" x14ac:dyDescent="0.2">
      <c r="A11" s="2" t="s">
        <v>16</v>
      </c>
      <c r="B11" s="3">
        <v>2</v>
      </c>
      <c r="C11" s="4">
        <v>42439.15</v>
      </c>
      <c r="D11" s="3">
        <v>460</v>
      </c>
      <c r="E11" s="5">
        <v>1.23E-2</v>
      </c>
      <c r="F11" s="4">
        <v>92.26</v>
      </c>
      <c r="G11" s="6">
        <v>4.5999999999999996</v>
      </c>
    </row>
    <row r="12" spans="1:7" x14ac:dyDescent="0.2">
      <c r="A12" s="7" t="s">
        <v>17</v>
      </c>
      <c r="B12" s="8">
        <v>1</v>
      </c>
      <c r="C12" s="9">
        <v>41716.44</v>
      </c>
      <c r="D12" s="8">
        <v>363</v>
      </c>
      <c r="E12" s="10">
        <v>1.21E-2</v>
      </c>
      <c r="F12" s="9">
        <v>114.92</v>
      </c>
      <c r="G12" s="11">
        <v>4.7</v>
      </c>
    </row>
    <row r="13" spans="1:7" x14ac:dyDescent="0.2">
      <c r="A13" s="2" t="s">
        <v>18</v>
      </c>
      <c r="B13" s="3">
        <v>5</v>
      </c>
      <c r="C13" s="4">
        <v>34255.85</v>
      </c>
      <c r="D13" s="3">
        <v>644</v>
      </c>
      <c r="E13" s="5">
        <v>0.01</v>
      </c>
      <c r="F13" s="4">
        <v>53.19</v>
      </c>
      <c r="G13" s="6">
        <v>4.47</v>
      </c>
    </row>
    <row r="14" spans="1:7" x14ac:dyDescent="0.2">
      <c r="A14" s="7" t="s">
        <v>19</v>
      </c>
      <c r="B14" s="8">
        <v>2</v>
      </c>
      <c r="C14" s="9">
        <v>30388.75</v>
      </c>
      <c r="D14" s="8">
        <v>1641</v>
      </c>
      <c r="E14" s="10">
        <v>8.8000000000000005E-3</v>
      </c>
      <c r="F14" s="9">
        <v>18.52</v>
      </c>
      <c r="G14" s="11">
        <v>4.4000000000000004</v>
      </c>
    </row>
    <row r="15" spans="1:7" x14ac:dyDescent="0.2">
      <c r="A15" s="2" t="s">
        <v>20</v>
      </c>
      <c r="B15" s="3">
        <v>5</v>
      </c>
      <c r="C15" s="4">
        <v>29507.56</v>
      </c>
      <c r="D15" s="3">
        <v>561</v>
      </c>
      <c r="E15" s="5">
        <v>8.6E-3</v>
      </c>
      <c r="F15" s="4">
        <v>52.6</v>
      </c>
      <c r="G15" s="6">
        <v>4.6900000000000004</v>
      </c>
    </row>
    <row r="16" spans="1:7" x14ac:dyDescent="0.2">
      <c r="A16" s="7" t="s">
        <v>21</v>
      </c>
      <c r="B16" s="8">
        <v>5</v>
      </c>
      <c r="C16" s="9">
        <v>28386.01</v>
      </c>
      <c r="D16" s="8">
        <v>128</v>
      </c>
      <c r="E16" s="10">
        <v>8.3000000000000001E-3</v>
      </c>
      <c r="F16" s="9">
        <v>221.77</v>
      </c>
      <c r="G16" s="11">
        <v>4.67</v>
      </c>
    </row>
    <row r="17" spans="1:7" x14ac:dyDescent="0.2">
      <c r="A17" s="2" t="s">
        <v>22</v>
      </c>
      <c r="B17" s="3">
        <v>4</v>
      </c>
      <c r="C17" s="4">
        <v>24630.27</v>
      </c>
      <c r="D17" s="3">
        <v>277</v>
      </c>
      <c r="E17" s="5">
        <v>7.1999999999999998E-3</v>
      </c>
      <c r="F17" s="4">
        <v>88.92</v>
      </c>
      <c r="G17" s="6">
        <v>4.6100000000000003</v>
      </c>
    </row>
    <row r="18" spans="1:7" x14ac:dyDescent="0.2">
      <c r="A18" s="7" t="s">
        <v>23</v>
      </c>
      <c r="B18" s="8">
        <v>8</v>
      </c>
      <c r="C18" s="9">
        <v>24428.04</v>
      </c>
      <c r="D18" s="8">
        <v>305</v>
      </c>
      <c r="E18" s="10">
        <v>7.1000000000000004E-3</v>
      </c>
      <c r="F18" s="9">
        <v>80.09</v>
      </c>
      <c r="G18" s="11">
        <v>4.4800000000000004</v>
      </c>
    </row>
    <row r="19" spans="1:7" x14ac:dyDescent="0.2">
      <c r="A19" s="2" t="s">
        <v>24</v>
      </c>
      <c r="B19" s="3">
        <v>2</v>
      </c>
      <c r="C19" s="4">
        <v>22350.65</v>
      </c>
      <c r="D19" s="3">
        <v>328</v>
      </c>
      <c r="E19" s="5">
        <v>6.4999999999999997E-3</v>
      </c>
      <c r="F19" s="4">
        <v>68.14</v>
      </c>
      <c r="G19" s="6">
        <v>4.5</v>
      </c>
    </row>
    <row r="20" spans="1:7" x14ac:dyDescent="0.2">
      <c r="A20" s="7" t="s">
        <v>25</v>
      </c>
      <c r="B20" s="8">
        <v>45</v>
      </c>
      <c r="C20" s="9">
        <v>20982.85</v>
      </c>
      <c r="D20" s="8">
        <v>55</v>
      </c>
      <c r="E20" s="10">
        <v>6.1000000000000004E-3</v>
      </c>
      <c r="F20" s="9">
        <v>381.51</v>
      </c>
      <c r="G20" s="11">
        <v>3.99</v>
      </c>
    </row>
    <row r="21" spans="1:7" x14ac:dyDescent="0.2">
      <c r="A21" s="2" t="s">
        <v>26</v>
      </c>
      <c r="B21" s="3">
        <v>5</v>
      </c>
      <c r="C21" s="4">
        <v>19959.12</v>
      </c>
      <c r="D21" s="3">
        <v>546</v>
      </c>
      <c r="E21" s="5">
        <v>5.7999999999999996E-3</v>
      </c>
      <c r="F21" s="4">
        <v>36.56</v>
      </c>
      <c r="G21" s="6">
        <v>4.42</v>
      </c>
    </row>
    <row r="22" spans="1:7" x14ac:dyDescent="0.2">
      <c r="A22" s="7" t="s">
        <v>27</v>
      </c>
      <c r="B22" s="8">
        <v>3</v>
      </c>
      <c r="C22" s="9">
        <v>17282.64</v>
      </c>
      <c r="D22" s="8">
        <v>164</v>
      </c>
      <c r="E22" s="10">
        <v>5.0000000000000001E-3</v>
      </c>
      <c r="F22" s="9">
        <v>105.38</v>
      </c>
      <c r="G22" s="11">
        <v>4.7</v>
      </c>
    </row>
    <row r="23" spans="1:7" x14ac:dyDescent="0.2">
      <c r="A23" s="2" t="s">
        <v>28</v>
      </c>
      <c r="B23" s="3">
        <v>5</v>
      </c>
      <c r="C23" s="4">
        <v>14087.18</v>
      </c>
      <c r="D23" s="3">
        <v>577</v>
      </c>
      <c r="E23" s="5">
        <v>4.1000000000000003E-3</v>
      </c>
      <c r="F23" s="4">
        <v>24.41</v>
      </c>
      <c r="G23" s="6">
        <v>4.1399999999999997</v>
      </c>
    </row>
    <row r="24" spans="1:7" x14ac:dyDescent="0.2">
      <c r="A24" s="7" t="s">
        <v>29</v>
      </c>
      <c r="B24" s="8">
        <v>3</v>
      </c>
      <c r="C24" s="9">
        <v>11941.05</v>
      </c>
      <c r="D24" s="8">
        <v>430</v>
      </c>
      <c r="E24" s="10">
        <v>3.5000000000000001E-3</v>
      </c>
      <c r="F24" s="9">
        <v>27.77</v>
      </c>
      <c r="G24" s="11">
        <v>4.32</v>
      </c>
    </row>
    <row r="25" spans="1:7" x14ac:dyDescent="0.2">
      <c r="A25" s="2" t="s">
        <v>30</v>
      </c>
      <c r="B25" s="3">
        <v>4</v>
      </c>
      <c r="C25" s="4">
        <v>8556.2999999999993</v>
      </c>
      <c r="D25" s="3">
        <v>65</v>
      </c>
      <c r="E25" s="5">
        <v>2.5000000000000001E-3</v>
      </c>
      <c r="F25" s="4">
        <v>131.63999999999999</v>
      </c>
      <c r="G25" s="6">
        <v>4.04</v>
      </c>
    </row>
    <row r="26" spans="1:7" x14ac:dyDescent="0.2">
      <c r="A26" s="7" t="s">
        <v>31</v>
      </c>
      <c r="B26" s="8">
        <v>2</v>
      </c>
      <c r="C26" s="9">
        <v>8272.77</v>
      </c>
      <c r="D26" s="8">
        <v>86</v>
      </c>
      <c r="E26" s="10">
        <v>2.3999999999999998E-3</v>
      </c>
      <c r="F26" s="9">
        <v>96.2</v>
      </c>
      <c r="G26" s="11">
        <v>4.9000000000000004</v>
      </c>
    </row>
    <row r="27" spans="1:7" x14ac:dyDescent="0.2">
      <c r="A27" s="2" t="s">
        <v>32</v>
      </c>
      <c r="B27" s="3">
        <v>1</v>
      </c>
      <c r="C27" s="4">
        <v>8238.26</v>
      </c>
      <c r="D27" s="3">
        <v>78</v>
      </c>
      <c r="E27" s="5">
        <v>2.3999999999999998E-3</v>
      </c>
      <c r="F27" s="4">
        <v>105.62</v>
      </c>
      <c r="G27" s="6">
        <v>4.5999999999999996</v>
      </c>
    </row>
    <row r="28" spans="1:7" x14ac:dyDescent="0.2">
      <c r="A28" s="7" t="s">
        <v>33</v>
      </c>
      <c r="B28" s="8">
        <v>7</v>
      </c>
      <c r="C28" s="9">
        <v>7483.01</v>
      </c>
      <c r="D28" s="8">
        <v>228</v>
      </c>
      <c r="E28" s="10">
        <v>2.2000000000000001E-3</v>
      </c>
      <c r="F28" s="9">
        <v>32.82</v>
      </c>
      <c r="G28" s="11">
        <v>4.22</v>
      </c>
    </row>
    <row r="29" spans="1:7" x14ac:dyDescent="0.2">
      <c r="A29" s="2" t="s">
        <v>34</v>
      </c>
      <c r="B29" s="3">
        <v>1</v>
      </c>
      <c r="C29" s="4">
        <v>7105.56</v>
      </c>
      <c r="D29" s="3">
        <v>100</v>
      </c>
      <c r="E29" s="5">
        <v>2.0999999999999999E-3</v>
      </c>
      <c r="F29" s="4">
        <v>71.06</v>
      </c>
      <c r="G29" s="6">
        <v>4.9000000000000004</v>
      </c>
    </row>
    <row r="30" spans="1:7" x14ac:dyDescent="0.2">
      <c r="A30" s="7" t="s">
        <v>35</v>
      </c>
      <c r="B30" s="8">
        <v>3</v>
      </c>
      <c r="C30" s="9">
        <v>6089.4</v>
      </c>
      <c r="D30" s="8">
        <v>13</v>
      </c>
      <c r="E30" s="10">
        <v>1.8E-3</v>
      </c>
      <c r="F30" s="9">
        <v>468.42</v>
      </c>
      <c r="G30" s="11">
        <v>4.18</v>
      </c>
    </row>
    <row r="31" spans="1:7" x14ac:dyDescent="0.2">
      <c r="A31" s="2" t="s">
        <v>36</v>
      </c>
      <c r="B31" s="3">
        <v>5</v>
      </c>
      <c r="C31" s="4">
        <v>5822.94</v>
      </c>
      <c r="D31" s="3">
        <v>13</v>
      </c>
      <c r="E31" s="5">
        <v>1.6999999999999999E-3</v>
      </c>
      <c r="F31" s="4">
        <v>447.92</v>
      </c>
      <c r="G31" s="6">
        <v>3.78</v>
      </c>
    </row>
    <row r="32" spans="1:7" x14ac:dyDescent="0.2">
      <c r="A32" s="7" t="s">
        <v>37</v>
      </c>
      <c r="B32" s="8">
        <v>8</v>
      </c>
      <c r="C32" s="9">
        <v>5413.78</v>
      </c>
      <c r="D32" s="8">
        <v>40</v>
      </c>
      <c r="E32" s="10">
        <v>1.6000000000000001E-3</v>
      </c>
      <c r="F32" s="9">
        <v>135.34</v>
      </c>
      <c r="G32" s="11">
        <v>4.58</v>
      </c>
    </row>
    <row r="33" spans="1:7" x14ac:dyDescent="0.2">
      <c r="A33" s="2" t="s">
        <v>38</v>
      </c>
      <c r="B33" s="3">
        <v>3</v>
      </c>
      <c r="C33" s="4">
        <v>5223.25</v>
      </c>
      <c r="D33" s="3">
        <v>44</v>
      </c>
      <c r="E33" s="5">
        <v>1.5E-3</v>
      </c>
      <c r="F33" s="4">
        <v>118.71</v>
      </c>
      <c r="G33" s="6">
        <v>4.4000000000000004</v>
      </c>
    </row>
    <row r="34" spans="1:7" x14ac:dyDescent="0.2">
      <c r="A34" s="7" t="s">
        <v>39</v>
      </c>
      <c r="B34" s="8">
        <v>4</v>
      </c>
      <c r="C34" s="9">
        <v>5040.6400000000003</v>
      </c>
      <c r="D34" s="8">
        <v>37</v>
      </c>
      <c r="E34" s="10">
        <v>1.5E-3</v>
      </c>
      <c r="F34" s="9">
        <v>136.22999999999999</v>
      </c>
      <c r="G34" s="11">
        <v>4.47</v>
      </c>
    </row>
    <row r="35" spans="1:7" x14ac:dyDescent="0.2">
      <c r="A35" s="2" t="s">
        <v>40</v>
      </c>
      <c r="B35" s="3">
        <v>3</v>
      </c>
      <c r="C35" s="4">
        <v>4918.18</v>
      </c>
      <c r="D35" s="3">
        <v>92</v>
      </c>
      <c r="E35" s="5">
        <v>1.4E-3</v>
      </c>
      <c r="F35" s="4">
        <v>53.46</v>
      </c>
      <c r="G35" s="6">
        <v>4.3</v>
      </c>
    </row>
    <row r="36" spans="1:7" x14ac:dyDescent="0.2">
      <c r="A36" s="7" t="s">
        <v>41</v>
      </c>
      <c r="B36" s="8">
        <v>1</v>
      </c>
      <c r="C36" s="9">
        <v>4645.54</v>
      </c>
      <c r="D36" s="8">
        <v>38</v>
      </c>
      <c r="E36" s="10">
        <v>1.4E-3</v>
      </c>
      <c r="F36" s="9">
        <v>122.25</v>
      </c>
      <c r="G36" s="11">
        <v>4.4000000000000004</v>
      </c>
    </row>
    <row r="37" spans="1:7" x14ac:dyDescent="0.2">
      <c r="A37" s="2" t="s">
        <v>42</v>
      </c>
      <c r="B37" s="3">
        <v>1</v>
      </c>
      <c r="C37" s="4">
        <v>4630.7700000000004</v>
      </c>
      <c r="D37" s="3">
        <v>165</v>
      </c>
      <c r="E37" s="5">
        <v>1.2999999999999999E-3</v>
      </c>
      <c r="F37" s="4">
        <v>28.07</v>
      </c>
      <c r="G37" s="6">
        <v>4.5</v>
      </c>
    </row>
    <row r="38" spans="1:7" x14ac:dyDescent="0.2">
      <c r="A38" s="7" t="s">
        <v>43</v>
      </c>
      <c r="B38" s="8">
        <v>1</v>
      </c>
      <c r="C38" s="9">
        <v>4573.26</v>
      </c>
      <c r="D38" s="8">
        <v>15</v>
      </c>
      <c r="E38" s="10">
        <v>1.2999999999999999E-3</v>
      </c>
      <c r="F38" s="9">
        <v>304.88</v>
      </c>
      <c r="G38" s="11">
        <v>4.5</v>
      </c>
    </row>
    <row r="39" spans="1:7" x14ac:dyDescent="0.2">
      <c r="A39" s="2" t="s">
        <v>44</v>
      </c>
      <c r="B39" s="3">
        <v>4</v>
      </c>
      <c r="C39" s="4">
        <v>4525.7299999999996</v>
      </c>
      <c r="D39" s="3">
        <v>44</v>
      </c>
      <c r="E39" s="5">
        <v>1.2999999999999999E-3</v>
      </c>
      <c r="F39" s="4">
        <v>102.86</v>
      </c>
      <c r="G39" s="6">
        <v>4.3600000000000003</v>
      </c>
    </row>
    <row r="40" spans="1:7" x14ac:dyDescent="0.2">
      <c r="A40" s="7" t="s">
        <v>45</v>
      </c>
      <c r="B40" s="8">
        <v>1</v>
      </c>
      <c r="C40" s="9">
        <v>4107.04</v>
      </c>
      <c r="D40" s="8">
        <v>165</v>
      </c>
      <c r="E40" s="10">
        <v>1.1999999999999999E-3</v>
      </c>
      <c r="F40" s="9">
        <v>24.89</v>
      </c>
      <c r="G40" s="11">
        <v>4.5</v>
      </c>
    </row>
    <row r="41" spans="1:7" x14ac:dyDescent="0.2">
      <c r="A41" s="2" t="s">
        <v>46</v>
      </c>
      <c r="B41" s="3">
        <v>6</v>
      </c>
      <c r="C41" s="4">
        <v>3882.25</v>
      </c>
      <c r="D41" s="3">
        <v>103</v>
      </c>
      <c r="E41" s="5">
        <v>1.1000000000000001E-3</v>
      </c>
      <c r="F41" s="4">
        <v>37.69</v>
      </c>
      <c r="G41" s="6">
        <v>4.13</v>
      </c>
    </row>
    <row r="42" spans="1:7" x14ac:dyDescent="0.2">
      <c r="A42" s="7" t="s">
        <v>47</v>
      </c>
      <c r="B42" s="8">
        <v>2</v>
      </c>
      <c r="C42" s="9">
        <v>3875.68</v>
      </c>
      <c r="D42" s="8">
        <v>8</v>
      </c>
      <c r="E42" s="10">
        <v>1.1000000000000001E-3</v>
      </c>
      <c r="F42" s="9">
        <v>484.46</v>
      </c>
      <c r="G42" s="11">
        <v>3.88</v>
      </c>
    </row>
    <row r="43" spans="1:7" x14ac:dyDescent="0.2">
      <c r="A43" s="2" t="s">
        <v>48</v>
      </c>
      <c r="B43" s="3">
        <v>3</v>
      </c>
      <c r="C43" s="4">
        <v>3351.68</v>
      </c>
      <c r="D43" s="3">
        <v>33</v>
      </c>
      <c r="E43" s="5">
        <v>1E-3</v>
      </c>
      <c r="F43" s="4">
        <v>101.57</v>
      </c>
      <c r="G43" s="6">
        <v>5</v>
      </c>
    </row>
    <row r="44" spans="1:7" x14ac:dyDescent="0.2">
      <c r="A44" s="7" t="s">
        <v>49</v>
      </c>
      <c r="B44" s="8">
        <v>2</v>
      </c>
      <c r="C44" s="9">
        <v>3224.19</v>
      </c>
      <c r="D44" s="8">
        <v>32</v>
      </c>
      <c r="E44" s="10">
        <v>8.9999999999999998E-4</v>
      </c>
      <c r="F44" s="9">
        <v>100.76</v>
      </c>
      <c r="G44" s="11">
        <v>4</v>
      </c>
    </row>
    <row r="45" spans="1:7" x14ac:dyDescent="0.2">
      <c r="A45" s="2" t="s">
        <v>50</v>
      </c>
      <c r="B45" s="3">
        <v>2</v>
      </c>
      <c r="C45" s="4">
        <v>3202.62</v>
      </c>
      <c r="D45" s="3">
        <v>7</v>
      </c>
      <c r="E45" s="5">
        <v>8.9999999999999998E-4</v>
      </c>
      <c r="F45" s="4">
        <v>457.52</v>
      </c>
      <c r="G45" s="6">
        <v>2</v>
      </c>
    </row>
    <row r="46" spans="1:7" x14ac:dyDescent="0.2">
      <c r="A46" s="7" t="s">
        <v>51</v>
      </c>
      <c r="B46" s="8">
        <v>1</v>
      </c>
      <c r="C46" s="9">
        <v>3079.1</v>
      </c>
      <c r="D46" s="8">
        <v>44</v>
      </c>
      <c r="E46" s="10">
        <v>8.9999999999999998E-4</v>
      </c>
      <c r="F46" s="9">
        <v>69.98</v>
      </c>
      <c r="G46" s="11">
        <v>4.5</v>
      </c>
    </row>
    <row r="47" spans="1:7" x14ac:dyDescent="0.2">
      <c r="A47" s="2" t="s">
        <v>52</v>
      </c>
      <c r="B47" s="3">
        <v>1</v>
      </c>
      <c r="C47" s="4">
        <v>2786.27</v>
      </c>
      <c r="D47" s="3">
        <v>101</v>
      </c>
      <c r="E47" s="5">
        <v>8.0000000000000004E-4</v>
      </c>
      <c r="F47" s="4">
        <v>27.59</v>
      </c>
      <c r="G47" s="6">
        <v>4.3</v>
      </c>
    </row>
    <row r="48" spans="1:7" x14ac:dyDescent="0.2">
      <c r="A48" s="7" t="s">
        <v>53</v>
      </c>
      <c r="B48" s="8">
        <v>2</v>
      </c>
      <c r="C48" s="9">
        <v>2584.13</v>
      </c>
      <c r="D48" s="8">
        <v>14</v>
      </c>
      <c r="E48" s="10">
        <v>8.0000000000000004E-4</v>
      </c>
      <c r="F48" s="9">
        <v>184.58</v>
      </c>
      <c r="G48" s="11">
        <v>4.2</v>
      </c>
    </row>
    <row r="49" spans="1:7" x14ac:dyDescent="0.2">
      <c r="A49" s="2" t="s">
        <v>54</v>
      </c>
      <c r="B49" s="3">
        <v>4</v>
      </c>
      <c r="C49" s="4">
        <v>2575.8000000000002</v>
      </c>
      <c r="D49" s="3">
        <v>9</v>
      </c>
      <c r="E49" s="5">
        <v>6.9999999999999999E-4</v>
      </c>
      <c r="F49" s="4">
        <v>286.2</v>
      </c>
      <c r="G49" s="6">
        <v>4.25</v>
      </c>
    </row>
    <row r="50" spans="1:7" x14ac:dyDescent="0.2">
      <c r="A50" s="7" t="s">
        <v>55</v>
      </c>
      <c r="B50" s="8">
        <v>3</v>
      </c>
      <c r="C50" s="9">
        <v>2557.2399999999998</v>
      </c>
      <c r="D50" s="8">
        <v>92</v>
      </c>
      <c r="E50" s="10">
        <v>6.9999999999999999E-4</v>
      </c>
      <c r="F50" s="9">
        <v>27.8</v>
      </c>
      <c r="G50" s="11">
        <v>4.4000000000000004</v>
      </c>
    </row>
    <row r="51" spans="1:7" x14ac:dyDescent="0.2">
      <c r="A51" s="2" t="s">
        <v>56</v>
      </c>
      <c r="B51" s="3">
        <v>1</v>
      </c>
      <c r="C51" s="4">
        <v>2291.08</v>
      </c>
      <c r="D51" s="3">
        <v>38</v>
      </c>
      <c r="E51" s="5">
        <v>6.9999999999999999E-4</v>
      </c>
      <c r="F51" s="4">
        <v>60.29</v>
      </c>
      <c r="G51" s="6">
        <v>4.0999999999999996</v>
      </c>
    </row>
    <row r="52" spans="1:7" x14ac:dyDescent="0.2">
      <c r="A52" s="7" t="s">
        <v>57</v>
      </c>
      <c r="B52" s="8">
        <v>2</v>
      </c>
      <c r="C52" s="9">
        <v>2210.21</v>
      </c>
      <c r="D52" s="8">
        <v>83</v>
      </c>
      <c r="E52" s="10">
        <v>5.9999999999999995E-4</v>
      </c>
      <c r="F52" s="9">
        <v>26.63</v>
      </c>
      <c r="G52" s="11">
        <v>4.5199999999999996</v>
      </c>
    </row>
    <row r="53" spans="1:7" x14ac:dyDescent="0.2">
      <c r="A53" s="2" t="s">
        <v>58</v>
      </c>
      <c r="B53" s="3">
        <v>3</v>
      </c>
      <c r="C53" s="4">
        <v>2098.87</v>
      </c>
      <c r="D53" s="3">
        <v>20</v>
      </c>
      <c r="E53" s="5">
        <v>5.9999999999999995E-4</v>
      </c>
      <c r="F53" s="4">
        <v>104.94</v>
      </c>
      <c r="G53" s="6">
        <v>4.41</v>
      </c>
    </row>
    <row r="54" spans="1:7" x14ac:dyDescent="0.2">
      <c r="A54" s="7" t="s">
        <v>59</v>
      </c>
      <c r="B54" s="8">
        <v>2</v>
      </c>
      <c r="C54" s="9">
        <v>1755.51</v>
      </c>
      <c r="D54" s="8">
        <v>4</v>
      </c>
      <c r="E54" s="10">
        <v>5.0000000000000001E-4</v>
      </c>
      <c r="F54" s="9">
        <v>438.88</v>
      </c>
      <c r="G54" s="11">
        <v>0</v>
      </c>
    </row>
    <row r="55" spans="1:7" x14ac:dyDescent="0.2">
      <c r="A55" s="2" t="s">
        <v>60</v>
      </c>
      <c r="B55" s="3">
        <v>1</v>
      </c>
      <c r="C55" s="4">
        <v>1753.73</v>
      </c>
      <c r="D55" s="3">
        <v>117</v>
      </c>
      <c r="E55" s="5">
        <v>5.0000000000000001E-4</v>
      </c>
      <c r="F55" s="4">
        <v>14.99</v>
      </c>
      <c r="G55" s="6">
        <v>4.9000000000000004</v>
      </c>
    </row>
    <row r="56" spans="1:7" x14ac:dyDescent="0.2">
      <c r="A56" s="7" t="s">
        <v>61</v>
      </c>
      <c r="B56" s="8">
        <v>1</v>
      </c>
      <c r="C56" s="9">
        <v>1715.52</v>
      </c>
      <c r="D56" s="8">
        <v>28</v>
      </c>
      <c r="E56" s="10">
        <v>5.0000000000000001E-4</v>
      </c>
      <c r="F56" s="9">
        <v>61.27</v>
      </c>
      <c r="G56" s="11">
        <v>4.5999999999999996</v>
      </c>
    </row>
    <row r="57" spans="1:7" x14ac:dyDescent="0.2">
      <c r="A57" s="2" t="s">
        <v>62</v>
      </c>
      <c r="B57" s="3">
        <v>3</v>
      </c>
      <c r="C57" s="4">
        <v>1708.72</v>
      </c>
      <c r="D57" s="3">
        <v>24</v>
      </c>
      <c r="E57" s="5">
        <v>5.0000000000000001E-4</v>
      </c>
      <c r="F57" s="4">
        <v>71.2</v>
      </c>
      <c r="G57" s="6">
        <v>4.2</v>
      </c>
    </row>
    <row r="58" spans="1:7" x14ac:dyDescent="0.2">
      <c r="A58" s="7" t="s">
        <v>63</v>
      </c>
      <c r="B58" s="8">
        <v>2</v>
      </c>
      <c r="C58" s="9">
        <v>1678.75</v>
      </c>
      <c r="D58" s="8">
        <v>23</v>
      </c>
      <c r="E58" s="10">
        <v>5.0000000000000001E-4</v>
      </c>
      <c r="F58" s="9">
        <v>72.989999999999995</v>
      </c>
      <c r="G58" s="11">
        <v>3.35</v>
      </c>
    </row>
    <row r="59" spans="1:7" x14ac:dyDescent="0.2">
      <c r="A59" s="2" t="s">
        <v>64</v>
      </c>
      <c r="B59" s="3">
        <v>1</v>
      </c>
      <c r="C59" s="4">
        <v>1417.42</v>
      </c>
      <c r="D59" s="3">
        <v>34</v>
      </c>
      <c r="E59" s="5">
        <v>4.0000000000000002E-4</v>
      </c>
      <c r="F59" s="4">
        <v>41.69</v>
      </c>
      <c r="G59" s="6">
        <v>4.4000000000000004</v>
      </c>
    </row>
    <row r="60" spans="1:7" x14ac:dyDescent="0.2">
      <c r="A60" s="7" t="s">
        <v>65</v>
      </c>
      <c r="B60" s="8">
        <v>15</v>
      </c>
      <c r="C60" s="9">
        <v>1349.06</v>
      </c>
      <c r="D60" s="8">
        <v>12</v>
      </c>
      <c r="E60" s="10">
        <v>4.0000000000000002E-4</v>
      </c>
      <c r="F60" s="9">
        <v>112.42</v>
      </c>
      <c r="G60" s="11">
        <v>3.51</v>
      </c>
    </row>
    <row r="61" spans="1:7" x14ac:dyDescent="0.2">
      <c r="A61" s="2" t="s">
        <v>66</v>
      </c>
      <c r="B61" s="3">
        <v>2</v>
      </c>
      <c r="C61" s="4">
        <v>1294.83</v>
      </c>
      <c r="D61" s="3">
        <v>18</v>
      </c>
      <c r="E61" s="5">
        <v>4.0000000000000002E-4</v>
      </c>
      <c r="F61" s="4">
        <v>71.94</v>
      </c>
      <c r="G61" s="6">
        <v>4.0599999999999996</v>
      </c>
    </row>
    <row r="62" spans="1:7" x14ac:dyDescent="0.2">
      <c r="A62" s="7" t="s">
        <v>67</v>
      </c>
      <c r="B62" s="8">
        <v>1</v>
      </c>
      <c r="C62" s="9">
        <v>1272.1300000000001</v>
      </c>
      <c r="D62" s="8">
        <v>2</v>
      </c>
      <c r="E62" s="10">
        <v>4.0000000000000002E-4</v>
      </c>
      <c r="F62" s="9">
        <v>636.07000000000005</v>
      </c>
      <c r="G62" s="11">
        <v>0</v>
      </c>
    </row>
    <row r="63" spans="1:7" x14ac:dyDescent="0.2">
      <c r="A63" s="2" t="s">
        <v>68</v>
      </c>
      <c r="B63" s="3">
        <v>3</v>
      </c>
      <c r="C63" s="4">
        <v>1212.98</v>
      </c>
      <c r="D63" s="3">
        <v>34</v>
      </c>
      <c r="E63" s="5">
        <v>4.0000000000000002E-4</v>
      </c>
      <c r="F63" s="4">
        <v>35.68</v>
      </c>
      <c r="G63" s="6">
        <v>4.4400000000000004</v>
      </c>
    </row>
    <row r="64" spans="1:7" x14ac:dyDescent="0.2">
      <c r="A64" s="7" t="s">
        <v>69</v>
      </c>
      <c r="B64" s="8">
        <v>1</v>
      </c>
      <c r="C64" s="9">
        <v>1190.3499999999999</v>
      </c>
      <c r="D64" s="8">
        <v>31</v>
      </c>
      <c r="E64" s="10">
        <v>2.9999999999999997E-4</v>
      </c>
      <c r="F64" s="9">
        <v>38.4</v>
      </c>
      <c r="G64" s="11">
        <v>4.5</v>
      </c>
    </row>
    <row r="65" spans="1:7" x14ac:dyDescent="0.2">
      <c r="A65" s="2" t="s">
        <v>70</v>
      </c>
      <c r="B65" s="3">
        <v>1</v>
      </c>
      <c r="C65" s="4">
        <v>1170.48</v>
      </c>
      <c r="D65" s="3">
        <v>25</v>
      </c>
      <c r="E65" s="5">
        <v>2.9999999999999997E-4</v>
      </c>
      <c r="F65" s="4">
        <v>46.82</v>
      </c>
      <c r="G65" s="6">
        <v>4.4000000000000004</v>
      </c>
    </row>
    <row r="66" spans="1:7" x14ac:dyDescent="0.2">
      <c r="A66" s="7" t="s">
        <v>71</v>
      </c>
      <c r="B66" s="8">
        <v>2</v>
      </c>
      <c r="C66" s="9">
        <v>1103.92</v>
      </c>
      <c r="D66" s="8">
        <v>4</v>
      </c>
      <c r="E66" s="10">
        <v>2.9999999999999997E-4</v>
      </c>
      <c r="F66" s="9">
        <v>275.98</v>
      </c>
      <c r="G66" s="11">
        <v>4.21</v>
      </c>
    </row>
    <row r="67" spans="1:7" x14ac:dyDescent="0.2">
      <c r="A67" s="2" t="s">
        <v>72</v>
      </c>
      <c r="B67" s="3">
        <v>2</v>
      </c>
      <c r="C67" s="4">
        <v>1078.8599999999999</v>
      </c>
      <c r="D67" s="3">
        <v>33</v>
      </c>
      <c r="E67" s="5">
        <v>2.9999999999999997E-4</v>
      </c>
      <c r="F67" s="4">
        <v>32.69</v>
      </c>
      <c r="G67" s="6">
        <v>4.4000000000000004</v>
      </c>
    </row>
    <row r="68" spans="1:7" x14ac:dyDescent="0.2">
      <c r="A68" s="7" t="s">
        <v>73</v>
      </c>
      <c r="B68" s="8">
        <v>1</v>
      </c>
      <c r="C68" s="9">
        <v>893.79</v>
      </c>
      <c r="D68" s="8">
        <v>7</v>
      </c>
      <c r="E68" s="10">
        <v>2.9999999999999997E-4</v>
      </c>
      <c r="F68" s="9">
        <v>127.68</v>
      </c>
      <c r="G68" s="11">
        <v>3.5</v>
      </c>
    </row>
    <row r="69" spans="1:7" x14ac:dyDescent="0.2">
      <c r="A69" s="2" t="s">
        <v>74</v>
      </c>
      <c r="B69" s="3">
        <v>2</v>
      </c>
      <c r="C69" s="4">
        <v>853.45</v>
      </c>
      <c r="D69" s="3">
        <v>11</v>
      </c>
      <c r="E69" s="5">
        <v>2.0000000000000001E-4</v>
      </c>
      <c r="F69" s="4">
        <v>77.59</v>
      </c>
      <c r="G69" s="6">
        <v>4.3</v>
      </c>
    </row>
    <row r="70" spans="1:7" x14ac:dyDescent="0.2">
      <c r="A70" s="7" t="s">
        <v>75</v>
      </c>
      <c r="B70" s="8">
        <v>2</v>
      </c>
      <c r="C70" s="9">
        <v>842.1</v>
      </c>
      <c r="D70" s="8">
        <v>12</v>
      </c>
      <c r="E70" s="10">
        <v>2.0000000000000001E-4</v>
      </c>
      <c r="F70" s="9">
        <v>70.17</v>
      </c>
      <c r="G70" s="11">
        <v>4.5</v>
      </c>
    </row>
    <row r="71" spans="1:7" x14ac:dyDescent="0.2">
      <c r="A71" s="2" t="s">
        <v>76</v>
      </c>
      <c r="B71" s="3">
        <v>1</v>
      </c>
      <c r="C71" s="4">
        <v>823.72</v>
      </c>
      <c r="D71" s="3">
        <v>2</v>
      </c>
      <c r="E71" s="5">
        <v>2.0000000000000001E-4</v>
      </c>
      <c r="F71" s="4">
        <v>411.86</v>
      </c>
      <c r="G71" s="6">
        <v>0</v>
      </c>
    </row>
    <row r="72" spans="1:7" x14ac:dyDescent="0.2">
      <c r="A72" s="7" t="s">
        <v>77</v>
      </c>
      <c r="B72" s="8">
        <v>2</v>
      </c>
      <c r="C72" s="9">
        <v>795.44</v>
      </c>
      <c r="D72" s="8">
        <v>12</v>
      </c>
      <c r="E72" s="10">
        <v>2.0000000000000001E-4</v>
      </c>
      <c r="F72" s="9">
        <v>66.290000000000006</v>
      </c>
      <c r="G72" s="11">
        <v>4.1500000000000004</v>
      </c>
    </row>
    <row r="73" spans="1:7" x14ac:dyDescent="0.2">
      <c r="A73" s="2" t="s">
        <v>78</v>
      </c>
      <c r="B73" s="3">
        <v>3</v>
      </c>
      <c r="C73" s="4">
        <v>793.51</v>
      </c>
      <c r="D73" s="3">
        <v>12</v>
      </c>
      <c r="E73" s="5">
        <v>2.0000000000000001E-4</v>
      </c>
      <c r="F73" s="4">
        <v>66.13</v>
      </c>
      <c r="G73" s="6">
        <v>3.7</v>
      </c>
    </row>
    <row r="74" spans="1:7" x14ac:dyDescent="0.2">
      <c r="A74" s="7" t="s">
        <v>79</v>
      </c>
      <c r="B74" s="8">
        <v>2</v>
      </c>
      <c r="C74" s="9">
        <v>782.76</v>
      </c>
      <c r="D74" s="8">
        <v>8</v>
      </c>
      <c r="E74" s="10">
        <v>2.0000000000000001E-4</v>
      </c>
      <c r="F74" s="9">
        <v>97.84</v>
      </c>
      <c r="G74" s="11">
        <v>4.7</v>
      </c>
    </row>
    <row r="75" spans="1:7" x14ac:dyDescent="0.2">
      <c r="A75" s="2" t="s">
        <v>80</v>
      </c>
      <c r="B75" s="3">
        <v>2</v>
      </c>
      <c r="C75" s="4">
        <v>760.32</v>
      </c>
      <c r="D75" s="3">
        <v>7</v>
      </c>
      <c r="E75" s="5">
        <v>2.0000000000000001E-4</v>
      </c>
      <c r="F75" s="4">
        <v>108.62</v>
      </c>
      <c r="G75" s="6">
        <v>4.3</v>
      </c>
    </row>
    <row r="76" spans="1:7" x14ac:dyDescent="0.2">
      <c r="A76" s="7" t="s">
        <v>81</v>
      </c>
      <c r="B76" s="8">
        <v>1</v>
      </c>
      <c r="C76" s="9">
        <v>706.11</v>
      </c>
      <c r="D76" s="8">
        <v>7</v>
      </c>
      <c r="E76" s="10">
        <v>2.0000000000000001E-4</v>
      </c>
      <c r="F76" s="9">
        <v>100.87</v>
      </c>
      <c r="G76" s="11">
        <v>5</v>
      </c>
    </row>
    <row r="77" spans="1:7" x14ac:dyDescent="0.2">
      <c r="A77" s="2" t="s">
        <v>82</v>
      </c>
      <c r="B77" s="3">
        <v>3</v>
      </c>
      <c r="C77" s="4">
        <v>528.09</v>
      </c>
      <c r="D77" s="3">
        <v>6</v>
      </c>
      <c r="E77" s="5">
        <v>2.0000000000000001E-4</v>
      </c>
      <c r="F77" s="4">
        <v>88.02</v>
      </c>
      <c r="G77" s="6">
        <v>5</v>
      </c>
    </row>
    <row r="78" spans="1:7" x14ac:dyDescent="0.2">
      <c r="A78" s="7" t="s">
        <v>83</v>
      </c>
      <c r="B78" s="8">
        <v>1</v>
      </c>
      <c r="C78" s="9">
        <v>505.42</v>
      </c>
      <c r="D78" s="8">
        <v>2</v>
      </c>
      <c r="E78" s="10">
        <v>1E-4</v>
      </c>
      <c r="F78" s="9">
        <v>252.71</v>
      </c>
      <c r="G78" s="11">
        <v>1</v>
      </c>
    </row>
    <row r="79" spans="1:7" x14ac:dyDescent="0.2">
      <c r="A79" s="2" t="s">
        <v>84</v>
      </c>
      <c r="B79" s="3">
        <v>1</v>
      </c>
      <c r="C79" s="4">
        <v>500.65</v>
      </c>
      <c r="D79" s="3">
        <v>25</v>
      </c>
      <c r="E79" s="5">
        <v>1E-4</v>
      </c>
      <c r="F79" s="4">
        <v>20.03</v>
      </c>
      <c r="G79" s="6">
        <v>4.4000000000000004</v>
      </c>
    </row>
    <row r="80" spans="1:7" x14ac:dyDescent="0.2">
      <c r="A80" s="7" t="s">
        <v>85</v>
      </c>
      <c r="B80" s="8">
        <v>3</v>
      </c>
      <c r="C80" s="9">
        <v>470.12</v>
      </c>
      <c r="D80" s="8">
        <v>25</v>
      </c>
      <c r="E80" s="10">
        <v>1E-4</v>
      </c>
      <c r="F80" s="9">
        <v>18.8</v>
      </c>
      <c r="G80" s="11">
        <v>4</v>
      </c>
    </row>
    <row r="81" spans="1:7" x14ac:dyDescent="0.2">
      <c r="A81" s="2" t="s">
        <v>86</v>
      </c>
      <c r="B81" s="3">
        <v>3</v>
      </c>
      <c r="C81" s="4">
        <v>452.18</v>
      </c>
      <c r="D81" s="3">
        <v>5</v>
      </c>
      <c r="E81" s="5">
        <v>1E-4</v>
      </c>
      <c r="F81" s="4">
        <v>90.44</v>
      </c>
      <c r="G81" s="6">
        <v>4.5</v>
      </c>
    </row>
    <row r="82" spans="1:7" x14ac:dyDescent="0.2">
      <c r="A82" s="7" t="s">
        <v>87</v>
      </c>
      <c r="B82" s="8">
        <v>2</v>
      </c>
      <c r="C82" s="9">
        <v>442.11</v>
      </c>
      <c r="D82" s="8">
        <v>15</v>
      </c>
      <c r="E82" s="10">
        <v>1E-4</v>
      </c>
      <c r="F82" s="9">
        <v>29.47</v>
      </c>
      <c r="G82" s="11">
        <v>4.4000000000000004</v>
      </c>
    </row>
    <row r="83" spans="1:7" x14ac:dyDescent="0.2">
      <c r="A83" s="2" t="s">
        <v>88</v>
      </c>
      <c r="B83" s="3">
        <v>2</v>
      </c>
      <c r="C83" s="4">
        <v>390.66</v>
      </c>
      <c r="D83" s="3">
        <v>4</v>
      </c>
      <c r="E83" s="5">
        <v>1E-4</v>
      </c>
      <c r="F83" s="4">
        <v>97.66</v>
      </c>
      <c r="G83" s="6">
        <v>5</v>
      </c>
    </row>
    <row r="84" spans="1:7" x14ac:dyDescent="0.2">
      <c r="A84" s="7" t="s">
        <v>89</v>
      </c>
      <c r="B84" s="8">
        <v>1</v>
      </c>
      <c r="C84" s="9">
        <v>358.46</v>
      </c>
      <c r="D84" s="8">
        <v>1</v>
      </c>
      <c r="E84" s="10">
        <v>1E-4</v>
      </c>
      <c r="F84" s="9">
        <v>358.46</v>
      </c>
      <c r="G84" s="11">
        <v>3.4</v>
      </c>
    </row>
    <row r="85" spans="1:7" x14ac:dyDescent="0.2">
      <c r="A85" s="2" t="s">
        <v>90</v>
      </c>
      <c r="B85" s="3">
        <v>1</v>
      </c>
      <c r="C85" s="4">
        <v>347.1</v>
      </c>
      <c r="D85" s="3">
        <v>35</v>
      </c>
      <c r="E85" s="5">
        <v>1E-4</v>
      </c>
      <c r="F85" s="4">
        <v>9.92</v>
      </c>
      <c r="G85" s="6">
        <v>4.4000000000000004</v>
      </c>
    </row>
    <row r="86" spans="1:7" x14ac:dyDescent="0.2">
      <c r="A86" s="7" t="s">
        <v>91</v>
      </c>
      <c r="B86" s="8">
        <v>5</v>
      </c>
      <c r="C86" s="9">
        <v>345.24</v>
      </c>
      <c r="D86" s="8">
        <v>4</v>
      </c>
      <c r="E86" s="10">
        <v>1E-4</v>
      </c>
      <c r="F86" s="9">
        <v>86.31</v>
      </c>
      <c r="G86" s="11">
        <v>3.94</v>
      </c>
    </row>
    <row r="87" spans="1:7" x14ac:dyDescent="0.2">
      <c r="A87" s="2" t="s">
        <v>92</v>
      </c>
      <c r="B87" s="3">
        <v>3</v>
      </c>
      <c r="C87" s="4">
        <v>311.52999999999997</v>
      </c>
      <c r="D87" s="3">
        <v>1</v>
      </c>
      <c r="E87" s="5">
        <v>1E-4</v>
      </c>
      <c r="F87" s="4">
        <v>311.52999999999997</v>
      </c>
      <c r="G87" s="6">
        <v>0</v>
      </c>
    </row>
    <row r="88" spans="1:7" x14ac:dyDescent="0.2">
      <c r="A88" s="7" t="s">
        <v>93</v>
      </c>
      <c r="B88" s="8">
        <v>1</v>
      </c>
      <c r="C88" s="9">
        <v>298.26</v>
      </c>
      <c r="D88" s="8">
        <v>1</v>
      </c>
      <c r="E88" s="10">
        <v>1E-4</v>
      </c>
      <c r="F88" s="9">
        <v>298.26</v>
      </c>
      <c r="G88" s="11">
        <v>4</v>
      </c>
    </row>
    <row r="89" spans="1:7" x14ac:dyDescent="0.2">
      <c r="A89" s="2" t="s">
        <v>94</v>
      </c>
      <c r="B89" s="3">
        <v>1</v>
      </c>
      <c r="C89" s="4">
        <v>290.44</v>
      </c>
      <c r="D89" s="3">
        <v>3</v>
      </c>
      <c r="E89" s="5">
        <v>1E-4</v>
      </c>
      <c r="F89" s="4">
        <v>96.81</v>
      </c>
      <c r="G89" s="6">
        <v>0</v>
      </c>
    </row>
    <row r="90" spans="1:7" x14ac:dyDescent="0.2">
      <c r="A90" s="7" t="s">
        <v>95</v>
      </c>
      <c r="B90" s="8">
        <v>1</v>
      </c>
      <c r="C90" s="9">
        <v>278.08</v>
      </c>
      <c r="D90" s="8">
        <v>2</v>
      </c>
      <c r="E90" s="10">
        <v>1E-4</v>
      </c>
      <c r="F90" s="9">
        <v>139.04</v>
      </c>
      <c r="G90" s="11">
        <v>5</v>
      </c>
    </row>
    <row r="91" spans="1:7" x14ac:dyDescent="0.2">
      <c r="A91" s="2" t="s">
        <v>96</v>
      </c>
      <c r="B91" s="3">
        <v>1</v>
      </c>
      <c r="C91" s="4">
        <v>271.97000000000003</v>
      </c>
      <c r="D91" s="3">
        <v>5</v>
      </c>
      <c r="E91" s="5">
        <v>1E-4</v>
      </c>
      <c r="F91" s="4">
        <v>54.39</v>
      </c>
      <c r="G91" s="6">
        <v>4.8</v>
      </c>
    </row>
    <row r="92" spans="1:7" x14ac:dyDescent="0.2">
      <c r="A92" s="7" t="s">
        <v>97</v>
      </c>
      <c r="B92" s="8">
        <v>1</v>
      </c>
      <c r="C92" s="9">
        <v>260.74</v>
      </c>
      <c r="D92" s="8">
        <v>14</v>
      </c>
      <c r="E92" s="10">
        <v>1E-4</v>
      </c>
      <c r="F92" s="9">
        <v>18.62</v>
      </c>
      <c r="G92" s="11">
        <v>4.4000000000000004</v>
      </c>
    </row>
    <row r="93" spans="1:7" x14ac:dyDescent="0.2">
      <c r="A93" s="2" t="s">
        <v>98</v>
      </c>
      <c r="B93" s="3">
        <v>3</v>
      </c>
      <c r="C93" s="4">
        <v>246.21</v>
      </c>
      <c r="D93" s="3">
        <v>2</v>
      </c>
      <c r="E93" s="5">
        <v>1E-4</v>
      </c>
      <c r="F93" s="4">
        <v>123.1</v>
      </c>
      <c r="G93" s="6">
        <v>4.51</v>
      </c>
    </row>
    <row r="94" spans="1:7" x14ac:dyDescent="0.2">
      <c r="A94" s="7" t="s">
        <v>99</v>
      </c>
      <c r="B94" s="8">
        <v>4</v>
      </c>
      <c r="C94" s="9">
        <v>241.88</v>
      </c>
      <c r="D94" s="8">
        <v>4</v>
      </c>
      <c r="E94" s="10">
        <v>1E-4</v>
      </c>
      <c r="F94" s="9">
        <v>60.47</v>
      </c>
      <c r="G94" s="11">
        <v>0</v>
      </c>
    </row>
    <row r="95" spans="1:7" x14ac:dyDescent="0.2">
      <c r="A95" s="2" t="s">
        <v>100</v>
      </c>
      <c r="B95" s="3">
        <v>1</v>
      </c>
      <c r="C95" s="4">
        <v>225.76</v>
      </c>
      <c r="D95" s="3">
        <v>1</v>
      </c>
      <c r="E95" s="5">
        <v>1E-4</v>
      </c>
      <c r="F95" s="4">
        <v>225.76</v>
      </c>
      <c r="G95" s="6">
        <v>0</v>
      </c>
    </row>
    <row r="96" spans="1:7" x14ac:dyDescent="0.2">
      <c r="A96" s="7" t="s">
        <v>101</v>
      </c>
      <c r="B96" s="8">
        <v>1</v>
      </c>
      <c r="C96" s="9">
        <v>218.99</v>
      </c>
      <c r="D96" s="8">
        <v>2</v>
      </c>
      <c r="E96" s="10">
        <v>1E-4</v>
      </c>
      <c r="F96" s="9">
        <v>109.5</v>
      </c>
      <c r="G96" s="11">
        <v>4.3</v>
      </c>
    </row>
    <row r="97" spans="1:7" x14ac:dyDescent="0.2">
      <c r="A97" s="2" t="s">
        <v>102</v>
      </c>
      <c r="B97" s="3">
        <v>2</v>
      </c>
      <c r="C97" s="4">
        <v>215.82</v>
      </c>
      <c r="D97" s="3">
        <v>3</v>
      </c>
      <c r="E97" s="5">
        <v>1E-4</v>
      </c>
      <c r="F97" s="4">
        <v>71.94</v>
      </c>
      <c r="G97" s="6">
        <v>5</v>
      </c>
    </row>
    <row r="98" spans="1:7" x14ac:dyDescent="0.2">
      <c r="A98" s="7" t="s">
        <v>103</v>
      </c>
      <c r="B98" s="8">
        <v>4</v>
      </c>
      <c r="C98" s="9">
        <v>212.99</v>
      </c>
      <c r="D98" s="8">
        <v>17</v>
      </c>
      <c r="E98" s="10">
        <v>1E-4</v>
      </c>
      <c r="F98" s="9">
        <v>12.53</v>
      </c>
      <c r="G98" s="11">
        <v>3.5</v>
      </c>
    </row>
    <row r="99" spans="1:7" x14ac:dyDescent="0.2">
      <c r="A99" s="2" t="s">
        <v>104</v>
      </c>
      <c r="B99" s="3">
        <v>3</v>
      </c>
      <c r="C99" s="4">
        <v>203.05</v>
      </c>
      <c r="D99" s="3">
        <v>18</v>
      </c>
      <c r="E99" s="5">
        <v>1E-4</v>
      </c>
      <c r="F99" s="4">
        <v>11.28</v>
      </c>
      <c r="G99" s="6">
        <v>3.95</v>
      </c>
    </row>
    <row r="100" spans="1:7" x14ac:dyDescent="0.2">
      <c r="A100" s="7" t="s">
        <v>105</v>
      </c>
      <c r="B100" s="8">
        <v>1</v>
      </c>
      <c r="C100" s="9">
        <v>194.51</v>
      </c>
      <c r="D100" s="8">
        <v>1</v>
      </c>
      <c r="E100" s="10">
        <v>1E-4</v>
      </c>
      <c r="F100" s="9">
        <v>194.51</v>
      </c>
      <c r="G100" s="11">
        <v>0</v>
      </c>
    </row>
    <row r="101" spans="1:7" x14ac:dyDescent="0.2">
      <c r="A101" s="2" t="s">
        <v>106</v>
      </c>
      <c r="B101" s="3">
        <v>1</v>
      </c>
      <c r="C101" s="4">
        <v>194.44</v>
      </c>
      <c r="D101" s="3">
        <v>2</v>
      </c>
      <c r="E101" s="5">
        <v>1E-4</v>
      </c>
      <c r="F101" s="4">
        <v>97.22</v>
      </c>
      <c r="G101" s="6">
        <v>5</v>
      </c>
    </row>
    <row r="102" spans="1:7" x14ac:dyDescent="0.2">
      <c r="A102" s="7" t="s">
        <v>107</v>
      </c>
      <c r="B102" s="8">
        <v>1</v>
      </c>
      <c r="C102" s="9">
        <v>141.69</v>
      </c>
      <c r="D102" s="8">
        <v>2</v>
      </c>
      <c r="E102" s="10">
        <v>0</v>
      </c>
      <c r="F102" s="9">
        <v>70.84</v>
      </c>
      <c r="G102" s="11">
        <v>4.8</v>
      </c>
    </row>
    <row r="103" spans="1:7" x14ac:dyDescent="0.2">
      <c r="A103" s="2" t="s">
        <v>108</v>
      </c>
      <c r="B103" s="3">
        <v>2</v>
      </c>
      <c r="C103" s="4">
        <v>138.93</v>
      </c>
      <c r="D103" s="3">
        <v>2</v>
      </c>
      <c r="E103" s="5">
        <v>0</v>
      </c>
      <c r="F103" s="4">
        <v>69.47</v>
      </c>
      <c r="G103" s="6">
        <v>5</v>
      </c>
    </row>
    <row r="104" spans="1:7" x14ac:dyDescent="0.2">
      <c r="A104" s="7" t="s">
        <v>109</v>
      </c>
      <c r="B104" s="8">
        <v>1</v>
      </c>
      <c r="C104" s="9">
        <v>135.72</v>
      </c>
      <c r="D104" s="8">
        <v>6</v>
      </c>
      <c r="E104" s="10">
        <v>0</v>
      </c>
      <c r="F104" s="9">
        <v>22.62</v>
      </c>
      <c r="G104" s="11">
        <v>4</v>
      </c>
    </row>
    <row r="105" spans="1:7" x14ac:dyDescent="0.2">
      <c r="A105" s="2" t="s">
        <v>110</v>
      </c>
      <c r="B105" s="3">
        <v>4</v>
      </c>
      <c r="C105" s="4">
        <v>132.38</v>
      </c>
      <c r="D105" s="3">
        <v>1</v>
      </c>
      <c r="E105" s="5">
        <v>0</v>
      </c>
      <c r="F105" s="4">
        <v>132.38</v>
      </c>
      <c r="G105" s="6">
        <v>0</v>
      </c>
    </row>
    <row r="106" spans="1:7" x14ac:dyDescent="0.2">
      <c r="A106" s="7" t="s">
        <v>111</v>
      </c>
      <c r="B106" s="8">
        <v>1</v>
      </c>
      <c r="C106" s="9">
        <v>132.37</v>
      </c>
      <c r="D106" s="8">
        <v>5</v>
      </c>
      <c r="E106" s="10">
        <v>0</v>
      </c>
      <c r="F106" s="9">
        <v>26.47</v>
      </c>
      <c r="G106" s="11">
        <v>4.3</v>
      </c>
    </row>
    <row r="107" spans="1:7" x14ac:dyDescent="0.2">
      <c r="A107" s="2" t="s">
        <v>112</v>
      </c>
      <c r="B107" s="3">
        <v>1</v>
      </c>
      <c r="C107" s="4">
        <v>122.79</v>
      </c>
      <c r="D107" s="3">
        <v>3</v>
      </c>
      <c r="E107" s="5">
        <v>0</v>
      </c>
      <c r="F107" s="4">
        <v>40.93</v>
      </c>
      <c r="G107" s="6">
        <v>5</v>
      </c>
    </row>
    <row r="108" spans="1:7" x14ac:dyDescent="0.2">
      <c r="A108" s="7" t="s">
        <v>113</v>
      </c>
      <c r="B108" s="8">
        <v>4</v>
      </c>
      <c r="C108" s="9">
        <v>114.9</v>
      </c>
      <c r="D108" s="8">
        <v>2</v>
      </c>
      <c r="E108" s="10">
        <v>0</v>
      </c>
      <c r="F108" s="9">
        <v>57.45</v>
      </c>
      <c r="G108" s="11">
        <v>5</v>
      </c>
    </row>
    <row r="109" spans="1:7" x14ac:dyDescent="0.2">
      <c r="A109" s="2" t="s">
        <v>114</v>
      </c>
      <c r="B109" s="3">
        <v>1</v>
      </c>
      <c r="C109" s="4">
        <v>106.04</v>
      </c>
      <c r="D109" s="3">
        <v>2</v>
      </c>
      <c r="E109" s="5">
        <v>0</v>
      </c>
      <c r="F109" s="4">
        <v>53.02</v>
      </c>
      <c r="G109" s="6">
        <v>4.3</v>
      </c>
    </row>
    <row r="110" spans="1:7" x14ac:dyDescent="0.2">
      <c r="A110" s="7" t="s">
        <v>115</v>
      </c>
      <c r="B110" s="8">
        <v>1</v>
      </c>
      <c r="C110" s="9">
        <v>95.41</v>
      </c>
      <c r="D110" s="8">
        <v>2</v>
      </c>
      <c r="E110" s="10">
        <v>0</v>
      </c>
      <c r="F110" s="9">
        <v>47.7</v>
      </c>
      <c r="G110" s="11">
        <v>3.7</v>
      </c>
    </row>
    <row r="111" spans="1:7" x14ac:dyDescent="0.2">
      <c r="A111" s="2" t="s">
        <v>116</v>
      </c>
      <c r="B111" s="3">
        <v>1</v>
      </c>
      <c r="C111" s="4">
        <v>90.58</v>
      </c>
      <c r="D111" s="3">
        <v>1</v>
      </c>
      <c r="E111" s="5">
        <v>0</v>
      </c>
      <c r="F111" s="4">
        <v>90.58</v>
      </c>
      <c r="G111" s="6">
        <v>4.4000000000000004</v>
      </c>
    </row>
    <row r="112" spans="1:7" x14ac:dyDescent="0.2">
      <c r="A112" s="7" t="s">
        <v>117</v>
      </c>
      <c r="B112" s="8">
        <v>3</v>
      </c>
      <c r="C112" s="9">
        <v>83.39</v>
      </c>
      <c r="D112" s="8">
        <v>3</v>
      </c>
      <c r="E112" s="10">
        <v>0</v>
      </c>
      <c r="F112" s="9">
        <v>27.8</v>
      </c>
      <c r="G112" s="11">
        <v>3</v>
      </c>
    </row>
    <row r="113" spans="1:7" x14ac:dyDescent="0.2">
      <c r="A113" s="2" t="s">
        <v>118</v>
      </c>
      <c r="B113" s="3">
        <v>2</v>
      </c>
      <c r="C113" s="4">
        <v>79.97</v>
      </c>
      <c r="D113" s="3">
        <v>1</v>
      </c>
      <c r="E113" s="5">
        <v>0</v>
      </c>
      <c r="F113" s="4">
        <v>79.97</v>
      </c>
      <c r="G113" s="6">
        <v>4.5</v>
      </c>
    </row>
    <row r="114" spans="1:7" x14ac:dyDescent="0.2">
      <c r="A114" s="7" t="s">
        <v>119</v>
      </c>
      <c r="B114" s="8">
        <v>1</v>
      </c>
      <c r="C114" s="9">
        <v>67.02</v>
      </c>
      <c r="D114" s="8">
        <v>6</v>
      </c>
      <c r="E114" s="10">
        <v>0</v>
      </c>
      <c r="F114" s="9">
        <v>11.17</v>
      </c>
      <c r="G114" s="11">
        <v>0</v>
      </c>
    </row>
    <row r="115" spans="1:7" x14ac:dyDescent="0.2">
      <c r="A115" s="2" t="s">
        <v>120</v>
      </c>
      <c r="B115" s="3">
        <v>1</v>
      </c>
      <c r="C115" s="4">
        <v>63.68</v>
      </c>
      <c r="D115" s="3">
        <v>2</v>
      </c>
      <c r="E115" s="5">
        <v>0</v>
      </c>
      <c r="F115" s="4">
        <v>31.84</v>
      </c>
      <c r="G115" s="6">
        <v>3.9</v>
      </c>
    </row>
    <row r="116" spans="1:7" x14ac:dyDescent="0.2">
      <c r="A116" s="7" t="s">
        <v>121</v>
      </c>
      <c r="B116" s="8">
        <v>1</v>
      </c>
      <c r="C116" s="9">
        <v>60.82</v>
      </c>
      <c r="D116" s="8">
        <v>7</v>
      </c>
      <c r="E116" s="10">
        <v>0</v>
      </c>
      <c r="F116" s="9">
        <v>8.69</v>
      </c>
      <c r="G116" s="11">
        <v>0</v>
      </c>
    </row>
    <row r="117" spans="1:7" x14ac:dyDescent="0.2">
      <c r="A117" s="2" t="s">
        <v>122</v>
      </c>
      <c r="B117" s="3">
        <v>1</v>
      </c>
      <c r="C117" s="4">
        <v>56.65</v>
      </c>
      <c r="D117" s="3">
        <v>4</v>
      </c>
      <c r="E117" s="5">
        <v>0</v>
      </c>
      <c r="F117" s="4">
        <v>14.16</v>
      </c>
      <c r="G117" s="6">
        <v>0</v>
      </c>
    </row>
    <row r="118" spans="1:7" x14ac:dyDescent="0.2">
      <c r="A118" s="7" t="s">
        <v>123</v>
      </c>
      <c r="B118" s="8">
        <v>1</v>
      </c>
      <c r="C118" s="9">
        <v>52.07</v>
      </c>
      <c r="D118" s="8">
        <v>4</v>
      </c>
      <c r="E118" s="10">
        <v>0</v>
      </c>
      <c r="F118" s="9">
        <v>13.02</v>
      </c>
      <c r="G118" s="11">
        <v>3.6</v>
      </c>
    </row>
    <row r="119" spans="1:7" x14ac:dyDescent="0.2">
      <c r="A119" s="2" t="s">
        <v>124</v>
      </c>
      <c r="B119" s="3">
        <v>2</v>
      </c>
      <c r="C119" s="4">
        <v>47.2</v>
      </c>
      <c r="D119" s="3">
        <v>3</v>
      </c>
      <c r="E119" s="5">
        <v>0</v>
      </c>
      <c r="F119" s="4">
        <v>15.73</v>
      </c>
      <c r="G119" s="6">
        <v>0</v>
      </c>
    </row>
    <row r="120" spans="1:7" x14ac:dyDescent="0.2">
      <c r="A120" s="7" t="s">
        <v>125</v>
      </c>
      <c r="B120" s="8">
        <v>1</v>
      </c>
      <c r="C120" s="9">
        <v>45.43</v>
      </c>
      <c r="D120" s="8">
        <v>1</v>
      </c>
      <c r="E120" s="10">
        <v>0</v>
      </c>
      <c r="F120" s="9">
        <v>45.43</v>
      </c>
      <c r="G120" s="11">
        <v>4.4000000000000004</v>
      </c>
    </row>
    <row r="121" spans="1:7" x14ac:dyDescent="0.2">
      <c r="A121" s="2" t="s">
        <v>126</v>
      </c>
      <c r="B121" s="3">
        <v>1</v>
      </c>
      <c r="C121" s="4">
        <v>40.33</v>
      </c>
      <c r="D121" s="3">
        <v>1</v>
      </c>
      <c r="E121" s="5">
        <v>0</v>
      </c>
      <c r="F121" s="4">
        <v>40.33</v>
      </c>
      <c r="G121" s="6">
        <v>4.4000000000000004</v>
      </c>
    </row>
    <row r="122" spans="1:7" x14ac:dyDescent="0.2">
      <c r="A122" s="7" t="s">
        <v>127</v>
      </c>
      <c r="B122" s="8">
        <v>1</v>
      </c>
      <c r="C122" s="9">
        <v>39.44</v>
      </c>
      <c r="D122" s="8">
        <v>2</v>
      </c>
      <c r="E122" s="10">
        <v>0</v>
      </c>
      <c r="F122" s="9">
        <v>19.72</v>
      </c>
      <c r="G122" s="11">
        <v>4.5</v>
      </c>
    </row>
    <row r="123" spans="1:7" x14ac:dyDescent="0.2">
      <c r="A123" s="2" t="s">
        <v>128</v>
      </c>
      <c r="B123" s="3">
        <v>1</v>
      </c>
      <c r="C123" s="4">
        <v>34.340000000000003</v>
      </c>
      <c r="D123" s="3">
        <v>1</v>
      </c>
      <c r="E123" s="5">
        <v>0</v>
      </c>
      <c r="F123" s="4">
        <v>34.340000000000003</v>
      </c>
      <c r="G123" s="6">
        <v>3.5</v>
      </c>
    </row>
    <row r="124" spans="1:7" x14ac:dyDescent="0.2">
      <c r="A124" s="7" t="s">
        <v>129</v>
      </c>
      <c r="B124" s="8">
        <v>5</v>
      </c>
      <c r="C124" s="9">
        <v>33.67</v>
      </c>
      <c r="D124" s="8">
        <v>1</v>
      </c>
      <c r="E124" s="10">
        <v>0</v>
      </c>
      <c r="F124" s="9">
        <v>33.67</v>
      </c>
      <c r="G124" s="11">
        <v>0</v>
      </c>
    </row>
    <row r="125" spans="1:7" x14ac:dyDescent="0.2">
      <c r="A125" s="2" t="s">
        <v>130</v>
      </c>
      <c r="B125" s="3">
        <v>1</v>
      </c>
      <c r="C125" s="4">
        <v>29.78</v>
      </c>
      <c r="D125" s="3">
        <v>1</v>
      </c>
      <c r="E125" s="5">
        <v>0</v>
      </c>
      <c r="F125" s="4">
        <v>29.78</v>
      </c>
      <c r="G125" s="6">
        <v>3.8</v>
      </c>
    </row>
    <row r="126" spans="1:7" x14ac:dyDescent="0.2">
      <c r="A126" s="7" t="s">
        <v>131</v>
      </c>
      <c r="B126" s="8">
        <v>1</v>
      </c>
      <c r="C126" s="9">
        <v>25.82</v>
      </c>
      <c r="D126" s="8">
        <v>3</v>
      </c>
      <c r="E126" s="10">
        <v>0</v>
      </c>
      <c r="F126" s="9">
        <v>8.61</v>
      </c>
      <c r="G126" s="11">
        <v>5</v>
      </c>
    </row>
    <row r="127" spans="1:7" x14ac:dyDescent="0.2">
      <c r="A127" s="2" t="s">
        <v>132</v>
      </c>
      <c r="B127" s="3">
        <v>2</v>
      </c>
      <c r="C127" s="4">
        <v>18.25</v>
      </c>
      <c r="D127" s="3">
        <v>2</v>
      </c>
      <c r="E127" s="5">
        <v>0</v>
      </c>
      <c r="F127" s="4">
        <v>9.1199999999999992</v>
      </c>
      <c r="G127" s="6">
        <v>0</v>
      </c>
    </row>
    <row r="128" spans="1:7" x14ac:dyDescent="0.2">
      <c r="A128" s="7" t="s">
        <v>133</v>
      </c>
      <c r="B128" s="8">
        <v>1</v>
      </c>
      <c r="C128" s="9">
        <v>17.78</v>
      </c>
      <c r="D128" s="8">
        <v>2</v>
      </c>
      <c r="E128" s="10">
        <v>0</v>
      </c>
      <c r="F128" s="9">
        <v>8.89</v>
      </c>
      <c r="G128" s="11">
        <v>0</v>
      </c>
    </row>
    <row r="129" spans="1:7" x14ac:dyDescent="0.2">
      <c r="A129" s="2" t="s">
        <v>134</v>
      </c>
      <c r="B129" s="3">
        <v>1</v>
      </c>
      <c r="C129" s="4">
        <v>16.27</v>
      </c>
      <c r="D129" s="3">
        <v>2</v>
      </c>
      <c r="E129" s="5">
        <v>0</v>
      </c>
      <c r="F129" s="4">
        <v>8.1300000000000008</v>
      </c>
      <c r="G129" s="6">
        <v>5</v>
      </c>
    </row>
    <row r="130" spans="1:7" x14ac:dyDescent="0.2">
      <c r="A130" s="7" t="s">
        <v>135</v>
      </c>
      <c r="B130" s="8">
        <v>1</v>
      </c>
      <c r="C130" s="9">
        <v>12.37</v>
      </c>
      <c r="D130" s="8">
        <v>1</v>
      </c>
      <c r="E130" s="10">
        <v>0</v>
      </c>
      <c r="F130" s="9">
        <v>12.37</v>
      </c>
      <c r="G130" s="11">
        <v>0</v>
      </c>
    </row>
    <row r="131" spans="1:7" x14ac:dyDescent="0.2">
      <c r="A131" s="2" t="s">
        <v>136</v>
      </c>
      <c r="B131" s="3">
        <v>1</v>
      </c>
      <c r="C131" s="4">
        <v>5.91</v>
      </c>
      <c r="D131" s="3">
        <v>1</v>
      </c>
      <c r="E131" s="5">
        <v>0</v>
      </c>
      <c r="F131" s="4">
        <v>5.91</v>
      </c>
      <c r="G131" s="6">
        <v>0</v>
      </c>
    </row>
    <row r="132" spans="1:7" x14ac:dyDescent="0.2">
      <c r="A132" s="7" t="s">
        <v>137</v>
      </c>
      <c r="B132" s="8">
        <v>1</v>
      </c>
      <c r="C132" s="9">
        <v>5.0999999999999996</v>
      </c>
      <c r="D132" s="8">
        <v>1</v>
      </c>
      <c r="E132" s="10">
        <v>0</v>
      </c>
      <c r="F132" s="9">
        <v>5.0999999999999996</v>
      </c>
      <c r="G132" s="11">
        <v>0</v>
      </c>
    </row>
    <row r="133" spans="1:7" hidden="1" x14ac:dyDescent="0.2">
      <c r="A133" s="2" t="s">
        <v>138</v>
      </c>
      <c r="B133" s="3">
        <v>1</v>
      </c>
      <c r="C133" s="4">
        <v>0</v>
      </c>
      <c r="D133" s="3">
        <v>0</v>
      </c>
      <c r="E133" s="5">
        <v>0</v>
      </c>
      <c r="F133" s="4">
        <v>0</v>
      </c>
      <c r="G133" s="6">
        <v>2.4</v>
      </c>
    </row>
    <row r="134" spans="1:7" hidden="1" x14ac:dyDescent="0.2">
      <c r="A134" s="7" t="s">
        <v>139</v>
      </c>
      <c r="B134" s="8">
        <v>1</v>
      </c>
      <c r="C134" s="9">
        <v>0</v>
      </c>
      <c r="D134" s="8">
        <v>0</v>
      </c>
      <c r="E134" s="10">
        <v>0</v>
      </c>
      <c r="F134" s="9">
        <v>0</v>
      </c>
      <c r="G134" s="11">
        <v>0</v>
      </c>
    </row>
    <row r="135" spans="1:7" hidden="1" x14ac:dyDescent="0.2">
      <c r="A135" s="2" t="s">
        <v>140</v>
      </c>
      <c r="B135" s="3">
        <v>1</v>
      </c>
      <c r="C135" s="4">
        <v>0</v>
      </c>
      <c r="D135" s="3">
        <v>0</v>
      </c>
      <c r="E135" s="5">
        <v>0</v>
      </c>
      <c r="F135" s="4">
        <v>0</v>
      </c>
      <c r="G135" s="6">
        <v>0</v>
      </c>
    </row>
    <row r="136" spans="1:7" hidden="1" x14ac:dyDescent="0.2">
      <c r="A136" s="7" t="s">
        <v>141</v>
      </c>
      <c r="B136" s="8">
        <v>2</v>
      </c>
      <c r="C136" s="9">
        <v>0</v>
      </c>
      <c r="D136" s="8">
        <v>0</v>
      </c>
      <c r="E136" s="10">
        <v>0</v>
      </c>
      <c r="F136" s="9">
        <v>0</v>
      </c>
      <c r="G136" s="11">
        <v>0</v>
      </c>
    </row>
    <row r="137" spans="1:7" hidden="1" x14ac:dyDescent="0.2">
      <c r="A137" s="2" t="s">
        <v>142</v>
      </c>
      <c r="B137" s="3">
        <v>1</v>
      </c>
      <c r="C137" s="4">
        <v>0</v>
      </c>
      <c r="D137" s="3">
        <v>0</v>
      </c>
      <c r="E137" s="5">
        <v>0</v>
      </c>
      <c r="F137" s="4">
        <v>0</v>
      </c>
      <c r="G137" s="6">
        <v>3.5</v>
      </c>
    </row>
    <row r="138" spans="1:7" hidden="1" x14ac:dyDescent="0.2">
      <c r="A138" s="7" t="s">
        <v>143</v>
      </c>
      <c r="B138" s="8">
        <v>1</v>
      </c>
      <c r="C138" s="9">
        <v>0</v>
      </c>
      <c r="D138" s="8">
        <v>0</v>
      </c>
      <c r="E138" s="10">
        <v>0</v>
      </c>
      <c r="F138" s="9">
        <v>0</v>
      </c>
      <c r="G138" s="11">
        <v>4.3</v>
      </c>
    </row>
    <row r="139" spans="1:7" hidden="1" x14ac:dyDescent="0.2">
      <c r="A139" s="2" t="s">
        <v>144</v>
      </c>
      <c r="B139" s="3">
        <v>4</v>
      </c>
      <c r="C139" s="4">
        <v>0</v>
      </c>
      <c r="D139" s="3">
        <v>0</v>
      </c>
      <c r="E139" s="5">
        <v>0</v>
      </c>
      <c r="F139" s="4">
        <v>0</v>
      </c>
      <c r="G139" s="6">
        <v>3.35</v>
      </c>
    </row>
    <row r="140" spans="1:7" hidden="1" x14ac:dyDescent="0.2">
      <c r="A140" s="7" t="s">
        <v>145</v>
      </c>
      <c r="B140" s="8">
        <v>2</v>
      </c>
      <c r="C140" s="9">
        <v>0</v>
      </c>
      <c r="D140" s="8">
        <v>0</v>
      </c>
      <c r="E140" s="10">
        <v>0</v>
      </c>
      <c r="F140" s="9">
        <v>0</v>
      </c>
      <c r="G140" s="11">
        <v>5</v>
      </c>
    </row>
    <row r="141" spans="1:7" hidden="1" x14ac:dyDescent="0.2">
      <c r="A141" s="2" t="s">
        <v>146</v>
      </c>
      <c r="B141" s="3">
        <v>1</v>
      </c>
      <c r="C141" s="4">
        <v>0</v>
      </c>
      <c r="D141" s="3">
        <v>0</v>
      </c>
      <c r="E141" s="5">
        <v>0</v>
      </c>
      <c r="F141" s="4">
        <v>0</v>
      </c>
      <c r="G141" s="6">
        <v>4.5</v>
      </c>
    </row>
    <row r="142" spans="1:7" hidden="1" x14ac:dyDescent="0.2">
      <c r="A142" s="7" t="s">
        <v>147</v>
      </c>
      <c r="B142" s="8">
        <v>1</v>
      </c>
      <c r="C142" s="9">
        <v>0</v>
      </c>
      <c r="D142" s="8">
        <v>0</v>
      </c>
      <c r="E142" s="10">
        <v>0</v>
      </c>
      <c r="F142" s="9">
        <v>0</v>
      </c>
      <c r="G142" s="11">
        <v>0</v>
      </c>
    </row>
    <row r="143" spans="1:7" hidden="1" x14ac:dyDescent="0.2">
      <c r="A143" s="2" t="s">
        <v>148</v>
      </c>
      <c r="B143" s="3">
        <v>2</v>
      </c>
      <c r="C143" s="4">
        <v>0</v>
      </c>
      <c r="D143" s="3">
        <v>0</v>
      </c>
      <c r="E143" s="5">
        <v>0</v>
      </c>
      <c r="F143" s="4">
        <v>0</v>
      </c>
      <c r="G143" s="6">
        <v>3.4</v>
      </c>
    </row>
    <row r="144" spans="1:7" hidden="1" x14ac:dyDescent="0.2">
      <c r="A144" s="7" t="s">
        <v>149</v>
      </c>
      <c r="B144" s="8">
        <v>1</v>
      </c>
      <c r="C144" s="9">
        <v>0</v>
      </c>
      <c r="D144" s="8">
        <v>0</v>
      </c>
      <c r="E144" s="10">
        <v>0</v>
      </c>
      <c r="F144" s="9">
        <v>0</v>
      </c>
      <c r="G144" s="11">
        <v>0</v>
      </c>
    </row>
    <row r="145" spans="1:7" hidden="1" x14ac:dyDescent="0.2">
      <c r="A145" s="2" t="s">
        <v>150</v>
      </c>
      <c r="B145" s="3">
        <v>1</v>
      </c>
      <c r="C145" s="4">
        <v>0</v>
      </c>
      <c r="D145" s="3">
        <v>0</v>
      </c>
      <c r="E145" s="5">
        <v>0</v>
      </c>
      <c r="F145" s="4">
        <v>0</v>
      </c>
      <c r="G145" s="6">
        <v>0</v>
      </c>
    </row>
    <row r="146" spans="1:7" hidden="1" x14ac:dyDescent="0.2">
      <c r="A146" s="7" t="s">
        <v>151</v>
      </c>
      <c r="B146" s="8">
        <v>1</v>
      </c>
      <c r="C146" s="9">
        <v>0</v>
      </c>
      <c r="D146" s="8">
        <v>0</v>
      </c>
      <c r="E146" s="10">
        <v>0</v>
      </c>
      <c r="F146" s="9">
        <v>0</v>
      </c>
      <c r="G146" s="11">
        <v>0</v>
      </c>
    </row>
    <row r="147" spans="1:7" hidden="1" x14ac:dyDescent="0.2">
      <c r="A147" s="2" t="s">
        <v>152</v>
      </c>
      <c r="B147" s="3">
        <v>1</v>
      </c>
      <c r="C147" s="4">
        <v>0</v>
      </c>
      <c r="D147" s="3">
        <v>0</v>
      </c>
      <c r="E147" s="5">
        <v>0</v>
      </c>
      <c r="F147" s="4">
        <v>0</v>
      </c>
      <c r="G147" s="6">
        <v>1</v>
      </c>
    </row>
    <row r="148" spans="1:7" hidden="1" x14ac:dyDescent="0.2">
      <c r="A148" s="7" t="s">
        <v>153</v>
      </c>
      <c r="B148" s="8">
        <v>1</v>
      </c>
      <c r="C148" s="9">
        <v>0</v>
      </c>
      <c r="D148" s="8">
        <v>0</v>
      </c>
      <c r="E148" s="10">
        <v>0</v>
      </c>
      <c r="F148" s="9">
        <v>0</v>
      </c>
      <c r="G148" s="11">
        <v>0</v>
      </c>
    </row>
    <row r="149" spans="1:7" hidden="1" x14ac:dyDescent="0.2">
      <c r="A149" s="2" t="s">
        <v>154</v>
      </c>
      <c r="B149" s="3">
        <v>1</v>
      </c>
      <c r="C149" s="4">
        <v>0</v>
      </c>
      <c r="D149" s="3">
        <v>0</v>
      </c>
      <c r="E149" s="5">
        <v>0</v>
      </c>
      <c r="F149" s="4">
        <v>0</v>
      </c>
      <c r="G149" s="6">
        <v>0</v>
      </c>
    </row>
    <row r="150" spans="1:7" hidden="1" x14ac:dyDescent="0.2">
      <c r="A150" s="7" t="s">
        <v>155</v>
      </c>
      <c r="B150" s="8">
        <v>5</v>
      </c>
      <c r="C150" s="9">
        <v>0</v>
      </c>
      <c r="D150" s="8">
        <v>0</v>
      </c>
      <c r="E150" s="10">
        <v>0</v>
      </c>
      <c r="F150" s="9">
        <v>0</v>
      </c>
      <c r="G150" s="11">
        <v>5</v>
      </c>
    </row>
    <row r="151" spans="1:7" hidden="1" x14ac:dyDescent="0.2">
      <c r="A151" s="2" t="s">
        <v>156</v>
      </c>
      <c r="B151" s="3">
        <v>1</v>
      </c>
      <c r="C151" s="4">
        <v>0</v>
      </c>
      <c r="D151" s="3">
        <v>0</v>
      </c>
      <c r="E151" s="5">
        <v>0</v>
      </c>
      <c r="F151" s="4">
        <v>0</v>
      </c>
      <c r="G151" s="6">
        <v>0</v>
      </c>
    </row>
    <row r="152" spans="1:7" hidden="1" x14ac:dyDescent="0.2">
      <c r="A152" s="7" t="s">
        <v>157</v>
      </c>
      <c r="B152" s="8">
        <v>1</v>
      </c>
      <c r="C152" s="9">
        <v>0</v>
      </c>
      <c r="D152" s="8">
        <v>0</v>
      </c>
      <c r="E152" s="10">
        <v>0</v>
      </c>
      <c r="F152" s="9">
        <v>0</v>
      </c>
      <c r="G152" s="11">
        <v>0</v>
      </c>
    </row>
    <row r="153" spans="1:7" hidden="1" x14ac:dyDescent="0.2">
      <c r="A153" s="2" t="s">
        <v>158</v>
      </c>
      <c r="B153" s="3">
        <v>1</v>
      </c>
      <c r="C153" s="4">
        <v>0</v>
      </c>
      <c r="D153" s="3">
        <v>0</v>
      </c>
      <c r="E153" s="5">
        <v>0</v>
      </c>
      <c r="F153" s="4">
        <v>0</v>
      </c>
      <c r="G153" s="6">
        <v>0</v>
      </c>
    </row>
    <row r="154" spans="1:7" hidden="1" x14ac:dyDescent="0.2">
      <c r="A154" s="7" t="s">
        <v>159</v>
      </c>
      <c r="B154" s="8">
        <v>1</v>
      </c>
      <c r="C154" s="9">
        <v>0</v>
      </c>
      <c r="D154" s="8">
        <v>0</v>
      </c>
      <c r="E154" s="10">
        <v>0</v>
      </c>
      <c r="F154" s="9">
        <v>0</v>
      </c>
      <c r="G154" s="11">
        <v>0</v>
      </c>
    </row>
    <row r="155" spans="1:7" hidden="1" x14ac:dyDescent="0.2">
      <c r="A155" s="2" t="s">
        <v>160</v>
      </c>
      <c r="B155" s="3">
        <v>7</v>
      </c>
      <c r="C155" s="4">
        <v>0</v>
      </c>
      <c r="D155" s="3">
        <v>0</v>
      </c>
      <c r="E155" s="5">
        <v>0</v>
      </c>
      <c r="F155" s="4">
        <v>0</v>
      </c>
      <c r="G155" s="6">
        <v>4.1399999999999997</v>
      </c>
    </row>
    <row r="156" spans="1:7" hidden="1" x14ac:dyDescent="0.2">
      <c r="A156" s="7" t="s">
        <v>161</v>
      </c>
      <c r="B156" s="8">
        <v>1</v>
      </c>
      <c r="C156" s="9">
        <v>0</v>
      </c>
      <c r="D156" s="8">
        <v>0</v>
      </c>
      <c r="E156" s="10">
        <v>0</v>
      </c>
      <c r="F156" s="9">
        <v>0</v>
      </c>
      <c r="G156" s="11">
        <v>0</v>
      </c>
    </row>
    <row r="157" spans="1:7" hidden="1" x14ac:dyDescent="0.2">
      <c r="A157" s="2" t="s">
        <v>162</v>
      </c>
      <c r="B157" s="3">
        <v>2</v>
      </c>
      <c r="C157" s="4">
        <v>0</v>
      </c>
      <c r="D157" s="3">
        <v>0</v>
      </c>
      <c r="E157" s="5">
        <v>0</v>
      </c>
      <c r="F157" s="4">
        <v>0</v>
      </c>
      <c r="G157" s="6">
        <v>0</v>
      </c>
    </row>
    <row r="158" spans="1:7" hidden="1" x14ac:dyDescent="0.2">
      <c r="A158" s="7" t="s">
        <v>163</v>
      </c>
      <c r="B158" s="8">
        <v>1</v>
      </c>
      <c r="C158" s="9">
        <v>0</v>
      </c>
      <c r="D158" s="8">
        <v>0</v>
      </c>
      <c r="E158" s="10">
        <v>0</v>
      </c>
      <c r="F158" s="9">
        <v>0</v>
      </c>
      <c r="G158" s="11">
        <v>0</v>
      </c>
    </row>
    <row r="159" spans="1:7" hidden="1" x14ac:dyDescent="0.2">
      <c r="A159" s="2" t="s">
        <v>164</v>
      </c>
      <c r="B159" s="3">
        <v>1</v>
      </c>
      <c r="C159" s="4">
        <v>0</v>
      </c>
      <c r="D159" s="3">
        <v>0</v>
      </c>
      <c r="E159" s="5">
        <v>0</v>
      </c>
      <c r="F159" s="4">
        <v>0</v>
      </c>
      <c r="G159" s="6">
        <v>0</v>
      </c>
    </row>
    <row r="160" spans="1:7" hidden="1" x14ac:dyDescent="0.2">
      <c r="A160" s="7" t="s">
        <v>165</v>
      </c>
      <c r="B160" s="8">
        <v>1</v>
      </c>
      <c r="C160" s="9">
        <v>0</v>
      </c>
      <c r="D160" s="8">
        <v>0</v>
      </c>
      <c r="E160" s="10">
        <v>0</v>
      </c>
      <c r="F160" s="9">
        <v>0</v>
      </c>
      <c r="G160" s="11">
        <v>0</v>
      </c>
    </row>
    <row r="161" spans="1:7" hidden="1" x14ac:dyDescent="0.2">
      <c r="A161" s="2" t="s">
        <v>166</v>
      </c>
      <c r="B161" s="3">
        <v>1</v>
      </c>
      <c r="C161" s="4">
        <v>0</v>
      </c>
      <c r="D161" s="3">
        <v>0</v>
      </c>
      <c r="E161" s="5">
        <v>0</v>
      </c>
      <c r="F161" s="4">
        <v>0</v>
      </c>
      <c r="G161" s="6">
        <v>4.2</v>
      </c>
    </row>
    <row r="162" spans="1:7" hidden="1" x14ac:dyDescent="0.2">
      <c r="A162" s="7" t="s">
        <v>167</v>
      </c>
      <c r="B162" s="8">
        <v>1</v>
      </c>
      <c r="C162" s="9">
        <v>0</v>
      </c>
      <c r="D162" s="8">
        <v>0</v>
      </c>
      <c r="E162" s="10">
        <v>0</v>
      </c>
      <c r="F162" s="9">
        <v>0</v>
      </c>
      <c r="G162" s="11">
        <v>3</v>
      </c>
    </row>
    <row r="163" spans="1:7" hidden="1" x14ac:dyDescent="0.2">
      <c r="A163" s="2" t="s">
        <v>168</v>
      </c>
      <c r="B163" s="3">
        <v>1</v>
      </c>
      <c r="C163" s="4">
        <v>0</v>
      </c>
      <c r="D163" s="3">
        <v>0</v>
      </c>
      <c r="E163" s="5">
        <v>0</v>
      </c>
      <c r="F163" s="4">
        <v>0</v>
      </c>
      <c r="G163" s="6">
        <v>4</v>
      </c>
    </row>
    <row r="164" spans="1:7" hidden="1" x14ac:dyDescent="0.2">
      <c r="A164" s="7" t="s">
        <v>169</v>
      </c>
      <c r="B164" s="8">
        <v>1</v>
      </c>
      <c r="C164" s="9">
        <v>0</v>
      </c>
      <c r="D164" s="8">
        <v>0</v>
      </c>
      <c r="E164" s="10">
        <v>0</v>
      </c>
      <c r="F164" s="9">
        <v>0</v>
      </c>
      <c r="G164" s="11">
        <v>0</v>
      </c>
    </row>
    <row r="165" spans="1:7" hidden="1" x14ac:dyDescent="0.2">
      <c r="A165" s="2" t="s">
        <v>170</v>
      </c>
      <c r="B165" s="3">
        <v>2</v>
      </c>
      <c r="C165" s="4">
        <v>0</v>
      </c>
      <c r="D165" s="3">
        <v>0</v>
      </c>
      <c r="E165" s="5">
        <v>0</v>
      </c>
      <c r="F165" s="4">
        <v>0</v>
      </c>
      <c r="G165" s="6">
        <v>0</v>
      </c>
    </row>
    <row r="166" spans="1:7" hidden="1" x14ac:dyDescent="0.2">
      <c r="A166" s="7" t="s">
        <v>171</v>
      </c>
      <c r="B166" s="8">
        <v>1</v>
      </c>
      <c r="C166" s="9">
        <v>0</v>
      </c>
      <c r="D166" s="8">
        <v>0</v>
      </c>
      <c r="E166" s="10">
        <v>0</v>
      </c>
      <c r="F166" s="9">
        <v>0</v>
      </c>
      <c r="G166" s="11">
        <v>0</v>
      </c>
    </row>
    <row r="167" spans="1:7" hidden="1" x14ac:dyDescent="0.2">
      <c r="A167" s="2" t="s">
        <v>172</v>
      </c>
      <c r="B167" s="3">
        <v>1</v>
      </c>
      <c r="C167" s="4">
        <v>0</v>
      </c>
      <c r="D167" s="3">
        <v>0</v>
      </c>
      <c r="E167" s="5">
        <v>0</v>
      </c>
      <c r="F167" s="4">
        <v>0</v>
      </c>
      <c r="G167" s="6">
        <v>1</v>
      </c>
    </row>
    <row r="168" spans="1:7" hidden="1" x14ac:dyDescent="0.2">
      <c r="A168" s="7" t="s">
        <v>173</v>
      </c>
      <c r="B168" s="8">
        <v>1</v>
      </c>
      <c r="C168" s="9">
        <v>0</v>
      </c>
      <c r="D168" s="8">
        <v>0</v>
      </c>
      <c r="E168" s="10">
        <v>0</v>
      </c>
      <c r="F168" s="9">
        <v>0</v>
      </c>
      <c r="G168" s="11">
        <v>0</v>
      </c>
    </row>
    <row r="169" spans="1:7" hidden="1" x14ac:dyDescent="0.2">
      <c r="A169" s="2" t="s">
        <v>174</v>
      </c>
      <c r="B169" s="3">
        <v>1</v>
      </c>
      <c r="C169" s="4">
        <v>0</v>
      </c>
      <c r="D169" s="3">
        <v>0</v>
      </c>
      <c r="E169" s="5">
        <v>0</v>
      </c>
      <c r="F169" s="4">
        <v>0</v>
      </c>
      <c r="G169" s="6">
        <v>4.9000000000000004</v>
      </c>
    </row>
    <row r="170" spans="1:7" hidden="1" x14ac:dyDescent="0.2">
      <c r="A170" s="7" t="s">
        <v>175</v>
      </c>
      <c r="B170" s="8">
        <v>1</v>
      </c>
      <c r="C170" s="9">
        <v>0</v>
      </c>
      <c r="D170" s="8">
        <v>0</v>
      </c>
      <c r="E170" s="10">
        <v>0</v>
      </c>
      <c r="F170" s="9">
        <v>0</v>
      </c>
      <c r="G170" s="11">
        <v>4.4000000000000004</v>
      </c>
    </row>
    <row r="171" spans="1:7" hidden="1" x14ac:dyDescent="0.2">
      <c r="A171" s="2" t="s">
        <v>176</v>
      </c>
      <c r="B171" s="3">
        <v>1</v>
      </c>
      <c r="C171" s="4">
        <v>0</v>
      </c>
      <c r="D171" s="3">
        <v>0</v>
      </c>
      <c r="E171" s="5">
        <v>0</v>
      </c>
      <c r="F171" s="4">
        <v>0</v>
      </c>
      <c r="G171" s="6">
        <v>0</v>
      </c>
    </row>
    <row r="172" spans="1:7" hidden="1" x14ac:dyDescent="0.2">
      <c r="A172" s="7" t="s">
        <v>177</v>
      </c>
      <c r="B172" s="8">
        <v>1</v>
      </c>
      <c r="C172" s="9">
        <v>0</v>
      </c>
      <c r="D172" s="8">
        <v>0</v>
      </c>
      <c r="E172" s="10">
        <v>0</v>
      </c>
      <c r="F172" s="9">
        <v>0</v>
      </c>
      <c r="G172" s="11">
        <v>5</v>
      </c>
    </row>
    <row r="173" spans="1:7" hidden="1" x14ac:dyDescent="0.2">
      <c r="A173" s="2" t="s">
        <v>178</v>
      </c>
      <c r="B173" s="3">
        <v>1</v>
      </c>
      <c r="C173" s="4">
        <v>0</v>
      </c>
      <c r="D173" s="3">
        <v>0</v>
      </c>
      <c r="E173" s="5">
        <v>0</v>
      </c>
      <c r="F173" s="4">
        <v>0</v>
      </c>
      <c r="G173" s="6">
        <v>3</v>
      </c>
    </row>
    <row r="174" spans="1:7" hidden="1" x14ac:dyDescent="0.2">
      <c r="A174" s="7" t="s">
        <v>179</v>
      </c>
      <c r="B174" s="8">
        <v>1</v>
      </c>
      <c r="C174" s="9">
        <v>0</v>
      </c>
      <c r="D174" s="8">
        <v>0</v>
      </c>
      <c r="E174" s="10">
        <v>0</v>
      </c>
      <c r="F174" s="9">
        <v>0</v>
      </c>
      <c r="G174" s="11">
        <v>0</v>
      </c>
    </row>
    <row r="175" spans="1:7" hidden="1" x14ac:dyDescent="0.2">
      <c r="A175" s="2" t="s">
        <v>180</v>
      </c>
      <c r="B175" s="3">
        <v>2</v>
      </c>
      <c r="C175" s="4">
        <v>0</v>
      </c>
      <c r="D175" s="3">
        <v>0</v>
      </c>
      <c r="E175" s="5">
        <v>0</v>
      </c>
      <c r="F175" s="4">
        <v>0</v>
      </c>
      <c r="G175" s="6">
        <v>0</v>
      </c>
    </row>
    <row r="176" spans="1:7" hidden="1" x14ac:dyDescent="0.2">
      <c r="A176" s="7" t="s">
        <v>181</v>
      </c>
      <c r="B176" s="8">
        <v>1</v>
      </c>
      <c r="C176" s="9">
        <v>0</v>
      </c>
      <c r="D176" s="8">
        <v>0</v>
      </c>
      <c r="E176" s="10">
        <v>0</v>
      </c>
      <c r="F176" s="9">
        <v>0</v>
      </c>
      <c r="G176" s="11">
        <v>0</v>
      </c>
    </row>
    <row r="177" spans="1:7" hidden="1" x14ac:dyDescent="0.2">
      <c r="A177" s="2" t="s">
        <v>182</v>
      </c>
      <c r="B177" s="3">
        <v>1</v>
      </c>
      <c r="C177" s="4">
        <v>0</v>
      </c>
      <c r="D177" s="3">
        <v>0</v>
      </c>
      <c r="E177" s="5">
        <v>0</v>
      </c>
      <c r="F177" s="4">
        <v>0</v>
      </c>
      <c r="G177" s="6">
        <v>4.5999999999999996</v>
      </c>
    </row>
    <row r="178" spans="1:7" hidden="1" x14ac:dyDescent="0.2">
      <c r="A178" s="7" t="s">
        <v>183</v>
      </c>
      <c r="B178" s="8">
        <v>1</v>
      </c>
      <c r="C178" s="9">
        <v>0</v>
      </c>
      <c r="D178" s="8">
        <v>0</v>
      </c>
      <c r="E178" s="10">
        <v>0</v>
      </c>
      <c r="F178" s="9">
        <v>0</v>
      </c>
      <c r="G178" s="11">
        <v>2.9</v>
      </c>
    </row>
    <row r="179" spans="1:7" hidden="1" x14ac:dyDescent="0.2">
      <c r="A179" s="2" t="s">
        <v>184</v>
      </c>
      <c r="B179" s="3">
        <v>2</v>
      </c>
      <c r="C179" s="4">
        <v>0</v>
      </c>
      <c r="D179" s="3">
        <v>0</v>
      </c>
      <c r="E179" s="5">
        <v>0</v>
      </c>
      <c r="F179" s="4">
        <v>0</v>
      </c>
      <c r="G179" s="6">
        <v>0</v>
      </c>
    </row>
    <row r="180" spans="1:7" hidden="1" x14ac:dyDescent="0.2">
      <c r="A180" s="7" t="s">
        <v>185</v>
      </c>
      <c r="B180" s="8">
        <v>1</v>
      </c>
      <c r="C180" s="9">
        <v>0</v>
      </c>
      <c r="D180" s="8">
        <v>0</v>
      </c>
      <c r="E180" s="10">
        <v>0</v>
      </c>
      <c r="F180" s="9">
        <v>0</v>
      </c>
      <c r="G180" s="11">
        <v>0</v>
      </c>
    </row>
    <row r="181" spans="1:7" hidden="1" x14ac:dyDescent="0.2">
      <c r="A181" s="2" t="s">
        <v>186</v>
      </c>
      <c r="B181" s="3">
        <v>2</v>
      </c>
      <c r="C181" s="4">
        <v>0</v>
      </c>
      <c r="D181" s="3">
        <v>0</v>
      </c>
      <c r="E181" s="5">
        <v>0</v>
      </c>
      <c r="F181" s="4">
        <v>0</v>
      </c>
      <c r="G181" s="6">
        <v>5</v>
      </c>
    </row>
    <row r="182" spans="1:7" hidden="1" x14ac:dyDescent="0.2">
      <c r="A182" s="7" t="s">
        <v>187</v>
      </c>
      <c r="B182" s="8">
        <v>1</v>
      </c>
      <c r="C182" s="9">
        <v>0</v>
      </c>
      <c r="D182" s="8">
        <v>0</v>
      </c>
      <c r="E182" s="10">
        <v>0</v>
      </c>
      <c r="F182" s="9">
        <v>0</v>
      </c>
      <c r="G182" s="11">
        <v>0</v>
      </c>
    </row>
    <row r="183" spans="1:7" hidden="1" x14ac:dyDescent="0.2">
      <c r="A183" s="2" t="s">
        <v>188</v>
      </c>
      <c r="B183" s="3">
        <v>1</v>
      </c>
      <c r="C183" s="4">
        <v>0</v>
      </c>
      <c r="D183" s="3">
        <v>0</v>
      </c>
      <c r="E183" s="5">
        <v>0</v>
      </c>
      <c r="F183" s="4">
        <v>0</v>
      </c>
      <c r="G183" s="6">
        <v>0</v>
      </c>
    </row>
    <row r="184" spans="1:7" hidden="1" x14ac:dyDescent="0.2">
      <c r="A184" s="7" t="s">
        <v>189</v>
      </c>
      <c r="B184" s="8">
        <v>1</v>
      </c>
      <c r="C184" s="9">
        <v>0</v>
      </c>
      <c r="D184" s="8">
        <v>0</v>
      </c>
      <c r="E184" s="10">
        <v>0</v>
      </c>
      <c r="F184" s="9">
        <v>0</v>
      </c>
      <c r="G184" s="11">
        <v>0</v>
      </c>
    </row>
    <row r="185" spans="1:7" hidden="1" x14ac:dyDescent="0.2">
      <c r="A185" s="2" t="s">
        <v>190</v>
      </c>
      <c r="B185" s="3">
        <v>1</v>
      </c>
      <c r="C185" s="4">
        <v>0</v>
      </c>
      <c r="D185" s="3">
        <v>0</v>
      </c>
      <c r="E185" s="5">
        <v>0</v>
      </c>
      <c r="F185" s="4">
        <v>0</v>
      </c>
      <c r="G185" s="6">
        <v>4.0999999999999996</v>
      </c>
    </row>
    <row r="186" spans="1:7" hidden="1" x14ac:dyDescent="0.2">
      <c r="A186" s="7" t="s">
        <v>191</v>
      </c>
      <c r="B186" s="8">
        <v>1</v>
      </c>
      <c r="C186" s="9">
        <v>0</v>
      </c>
      <c r="D186" s="8">
        <v>0</v>
      </c>
      <c r="E186" s="10">
        <v>0</v>
      </c>
      <c r="F186" s="9">
        <v>0</v>
      </c>
      <c r="G186" s="11">
        <v>0</v>
      </c>
    </row>
    <row r="187" spans="1:7" hidden="1" x14ac:dyDescent="0.2">
      <c r="A187" s="2" t="s">
        <v>192</v>
      </c>
      <c r="B187" s="3">
        <v>1</v>
      </c>
      <c r="C187" s="4">
        <v>0</v>
      </c>
      <c r="D187" s="3">
        <v>0</v>
      </c>
      <c r="E187" s="5">
        <v>0</v>
      </c>
      <c r="F187" s="4">
        <v>0</v>
      </c>
      <c r="G187" s="6">
        <v>5</v>
      </c>
    </row>
    <row r="188" spans="1:7" hidden="1" x14ac:dyDescent="0.2">
      <c r="A188" s="7" t="s">
        <v>193</v>
      </c>
      <c r="B188" s="8">
        <v>1</v>
      </c>
      <c r="C188" s="9">
        <v>0</v>
      </c>
      <c r="D188" s="8">
        <v>0</v>
      </c>
      <c r="E188" s="10">
        <v>0</v>
      </c>
      <c r="F188" s="9">
        <v>0</v>
      </c>
      <c r="G188" s="11">
        <v>0</v>
      </c>
    </row>
    <row r="189" spans="1:7" hidden="1" x14ac:dyDescent="0.2">
      <c r="A189" s="2" t="s">
        <v>194</v>
      </c>
      <c r="B189" s="3">
        <v>1</v>
      </c>
      <c r="C189" s="4">
        <v>0</v>
      </c>
      <c r="D189" s="3">
        <v>0</v>
      </c>
      <c r="E189" s="5">
        <v>0</v>
      </c>
      <c r="F189" s="4">
        <v>0</v>
      </c>
      <c r="G189" s="6">
        <v>1</v>
      </c>
    </row>
    <row r="190" spans="1:7" hidden="1" x14ac:dyDescent="0.2">
      <c r="A190" s="7" t="s">
        <v>195</v>
      </c>
      <c r="B190" s="8">
        <v>2</v>
      </c>
      <c r="C190" s="9">
        <v>0</v>
      </c>
      <c r="D190" s="8">
        <v>0</v>
      </c>
      <c r="E190" s="10">
        <v>0</v>
      </c>
      <c r="F190" s="9">
        <v>0</v>
      </c>
      <c r="G190" s="11">
        <v>0</v>
      </c>
    </row>
    <row r="191" spans="1:7" hidden="1" x14ac:dyDescent="0.2">
      <c r="A191" s="2" t="s">
        <v>196</v>
      </c>
      <c r="B191" s="3">
        <v>1</v>
      </c>
      <c r="C191" s="4">
        <v>0</v>
      </c>
      <c r="D191" s="3">
        <v>0</v>
      </c>
      <c r="E191" s="5">
        <v>0</v>
      </c>
      <c r="F191" s="4">
        <v>0</v>
      </c>
      <c r="G191" s="6">
        <v>0</v>
      </c>
    </row>
    <row r="192" spans="1:7" hidden="1" x14ac:dyDescent="0.2">
      <c r="A192" s="7" t="s">
        <v>197</v>
      </c>
      <c r="B192" s="8">
        <v>1</v>
      </c>
      <c r="C192" s="9">
        <v>0</v>
      </c>
      <c r="D192" s="8">
        <v>0</v>
      </c>
      <c r="E192" s="10">
        <v>0</v>
      </c>
      <c r="F192" s="9">
        <v>0</v>
      </c>
      <c r="G192" s="11">
        <v>0</v>
      </c>
    </row>
    <row r="193" spans="1:7" hidden="1" x14ac:dyDescent="0.2">
      <c r="A193" s="2" t="s">
        <v>198</v>
      </c>
      <c r="B193" s="3">
        <v>1</v>
      </c>
      <c r="C193" s="4">
        <v>0</v>
      </c>
      <c r="D193" s="3">
        <v>0</v>
      </c>
      <c r="E193" s="5">
        <v>0</v>
      </c>
      <c r="F193" s="4">
        <v>0</v>
      </c>
      <c r="G193" s="6">
        <v>0</v>
      </c>
    </row>
    <row r="194" spans="1:7" hidden="1" x14ac:dyDescent="0.2">
      <c r="A194" s="7" t="s">
        <v>199</v>
      </c>
      <c r="B194" s="8">
        <v>4</v>
      </c>
      <c r="C194" s="9">
        <v>0</v>
      </c>
      <c r="D194" s="8">
        <v>0</v>
      </c>
      <c r="E194" s="10">
        <v>0</v>
      </c>
      <c r="F194" s="9">
        <v>0</v>
      </c>
      <c r="G194" s="11">
        <v>0</v>
      </c>
    </row>
    <row r="195" spans="1:7" hidden="1" x14ac:dyDescent="0.2">
      <c r="A195" s="2" t="s">
        <v>200</v>
      </c>
      <c r="B195" s="3">
        <v>1</v>
      </c>
      <c r="C195" s="4">
        <v>0</v>
      </c>
      <c r="D195" s="3">
        <v>0</v>
      </c>
      <c r="E195" s="5">
        <v>0</v>
      </c>
      <c r="F195" s="4">
        <v>0</v>
      </c>
      <c r="G195" s="6">
        <v>2.9</v>
      </c>
    </row>
    <row r="196" spans="1:7" hidden="1" x14ac:dyDescent="0.2">
      <c r="A196" s="7" t="s">
        <v>201</v>
      </c>
      <c r="B196" s="8">
        <v>2</v>
      </c>
      <c r="C196" s="9">
        <v>0</v>
      </c>
      <c r="D196" s="8">
        <v>0</v>
      </c>
      <c r="E196" s="10">
        <v>0</v>
      </c>
      <c r="F196" s="9">
        <v>0</v>
      </c>
      <c r="G196" s="11">
        <v>0</v>
      </c>
    </row>
    <row r="197" spans="1:7" hidden="1" x14ac:dyDescent="0.2">
      <c r="A197" s="2" t="s">
        <v>202</v>
      </c>
      <c r="B197" s="3">
        <v>1</v>
      </c>
      <c r="C197" s="4">
        <v>0</v>
      </c>
      <c r="D197" s="3">
        <v>0</v>
      </c>
      <c r="E197" s="5">
        <v>0</v>
      </c>
      <c r="F197" s="4">
        <v>0</v>
      </c>
      <c r="G197" s="6">
        <v>0</v>
      </c>
    </row>
    <row r="198" spans="1:7" hidden="1" x14ac:dyDescent="0.2">
      <c r="A198" s="7" t="s">
        <v>203</v>
      </c>
      <c r="B198" s="8">
        <v>1</v>
      </c>
      <c r="C198" s="9">
        <v>0</v>
      </c>
      <c r="D198" s="8">
        <v>0</v>
      </c>
      <c r="E198" s="10">
        <v>0</v>
      </c>
      <c r="F198" s="9">
        <v>0</v>
      </c>
      <c r="G198" s="11">
        <v>0</v>
      </c>
    </row>
    <row r="199" spans="1:7" hidden="1" x14ac:dyDescent="0.2">
      <c r="A199" s="2" t="s">
        <v>204</v>
      </c>
      <c r="B199" s="3">
        <v>1</v>
      </c>
      <c r="C199" s="4">
        <v>0</v>
      </c>
      <c r="D199" s="3">
        <v>0</v>
      </c>
      <c r="E199" s="5">
        <v>0</v>
      </c>
      <c r="F199" s="4">
        <v>0</v>
      </c>
      <c r="G199" s="6">
        <v>5</v>
      </c>
    </row>
    <row r="200" spans="1:7" hidden="1" x14ac:dyDescent="0.2">
      <c r="A200" s="7" t="s">
        <v>205</v>
      </c>
      <c r="B200" s="8">
        <v>2</v>
      </c>
      <c r="C200" s="9">
        <v>0</v>
      </c>
      <c r="D200" s="8">
        <v>0</v>
      </c>
      <c r="E200" s="10">
        <v>0</v>
      </c>
      <c r="F200" s="9">
        <v>0</v>
      </c>
      <c r="G200" s="11">
        <v>0</v>
      </c>
    </row>
    <row r="201" spans="1:7" hidden="1" x14ac:dyDescent="0.2">
      <c r="A201" s="2" t="s">
        <v>206</v>
      </c>
      <c r="B201" s="3">
        <v>1</v>
      </c>
      <c r="C201" s="4">
        <v>0</v>
      </c>
      <c r="D201" s="3">
        <v>0</v>
      </c>
      <c r="E201" s="5">
        <v>0</v>
      </c>
      <c r="F201" s="4">
        <v>0</v>
      </c>
      <c r="G201" s="6">
        <v>0</v>
      </c>
    </row>
    <row r="202" spans="1:7" hidden="1" x14ac:dyDescent="0.2">
      <c r="A202" s="7" t="s">
        <v>207</v>
      </c>
      <c r="B202" s="8">
        <v>3</v>
      </c>
      <c r="C202" s="9">
        <v>0</v>
      </c>
      <c r="D202" s="8">
        <v>0</v>
      </c>
      <c r="E202" s="10">
        <v>0</v>
      </c>
      <c r="F202" s="9">
        <v>0</v>
      </c>
      <c r="G202" s="11">
        <v>0</v>
      </c>
    </row>
    <row r="203" spans="1:7" hidden="1" x14ac:dyDescent="0.2">
      <c r="A203" s="2" t="s">
        <v>208</v>
      </c>
      <c r="B203" s="3">
        <v>2</v>
      </c>
      <c r="C203" s="4">
        <v>0</v>
      </c>
      <c r="D203" s="3">
        <v>0</v>
      </c>
      <c r="E203" s="5">
        <v>0</v>
      </c>
      <c r="F203" s="4">
        <v>0</v>
      </c>
      <c r="G203" s="6">
        <v>0</v>
      </c>
    </row>
    <row r="204" spans="1:7" hidden="1" x14ac:dyDescent="0.2">
      <c r="A204" s="7" t="s">
        <v>209</v>
      </c>
      <c r="B204" s="8">
        <v>1</v>
      </c>
      <c r="C204" s="9">
        <v>0</v>
      </c>
      <c r="D204" s="8">
        <v>0</v>
      </c>
      <c r="E204" s="10">
        <v>0</v>
      </c>
      <c r="F204" s="9">
        <v>0</v>
      </c>
      <c r="G204" s="11">
        <v>0</v>
      </c>
    </row>
    <row r="205" spans="1:7" hidden="1" x14ac:dyDescent="0.2">
      <c r="A205" s="2" t="s">
        <v>210</v>
      </c>
      <c r="B205" s="3">
        <v>1</v>
      </c>
      <c r="C205" s="4">
        <v>0</v>
      </c>
      <c r="D205" s="3">
        <v>0</v>
      </c>
      <c r="E205" s="5">
        <v>0</v>
      </c>
      <c r="F205" s="4">
        <v>0</v>
      </c>
      <c r="G205" s="6">
        <v>0</v>
      </c>
    </row>
    <row r="206" spans="1:7" hidden="1" x14ac:dyDescent="0.2">
      <c r="A206" s="7" t="s">
        <v>211</v>
      </c>
      <c r="B206" s="8">
        <v>1</v>
      </c>
      <c r="C206" s="9">
        <v>0</v>
      </c>
      <c r="D206" s="8">
        <v>0</v>
      </c>
      <c r="E206" s="10">
        <v>0</v>
      </c>
      <c r="F206" s="9">
        <v>0</v>
      </c>
      <c r="G206" s="11">
        <v>3.8</v>
      </c>
    </row>
    <row r="207" spans="1:7" ht="22" customHeight="1" x14ac:dyDescent="0.2">
      <c r="A207" s="12" t="s">
        <v>212</v>
      </c>
      <c r="B207" s="13">
        <v>539</v>
      </c>
      <c r="C207" s="14">
        <v>3438468.82</v>
      </c>
      <c r="D207" s="13">
        <v>30903</v>
      </c>
      <c r="E207" s="15">
        <v>1</v>
      </c>
      <c r="F207" s="14">
        <v>111.27</v>
      </c>
      <c r="G207" s="16">
        <v>0</v>
      </c>
    </row>
  </sheetData>
  <mergeCells count="1">
    <mergeCell ref="A1:G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2"/>
  <sheetViews>
    <sheetView topLeftCell="B1" workbookViewId="0">
      <pane ySplit="2" topLeftCell="A3" activePane="bottomLeft" state="frozen"/>
      <selection pane="bottomLeft" sqref="A1:P1"/>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20" customWidth="1"/>
    <col min="12" max="12" width="12" customWidth="1"/>
    <col min="13" max="13" width="14" customWidth="1"/>
    <col min="14" max="14" width="16" customWidth="1"/>
    <col min="15" max="15" width="12" customWidth="1"/>
    <col min="16" max="16" width="14" customWidth="1"/>
  </cols>
  <sheetData>
    <row r="1" spans="1:16" ht="34" customHeight="1" x14ac:dyDescent="0.2">
      <c r="A1" s="21" t="s">
        <v>213</v>
      </c>
      <c r="B1" s="22"/>
      <c r="C1" s="22"/>
      <c r="D1" s="22"/>
      <c r="E1" s="22"/>
      <c r="F1" s="22"/>
      <c r="G1" s="22"/>
      <c r="H1" s="22"/>
      <c r="I1" s="22"/>
      <c r="J1" s="22"/>
      <c r="K1" s="22"/>
      <c r="L1" s="22"/>
      <c r="M1" s="22"/>
      <c r="N1" s="22"/>
      <c r="O1" s="22"/>
      <c r="P1" s="22"/>
    </row>
    <row r="2" spans="1:16" ht="30" customHeight="1" x14ac:dyDescent="0.2">
      <c r="A2" s="1" t="s">
        <v>214</v>
      </c>
      <c r="B2" s="1" t="s">
        <v>215</v>
      </c>
      <c r="C2" s="1" t="s">
        <v>1</v>
      </c>
      <c r="D2" s="1" t="s">
        <v>216</v>
      </c>
      <c r="E2" s="1" t="s">
        <v>217</v>
      </c>
      <c r="F2" s="1" t="s">
        <v>3</v>
      </c>
      <c r="G2" s="1" t="s">
        <v>4</v>
      </c>
      <c r="H2" s="1" t="s">
        <v>7</v>
      </c>
      <c r="I2" s="1" t="s">
        <v>218</v>
      </c>
      <c r="J2" s="1" t="s">
        <v>219</v>
      </c>
      <c r="K2" s="1" t="s">
        <v>220</v>
      </c>
      <c r="L2" s="1" t="s">
        <v>221</v>
      </c>
      <c r="M2" s="1" t="s">
        <v>222</v>
      </c>
      <c r="N2" s="1" t="s">
        <v>223</v>
      </c>
      <c r="O2" s="1" t="s">
        <v>224</v>
      </c>
      <c r="P2" s="1" t="s">
        <v>225</v>
      </c>
    </row>
    <row r="3" spans="1:16" ht="45" x14ac:dyDescent="0.2">
      <c r="A3" s="2" t="s">
        <v>226</v>
      </c>
      <c r="B3" s="2" t="s">
        <v>227</v>
      </c>
      <c r="C3" s="2" t="s">
        <v>8</v>
      </c>
      <c r="D3" s="2" t="s">
        <v>228</v>
      </c>
      <c r="E3" s="4">
        <v>103.98</v>
      </c>
      <c r="F3" s="4">
        <v>1039447.5</v>
      </c>
      <c r="G3" s="3">
        <v>8093</v>
      </c>
      <c r="H3" s="6">
        <v>4.5999999999999996</v>
      </c>
      <c r="I3" s="3">
        <v>1542</v>
      </c>
      <c r="J3" s="17" t="str">
        <f>HYPERLINK("https://amazon.com/dp/B0CJY5C9QX","Amazon - B0CJY5C9QX")</f>
        <v>Amazon - B0CJY5C9QX</v>
      </c>
      <c r="K3" s="18" t="s">
        <v>229</v>
      </c>
      <c r="L3" s="18" t="s">
        <v>230</v>
      </c>
      <c r="M3" s="18" t="s">
        <v>231</v>
      </c>
      <c r="N3" s="18" t="s">
        <v>232</v>
      </c>
      <c r="O3" s="18" t="s">
        <v>233</v>
      </c>
      <c r="P3" s="18" t="s">
        <v>234</v>
      </c>
    </row>
    <row r="4" spans="1:16" ht="30" x14ac:dyDescent="0.2">
      <c r="A4" s="7" t="s">
        <v>235</v>
      </c>
      <c r="B4" s="7" t="s">
        <v>236</v>
      </c>
      <c r="C4" s="7" t="s">
        <v>9</v>
      </c>
      <c r="D4" s="7" t="s">
        <v>228</v>
      </c>
      <c r="E4" s="9">
        <v>139.38999999999999</v>
      </c>
      <c r="F4" s="9">
        <v>195203.83</v>
      </c>
      <c r="G4" s="8">
        <v>1401</v>
      </c>
      <c r="H4" s="11">
        <v>4.5999999999999996</v>
      </c>
      <c r="I4" s="8">
        <v>1717</v>
      </c>
      <c r="J4" s="19" t="str">
        <f>HYPERLINK("https://amazon.com/dp/B0B28HRSBP","Amazon - B0B28HRSBP")</f>
        <v>Amazon - B0B28HRSBP</v>
      </c>
      <c r="K4" s="20" t="s">
        <v>229</v>
      </c>
      <c r="L4" s="20" t="s">
        <v>230</v>
      </c>
      <c r="M4" s="20" t="s">
        <v>237</v>
      </c>
      <c r="N4" s="20" t="s">
        <v>238</v>
      </c>
      <c r="O4" s="20" t="s">
        <v>233</v>
      </c>
      <c r="P4" s="20" t="s">
        <v>239</v>
      </c>
    </row>
    <row r="5" spans="1:16" ht="30" x14ac:dyDescent="0.2">
      <c r="A5" s="2" t="s">
        <v>240</v>
      </c>
      <c r="B5" s="2" t="s">
        <v>241</v>
      </c>
      <c r="C5" s="2" t="s">
        <v>8</v>
      </c>
      <c r="D5" s="2" t="s">
        <v>228</v>
      </c>
      <c r="E5" s="4">
        <v>139.99</v>
      </c>
      <c r="F5" s="4">
        <v>156648.32999999999</v>
      </c>
      <c r="G5" s="3">
        <v>1148</v>
      </c>
      <c r="H5" s="6">
        <v>4.5999999999999996</v>
      </c>
      <c r="I5" s="3">
        <v>320</v>
      </c>
      <c r="J5" s="17" t="str">
        <f>HYPERLINK("https://amazon.com/dp/B0DT4H7QQM","Amazon - B0DT4H7QQM")</f>
        <v>Amazon - B0DT4H7QQM</v>
      </c>
      <c r="K5" s="18" t="s">
        <v>229</v>
      </c>
      <c r="L5" s="18" t="s">
        <v>230</v>
      </c>
      <c r="M5" s="18" t="s">
        <v>242</v>
      </c>
      <c r="N5" s="18" t="s">
        <v>243</v>
      </c>
      <c r="O5" s="18" t="s">
        <v>233</v>
      </c>
      <c r="P5" s="18" t="s">
        <v>234</v>
      </c>
    </row>
    <row r="6" spans="1:16" ht="45" x14ac:dyDescent="0.2">
      <c r="A6" s="7" t="s">
        <v>244</v>
      </c>
      <c r="B6" s="7" t="s">
        <v>245</v>
      </c>
      <c r="C6" s="7" t="s">
        <v>8</v>
      </c>
      <c r="D6" s="7" t="s">
        <v>228</v>
      </c>
      <c r="E6" s="9">
        <v>149.99</v>
      </c>
      <c r="F6" s="9">
        <v>146493.76999999999</v>
      </c>
      <c r="G6" s="8">
        <v>977</v>
      </c>
      <c r="H6" s="11">
        <v>4.5999999999999996</v>
      </c>
      <c r="I6" s="8">
        <v>458</v>
      </c>
      <c r="J6" s="19" t="str">
        <f>HYPERLINK("https://amazon.com/dp/B0CJY6SWBN","Amazon - B0CJY6SWBN")</f>
        <v>Amazon - B0CJY6SWBN</v>
      </c>
      <c r="K6" s="20" t="s">
        <v>229</v>
      </c>
      <c r="L6" s="20" t="s">
        <v>230</v>
      </c>
      <c r="M6" s="20" t="s">
        <v>231</v>
      </c>
      <c r="N6" s="20" t="s">
        <v>232</v>
      </c>
      <c r="O6" s="20" t="s">
        <v>246</v>
      </c>
      <c r="P6" s="20" t="s">
        <v>234</v>
      </c>
    </row>
    <row r="7" spans="1:16" ht="45" x14ac:dyDescent="0.2">
      <c r="A7" s="2" t="s">
        <v>247</v>
      </c>
      <c r="B7" s="2" t="s">
        <v>248</v>
      </c>
      <c r="C7" s="2" t="s">
        <v>9</v>
      </c>
      <c r="D7" s="2" t="s">
        <v>228</v>
      </c>
      <c r="E7" s="4">
        <v>159.99</v>
      </c>
      <c r="F7" s="4">
        <v>97593.56</v>
      </c>
      <c r="G7" s="3">
        <v>734</v>
      </c>
      <c r="H7" s="6">
        <v>4.5</v>
      </c>
      <c r="I7" s="3">
        <v>549</v>
      </c>
      <c r="J7" s="17" t="str">
        <f>HYPERLINK("https://amazon.com/dp/B0C3B32Q9Z","Amazon - B0C3B32Q9Z")</f>
        <v>Amazon - B0C3B32Q9Z</v>
      </c>
      <c r="K7" s="18" t="s">
        <v>229</v>
      </c>
      <c r="L7" s="18" t="s">
        <v>230</v>
      </c>
      <c r="M7" s="18" t="s">
        <v>242</v>
      </c>
      <c r="N7" s="18" t="s">
        <v>232</v>
      </c>
      <c r="O7" s="18" t="s">
        <v>246</v>
      </c>
      <c r="P7" s="18" t="s">
        <v>234</v>
      </c>
    </row>
    <row r="8" spans="1:16" ht="45" x14ac:dyDescent="0.2">
      <c r="A8" s="7" t="s">
        <v>249</v>
      </c>
      <c r="B8" s="7" t="s">
        <v>250</v>
      </c>
      <c r="C8" s="7" t="s">
        <v>8</v>
      </c>
      <c r="D8" s="7" t="s">
        <v>228</v>
      </c>
      <c r="E8" s="9">
        <v>509.98</v>
      </c>
      <c r="F8" s="9">
        <v>90360.46</v>
      </c>
      <c r="G8" s="8">
        <v>155</v>
      </c>
      <c r="H8" s="11">
        <v>4.4000000000000004</v>
      </c>
      <c r="I8" s="8">
        <v>53</v>
      </c>
      <c r="J8" s="19" t="str">
        <f>HYPERLINK("https://amazon.com/dp/B0CLG67RHF","Amazon - B0CLG67RHF")</f>
        <v>Amazon - B0CLG67RHF</v>
      </c>
      <c r="K8" s="20" t="s">
        <v>229</v>
      </c>
      <c r="L8" s="20" t="s">
        <v>251</v>
      </c>
      <c r="M8" s="20" t="s">
        <v>252</v>
      </c>
      <c r="N8" s="20" t="s">
        <v>253</v>
      </c>
      <c r="O8" s="20" t="s">
        <v>233</v>
      </c>
      <c r="P8" s="20" t="s">
        <v>234</v>
      </c>
    </row>
    <row r="9" spans="1:16" ht="45" x14ac:dyDescent="0.2">
      <c r="A9" s="2" t="s">
        <v>254</v>
      </c>
      <c r="B9" s="2" t="s">
        <v>255</v>
      </c>
      <c r="C9" s="2" t="s">
        <v>10</v>
      </c>
      <c r="D9" s="2" t="s">
        <v>228</v>
      </c>
      <c r="E9" s="4">
        <v>119.98</v>
      </c>
      <c r="F9" s="4">
        <v>85960.31</v>
      </c>
      <c r="G9" s="3">
        <v>584</v>
      </c>
      <c r="H9" s="6">
        <v>4.5999999999999996</v>
      </c>
      <c r="I9" s="3">
        <v>395</v>
      </c>
      <c r="J9" s="17" t="str">
        <f>HYPERLINK("https://amazon.com/dp/B0F62WJY8N","Amazon - B0F62WJY8N")</f>
        <v>Amazon - B0F62WJY8N</v>
      </c>
      <c r="K9" s="18" t="s">
        <v>229</v>
      </c>
      <c r="L9" s="18" t="s">
        <v>230</v>
      </c>
      <c r="M9" s="18" t="s">
        <v>231</v>
      </c>
      <c r="N9" s="18" t="s">
        <v>232</v>
      </c>
      <c r="O9" s="18" t="s">
        <v>246</v>
      </c>
      <c r="P9" s="18" t="s">
        <v>256</v>
      </c>
    </row>
    <row r="10" spans="1:16" ht="45" x14ac:dyDescent="0.2">
      <c r="A10" s="7" t="s">
        <v>257</v>
      </c>
      <c r="B10" s="7" t="s">
        <v>258</v>
      </c>
      <c r="C10" s="7" t="s">
        <v>12</v>
      </c>
      <c r="D10" s="7" t="s">
        <v>228</v>
      </c>
      <c r="E10" s="9">
        <v>79.989999999999995</v>
      </c>
      <c r="F10" s="9">
        <v>67852.11</v>
      </c>
      <c r="G10" s="8">
        <v>889</v>
      </c>
      <c r="H10" s="11">
        <v>4.5999999999999996</v>
      </c>
      <c r="I10" s="8">
        <v>91</v>
      </c>
      <c r="J10" s="19" t="str">
        <f>HYPERLINK("https://amazon.com/dp/B0FGJ8WVGP","Amazon - B0FGJ8WVGP")</f>
        <v>Amazon - B0FGJ8WVGP</v>
      </c>
      <c r="K10" s="20" t="s">
        <v>229</v>
      </c>
      <c r="L10" s="20" t="s">
        <v>230</v>
      </c>
      <c r="M10" s="20" t="s">
        <v>237</v>
      </c>
      <c r="N10" s="20" t="s">
        <v>243</v>
      </c>
      <c r="O10" s="20" t="s">
        <v>233</v>
      </c>
      <c r="P10" s="20" t="s">
        <v>259</v>
      </c>
    </row>
    <row r="11" spans="1:16" ht="45" x14ac:dyDescent="0.2">
      <c r="A11" s="2" t="s">
        <v>260</v>
      </c>
      <c r="B11" s="2" t="s">
        <v>261</v>
      </c>
      <c r="C11" s="2" t="s">
        <v>8</v>
      </c>
      <c r="D11" s="2" t="s">
        <v>228</v>
      </c>
      <c r="E11" s="4">
        <v>299.99</v>
      </c>
      <c r="F11" s="4">
        <v>62435.43</v>
      </c>
      <c r="G11" s="3">
        <v>223</v>
      </c>
      <c r="H11" s="6">
        <v>4.2</v>
      </c>
      <c r="I11" s="3">
        <v>223</v>
      </c>
      <c r="J11" s="17" t="str">
        <f>HYPERLINK("https://amazon.com/dp/B0CHW4FLS7","Amazon - B0CHW4FLS7")</f>
        <v>Amazon - B0CHW4FLS7</v>
      </c>
      <c r="K11" s="18" t="s">
        <v>229</v>
      </c>
      <c r="L11" s="18" t="s">
        <v>230</v>
      </c>
      <c r="M11" s="18" t="s">
        <v>242</v>
      </c>
      <c r="N11" s="18" t="s">
        <v>262</v>
      </c>
      <c r="O11" s="18" t="s">
        <v>246</v>
      </c>
      <c r="P11" s="18" t="s">
        <v>234</v>
      </c>
    </row>
    <row r="12" spans="1:16" ht="45" x14ac:dyDescent="0.2">
      <c r="A12" s="7" t="s">
        <v>263</v>
      </c>
      <c r="B12" s="7" t="s">
        <v>264</v>
      </c>
      <c r="C12" s="7" t="s">
        <v>8</v>
      </c>
      <c r="D12" s="7" t="s">
        <v>228</v>
      </c>
      <c r="E12" s="9">
        <v>349.99</v>
      </c>
      <c r="F12" s="9">
        <v>57372.54</v>
      </c>
      <c r="G12" s="8">
        <v>173</v>
      </c>
      <c r="H12" s="11">
        <v>4</v>
      </c>
      <c r="I12" s="8">
        <v>107</v>
      </c>
      <c r="J12" s="19" t="str">
        <f>HYPERLINK("https://amazon.com/dp/B0CLG4LHWP","Amazon - B0CLG4LHWP")</f>
        <v>Amazon - B0CLG4LHWP</v>
      </c>
      <c r="K12" s="20" t="s">
        <v>229</v>
      </c>
      <c r="L12" s="20" t="s">
        <v>230</v>
      </c>
      <c r="M12" s="20" t="s">
        <v>242</v>
      </c>
      <c r="N12" s="20" t="s">
        <v>265</v>
      </c>
      <c r="O12" s="20" t="s">
        <v>233</v>
      </c>
      <c r="P12" s="20" t="s">
        <v>234</v>
      </c>
    </row>
    <row r="13" spans="1:16" ht="45" x14ac:dyDescent="0.2">
      <c r="A13" s="2" t="s">
        <v>266</v>
      </c>
      <c r="B13" s="2" t="s">
        <v>267</v>
      </c>
      <c r="C13" s="2" t="s">
        <v>8</v>
      </c>
      <c r="D13" s="2" t="s">
        <v>228</v>
      </c>
      <c r="E13" s="4">
        <v>449.99</v>
      </c>
      <c r="F13" s="4">
        <v>51497.72</v>
      </c>
      <c r="G13" s="3">
        <v>121</v>
      </c>
      <c r="H13" s="6">
        <v>4.0999999999999996</v>
      </c>
      <c r="I13" s="3">
        <v>46</v>
      </c>
      <c r="J13" s="17" t="str">
        <f>HYPERLINK("https://amazon.com/dp/B0DTHZDGYD","Amazon - B0DTHZDGYD")</f>
        <v>Amazon - B0DTHZDGYD</v>
      </c>
      <c r="K13" s="18" t="s">
        <v>229</v>
      </c>
      <c r="L13" s="18" t="s">
        <v>251</v>
      </c>
      <c r="M13" s="18" t="s">
        <v>242</v>
      </c>
      <c r="N13" s="18" t="s">
        <v>253</v>
      </c>
      <c r="O13" s="18" t="s">
        <v>233</v>
      </c>
      <c r="P13" s="18" t="s">
        <v>234</v>
      </c>
    </row>
    <row r="14" spans="1:16" ht="30" x14ac:dyDescent="0.2">
      <c r="A14" s="7" t="s">
        <v>268</v>
      </c>
      <c r="B14" s="7" t="s">
        <v>269</v>
      </c>
      <c r="C14" s="7" t="s">
        <v>16</v>
      </c>
      <c r="D14" s="7" t="s">
        <v>228</v>
      </c>
      <c r="E14" s="9">
        <v>99.99</v>
      </c>
      <c r="F14" s="9">
        <v>42439.15</v>
      </c>
      <c r="G14" s="8">
        <v>460</v>
      </c>
      <c r="H14" s="11">
        <v>4.5999999999999996</v>
      </c>
      <c r="I14" s="8">
        <v>89</v>
      </c>
      <c r="J14" s="19" t="str">
        <f>HYPERLINK("https://amazon.com/dp/B082JCSB4Z","Amazon - B082JCSB4Z")</f>
        <v>Amazon - B082JCSB4Z</v>
      </c>
      <c r="K14" s="20" t="s">
        <v>229</v>
      </c>
      <c r="L14" s="20" t="s">
        <v>230</v>
      </c>
      <c r="M14" s="20" t="s">
        <v>270</v>
      </c>
      <c r="N14" s="20" t="s">
        <v>271</v>
      </c>
      <c r="O14" s="20" t="s">
        <v>233</v>
      </c>
      <c r="P14" s="20" t="s">
        <v>271</v>
      </c>
    </row>
    <row r="15" spans="1:16" ht="45" x14ac:dyDescent="0.2">
      <c r="A15" s="2" t="s">
        <v>272</v>
      </c>
      <c r="B15" s="2" t="s">
        <v>273</v>
      </c>
      <c r="C15" s="2" t="s">
        <v>17</v>
      </c>
      <c r="D15" s="2" t="s">
        <v>228</v>
      </c>
      <c r="E15" s="4">
        <v>89.99</v>
      </c>
      <c r="F15" s="4">
        <v>41716.44</v>
      </c>
      <c r="G15" s="3">
        <v>363</v>
      </c>
      <c r="H15" s="6">
        <v>4.7</v>
      </c>
      <c r="I15" s="3">
        <v>90</v>
      </c>
      <c r="J15" s="17" t="str">
        <f>HYPERLINK("https://amazon.com/dp/B0FFT6SJHW","Amazon - B0FFT6SJHW")</f>
        <v>Amazon - B0FFT6SJHW</v>
      </c>
      <c r="K15" s="18" t="s">
        <v>229</v>
      </c>
      <c r="L15" s="18" t="s">
        <v>230</v>
      </c>
      <c r="M15" s="18" t="s">
        <v>242</v>
      </c>
      <c r="N15" s="18" t="s">
        <v>274</v>
      </c>
      <c r="O15" s="18" t="s">
        <v>233</v>
      </c>
      <c r="P15" s="18" t="s">
        <v>275</v>
      </c>
    </row>
    <row r="16" spans="1:16" ht="45" x14ac:dyDescent="0.2">
      <c r="A16" s="7" t="s">
        <v>276</v>
      </c>
      <c r="B16" s="7" t="s">
        <v>277</v>
      </c>
      <c r="C16" s="7" t="s">
        <v>8</v>
      </c>
      <c r="D16" s="7" t="s">
        <v>228</v>
      </c>
      <c r="E16" s="9">
        <v>139.99</v>
      </c>
      <c r="F16" s="9">
        <v>37214.239999999998</v>
      </c>
      <c r="G16" s="8">
        <v>266</v>
      </c>
      <c r="H16" s="11">
        <v>4.5999999999999996</v>
      </c>
      <c r="I16" s="8">
        <v>3612</v>
      </c>
      <c r="J16" s="19" t="str">
        <f>HYPERLINK("https://amazon.com/dp/B08519F2W9","Amazon - B08519F2W9")</f>
        <v>Amazon - B08519F2W9</v>
      </c>
      <c r="K16" s="20" t="s">
        <v>229</v>
      </c>
      <c r="L16" s="20" t="s">
        <v>230</v>
      </c>
      <c r="M16" s="20" t="s">
        <v>242</v>
      </c>
      <c r="N16" s="20" t="s">
        <v>271</v>
      </c>
      <c r="O16" s="20" t="s">
        <v>246</v>
      </c>
      <c r="P16" s="20" t="s">
        <v>278</v>
      </c>
    </row>
    <row r="17" spans="1:16" ht="45" x14ac:dyDescent="0.2">
      <c r="A17" s="2" t="s">
        <v>279</v>
      </c>
      <c r="B17" s="2" t="s">
        <v>280</v>
      </c>
      <c r="C17" s="2" t="s">
        <v>9</v>
      </c>
      <c r="D17" s="2" t="s">
        <v>228</v>
      </c>
      <c r="E17" s="4">
        <v>159.99</v>
      </c>
      <c r="F17" s="4">
        <v>35062.129999999997</v>
      </c>
      <c r="G17" s="3">
        <v>220</v>
      </c>
      <c r="H17" s="6">
        <v>4.7</v>
      </c>
      <c r="I17" s="3">
        <v>49</v>
      </c>
      <c r="J17" s="17" t="str">
        <f>HYPERLINK("https://amazon.com/dp/B0DNFL72B5","Amazon - B0DNFL72B5")</f>
        <v>Amazon - B0DNFL72B5</v>
      </c>
      <c r="K17" s="18" t="s">
        <v>229</v>
      </c>
      <c r="L17" s="18" t="s">
        <v>230</v>
      </c>
      <c r="M17" s="18" t="s">
        <v>242</v>
      </c>
      <c r="N17" s="18" t="s">
        <v>262</v>
      </c>
      <c r="O17" s="18" t="s">
        <v>246</v>
      </c>
      <c r="P17" s="18" t="s">
        <v>234</v>
      </c>
    </row>
    <row r="18" spans="1:16" ht="45" x14ac:dyDescent="0.2">
      <c r="A18" s="7" t="s">
        <v>281</v>
      </c>
      <c r="B18" s="7" t="s">
        <v>282</v>
      </c>
      <c r="C18" s="7" t="s">
        <v>8</v>
      </c>
      <c r="D18" s="7" t="s">
        <v>228</v>
      </c>
      <c r="E18" s="9">
        <v>699.99</v>
      </c>
      <c r="F18" s="9">
        <v>34665.5</v>
      </c>
      <c r="G18" s="8">
        <v>49</v>
      </c>
      <c r="H18" s="11">
        <v>4.0999999999999996</v>
      </c>
      <c r="I18" s="8">
        <v>27</v>
      </c>
      <c r="J18" s="19" t="str">
        <f>HYPERLINK("https://amazon.com/dp/B0D7PYRRKD","Amazon - B0D7PYRRKD")</f>
        <v>Amazon - B0D7PYRRKD</v>
      </c>
      <c r="K18" s="20" t="s">
        <v>229</v>
      </c>
      <c r="L18" s="20" t="s">
        <v>251</v>
      </c>
      <c r="M18" s="20" t="s">
        <v>252</v>
      </c>
      <c r="N18" s="20" t="s">
        <v>265</v>
      </c>
      <c r="O18" s="20" t="s">
        <v>233</v>
      </c>
      <c r="P18" s="20" t="s">
        <v>234</v>
      </c>
    </row>
    <row r="19" spans="1:16" ht="45" x14ac:dyDescent="0.2">
      <c r="A19" s="2" t="s">
        <v>283</v>
      </c>
      <c r="B19" s="2" t="s">
        <v>284</v>
      </c>
      <c r="C19" s="2" t="s">
        <v>8</v>
      </c>
      <c r="D19" s="2" t="s">
        <v>285</v>
      </c>
      <c r="E19" s="4">
        <v>79.989999999999995</v>
      </c>
      <c r="F19" s="4">
        <v>33817.870000000003</v>
      </c>
      <c r="G19" s="3">
        <v>423</v>
      </c>
      <c r="H19" s="6">
        <v>4.2</v>
      </c>
      <c r="I19" s="3">
        <v>157</v>
      </c>
      <c r="J19" s="17" t="str">
        <f>HYPERLINK("https://amazon.com/dp/B0F2H49C2D","Amazon - B0F2H49C2D")</f>
        <v>Amazon - B0F2H49C2D</v>
      </c>
      <c r="K19" s="18" t="s">
        <v>286</v>
      </c>
      <c r="L19" s="18" t="s">
        <v>230</v>
      </c>
      <c r="M19" s="18" t="s">
        <v>287</v>
      </c>
      <c r="N19" s="18" t="s">
        <v>271</v>
      </c>
      <c r="O19" s="18" t="s">
        <v>233</v>
      </c>
      <c r="P19" s="18" t="s">
        <v>234</v>
      </c>
    </row>
    <row r="20" spans="1:16" ht="45" x14ac:dyDescent="0.2">
      <c r="A20" s="7" t="s">
        <v>288</v>
      </c>
      <c r="B20" s="7" t="s">
        <v>289</v>
      </c>
      <c r="C20" s="7" t="s">
        <v>11</v>
      </c>
      <c r="D20" s="7" t="s">
        <v>228</v>
      </c>
      <c r="E20" s="9">
        <v>299.99</v>
      </c>
      <c r="F20" s="9">
        <v>33706.26</v>
      </c>
      <c r="G20" s="8">
        <v>128</v>
      </c>
      <c r="H20" s="11">
        <v>4.3</v>
      </c>
      <c r="I20" s="8">
        <v>233</v>
      </c>
      <c r="J20" s="19" t="str">
        <f>HYPERLINK("https://amazon.com/dp/B0DSW1DKTZ","Amazon - B0DSW1DKTZ")</f>
        <v>Amazon - B0DSW1DKTZ</v>
      </c>
      <c r="K20" s="20" t="s">
        <v>229</v>
      </c>
      <c r="L20" s="20" t="s">
        <v>251</v>
      </c>
      <c r="M20" s="20" t="s">
        <v>242</v>
      </c>
      <c r="N20" s="20" t="s">
        <v>262</v>
      </c>
      <c r="O20" s="20" t="s">
        <v>246</v>
      </c>
      <c r="P20" s="20" t="s">
        <v>234</v>
      </c>
    </row>
    <row r="21" spans="1:16" ht="30" x14ac:dyDescent="0.2">
      <c r="A21" s="2" t="s">
        <v>290</v>
      </c>
      <c r="B21" s="2" t="s">
        <v>291</v>
      </c>
      <c r="C21" s="2" t="s">
        <v>8</v>
      </c>
      <c r="D21" s="2" t="s">
        <v>228</v>
      </c>
      <c r="E21" s="4">
        <v>279.99</v>
      </c>
      <c r="F21" s="4">
        <v>32889.03</v>
      </c>
      <c r="G21" s="3">
        <v>135</v>
      </c>
      <c r="H21" s="6">
        <v>4.7</v>
      </c>
      <c r="I21" s="3">
        <v>572</v>
      </c>
      <c r="J21" s="17" t="str">
        <f>HYPERLINK("https://amazon.com/dp/B09ZV7KJHL","Amazon - B09ZV7KJHL")</f>
        <v>Amazon - B09ZV7KJHL</v>
      </c>
      <c r="K21" s="18" t="s">
        <v>229</v>
      </c>
      <c r="L21" s="18" t="s">
        <v>230</v>
      </c>
      <c r="M21" s="18" t="s">
        <v>242</v>
      </c>
      <c r="N21" s="18" t="s">
        <v>232</v>
      </c>
      <c r="O21" s="18" t="s">
        <v>233</v>
      </c>
      <c r="P21" s="18" t="s">
        <v>234</v>
      </c>
    </row>
    <row r="22" spans="1:16" ht="45" x14ac:dyDescent="0.2">
      <c r="A22" s="7" t="s">
        <v>292</v>
      </c>
      <c r="B22" s="7" t="s">
        <v>293</v>
      </c>
      <c r="C22" s="7" t="s">
        <v>10</v>
      </c>
      <c r="D22" s="7" t="s">
        <v>228</v>
      </c>
      <c r="E22" s="9">
        <v>94.99</v>
      </c>
      <c r="F22" s="9">
        <v>31838.02</v>
      </c>
      <c r="G22" s="8">
        <v>324</v>
      </c>
      <c r="H22" s="11">
        <v>4.5999999999999996</v>
      </c>
      <c r="I22" s="8">
        <v>395</v>
      </c>
      <c r="J22" s="19" t="str">
        <f>HYPERLINK("https://amazon.com/dp/B0DT16R78W","Amazon - B0DT16R78W")</f>
        <v>Amazon - B0DT16R78W</v>
      </c>
      <c r="K22" s="20" t="s">
        <v>229</v>
      </c>
      <c r="L22" s="20" t="s">
        <v>230</v>
      </c>
      <c r="M22" s="20" t="s">
        <v>231</v>
      </c>
      <c r="N22" s="20" t="s">
        <v>232</v>
      </c>
      <c r="O22" s="20" t="s">
        <v>246</v>
      </c>
      <c r="P22" s="20" t="s">
        <v>234</v>
      </c>
    </row>
    <row r="23" spans="1:16" ht="45" x14ac:dyDescent="0.2">
      <c r="A23" s="2" t="s">
        <v>294</v>
      </c>
      <c r="B23" s="2" t="s">
        <v>295</v>
      </c>
      <c r="C23" s="2" t="s">
        <v>11</v>
      </c>
      <c r="D23" s="2" t="s">
        <v>228</v>
      </c>
      <c r="E23" s="4">
        <v>259.99</v>
      </c>
      <c r="F23" s="4">
        <v>29256.17</v>
      </c>
      <c r="G23" s="3">
        <v>119</v>
      </c>
      <c r="H23" s="6">
        <v>4.2</v>
      </c>
      <c r="I23" s="3">
        <v>209</v>
      </c>
      <c r="J23" s="17" t="str">
        <f>HYPERLINK("https://amazon.com/dp/B0FJFD212D","Amazon - B0FJFD212D")</f>
        <v>Amazon - B0FJFD212D</v>
      </c>
      <c r="K23" s="18" t="s">
        <v>229</v>
      </c>
      <c r="L23" s="18" t="s">
        <v>251</v>
      </c>
      <c r="M23" s="18" t="s">
        <v>237</v>
      </c>
      <c r="N23" s="18" t="s">
        <v>296</v>
      </c>
      <c r="O23" s="18" t="s">
        <v>233</v>
      </c>
      <c r="P23" s="18" t="s">
        <v>297</v>
      </c>
    </row>
    <row r="24" spans="1:16" ht="45" x14ac:dyDescent="0.2">
      <c r="A24" s="7" t="s">
        <v>298</v>
      </c>
      <c r="B24" s="7" t="s">
        <v>299</v>
      </c>
      <c r="C24" s="7" t="s">
        <v>14</v>
      </c>
      <c r="D24" s="7" t="s">
        <v>228</v>
      </c>
      <c r="E24" s="9">
        <v>99.99</v>
      </c>
      <c r="F24" s="9">
        <v>27227.25</v>
      </c>
      <c r="G24" s="8">
        <v>229</v>
      </c>
      <c r="H24" s="11">
        <v>4.5999999999999996</v>
      </c>
      <c r="I24" s="8">
        <v>201</v>
      </c>
      <c r="J24" s="19" t="str">
        <f>HYPERLINK("https://amazon.com/dp/B0DPHJSPBY","Amazon - B0DPHJSPBY")</f>
        <v>Amazon - B0DPHJSPBY</v>
      </c>
      <c r="K24" s="20" t="s">
        <v>229</v>
      </c>
      <c r="L24" s="20" t="s">
        <v>230</v>
      </c>
      <c r="M24" s="20" t="s">
        <v>237</v>
      </c>
      <c r="N24" s="20" t="s">
        <v>296</v>
      </c>
      <c r="O24" s="20" t="s">
        <v>233</v>
      </c>
      <c r="P24" s="20" t="s">
        <v>300</v>
      </c>
    </row>
    <row r="25" spans="1:16" ht="45" x14ac:dyDescent="0.2">
      <c r="A25" s="2" t="s">
        <v>301</v>
      </c>
      <c r="B25" s="2" t="s">
        <v>302</v>
      </c>
      <c r="C25" s="2" t="s">
        <v>11</v>
      </c>
      <c r="D25" s="2" t="s">
        <v>228</v>
      </c>
      <c r="E25" s="4">
        <v>239.99</v>
      </c>
      <c r="F25" s="4">
        <v>26964.44</v>
      </c>
      <c r="G25" s="3">
        <v>118</v>
      </c>
      <c r="H25" s="6">
        <v>4.2</v>
      </c>
      <c r="I25" s="3">
        <v>210</v>
      </c>
      <c r="J25" s="17" t="str">
        <f>HYPERLINK("https://amazon.com/dp/B0C64RBKJL","Amazon - B0C64RBKJL")</f>
        <v>Amazon - B0C64RBKJL</v>
      </c>
      <c r="K25" s="18" t="s">
        <v>229</v>
      </c>
      <c r="L25" s="18" t="s">
        <v>251</v>
      </c>
      <c r="M25" s="18" t="s">
        <v>242</v>
      </c>
      <c r="N25" s="18" t="s">
        <v>296</v>
      </c>
      <c r="O25" s="18" t="s">
        <v>233</v>
      </c>
      <c r="P25" s="18" t="s">
        <v>278</v>
      </c>
    </row>
    <row r="26" spans="1:16" ht="30" x14ac:dyDescent="0.2">
      <c r="A26" s="7" t="s">
        <v>303</v>
      </c>
      <c r="B26" s="7" t="s">
        <v>304</v>
      </c>
      <c r="C26" s="7" t="s">
        <v>15</v>
      </c>
      <c r="D26" s="7" t="s">
        <v>228</v>
      </c>
      <c r="E26" s="9">
        <v>49.99</v>
      </c>
      <c r="F26" s="9">
        <v>26841.31</v>
      </c>
      <c r="G26" s="8">
        <v>620</v>
      </c>
      <c r="H26" s="11">
        <v>4.5999999999999996</v>
      </c>
      <c r="I26" s="8">
        <v>115</v>
      </c>
      <c r="J26" s="19" t="str">
        <f>HYPERLINK("https://amazon.com/dp/B0FJR2Y5B9","Amazon - B0FJR2Y5B9")</f>
        <v>Amazon - B0FJR2Y5B9</v>
      </c>
      <c r="K26" s="20" t="s">
        <v>229</v>
      </c>
      <c r="L26" s="20" t="s">
        <v>230</v>
      </c>
      <c r="M26" s="20" t="s">
        <v>271</v>
      </c>
      <c r="N26" s="20" t="s">
        <v>271</v>
      </c>
      <c r="O26" s="20" t="s">
        <v>246</v>
      </c>
      <c r="P26" s="20" t="s">
        <v>305</v>
      </c>
    </row>
    <row r="27" spans="1:16" ht="45" x14ac:dyDescent="0.2">
      <c r="A27" s="2" t="s">
        <v>306</v>
      </c>
      <c r="B27" s="2" t="s">
        <v>307</v>
      </c>
      <c r="C27" s="2" t="s">
        <v>12</v>
      </c>
      <c r="D27" s="2" t="s">
        <v>285</v>
      </c>
      <c r="E27" s="4">
        <v>147</v>
      </c>
      <c r="F27" s="4">
        <v>25296.54</v>
      </c>
      <c r="G27" s="3">
        <v>155</v>
      </c>
      <c r="H27" s="6">
        <v>5</v>
      </c>
      <c r="I27" s="3">
        <v>5</v>
      </c>
      <c r="J27" s="17" t="str">
        <f>HYPERLINK("https://amazon.com/dp/B0G1MM25PR","Amazon - B0G1MM25PR")</f>
        <v>Amazon - B0G1MM25PR</v>
      </c>
      <c r="K27" s="18" t="s">
        <v>286</v>
      </c>
      <c r="L27" s="18" t="s">
        <v>251</v>
      </c>
      <c r="M27" s="18" t="s">
        <v>287</v>
      </c>
      <c r="N27" s="18" t="s">
        <v>262</v>
      </c>
      <c r="O27" s="18" t="s">
        <v>233</v>
      </c>
      <c r="P27" s="18" t="s">
        <v>278</v>
      </c>
    </row>
    <row r="28" spans="1:16" ht="45" x14ac:dyDescent="0.2">
      <c r="A28" s="7" t="s">
        <v>308</v>
      </c>
      <c r="B28" s="7" t="s">
        <v>309</v>
      </c>
      <c r="C28" s="7" t="s">
        <v>14</v>
      </c>
      <c r="D28" s="7" t="s">
        <v>228</v>
      </c>
      <c r="E28" s="9">
        <v>189.99</v>
      </c>
      <c r="F28" s="9">
        <v>23852.53</v>
      </c>
      <c r="G28" s="8">
        <v>126</v>
      </c>
      <c r="H28" s="11">
        <v>4.5999999999999996</v>
      </c>
      <c r="I28" s="8">
        <v>201</v>
      </c>
      <c r="J28" s="19" t="str">
        <f>HYPERLINK("https://amazon.com/dp/B0F8QLHGZR","Amazon - B0F8QLHGZR")</f>
        <v>Amazon - B0F8QLHGZR</v>
      </c>
      <c r="K28" s="20" t="s">
        <v>229</v>
      </c>
      <c r="L28" s="20" t="s">
        <v>230</v>
      </c>
      <c r="M28" s="20" t="s">
        <v>242</v>
      </c>
      <c r="N28" s="20" t="s">
        <v>274</v>
      </c>
      <c r="O28" s="20" t="s">
        <v>246</v>
      </c>
      <c r="P28" s="20" t="s">
        <v>275</v>
      </c>
    </row>
    <row r="29" spans="1:16" ht="30" x14ac:dyDescent="0.2">
      <c r="A29" s="2" t="s">
        <v>310</v>
      </c>
      <c r="B29" s="2" t="s">
        <v>311</v>
      </c>
      <c r="C29" s="2" t="s">
        <v>19</v>
      </c>
      <c r="D29" s="2" t="s">
        <v>228</v>
      </c>
      <c r="E29" s="4">
        <v>15.99</v>
      </c>
      <c r="F29" s="4">
        <v>23601.93</v>
      </c>
      <c r="G29" s="3">
        <v>1406</v>
      </c>
      <c r="H29" s="6">
        <v>4.4000000000000004</v>
      </c>
      <c r="I29" s="3">
        <v>1234</v>
      </c>
      <c r="J29" s="17" t="str">
        <f>HYPERLINK("https://amazon.com/dp/B0C4FBM6GV","Amazon - B0C4FBM6GV")</f>
        <v>Amazon - B0C4FBM6GV</v>
      </c>
      <c r="K29" s="18" t="s">
        <v>229</v>
      </c>
      <c r="L29" s="18" t="s">
        <v>230</v>
      </c>
      <c r="M29" s="18" t="s">
        <v>271</v>
      </c>
      <c r="N29" s="18" t="s">
        <v>271</v>
      </c>
      <c r="O29" s="18" t="s">
        <v>233</v>
      </c>
      <c r="P29" s="18" t="s">
        <v>305</v>
      </c>
    </row>
    <row r="30" spans="1:16" ht="45" x14ac:dyDescent="0.2">
      <c r="A30" s="7" t="s">
        <v>312</v>
      </c>
      <c r="B30" s="7" t="s">
        <v>313</v>
      </c>
      <c r="C30" s="7" t="s">
        <v>13</v>
      </c>
      <c r="D30" s="7" t="s">
        <v>228</v>
      </c>
      <c r="E30" s="9">
        <v>99.9</v>
      </c>
      <c r="F30" s="9">
        <v>21770.93</v>
      </c>
      <c r="G30" s="8">
        <v>218</v>
      </c>
      <c r="H30" s="11">
        <v>4.4000000000000004</v>
      </c>
      <c r="I30" s="8">
        <v>532</v>
      </c>
      <c r="J30" s="19" t="str">
        <f>HYPERLINK("https://amazon.com/dp/B0C9GR791B","Amazon - B0C9GR791B")</f>
        <v>Amazon - B0C9GR791B</v>
      </c>
      <c r="K30" s="20" t="s">
        <v>229</v>
      </c>
      <c r="L30" s="20" t="s">
        <v>230</v>
      </c>
      <c r="M30" s="20" t="s">
        <v>242</v>
      </c>
      <c r="N30" s="20" t="s">
        <v>274</v>
      </c>
      <c r="O30" s="20" t="s">
        <v>233</v>
      </c>
      <c r="P30" s="20" t="s">
        <v>234</v>
      </c>
    </row>
    <row r="31" spans="1:16" ht="45" x14ac:dyDescent="0.2">
      <c r="A31" s="2" t="s">
        <v>314</v>
      </c>
      <c r="B31" s="2" t="s">
        <v>315</v>
      </c>
      <c r="C31" s="2" t="s">
        <v>13</v>
      </c>
      <c r="D31" s="2" t="s">
        <v>228</v>
      </c>
      <c r="E31" s="4">
        <v>65.900000000000006</v>
      </c>
      <c r="F31" s="4">
        <v>20223.689999999999</v>
      </c>
      <c r="G31" s="3">
        <v>307</v>
      </c>
      <c r="H31" s="6">
        <v>4.5999999999999996</v>
      </c>
      <c r="I31" s="3">
        <v>686</v>
      </c>
      <c r="J31" s="17" t="str">
        <f>HYPERLINK("https://amazon.com/dp/B0BVMFYQNS","Amazon - B0BVMFYQNS")</f>
        <v>Amazon - B0BVMFYQNS</v>
      </c>
      <c r="K31" s="18" t="s">
        <v>229</v>
      </c>
      <c r="L31" s="18" t="s">
        <v>230</v>
      </c>
      <c r="M31" s="18" t="s">
        <v>231</v>
      </c>
      <c r="N31" s="18" t="s">
        <v>271</v>
      </c>
      <c r="O31" s="18" t="s">
        <v>316</v>
      </c>
      <c r="P31" s="18" t="s">
        <v>271</v>
      </c>
    </row>
    <row r="32" spans="1:16" ht="45" x14ac:dyDescent="0.2">
      <c r="A32" s="7" t="s">
        <v>317</v>
      </c>
      <c r="B32" s="7" t="s">
        <v>318</v>
      </c>
      <c r="C32" s="7" t="s">
        <v>9</v>
      </c>
      <c r="D32" s="7" t="s">
        <v>228</v>
      </c>
      <c r="E32" s="9">
        <v>149.99</v>
      </c>
      <c r="F32" s="9">
        <v>19960.650000000001</v>
      </c>
      <c r="G32" s="8">
        <v>146</v>
      </c>
      <c r="H32" s="11">
        <v>4.2</v>
      </c>
      <c r="I32" s="8">
        <v>217</v>
      </c>
      <c r="J32" s="19" t="str">
        <f>HYPERLINK("https://amazon.com/dp/B0B71PT47Q","Amazon - B0B71PT47Q")</f>
        <v>Amazon - B0B71PT47Q</v>
      </c>
      <c r="K32" s="20" t="s">
        <v>229</v>
      </c>
      <c r="L32" s="20" t="s">
        <v>230</v>
      </c>
      <c r="M32" s="20" t="s">
        <v>237</v>
      </c>
      <c r="N32" s="20" t="s">
        <v>232</v>
      </c>
      <c r="O32" s="20" t="s">
        <v>233</v>
      </c>
      <c r="P32" s="20" t="s">
        <v>256</v>
      </c>
    </row>
    <row r="33" spans="1:16" ht="45" x14ac:dyDescent="0.2">
      <c r="A33" s="2" t="s">
        <v>319</v>
      </c>
      <c r="B33" s="2" t="s">
        <v>320</v>
      </c>
      <c r="C33" s="2" t="s">
        <v>18</v>
      </c>
      <c r="D33" s="2" t="s">
        <v>228</v>
      </c>
      <c r="E33" s="4">
        <v>59.99</v>
      </c>
      <c r="F33" s="4">
        <v>19701.37</v>
      </c>
      <c r="G33" s="3">
        <v>328</v>
      </c>
      <c r="H33" s="6">
        <v>4.4000000000000004</v>
      </c>
      <c r="I33" s="3">
        <v>2113</v>
      </c>
      <c r="J33" s="17" t="str">
        <f>HYPERLINK("https://amazon.com/dp/B0CJC65Q9P","Amazon - B0CJC65Q9P")</f>
        <v>Amazon - B0CJC65Q9P</v>
      </c>
      <c r="K33" s="18" t="s">
        <v>229</v>
      </c>
      <c r="L33" s="18" t="s">
        <v>230</v>
      </c>
      <c r="M33" s="18" t="s">
        <v>271</v>
      </c>
      <c r="N33" s="18" t="s">
        <v>271</v>
      </c>
      <c r="O33" s="18" t="s">
        <v>233</v>
      </c>
      <c r="P33" s="18" t="s">
        <v>321</v>
      </c>
    </row>
    <row r="34" spans="1:16" ht="45" x14ac:dyDescent="0.2">
      <c r="A34" s="7" t="s">
        <v>322</v>
      </c>
      <c r="B34" s="7" t="s">
        <v>323</v>
      </c>
      <c r="C34" s="7" t="s">
        <v>8</v>
      </c>
      <c r="D34" s="7" t="s">
        <v>228</v>
      </c>
      <c r="E34" s="9">
        <v>269.99</v>
      </c>
      <c r="F34" s="9">
        <v>19315.57</v>
      </c>
      <c r="G34" s="8">
        <v>75</v>
      </c>
      <c r="H34" s="11">
        <v>4.7</v>
      </c>
      <c r="I34" s="8">
        <v>633</v>
      </c>
      <c r="J34" s="19" t="str">
        <f>HYPERLINK("https://amazon.com/dp/B07SQ4FLYX","Amazon - B07SQ4FLYX")</f>
        <v>Amazon - B07SQ4FLYX</v>
      </c>
      <c r="K34" s="20" t="s">
        <v>229</v>
      </c>
      <c r="L34" s="20" t="s">
        <v>230</v>
      </c>
      <c r="M34" s="20" t="s">
        <v>242</v>
      </c>
      <c r="N34" s="20" t="s">
        <v>243</v>
      </c>
      <c r="O34" s="20" t="s">
        <v>246</v>
      </c>
      <c r="P34" s="20" t="s">
        <v>324</v>
      </c>
    </row>
    <row r="35" spans="1:16" ht="45" x14ac:dyDescent="0.2">
      <c r="A35" s="2" t="s">
        <v>325</v>
      </c>
      <c r="B35" s="2" t="s">
        <v>326</v>
      </c>
      <c r="C35" s="2" t="s">
        <v>22</v>
      </c>
      <c r="D35" s="2" t="s">
        <v>228</v>
      </c>
      <c r="E35" s="4">
        <v>45.99</v>
      </c>
      <c r="F35" s="4">
        <v>17640.14</v>
      </c>
      <c r="G35" s="3">
        <v>252</v>
      </c>
      <c r="H35" s="6">
        <v>4.3</v>
      </c>
      <c r="I35" s="3">
        <v>36</v>
      </c>
      <c r="J35" s="17" t="str">
        <f>HYPERLINK("https://amazon.com/dp/B0FXL4JXC5","Amazon - B0FXL4JXC5")</f>
        <v>Amazon - B0FXL4JXC5</v>
      </c>
      <c r="K35" s="18" t="s">
        <v>229</v>
      </c>
      <c r="L35" s="18" t="s">
        <v>230</v>
      </c>
      <c r="M35" s="18" t="s">
        <v>242</v>
      </c>
      <c r="N35" s="18" t="s">
        <v>265</v>
      </c>
      <c r="O35" s="18" t="s">
        <v>233</v>
      </c>
      <c r="P35" s="18" t="s">
        <v>234</v>
      </c>
    </row>
    <row r="36" spans="1:16" ht="45" x14ac:dyDescent="0.2">
      <c r="A36" s="7" t="s">
        <v>327</v>
      </c>
      <c r="B36" s="7" t="s">
        <v>328</v>
      </c>
      <c r="C36" s="7" t="s">
        <v>8</v>
      </c>
      <c r="D36" s="7" t="s">
        <v>228</v>
      </c>
      <c r="E36" s="9">
        <v>159.99</v>
      </c>
      <c r="F36" s="9">
        <v>17469.53</v>
      </c>
      <c r="G36" s="8">
        <v>112</v>
      </c>
      <c r="H36" s="11">
        <v>4.5</v>
      </c>
      <c r="I36" s="8">
        <v>365</v>
      </c>
      <c r="J36" s="19" t="str">
        <f>HYPERLINK("https://amazon.com/dp/B09NBRQ4ST","Amazon - B09NBRQ4ST")</f>
        <v>Amazon - B09NBRQ4ST</v>
      </c>
      <c r="K36" s="20" t="s">
        <v>229</v>
      </c>
      <c r="L36" s="20" t="s">
        <v>230</v>
      </c>
      <c r="M36" s="20" t="s">
        <v>242</v>
      </c>
      <c r="N36" s="20" t="s">
        <v>271</v>
      </c>
      <c r="O36" s="20" t="s">
        <v>316</v>
      </c>
      <c r="P36" s="20" t="s">
        <v>234</v>
      </c>
    </row>
    <row r="37" spans="1:16" ht="45" x14ac:dyDescent="0.2">
      <c r="A37" s="2" t="s">
        <v>329</v>
      </c>
      <c r="B37" s="2" t="s">
        <v>330</v>
      </c>
      <c r="C37" s="2" t="s">
        <v>26</v>
      </c>
      <c r="D37" s="2" t="s">
        <v>228</v>
      </c>
      <c r="E37" s="4">
        <v>39.99</v>
      </c>
      <c r="F37" s="4">
        <v>17013.560000000001</v>
      </c>
      <c r="G37" s="3">
        <v>426</v>
      </c>
      <c r="H37" s="6">
        <v>4.5</v>
      </c>
      <c r="I37" s="3">
        <v>522</v>
      </c>
      <c r="J37" s="17" t="str">
        <f>HYPERLINK("https://amazon.com/dp/B0FGD1CNPW","Amazon - B0FGD1CNPW")</f>
        <v>Amazon - B0FGD1CNPW</v>
      </c>
      <c r="K37" s="18" t="s">
        <v>229</v>
      </c>
      <c r="L37" s="18" t="s">
        <v>230</v>
      </c>
      <c r="M37" s="18" t="s">
        <v>237</v>
      </c>
      <c r="N37" s="18" t="s">
        <v>232</v>
      </c>
      <c r="O37" s="18" t="s">
        <v>246</v>
      </c>
      <c r="P37" s="18" t="s">
        <v>305</v>
      </c>
    </row>
    <row r="38" spans="1:16" ht="30" x14ac:dyDescent="0.2">
      <c r="A38" s="7" t="s">
        <v>331</v>
      </c>
      <c r="B38" s="7" t="s">
        <v>332</v>
      </c>
      <c r="C38" s="7" t="s">
        <v>24</v>
      </c>
      <c r="D38" s="7" t="s">
        <v>285</v>
      </c>
      <c r="E38" s="9">
        <v>67.73</v>
      </c>
      <c r="F38" s="9">
        <v>17005.59</v>
      </c>
      <c r="G38" s="8">
        <v>261</v>
      </c>
      <c r="H38" s="11">
        <v>4.5</v>
      </c>
      <c r="I38" s="8">
        <v>72</v>
      </c>
      <c r="J38" s="19" t="str">
        <f>HYPERLINK("https://amazon.com/dp/B0F8VS1FV6","Amazon - B0F8VS1FV6")</f>
        <v>Amazon - B0F8VS1FV6</v>
      </c>
      <c r="K38" s="20" t="s">
        <v>286</v>
      </c>
      <c r="L38" s="20" t="s">
        <v>251</v>
      </c>
      <c r="M38" s="20" t="s">
        <v>287</v>
      </c>
      <c r="N38" s="20" t="s">
        <v>296</v>
      </c>
      <c r="O38" s="20" t="s">
        <v>233</v>
      </c>
      <c r="P38" s="20" t="s">
        <v>271</v>
      </c>
    </row>
    <row r="39" spans="1:16" ht="45" x14ac:dyDescent="0.2">
      <c r="A39" s="2" t="s">
        <v>333</v>
      </c>
      <c r="B39" s="2" t="s">
        <v>334</v>
      </c>
      <c r="C39" s="2" t="s">
        <v>21</v>
      </c>
      <c r="D39" s="2" t="s">
        <v>228</v>
      </c>
      <c r="E39" s="4">
        <v>319.99</v>
      </c>
      <c r="F39" s="4">
        <v>15991.91</v>
      </c>
      <c r="G39" s="3">
        <v>50</v>
      </c>
      <c r="H39" s="6">
        <v>4.9000000000000004</v>
      </c>
      <c r="I39" s="3">
        <v>29</v>
      </c>
      <c r="J39" s="17" t="str">
        <f>HYPERLINK("https://amazon.com/dp/B0FQBWRMHQ","Amazon - B0FQBWRMHQ")</f>
        <v>Amazon - B0FQBWRMHQ</v>
      </c>
      <c r="K39" s="18" t="s">
        <v>229</v>
      </c>
      <c r="L39" s="18" t="s">
        <v>251</v>
      </c>
      <c r="M39" s="18" t="s">
        <v>242</v>
      </c>
      <c r="N39" s="18" t="s">
        <v>274</v>
      </c>
      <c r="O39" s="18" t="s">
        <v>246</v>
      </c>
      <c r="P39" s="18" t="s">
        <v>234</v>
      </c>
    </row>
    <row r="40" spans="1:16" ht="45" x14ac:dyDescent="0.2">
      <c r="A40" s="7" t="s">
        <v>335</v>
      </c>
      <c r="B40" s="7" t="s">
        <v>336</v>
      </c>
      <c r="C40" s="7" t="s">
        <v>8</v>
      </c>
      <c r="D40" s="7" t="s">
        <v>228</v>
      </c>
      <c r="E40" s="9">
        <v>149.99</v>
      </c>
      <c r="F40" s="9">
        <v>15356.64</v>
      </c>
      <c r="G40" s="8">
        <v>102</v>
      </c>
      <c r="H40" s="11">
        <v>4.5999999999999996</v>
      </c>
      <c r="I40" s="8">
        <v>3612</v>
      </c>
      <c r="J40" s="19" t="str">
        <f>HYPERLINK("https://amazon.com/dp/B08519V6GW","Amazon - B08519V6GW")</f>
        <v>Amazon - B08519V6GW</v>
      </c>
      <c r="K40" s="20" t="s">
        <v>229</v>
      </c>
      <c r="L40" s="20" t="s">
        <v>230</v>
      </c>
      <c r="M40" s="20" t="s">
        <v>242</v>
      </c>
      <c r="N40" s="20" t="s">
        <v>271</v>
      </c>
      <c r="O40" s="20" t="s">
        <v>246</v>
      </c>
      <c r="P40" s="20" t="s">
        <v>256</v>
      </c>
    </row>
    <row r="41" spans="1:16" ht="45" x14ac:dyDescent="0.2">
      <c r="A41" s="2" t="s">
        <v>337</v>
      </c>
      <c r="B41" s="2" t="s">
        <v>338</v>
      </c>
      <c r="C41" s="2" t="s">
        <v>8</v>
      </c>
      <c r="D41" s="2" t="s">
        <v>228</v>
      </c>
      <c r="E41" s="4">
        <v>95.99</v>
      </c>
      <c r="F41" s="4">
        <v>14372.05</v>
      </c>
      <c r="G41" s="3">
        <v>150</v>
      </c>
      <c r="H41" s="6">
        <v>4.5999999999999996</v>
      </c>
      <c r="I41" s="3">
        <v>733</v>
      </c>
      <c r="J41" s="17" t="str">
        <f>HYPERLINK("https://amazon.com/dp/B09Y1F2MPB","Amazon - B09Y1F2MPB")</f>
        <v>Amazon - B09Y1F2MPB</v>
      </c>
      <c r="K41" s="18" t="s">
        <v>229</v>
      </c>
      <c r="L41" s="18" t="s">
        <v>230</v>
      </c>
      <c r="M41" s="18" t="s">
        <v>242</v>
      </c>
      <c r="N41" s="18" t="s">
        <v>339</v>
      </c>
      <c r="O41" s="18" t="s">
        <v>246</v>
      </c>
      <c r="P41" s="18" t="s">
        <v>234</v>
      </c>
    </row>
    <row r="42" spans="1:16" ht="45" x14ac:dyDescent="0.2">
      <c r="A42" s="7" t="s">
        <v>340</v>
      </c>
      <c r="B42" s="7" t="s">
        <v>341</v>
      </c>
      <c r="C42" s="7" t="s">
        <v>8</v>
      </c>
      <c r="D42" s="7" t="s">
        <v>228</v>
      </c>
      <c r="E42" s="9">
        <v>329.99</v>
      </c>
      <c r="F42" s="9">
        <v>14134.56</v>
      </c>
      <c r="G42" s="8">
        <v>43</v>
      </c>
      <c r="H42" s="11">
        <v>4.4000000000000004</v>
      </c>
      <c r="I42" s="8">
        <v>66</v>
      </c>
      <c r="J42" s="19" t="str">
        <f>HYPERLINK("https://amazon.com/dp/B0C4H7RJY7","Amazon - B0C4H7RJY7")</f>
        <v>Amazon - B0C4H7RJY7</v>
      </c>
      <c r="K42" s="20" t="s">
        <v>229</v>
      </c>
      <c r="L42" s="20" t="s">
        <v>230</v>
      </c>
      <c r="M42" s="20" t="s">
        <v>342</v>
      </c>
      <c r="N42" s="20" t="s">
        <v>271</v>
      </c>
      <c r="O42" s="20" t="s">
        <v>316</v>
      </c>
      <c r="P42" s="20" t="s">
        <v>305</v>
      </c>
    </row>
    <row r="43" spans="1:16" ht="45" x14ac:dyDescent="0.2">
      <c r="A43" s="2" t="s">
        <v>343</v>
      </c>
      <c r="B43" s="2" t="s">
        <v>344</v>
      </c>
      <c r="C43" s="2" t="s">
        <v>8</v>
      </c>
      <c r="D43" s="2" t="s">
        <v>228</v>
      </c>
      <c r="E43" s="4">
        <v>499.99</v>
      </c>
      <c r="F43" s="4">
        <v>13821.4</v>
      </c>
      <c r="G43" s="3">
        <v>28</v>
      </c>
      <c r="H43" s="6">
        <v>3.8</v>
      </c>
      <c r="I43" s="3">
        <v>23</v>
      </c>
      <c r="J43" s="17" t="str">
        <f>HYPERLINK("https://amazon.com/dp/B0FFGZC3WX","Amazon - B0FFGZC3WX")</f>
        <v>Amazon - B0FFGZC3WX</v>
      </c>
      <c r="K43" s="18" t="s">
        <v>229</v>
      </c>
      <c r="L43" s="18" t="s">
        <v>251</v>
      </c>
      <c r="M43" s="18" t="s">
        <v>242</v>
      </c>
      <c r="N43" s="18" t="s">
        <v>253</v>
      </c>
      <c r="O43" s="18" t="s">
        <v>246</v>
      </c>
      <c r="P43" s="18" t="s">
        <v>234</v>
      </c>
    </row>
    <row r="44" spans="1:16" ht="45" x14ac:dyDescent="0.2">
      <c r="A44" s="7" t="s">
        <v>345</v>
      </c>
      <c r="B44" s="7" t="s">
        <v>346</v>
      </c>
      <c r="C44" s="7" t="s">
        <v>8</v>
      </c>
      <c r="D44" s="7" t="s">
        <v>228</v>
      </c>
      <c r="E44" s="9">
        <v>55.99</v>
      </c>
      <c r="F44" s="9">
        <v>13035.62</v>
      </c>
      <c r="G44" s="8">
        <v>233</v>
      </c>
      <c r="H44" s="11">
        <v>4.5</v>
      </c>
      <c r="I44" s="8">
        <v>2183</v>
      </c>
      <c r="J44" s="19" t="str">
        <f>HYPERLINK("https://amazon.com/dp/B07TTQF24F","Amazon - B07TTQF24F")</f>
        <v>Amazon - B07TTQF24F</v>
      </c>
      <c r="K44" s="20" t="s">
        <v>229</v>
      </c>
      <c r="L44" s="20" t="s">
        <v>230</v>
      </c>
      <c r="M44" s="20" t="s">
        <v>271</v>
      </c>
      <c r="N44" s="20" t="s">
        <v>271</v>
      </c>
      <c r="O44" s="20" t="s">
        <v>233</v>
      </c>
      <c r="P44" s="20" t="s">
        <v>271</v>
      </c>
    </row>
    <row r="45" spans="1:16" ht="45" x14ac:dyDescent="0.2">
      <c r="A45" s="2" t="s">
        <v>347</v>
      </c>
      <c r="B45" s="2" t="s">
        <v>348</v>
      </c>
      <c r="C45" s="2" t="s">
        <v>10</v>
      </c>
      <c r="D45" s="2" t="s">
        <v>228</v>
      </c>
      <c r="E45" s="4">
        <v>109.99</v>
      </c>
      <c r="F45" s="4">
        <v>12487.38</v>
      </c>
      <c r="G45" s="3">
        <v>114</v>
      </c>
      <c r="H45" s="6">
        <v>4.7</v>
      </c>
      <c r="I45" s="3">
        <v>89</v>
      </c>
      <c r="J45" s="17" t="str">
        <f>HYPERLINK("https://amazon.com/dp/B0FQC32XV7","Amazon - B0FQC32XV7")</f>
        <v>Amazon - B0FQC32XV7</v>
      </c>
      <c r="K45" s="18" t="s">
        <v>229</v>
      </c>
      <c r="L45" s="18" t="s">
        <v>230</v>
      </c>
      <c r="M45" s="18" t="s">
        <v>242</v>
      </c>
      <c r="N45" s="18" t="s">
        <v>238</v>
      </c>
      <c r="O45" s="18" t="s">
        <v>246</v>
      </c>
      <c r="P45" s="18" t="s">
        <v>234</v>
      </c>
    </row>
    <row r="46" spans="1:16" ht="45" x14ac:dyDescent="0.2">
      <c r="A46" s="7" t="s">
        <v>349</v>
      </c>
      <c r="B46" s="7" t="s">
        <v>350</v>
      </c>
      <c r="C46" s="7" t="s">
        <v>20</v>
      </c>
      <c r="D46" s="7" t="s">
        <v>228</v>
      </c>
      <c r="E46" s="9">
        <v>32.979999999999997</v>
      </c>
      <c r="F46" s="9">
        <v>11714.48</v>
      </c>
      <c r="G46" s="8">
        <v>367</v>
      </c>
      <c r="H46" s="11">
        <v>4.7</v>
      </c>
      <c r="I46" s="8">
        <v>438</v>
      </c>
      <c r="J46" s="19" t="str">
        <f>HYPERLINK("https://amazon.com/dp/B0D1VGWHJ4","Amazon - B0D1VGWHJ4")</f>
        <v>Amazon - B0D1VGWHJ4</v>
      </c>
      <c r="K46" s="20" t="s">
        <v>229</v>
      </c>
      <c r="L46" s="20" t="s">
        <v>230</v>
      </c>
      <c r="M46" s="20" t="s">
        <v>237</v>
      </c>
      <c r="N46" s="20" t="s">
        <v>271</v>
      </c>
      <c r="O46" s="20" t="s">
        <v>246</v>
      </c>
      <c r="P46" s="20" t="s">
        <v>351</v>
      </c>
    </row>
    <row r="47" spans="1:16" ht="45" x14ac:dyDescent="0.2">
      <c r="A47" s="2" t="s">
        <v>352</v>
      </c>
      <c r="B47" s="2" t="s">
        <v>353</v>
      </c>
      <c r="C47" s="2" t="s">
        <v>11</v>
      </c>
      <c r="D47" s="2" t="s">
        <v>285</v>
      </c>
      <c r="E47" s="4">
        <v>99.99</v>
      </c>
      <c r="F47" s="4">
        <v>11325.87</v>
      </c>
      <c r="G47" s="3">
        <v>113</v>
      </c>
      <c r="H47" s="6">
        <v>4.3</v>
      </c>
      <c r="I47" s="3">
        <v>204</v>
      </c>
      <c r="J47" s="17" t="str">
        <f>HYPERLINK("https://amazon.com/dp/B08Y5S32YV","Amazon - B08Y5S32YV")</f>
        <v>Amazon - B08Y5S32YV</v>
      </c>
      <c r="K47" s="18" t="s">
        <v>286</v>
      </c>
      <c r="L47" s="18" t="s">
        <v>230</v>
      </c>
      <c r="M47" s="18" t="s">
        <v>287</v>
      </c>
      <c r="N47" s="18" t="s">
        <v>238</v>
      </c>
      <c r="O47" s="18" t="s">
        <v>233</v>
      </c>
      <c r="P47" s="18" t="s">
        <v>234</v>
      </c>
    </row>
    <row r="48" spans="1:16" ht="45" x14ac:dyDescent="0.2">
      <c r="A48" s="7" t="s">
        <v>354</v>
      </c>
      <c r="B48" s="7" t="s">
        <v>355</v>
      </c>
      <c r="C48" s="7" t="s">
        <v>27</v>
      </c>
      <c r="D48" s="7" t="s">
        <v>228</v>
      </c>
      <c r="E48" s="9">
        <v>109.99</v>
      </c>
      <c r="F48" s="9">
        <v>11215.65</v>
      </c>
      <c r="G48" s="8">
        <v>100</v>
      </c>
      <c r="H48" s="11">
        <v>4.5999999999999996</v>
      </c>
      <c r="I48" s="8">
        <v>50</v>
      </c>
      <c r="J48" s="19" t="str">
        <f>HYPERLINK("https://amazon.com/dp/B0DZNQSLMP","Amazon - B0DZNQSLMP")</f>
        <v>Amazon - B0DZNQSLMP</v>
      </c>
      <c r="K48" s="20" t="s">
        <v>229</v>
      </c>
      <c r="L48" s="20" t="s">
        <v>230</v>
      </c>
      <c r="M48" s="20" t="s">
        <v>242</v>
      </c>
      <c r="N48" s="20" t="s">
        <v>253</v>
      </c>
      <c r="O48" s="20" t="s">
        <v>233</v>
      </c>
      <c r="P48" s="20" t="s">
        <v>234</v>
      </c>
    </row>
    <row r="49" spans="1:16" ht="45" x14ac:dyDescent="0.2">
      <c r="A49" s="2" t="s">
        <v>356</v>
      </c>
      <c r="B49" s="2" t="s">
        <v>357</v>
      </c>
      <c r="C49" s="2" t="s">
        <v>11</v>
      </c>
      <c r="D49" s="2" t="s">
        <v>228</v>
      </c>
      <c r="E49" s="4">
        <v>299.99</v>
      </c>
      <c r="F49" s="4">
        <v>11047.98</v>
      </c>
      <c r="G49" s="3">
        <v>38</v>
      </c>
      <c r="H49" s="6">
        <v>4.3</v>
      </c>
      <c r="I49" s="3">
        <v>233</v>
      </c>
      <c r="J49" s="17" t="str">
        <f>HYPERLINK("https://amazon.com/dp/B0FJLPG74M","Amazon - B0FJLPG74M")</f>
        <v>Amazon - B0FJLPG74M</v>
      </c>
      <c r="K49" s="18" t="s">
        <v>229</v>
      </c>
      <c r="L49" s="18" t="s">
        <v>251</v>
      </c>
      <c r="M49" s="18" t="s">
        <v>242</v>
      </c>
      <c r="N49" s="18" t="s">
        <v>274</v>
      </c>
      <c r="O49" s="18" t="s">
        <v>246</v>
      </c>
      <c r="P49" s="18" t="s">
        <v>234</v>
      </c>
    </row>
    <row r="50" spans="1:16" ht="45" x14ac:dyDescent="0.2">
      <c r="A50" s="7" t="s">
        <v>358</v>
      </c>
      <c r="B50" s="7" t="s">
        <v>359</v>
      </c>
      <c r="C50" s="7" t="s">
        <v>15</v>
      </c>
      <c r="D50" s="7" t="s">
        <v>228</v>
      </c>
      <c r="E50" s="9">
        <v>119.99</v>
      </c>
      <c r="F50" s="9">
        <v>10653.34</v>
      </c>
      <c r="G50" s="8">
        <v>97</v>
      </c>
      <c r="H50" s="11">
        <v>4.5999999999999996</v>
      </c>
      <c r="I50" s="8">
        <v>115</v>
      </c>
      <c r="J50" s="19" t="str">
        <f>HYPERLINK("https://amazon.com/dp/B0FZ851CGL","Amazon - B0FZ851CGL")</f>
        <v>Amazon - B0FZ851CGL</v>
      </c>
      <c r="K50" s="20" t="s">
        <v>229</v>
      </c>
      <c r="L50" s="20" t="s">
        <v>230</v>
      </c>
      <c r="M50" s="20" t="s">
        <v>242</v>
      </c>
      <c r="N50" s="20" t="s">
        <v>271</v>
      </c>
      <c r="O50" s="20" t="s">
        <v>233</v>
      </c>
      <c r="P50" s="20" t="s">
        <v>239</v>
      </c>
    </row>
    <row r="51" spans="1:16" ht="45" x14ac:dyDescent="0.2">
      <c r="A51" s="2" t="s">
        <v>360</v>
      </c>
      <c r="B51" s="2" t="s">
        <v>361</v>
      </c>
      <c r="C51" s="2" t="s">
        <v>10</v>
      </c>
      <c r="D51" s="2" t="s">
        <v>228</v>
      </c>
      <c r="E51" s="4">
        <v>104.39</v>
      </c>
      <c r="F51" s="4">
        <v>9921.85</v>
      </c>
      <c r="G51" s="3">
        <v>95</v>
      </c>
      <c r="H51" s="6">
        <v>4.5999999999999996</v>
      </c>
      <c r="I51" s="3">
        <v>198</v>
      </c>
      <c r="J51" s="17" t="str">
        <f>HYPERLINK("https://amazon.com/dp/B0BVML78W1","Amazon - B0BVML78W1")</f>
        <v>Amazon - B0BVML78W1</v>
      </c>
      <c r="K51" s="18" t="s">
        <v>229</v>
      </c>
      <c r="L51" s="18" t="s">
        <v>230</v>
      </c>
      <c r="M51" s="18" t="s">
        <v>242</v>
      </c>
      <c r="N51" s="18" t="s">
        <v>232</v>
      </c>
      <c r="O51" s="18" t="s">
        <v>316</v>
      </c>
      <c r="P51" s="18" t="s">
        <v>305</v>
      </c>
    </row>
    <row r="52" spans="1:16" ht="45" x14ac:dyDescent="0.2">
      <c r="A52" s="7" t="s">
        <v>362</v>
      </c>
      <c r="B52" s="7" t="s">
        <v>363</v>
      </c>
      <c r="C52" s="7" t="s">
        <v>29</v>
      </c>
      <c r="D52" s="7" t="s">
        <v>228</v>
      </c>
      <c r="E52" s="9">
        <v>25.99</v>
      </c>
      <c r="F52" s="9">
        <v>9723.56</v>
      </c>
      <c r="G52" s="8">
        <v>374</v>
      </c>
      <c r="H52" s="11">
        <v>4.4000000000000004</v>
      </c>
      <c r="I52" s="8">
        <v>277</v>
      </c>
      <c r="J52" s="19" t="str">
        <f>HYPERLINK("https://amazon.com/dp/B0D2KRN3XR","Amazon - B0D2KRN3XR")</f>
        <v>Amazon - B0D2KRN3XR</v>
      </c>
      <c r="K52" s="20" t="s">
        <v>229</v>
      </c>
      <c r="L52" s="20" t="s">
        <v>230</v>
      </c>
      <c r="M52" s="20" t="s">
        <v>237</v>
      </c>
      <c r="N52" s="20" t="s">
        <v>271</v>
      </c>
      <c r="O52" s="20" t="s">
        <v>233</v>
      </c>
      <c r="P52" s="20" t="s">
        <v>305</v>
      </c>
    </row>
  </sheetData>
  <autoFilter ref="A2:P52" xr:uid="{00000000-0009-0000-0000-000001000000}"/>
  <mergeCells count="1">
    <mergeCell ref="A1:P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
  <sheetViews>
    <sheetView workbookViewId="0">
      <pane ySplit="2" topLeftCell="A3" activePane="bottomLeft" state="frozen"/>
      <selection pane="bottomLeft"/>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20" customWidth="1"/>
    <col min="12" max="12" width="12" customWidth="1"/>
    <col min="13" max="13" width="14" customWidth="1"/>
    <col min="14" max="14" width="16" customWidth="1"/>
    <col min="15" max="15" width="12" customWidth="1"/>
    <col min="16" max="16" width="14" customWidth="1"/>
  </cols>
  <sheetData>
    <row r="1" spans="1:16" ht="34" customHeight="1" x14ac:dyDescent="0.2">
      <c r="A1" s="21" t="s">
        <v>364</v>
      </c>
      <c r="B1" s="22"/>
      <c r="C1" s="22"/>
      <c r="D1" s="22"/>
      <c r="E1" s="22"/>
      <c r="F1" s="22"/>
      <c r="G1" s="22"/>
      <c r="H1" s="22"/>
      <c r="I1" s="22"/>
      <c r="J1" s="22"/>
      <c r="K1" s="22"/>
      <c r="L1" s="22"/>
      <c r="M1" s="22"/>
      <c r="N1" s="22"/>
      <c r="O1" s="22"/>
      <c r="P1" s="22"/>
    </row>
    <row r="2" spans="1:16" ht="30" customHeight="1" x14ac:dyDescent="0.2">
      <c r="A2" s="1" t="s">
        <v>214</v>
      </c>
      <c r="B2" s="1" t="s">
        <v>215</v>
      </c>
      <c r="C2" s="1" t="s">
        <v>1</v>
      </c>
      <c r="D2" s="1" t="s">
        <v>216</v>
      </c>
      <c r="E2" s="1" t="s">
        <v>217</v>
      </c>
      <c r="F2" s="1" t="s">
        <v>3</v>
      </c>
      <c r="G2" s="1" t="s">
        <v>4</v>
      </c>
      <c r="H2" s="1" t="s">
        <v>7</v>
      </c>
      <c r="I2" s="1" t="s">
        <v>218</v>
      </c>
      <c r="J2" s="1" t="s">
        <v>219</v>
      </c>
      <c r="K2" s="1" t="s">
        <v>220</v>
      </c>
      <c r="L2" s="1" t="s">
        <v>221</v>
      </c>
      <c r="M2" s="1" t="s">
        <v>222</v>
      </c>
      <c r="N2" s="1" t="s">
        <v>223</v>
      </c>
      <c r="O2" s="1" t="s">
        <v>224</v>
      </c>
      <c r="P2" s="1" t="s">
        <v>225</v>
      </c>
    </row>
    <row r="3" spans="1:16" ht="45" x14ac:dyDescent="0.2">
      <c r="A3" s="2" t="s">
        <v>226</v>
      </c>
      <c r="B3" s="2" t="s">
        <v>227</v>
      </c>
      <c r="C3" s="2" t="s">
        <v>8</v>
      </c>
      <c r="D3" s="2" t="s">
        <v>228</v>
      </c>
      <c r="E3" s="4">
        <v>103.98</v>
      </c>
      <c r="F3" s="4">
        <v>1039447.5</v>
      </c>
      <c r="G3" s="3">
        <v>8093</v>
      </c>
      <c r="H3" s="6">
        <v>4.5999999999999996</v>
      </c>
      <c r="I3" s="3">
        <v>1542</v>
      </c>
      <c r="J3" s="17" t="str">
        <f>HYPERLINK("https://amazon.com/dp/B0CJY5C9QX","Amazon - B0CJY5C9QX")</f>
        <v>Amazon - B0CJY5C9QX</v>
      </c>
      <c r="K3" s="18" t="s">
        <v>229</v>
      </c>
      <c r="L3" s="18" t="s">
        <v>230</v>
      </c>
      <c r="M3" s="18" t="s">
        <v>231</v>
      </c>
      <c r="N3" s="18" t="s">
        <v>232</v>
      </c>
      <c r="O3" s="18" t="s">
        <v>233</v>
      </c>
      <c r="P3" s="18" t="s">
        <v>234</v>
      </c>
    </row>
    <row r="4" spans="1:16" ht="30" x14ac:dyDescent="0.2">
      <c r="A4" s="7" t="s">
        <v>310</v>
      </c>
      <c r="B4" s="7" t="s">
        <v>311</v>
      </c>
      <c r="C4" s="7" t="s">
        <v>19</v>
      </c>
      <c r="D4" s="7" t="s">
        <v>228</v>
      </c>
      <c r="E4" s="9">
        <v>15.99</v>
      </c>
      <c r="F4" s="9">
        <v>23601.93</v>
      </c>
      <c r="G4" s="8">
        <v>1406</v>
      </c>
      <c r="H4" s="11">
        <v>4.4000000000000004</v>
      </c>
      <c r="I4" s="8">
        <v>1234</v>
      </c>
      <c r="J4" s="19" t="str">
        <f>HYPERLINK("https://amazon.com/dp/B0C4FBM6GV","Amazon - B0C4FBM6GV")</f>
        <v>Amazon - B0C4FBM6GV</v>
      </c>
      <c r="K4" s="20" t="s">
        <v>229</v>
      </c>
      <c r="L4" s="20" t="s">
        <v>230</v>
      </c>
      <c r="M4" s="20" t="s">
        <v>271</v>
      </c>
      <c r="N4" s="20" t="s">
        <v>271</v>
      </c>
      <c r="O4" s="20" t="s">
        <v>233</v>
      </c>
      <c r="P4" s="20" t="s">
        <v>305</v>
      </c>
    </row>
    <row r="5" spans="1:16" ht="30" x14ac:dyDescent="0.2">
      <c r="A5" s="2" t="s">
        <v>235</v>
      </c>
      <c r="B5" s="2" t="s">
        <v>236</v>
      </c>
      <c r="C5" s="2" t="s">
        <v>9</v>
      </c>
      <c r="D5" s="2" t="s">
        <v>228</v>
      </c>
      <c r="E5" s="4">
        <v>139.38999999999999</v>
      </c>
      <c r="F5" s="4">
        <v>195203.83</v>
      </c>
      <c r="G5" s="3">
        <v>1401</v>
      </c>
      <c r="H5" s="6">
        <v>4.5999999999999996</v>
      </c>
      <c r="I5" s="3">
        <v>1717</v>
      </c>
      <c r="J5" s="17" t="str">
        <f>HYPERLINK("https://amazon.com/dp/B0B28HRSBP","Amazon - B0B28HRSBP")</f>
        <v>Amazon - B0B28HRSBP</v>
      </c>
      <c r="K5" s="18" t="s">
        <v>229</v>
      </c>
      <c r="L5" s="18" t="s">
        <v>230</v>
      </c>
      <c r="M5" s="18" t="s">
        <v>237</v>
      </c>
      <c r="N5" s="18" t="s">
        <v>238</v>
      </c>
      <c r="O5" s="18" t="s">
        <v>233</v>
      </c>
      <c r="P5" s="18" t="s">
        <v>239</v>
      </c>
    </row>
    <row r="6" spans="1:16" ht="30" x14ac:dyDescent="0.2">
      <c r="A6" s="7" t="s">
        <v>240</v>
      </c>
      <c r="B6" s="7" t="s">
        <v>241</v>
      </c>
      <c r="C6" s="7" t="s">
        <v>8</v>
      </c>
      <c r="D6" s="7" t="s">
        <v>228</v>
      </c>
      <c r="E6" s="9">
        <v>139.99</v>
      </c>
      <c r="F6" s="9">
        <v>156648.32999999999</v>
      </c>
      <c r="G6" s="8">
        <v>1148</v>
      </c>
      <c r="H6" s="11">
        <v>4.5999999999999996</v>
      </c>
      <c r="I6" s="8">
        <v>320</v>
      </c>
      <c r="J6" s="19" t="str">
        <f>HYPERLINK("https://amazon.com/dp/B0DT4H7QQM","Amazon - B0DT4H7QQM")</f>
        <v>Amazon - B0DT4H7QQM</v>
      </c>
      <c r="K6" s="20" t="s">
        <v>229</v>
      </c>
      <c r="L6" s="20" t="s">
        <v>230</v>
      </c>
      <c r="M6" s="20" t="s">
        <v>242</v>
      </c>
      <c r="N6" s="20" t="s">
        <v>243</v>
      </c>
      <c r="O6" s="20" t="s">
        <v>233</v>
      </c>
      <c r="P6" s="20" t="s">
        <v>234</v>
      </c>
    </row>
    <row r="7" spans="1:16" ht="45" x14ac:dyDescent="0.2">
      <c r="A7" s="2" t="s">
        <v>244</v>
      </c>
      <c r="B7" s="2" t="s">
        <v>245</v>
      </c>
      <c r="C7" s="2" t="s">
        <v>8</v>
      </c>
      <c r="D7" s="2" t="s">
        <v>228</v>
      </c>
      <c r="E7" s="4">
        <v>149.99</v>
      </c>
      <c r="F7" s="4">
        <v>146493.76999999999</v>
      </c>
      <c r="G7" s="3">
        <v>977</v>
      </c>
      <c r="H7" s="6">
        <v>4.5999999999999996</v>
      </c>
      <c r="I7" s="3">
        <v>458</v>
      </c>
      <c r="J7" s="17" t="str">
        <f>HYPERLINK("https://amazon.com/dp/B0CJY6SWBN","Amazon - B0CJY6SWBN")</f>
        <v>Amazon - B0CJY6SWBN</v>
      </c>
      <c r="K7" s="18" t="s">
        <v>229</v>
      </c>
      <c r="L7" s="18" t="s">
        <v>230</v>
      </c>
      <c r="M7" s="18" t="s">
        <v>231</v>
      </c>
      <c r="N7" s="18" t="s">
        <v>232</v>
      </c>
      <c r="O7" s="18" t="s">
        <v>246</v>
      </c>
      <c r="P7" s="18" t="s">
        <v>234</v>
      </c>
    </row>
    <row r="8" spans="1:16" ht="45" x14ac:dyDescent="0.2">
      <c r="A8" s="7" t="s">
        <v>257</v>
      </c>
      <c r="B8" s="7" t="s">
        <v>258</v>
      </c>
      <c r="C8" s="7" t="s">
        <v>12</v>
      </c>
      <c r="D8" s="7" t="s">
        <v>228</v>
      </c>
      <c r="E8" s="9">
        <v>79.989999999999995</v>
      </c>
      <c r="F8" s="9">
        <v>67852.11</v>
      </c>
      <c r="G8" s="8">
        <v>889</v>
      </c>
      <c r="H8" s="11">
        <v>4.5999999999999996</v>
      </c>
      <c r="I8" s="8">
        <v>91</v>
      </c>
      <c r="J8" s="19" t="str">
        <f>HYPERLINK("https://amazon.com/dp/B0FGJ8WVGP","Amazon - B0FGJ8WVGP")</f>
        <v>Amazon - B0FGJ8WVGP</v>
      </c>
      <c r="K8" s="20" t="s">
        <v>229</v>
      </c>
      <c r="L8" s="20" t="s">
        <v>230</v>
      </c>
      <c r="M8" s="20" t="s">
        <v>237</v>
      </c>
      <c r="N8" s="20" t="s">
        <v>243</v>
      </c>
      <c r="O8" s="20" t="s">
        <v>233</v>
      </c>
      <c r="P8" s="20" t="s">
        <v>259</v>
      </c>
    </row>
    <row r="9" spans="1:16" ht="45" x14ac:dyDescent="0.2">
      <c r="A9" s="2" t="s">
        <v>247</v>
      </c>
      <c r="B9" s="2" t="s">
        <v>248</v>
      </c>
      <c r="C9" s="2" t="s">
        <v>9</v>
      </c>
      <c r="D9" s="2" t="s">
        <v>228</v>
      </c>
      <c r="E9" s="4">
        <v>159.99</v>
      </c>
      <c r="F9" s="4">
        <v>97593.56</v>
      </c>
      <c r="G9" s="3">
        <v>734</v>
      </c>
      <c r="H9" s="6">
        <v>4.5</v>
      </c>
      <c r="I9" s="3">
        <v>549</v>
      </c>
      <c r="J9" s="17" t="str">
        <f>HYPERLINK("https://amazon.com/dp/B0C3B32Q9Z","Amazon - B0C3B32Q9Z")</f>
        <v>Amazon - B0C3B32Q9Z</v>
      </c>
      <c r="K9" s="18" t="s">
        <v>229</v>
      </c>
      <c r="L9" s="18" t="s">
        <v>230</v>
      </c>
      <c r="M9" s="18" t="s">
        <v>242</v>
      </c>
      <c r="N9" s="18" t="s">
        <v>232</v>
      </c>
      <c r="O9" s="18" t="s">
        <v>246</v>
      </c>
      <c r="P9" s="18" t="s">
        <v>234</v>
      </c>
    </row>
    <row r="10" spans="1:16" ht="30" x14ac:dyDescent="0.2">
      <c r="A10" s="7" t="s">
        <v>303</v>
      </c>
      <c r="B10" s="7" t="s">
        <v>304</v>
      </c>
      <c r="C10" s="7" t="s">
        <v>15</v>
      </c>
      <c r="D10" s="7" t="s">
        <v>228</v>
      </c>
      <c r="E10" s="9">
        <v>49.99</v>
      </c>
      <c r="F10" s="9">
        <v>26841.31</v>
      </c>
      <c r="G10" s="8">
        <v>620</v>
      </c>
      <c r="H10" s="11">
        <v>4.5999999999999996</v>
      </c>
      <c r="I10" s="8">
        <v>115</v>
      </c>
      <c r="J10" s="19" t="str">
        <f>HYPERLINK("https://amazon.com/dp/B0FJR2Y5B9","Amazon - B0FJR2Y5B9")</f>
        <v>Amazon - B0FJR2Y5B9</v>
      </c>
      <c r="K10" s="20" t="s">
        <v>229</v>
      </c>
      <c r="L10" s="20" t="s">
        <v>230</v>
      </c>
      <c r="M10" s="20" t="s">
        <v>271</v>
      </c>
      <c r="N10" s="20" t="s">
        <v>271</v>
      </c>
      <c r="O10" s="20" t="s">
        <v>246</v>
      </c>
      <c r="P10" s="20" t="s">
        <v>305</v>
      </c>
    </row>
    <row r="11" spans="1:16" ht="45" x14ac:dyDescent="0.2">
      <c r="A11" s="2" t="s">
        <v>254</v>
      </c>
      <c r="B11" s="2" t="s">
        <v>255</v>
      </c>
      <c r="C11" s="2" t="s">
        <v>10</v>
      </c>
      <c r="D11" s="2" t="s">
        <v>228</v>
      </c>
      <c r="E11" s="4">
        <v>119.98</v>
      </c>
      <c r="F11" s="4">
        <v>85960.31</v>
      </c>
      <c r="G11" s="3">
        <v>584</v>
      </c>
      <c r="H11" s="6">
        <v>4.5999999999999996</v>
      </c>
      <c r="I11" s="3">
        <v>395</v>
      </c>
      <c r="J11" s="17" t="str">
        <f>HYPERLINK("https://amazon.com/dp/B0F62WJY8N","Amazon - B0F62WJY8N")</f>
        <v>Amazon - B0F62WJY8N</v>
      </c>
      <c r="K11" s="18" t="s">
        <v>229</v>
      </c>
      <c r="L11" s="18" t="s">
        <v>230</v>
      </c>
      <c r="M11" s="18" t="s">
        <v>231</v>
      </c>
      <c r="N11" s="18" t="s">
        <v>232</v>
      </c>
      <c r="O11" s="18" t="s">
        <v>246</v>
      </c>
      <c r="P11" s="18" t="s">
        <v>256</v>
      </c>
    </row>
    <row r="12" spans="1:16" ht="30" x14ac:dyDescent="0.2">
      <c r="A12" s="7" t="s">
        <v>268</v>
      </c>
      <c r="B12" s="7" t="s">
        <v>269</v>
      </c>
      <c r="C12" s="7" t="s">
        <v>16</v>
      </c>
      <c r="D12" s="7" t="s">
        <v>228</v>
      </c>
      <c r="E12" s="9">
        <v>99.99</v>
      </c>
      <c r="F12" s="9">
        <v>42439.15</v>
      </c>
      <c r="G12" s="8">
        <v>460</v>
      </c>
      <c r="H12" s="11">
        <v>4.5999999999999996</v>
      </c>
      <c r="I12" s="8">
        <v>89</v>
      </c>
      <c r="J12" s="19" t="str">
        <f>HYPERLINK("https://amazon.com/dp/B082JCSB4Z","Amazon - B082JCSB4Z")</f>
        <v>Amazon - B082JCSB4Z</v>
      </c>
      <c r="K12" s="20" t="s">
        <v>229</v>
      </c>
      <c r="L12" s="20" t="s">
        <v>230</v>
      </c>
      <c r="M12" s="20" t="s">
        <v>270</v>
      </c>
      <c r="N12" s="20" t="s">
        <v>271</v>
      </c>
      <c r="O12" s="20" t="s">
        <v>233</v>
      </c>
      <c r="P12" s="20" t="s">
        <v>271</v>
      </c>
    </row>
    <row r="13" spans="1:16" ht="45" x14ac:dyDescent="0.2">
      <c r="A13" s="2" t="s">
        <v>329</v>
      </c>
      <c r="B13" s="2" t="s">
        <v>330</v>
      </c>
      <c r="C13" s="2" t="s">
        <v>26</v>
      </c>
      <c r="D13" s="2" t="s">
        <v>228</v>
      </c>
      <c r="E13" s="4">
        <v>39.99</v>
      </c>
      <c r="F13" s="4">
        <v>17013.560000000001</v>
      </c>
      <c r="G13" s="3">
        <v>426</v>
      </c>
      <c r="H13" s="6">
        <v>4.5</v>
      </c>
      <c r="I13" s="3">
        <v>522</v>
      </c>
      <c r="J13" s="17" t="str">
        <f>HYPERLINK("https://amazon.com/dp/B0FGD1CNPW","Amazon - B0FGD1CNPW")</f>
        <v>Amazon - B0FGD1CNPW</v>
      </c>
      <c r="K13" s="18" t="s">
        <v>229</v>
      </c>
      <c r="L13" s="18" t="s">
        <v>230</v>
      </c>
      <c r="M13" s="18" t="s">
        <v>237</v>
      </c>
      <c r="N13" s="18" t="s">
        <v>232</v>
      </c>
      <c r="O13" s="18" t="s">
        <v>246</v>
      </c>
      <c r="P13" s="18" t="s">
        <v>305</v>
      </c>
    </row>
    <row r="14" spans="1:16" ht="45" x14ac:dyDescent="0.2">
      <c r="A14" s="7" t="s">
        <v>283</v>
      </c>
      <c r="B14" s="7" t="s">
        <v>284</v>
      </c>
      <c r="C14" s="7" t="s">
        <v>8</v>
      </c>
      <c r="D14" s="7" t="s">
        <v>285</v>
      </c>
      <c r="E14" s="9">
        <v>79.989999999999995</v>
      </c>
      <c r="F14" s="9">
        <v>33817.870000000003</v>
      </c>
      <c r="G14" s="8">
        <v>423</v>
      </c>
      <c r="H14" s="11">
        <v>4.2</v>
      </c>
      <c r="I14" s="8">
        <v>157</v>
      </c>
      <c r="J14" s="19" t="str">
        <f>HYPERLINK("https://amazon.com/dp/B0F2H49C2D","Amazon - B0F2H49C2D")</f>
        <v>Amazon - B0F2H49C2D</v>
      </c>
      <c r="K14" s="20" t="s">
        <v>286</v>
      </c>
      <c r="L14" s="20" t="s">
        <v>230</v>
      </c>
      <c r="M14" s="20" t="s">
        <v>287</v>
      </c>
      <c r="N14" s="20" t="s">
        <v>271</v>
      </c>
      <c r="O14" s="20" t="s">
        <v>233</v>
      </c>
      <c r="P14" s="20" t="s">
        <v>234</v>
      </c>
    </row>
    <row r="15" spans="1:16" ht="45" x14ac:dyDescent="0.2">
      <c r="A15" s="2" t="s">
        <v>362</v>
      </c>
      <c r="B15" s="2" t="s">
        <v>363</v>
      </c>
      <c r="C15" s="2" t="s">
        <v>29</v>
      </c>
      <c r="D15" s="2" t="s">
        <v>228</v>
      </c>
      <c r="E15" s="4">
        <v>25.99</v>
      </c>
      <c r="F15" s="4">
        <v>9723.56</v>
      </c>
      <c r="G15" s="3">
        <v>374</v>
      </c>
      <c r="H15" s="6">
        <v>4.4000000000000004</v>
      </c>
      <c r="I15" s="3">
        <v>277</v>
      </c>
      <c r="J15" s="17" t="str">
        <f>HYPERLINK("https://amazon.com/dp/B0D2KRN3XR","Amazon - B0D2KRN3XR")</f>
        <v>Amazon - B0D2KRN3XR</v>
      </c>
      <c r="K15" s="18" t="s">
        <v>229</v>
      </c>
      <c r="L15" s="18" t="s">
        <v>230</v>
      </c>
      <c r="M15" s="18" t="s">
        <v>237</v>
      </c>
      <c r="N15" s="18" t="s">
        <v>271</v>
      </c>
      <c r="O15" s="18" t="s">
        <v>233</v>
      </c>
      <c r="P15" s="18" t="s">
        <v>305</v>
      </c>
    </row>
    <row r="16" spans="1:16" ht="45" x14ac:dyDescent="0.2">
      <c r="A16" s="7" t="s">
        <v>349</v>
      </c>
      <c r="B16" s="7" t="s">
        <v>350</v>
      </c>
      <c r="C16" s="7" t="s">
        <v>20</v>
      </c>
      <c r="D16" s="7" t="s">
        <v>228</v>
      </c>
      <c r="E16" s="9">
        <v>32.979999999999997</v>
      </c>
      <c r="F16" s="9">
        <v>11714.48</v>
      </c>
      <c r="G16" s="8">
        <v>367</v>
      </c>
      <c r="H16" s="11">
        <v>4.7</v>
      </c>
      <c r="I16" s="8">
        <v>438</v>
      </c>
      <c r="J16" s="19" t="str">
        <f>HYPERLINK("https://amazon.com/dp/B0D1VGWHJ4","Amazon - B0D1VGWHJ4")</f>
        <v>Amazon - B0D1VGWHJ4</v>
      </c>
      <c r="K16" s="20" t="s">
        <v>229</v>
      </c>
      <c r="L16" s="20" t="s">
        <v>230</v>
      </c>
      <c r="M16" s="20" t="s">
        <v>237</v>
      </c>
      <c r="N16" s="20" t="s">
        <v>271</v>
      </c>
      <c r="O16" s="20" t="s">
        <v>246</v>
      </c>
      <c r="P16" s="20" t="s">
        <v>351</v>
      </c>
    </row>
    <row r="17" spans="1:16" ht="45" x14ac:dyDescent="0.2">
      <c r="A17" s="2" t="s">
        <v>272</v>
      </c>
      <c r="B17" s="2" t="s">
        <v>273</v>
      </c>
      <c r="C17" s="2" t="s">
        <v>17</v>
      </c>
      <c r="D17" s="2" t="s">
        <v>228</v>
      </c>
      <c r="E17" s="4">
        <v>89.99</v>
      </c>
      <c r="F17" s="4">
        <v>41716.44</v>
      </c>
      <c r="G17" s="3">
        <v>363</v>
      </c>
      <c r="H17" s="6">
        <v>4.7</v>
      </c>
      <c r="I17" s="3">
        <v>90</v>
      </c>
      <c r="J17" s="17" t="str">
        <f>HYPERLINK("https://amazon.com/dp/B0FFT6SJHW","Amazon - B0FFT6SJHW")</f>
        <v>Amazon - B0FFT6SJHW</v>
      </c>
      <c r="K17" s="18" t="s">
        <v>229</v>
      </c>
      <c r="L17" s="18" t="s">
        <v>230</v>
      </c>
      <c r="M17" s="18" t="s">
        <v>242</v>
      </c>
      <c r="N17" s="18" t="s">
        <v>274</v>
      </c>
      <c r="O17" s="18" t="s">
        <v>233</v>
      </c>
      <c r="P17" s="18" t="s">
        <v>275</v>
      </c>
    </row>
    <row r="18" spans="1:16" ht="45" x14ac:dyDescent="0.2">
      <c r="A18" s="7" t="s">
        <v>319</v>
      </c>
      <c r="B18" s="7" t="s">
        <v>320</v>
      </c>
      <c r="C18" s="7" t="s">
        <v>18</v>
      </c>
      <c r="D18" s="7" t="s">
        <v>228</v>
      </c>
      <c r="E18" s="9">
        <v>59.99</v>
      </c>
      <c r="F18" s="9">
        <v>19701.37</v>
      </c>
      <c r="G18" s="8">
        <v>328</v>
      </c>
      <c r="H18" s="11">
        <v>4.4000000000000004</v>
      </c>
      <c r="I18" s="8">
        <v>2113</v>
      </c>
      <c r="J18" s="19" t="str">
        <f>HYPERLINK("https://amazon.com/dp/B0CJC65Q9P","Amazon - B0CJC65Q9P")</f>
        <v>Amazon - B0CJC65Q9P</v>
      </c>
      <c r="K18" s="20" t="s">
        <v>229</v>
      </c>
      <c r="L18" s="20" t="s">
        <v>230</v>
      </c>
      <c r="M18" s="20" t="s">
        <v>271</v>
      </c>
      <c r="N18" s="20" t="s">
        <v>271</v>
      </c>
      <c r="O18" s="20" t="s">
        <v>233</v>
      </c>
      <c r="P18" s="20" t="s">
        <v>321</v>
      </c>
    </row>
    <row r="19" spans="1:16" ht="45" x14ac:dyDescent="0.2">
      <c r="A19" s="2" t="s">
        <v>292</v>
      </c>
      <c r="B19" s="2" t="s">
        <v>293</v>
      </c>
      <c r="C19" s="2" t="s">
        <v>10</v>
      </c>
      <c r="D19" s="2" t="s">
        <v>228</v>
      </c>
      <c r="E19" s="4">
        <v>94.99</v>
      </c>
      <c r="F19" s="4">
        <v>31838.02</v>
      </c>
      <c r="G19" s="3">
        <v>324</v>
      </c>
      <c r="H19" s="6">
        <v>4.5999999999999996</v>
      </c>
      <c r="I19" s="3">
        <v>395</v>
      </c>
      <c r="J19" s="17" t="str">
        <f>HYPERLINK("https://amazon.com/dp/B0DT16R78W","Amazon - B0DT16R78W")</f>
        <v>Amazon - B0DT16R78W</v>
      </c>
      <c r="K19" s="18" t="s">
        <v>229</v>
      </c>
      <c r="L19" s="18" t="s">
        <v>230</v>
      </c>
      <c r="M19" s="18" t="s">
        <v>231</v>
      </c>
      <c r="N19" s="18" t="s">
        <v>232</v>
      </c>
      <c r="O19" s="18" t="s">
        <v>246</v>
      </c>
      <c r="P19" s="18" t="s">
        <v>234</v>
      </c>
    </row>
    <row r="20" spans="1:16" ht="45" x14ac:dyDescent="0.2">
      <c r="A20" s="7" t="s">
        <v>314</v>
      </c>
      <c r="B20" s="7" t="s">
        <v>315</v>
      </c>
      <c r="C20" s="7" t="s">
        <v>13</v>
      </c>
      <c r="D20" s="7" t="s">
        <v>228</v>
      </c>
      <c r="E20" s="9">
        <v>65.900000000000006</v>
      </c>
      <c r="F20" s="9">
        <v>20223.689999999999</v>
      </c>
      <c r="G20" s="8">
        <v>307</v>
      </c>
      <c r="H20" s="11">
        <v>4.5999999999999996</v>
      </c>
      <c r="I20" s="8">
        <v>686</v>
      </c>
      <c r="J20" s="19" t="str">
        <f>HYPERLINK("https://amazon.com/dp/B0BVMFYQNS","Amazon - B0BVMFYQNS")</f>
        <v>Amazon - B0BVMFYQNS</v>
      </c>
      <c r="K20" s="20" t="s">
        <v>229</v>
      </c>
      <c r="L20" s="20" t="s">
        <v>230</v>
      </c>
      <c r="M20" s="20" t="s">
        <v>231</v>
      </c>
      <c r="N20" s="20" t="s">
        <v>271</v>
      </c>
      <c r="O20" s="20" t="s">
        <v>316</v>
      </c>
      <c r="P20" s="20" t="s">
        <v>271</v>
      </c>
    </row>
    <row r="21" spans="1:16" ht="45" x14ac:dyDescent="0.2">
      <c r="A21" s="2" t="s">
        <v>276</v>
      </c>
      <c r="B21" s="2" t="s">
        <v>277</v>
      </c>
      <c r="C21" s="2" t="s">
        <v>8</v>
      </c>
      <c r="D21" s="2" t="s">
        <v>228</v>
      </c>
      <c r="E21" s="4">
        <v>139.99</v>
      </c>
      <c r="F21" s="4">
        <v>37214.239999999998</v>
      </c>
      <c r="G21" s="3">
        <v>266</v>
      </c>
      <c r="H21" s="6">
        <v>4.5999999999999996</v>
      </c>
      <c r="I21" s="3">
        <v>3612</v>
      </c>
      <c r="J21" s="17" t="str">
        <f>HYPERLINK("https://amazon.com/dp/B08519F2W9","Amazon - B08519F2W9")</f>
        <v>Amazon - B08519F2W9</v>
      </c>
      <c r="K21" s="18" t="s">
        <v>229</v>
      </c>
      <c r="L21" s="18" t="s">
        <v>230</v>
      </c>
      <c r="M21" s="18" t="s">
        <v>242</v>
      </c>
      <c r="N21" s="18" t="s">
        <v>271</v>
      </c>
      <c r="O21" s="18" t="s">
        <v>246</v>
      </c>
      <c r="P21" s="18" t="s">
        <v>278</v>
      </c>
    </row>
    <row r="22" spans="1:16" ht="30" x14ac:dyDescent="0.2">
      <c r="A22" s="7" t="s">
        <v>331</v>
      </c>
      <c r="B22" s="7" t="s">
        <v>332</v>
      </c>
      <c r="C22" s="7" t="s">
        <v>24</v>
      </c>
      <c r="D22" s="7" t="s">
        <v>285</v>
      </c>
      <c r="E22" s="9">
        <v>67.73</v>
      </c>
      <c r="F22" s="9">
        <v>17005.59</v>
      </c>
      <c r="G22" s="8">
        <v>261</v>
      </c>
      <c r="H22" s="11">
        <v>4.5</v>
      </c>
      <c r="I22" s="8">
        <v>72</v>
      </c>
      <c r="J22" s="19" t="str">
        <f>HYPERLINK("https://amazon.com/dp/B0F8VS1FV6","Amazon - B0F8VS1FV6")</f>
        <v>Amazon - B0F8VS1FV6</v>
      </c>
      <c r="K22" s="20" t="s">
        <v>286</v>
      </c>
      <c r="L22" s="20" t="s">
        <v>251</v>
      </c>
      <c r="M22" s="20" t="s">
        <v>287</v>
      </c>
      <c r="N22" s="20" t="s">
        <v>296</v>
      </c>
      <c r="O22" s="20" t="s">
        <v>233</v>
      </c>
      <c r="P22" s="20" t="s">
        <v>271</v>
      </c>
    </row>
    <row r="23" spans="1:16" ht="45" x14ac:dyDescent="0.2">
      <c r="A23" s="2" t="s">
        <v>325</v>
      </c>
      <c r="B23" s="2" t="s">
        <v>326</v>
      </c>
      <c r="C23" s="2" t="s">
        <v>22</v>
      </c>
      <c r="D23" s="2" t="s">
        <v>228</v>
      </c>
      <c r="E23" s="4">
        <v>45.99</v>
      </c>
      <c r="F23" s="4">
        <v>17640.14</v>
      </c>
      <c r="G23" s="3">
        <v>252</v>
      </c>
      <c r="H23" s="6">
        <v>4.3</v>
      </c>
      <c r="I23" s="3">
        <v>36</v>
      </c>
      <c r="J23" s="17" t="str">
        <f>HYPERLINK("https://amazon.com/dp/B0FXL4JXC5","Amazon - B0FXL4JXC5")</f>
        <v>Amazon - B0FXL4JXC5</v>
      </c>
      <c r="K23" s="18" t="s">
        <v>229</v>
      </c>
      <c r="L23" s="18" t="s">
        <v>230</v>
      </c>
      <c r="M23" s="18" t="s">
        <v>242</v>
      </c>
      <c r="N23" s="18" t="s">
        <v>265</v>
      </c>
      <c r="O23" s="18" t="s">
        <v>233</v>
      </c>
      <c r="P23" s="18" t="s">
        <v>234</v>
      </c>
    </row>
    <row r="24" spans="1:16" ht="45" x14ac:dyDescent="0.2">
      <c r="A24" s="7" t="s">
        <v>365</v>
      </c>
      <c r="B24" s="7" t="s">
        <v>366</v>
      </c>
      <c r="C24" s="7" t="s">
        <v>28</v>
      </c>
      <c r="D24" s="7" t="s">
        <v>228</v>
      </c>
      <c r="E24" s="9">
        <v>19.989999999999998</v>
      </c>
      <c r="F24" s="9">
        <v>4951.38</v>
      </c>
      <c r="G24" s="8">
        <v>248</v>
      </c>
      <c r="H24" s="11">
        <v>4.4000000000000004</v>
      </c>
      <c r="I24" s="8">
        <v>53</v>
      </c>
      <c r="J24" s="19" t="str">
        <f>HYPERLINK("https://amazon.com/dp/B0G6L4JSWF","Amazon - B0G6L4JSWF")</f>
        <v>Amazon - B0G6L4JSWF</v>
      </c>
      <c r="K24" s="20" t="s">
        <v>229</v>
      </c>
      <c r="L24" s="20" t="s">
        <v>230</v>
      </c>
      <c r="M24" s="20" t="s">
        <v>237</v>
      </c>
      <c r="N24" s="20" t="s">
        <v>271</v>
      </c>
      <c r="O24" s="20" t="s">
        <v>246</v>
      </c>
      <c r="P24" s="20" t="s">
        <v>305</v>
      </c>
    </row>
    <row r="25" spans="1:16" ht="30" x14ac:dyDescent="0.2">
      <c r="A25" s="2" t="s">
        <v>367</v>
      </c>
      <c r="B25" s="2" t="s">
        <v>368</v>
      </c>
      <c r="C25" s="2" t="s">
        <v>19</v>
      </c>
      <c r="D25" s="2" t="s">
        <v>228</v>
      </c>
      <c r="E25" s="4">
        <v>25.99</v>
      </c>
      <c r="F25" s="4">
        <v>6786.82</v>
      </c>
      <c r="G25" s="3">
        <v>235</v>
      </c>
      <c r="H25" s="6">
        <v>4.4000000000000004</v>
      </c>
      <c r="I25" s="3">
        <v>1222</v>
      </c>
      <c r="J25" s="17" t="str">
        <f>HYPERLINK("https://amazon.com/dp/B0FM82MR7C","Amazon - B0FM82MR7C")</f>
        <v>Amazon - B0FM82MR7C</v>
      </c>
      <c r="K25" s="18" t="s">
        <v>229</v>
      </c>
      <c r="L25" s="18" t="s">
        <v>230</v>
      </c>
      <c r="M25" s="18" t="s">
        <v>271</v>
      </c>
      <c r="N25" s="18" t="s">
        <v>271</v>
      </c>
      <c r="O25" s="18" t="s">
        <v>246</v>
      </c>
      <c r="P25" s="18" t="s">
        <v>305</v>
      </c>
    </row>
    <row r="26" spans="1:16" ht="45" x14ac:dyDescent="0.2">
      <c r="A26" s="7" t="s">
        <v>345</v>
      </c>
      <c r="B26" s="7" t="s">
        <v>346</v>
      </c>
      <c r="C26" s="7" t="s">
        <v>8</v>
      </c>
      <c r="D26" s="7" t="s">
        <v>228</v>
      </c>
      <c r="E26" s="9">
        <v>55.99</v>
      </c>
      <c r="F26" s="9">
        <v>13035.62</v>
      </c>
      <c r="G26" s="8">
        <v>233</v>
      </c>
      <c r="H26" s="11">
        <v>4.5</v>
      </c>
      <c r="I26" s="8">
        <v>2183</v>
      </c>
      <c r="J26" s="19" t="str">
        <f>HYPERLINK("https://amazon.com/dp/B07TTQF24F","Amazon - B07TTQF24F")</f>
        <v>Amazon - B07TTQF24F</v>
      </c>
      <c r="K26" s="20" t="s">
        <v>229</v>
      </c>
      <c r="L26" s="20" t="s">
        <v>230</v>
      </c>
      <c r="M26" s="20" t="s">
        <v>271</v>
      </c>
      <c r="N26" s="20" t="s">
        <v>271</v>
      </c>
      <c r="O26" s="20" t="s">
        <v>233</v>
      </c>
      <c r="P26" s="20" t="s">
        <v>271</v>
      </c>
    </row>
    <row r="27" spans="1:16" ht="45" x14ac:dyDescent="0.2">
      <c r="A27" s="2" t="s">
        <v>298</v>
      </c>
      <c r="B27" s="2" t="s">
        <v>299</v>
      </c>
      <c r="C27" s="2" t="s">
        <v>14</v>
      </c>
      <c r="D27" s="2" t="s">
        <v>228</v>
      </c>
      <c r="E27" s="4">
        <v>99.99</v>
      </c>
      <c r="F27" s="4">
        <v>27227.25</v>
      </c>
      <c r="G27" s="3">
        <v>229</v>
      </c>
      <c r="H27" s="6">
        <v>4.5999999999999996</v>
      </c>
      <c r="I27" s="3">
        <v>201</v>
      </c>
      <c r="J27" s="17" t="str">
        <f>HYPERLINK("https://amazon.com/dp/B0DPHJSPBY","Amazon - B0DPHJSPBY")</f>
        <v>Amazon - B0DPHJSPBY</v>
      </c>
      <c r="K27" s="18" t="s">
        <v>229</v>
      </c>
      <c r="L27" s="18" t="s">
        <v>230</v>
      </c>
      <c r="M27" s="18" t="s">
        <v>237</v>
      </c>
      <c r="N27" s="18" t="s">
        <v>296</v>
      </c>
      <c r="O27" s="18" t="s">
        <v>233</v>
      </c>
      <c r="P27" s="18" t="s">
        <v>300</v>
      </c>
    </row>
    <row r="28" spans="1:16" ht="45" x14ac:dyDescent="0.2">
      <c r="A28" s="7" t="s">
        <v>260</v>
      </c>
      <c r="B28" s="7" t="s">
        <v>261</v>
      </c>
      <c r="C28" s="7" t="s">
        <v>8</v>
      </c>
      <c r="D28" s="7" t="s">
        <v>228</v>
      </c>
      <c r="E28" s="9">
        <v>299.99</v>
      </c>
      <c r="F28" s="9">
        <v>62435.43</v>
      </c>
      <c r="G28" s="8">
        <v>223</v>
      </c>
      <c r="H28" s="11">
        <v>4.2</v>
      </c>
      <c r="I28" s="8">
        <v>223</v>
      </c>
      <c r="J28" s="19" t="str">
        <f>HYPERLINK("https://amazon.com/dp/B0CHW4FLS7","Amazon - B0CHW4FLS7")</f>
        <v>Amazon - B0CHW4FLS7</v>
      </c>
      <c r="K28" s="20" t="s">
        <v>229</v>
      </c>
      <c r="L28" s="20" t="s">
        <v>230</v>
      </c>
      <c r="M28" s="20" t="s">
        <v>242</v>
      </c>
      <c r="N28" s="20" t="s">
        <v>262</v>
      </c>
      <c r="O28" s="20" t="s">
        <v>246</v>
      </c>
      <c r="P28" s="20" t="s">
        <v>234</v>
      </c>
    </row>
    <row r="29" spans="1:16" ht="45" x14ac:dyDescent="0.2">
      <c r="A29" s="2" t="s">
        <v>279</v>
      </c>
      <c r="B29" s="2" t="s">
        <v>280</v>
      </c>
      <c r="C29" s="2" t="s">
        <v>9</v>
      </c>
      <c r="D29" s="2" t="s">
        <v>228</v>
      </c>
      <c r="E29" s="4">
        <v>159.99</v>
      </c>
      <c r="F29" s="4">
        <v>35062.129999999997</v>
      </c>
      <c r="G29" s="3">
        <v>220</v>
      </c>
      <c r="H29" s="6">
        <v>4.7</v>
      </c>
      <c r="I29" s="3">
        <v>49</v>
      </c>
      <c r="J29" s="17" t="str">
        <f>HYPERLINK("https://amazon.com/dp/B0DNFL72B5","Amazon - B0DNFL72B5")</f>
        <v>Amazon - B0DNFL72B5</v>
      </c>
      <c r="K29" s="18" t="s">
        <v>229</v>
      </c>
      <c r="L29" s="18" t="s">
        <v>230</v>
      </c>
      <c r="M29" s="18" t="s">
        <v>242</v>
      </c>
      <c r="N29" s="18" t="s">
        <v>262</v>
      </c>
      <c r="O29" s="18" t="s">
        <v>246</v>
      </c>
      <c r="P29" s="18" t="s">
        <v>234</v>
      </c>
    </row>
    <row r="30" spans="1:16" ht="45" x14ac:dyDescent="0.2">
      <c r="A30" s="7" t="s">
        <v>312</v>
      </c>
      <c r="B30" s="7" t="s">
        <v>313</v>
      </c>
      <c r="C30" s="7" t="s">
        <v>13</v>
      </c>
      <c r="D30" s="7" t="s">
        <v>228</v>
      </c>
      <c r="E30" s="9">
        <v>99.9</v>
      </c>
      <c r="F30" s="9">
        <v>21770.93</v>
      </c>
      <c r="G30" s="8">
        <v>218</v>
      </c>
      <c r="H30" s="11">
        <v>4.4000000000000004</v>
      </c>
      <c r="I30" s="8">
        <v>532</v>
      </c>
      <c r="J30" s="19" t="str">
        <f>HYPERLINK("https://amazon.com/dp/B0C9GR791B","Amazon - B0C9GR791B")</f>
        <v>Amazon - B0C9GR791B</v>
      </c>
      <c r="K30" s="20" t="s">
        <v>229</v>
      </c>
      <c r="L30" s="20" t="s">
        <v>230</v>
      </c>
      <c r="M30" s="20" t="s">
        <v>242</v>
      </c>
      <c r="N30" s="20" t="s">
        <v>274</v>
      </c>
      <c r="O30" s="20" t="s">
        <v>233</v>
      </c>
      <c r="P30" s="20" t="s">
        <v>234</v>
      </c>
    </row>
    <row r="31" spans="1:16" ht="30" x14ac:dyDescent="0.2">
      <c r="A31" s="2" t="s">
        <v>369</v>
      </c>
      <c r="B31" s="2" t="s">
        <v>370</v>
      </c>
      <c r="C31" s="2" t="s">
        <v>10</v>
      </c>
      <c r="D31" s="2" t="s">
        <v>228</v>
      </c>
      <c r="E31" s="4">
        <v>29.99</v>
      </c>
      <c r="F31" s="4">
        <v>6287.23</v>
      </c>
      <c r="G31" s="3">
        <v>210</v>
      </c>
      <c r="H31" s="6">
        <v>4.4000000000000004</v>
      </c>
      <c r="I31" s="3">
        <v>179</v>
      </c>
      <c r="J31" s="17" t="str">
        <f>HYPERLINK("https://amazon.com/dp/B0FX99L27P","Amazon - B0FX99L27P")</f>
        <v>Amazon - B0FX99L27P</v>
      </c>
      <c r="K31" s="18" t="s">
        <v>229</v>
      </c>
      <c r="L31" s="18" t="s">
        <v>230</v>
      </c>
      <c r="M31" s="18" t="s">
        <v>242</v>
      </c>
      <c r="N31" s="18" t="s">
        <v>271</v>
      </c>
      <c r="O31" s="18" t="s">
        <v>246</v>
      </c>
      <c r="P31" s="18" t="s">
        <v>305</v>
      </c>
    </row>
    <row r="32" spans="1:16" ht="45" x14ac:dyDescent="0.2">
      <c r="A32" s="7" t="s">
        <v>263</v>
      </c>
      <c r="B32" s="7" t="s">
        <v>264</v>
      </c>
      <c r="C32" s="7" t="s">
        <v>8</v>
      </c>
      <c r="D32" s="7" t="s">
        <v>228</v>
      </c>
      <c r="E32" s="9">
        <v>349.99</v>
      </c>
      <c r="F32" s="9">
        <v>57372.54</v>
      </c>
      <c r="G32" s="8">
        <v>173</v>
      </c>
      <c r="H32" s="11">
        <v>4</v>
      </c>
      <c r="I32" s="8">
        <v>107</v>
      </c>
      <c r="J32" s="19" t="str">
        <f>HYPERLINK("https://amazon.com/dp/B0CLG4LHWP","Amazon - B0CLG4LHWP")</f>
        <v>Amazon - B0CLG4LHWP</v>
      </c>
      <c r="K32" s="20" t="s">
        <v>229</v>
      </c>
      <c r="L32" s="20" t="s">
        <v>230</v>
      </c>
      <c r="M32" s="20" t="s">
        <v>242</v>
      </c>
      <c r="N32" s="20" t="s">
        <v>265</v>
      </c>
      <c r="O32" s="20" t="s">
        <v>233</v>
      </c>
      <c r="P32" s="20" t="s">
        <v>234</v>
      </c>
    </row>
    <row r="33" spans="1:16" ht="45" x14ac:dyDescent="0.2">
      <c r="A33" s="2" t="s">
        <v>371</v>
      </c>
      <c r="B33" s="2" t="s">
        <v>372</v>
      </c>
      <c r="C33" s="2" t="s">
        <v>12</v>
      </c>
      <c r="D33" s="2" t="s">
        <v>228</v>
      </c>
      <c r="E33" s="4">
        <v>33.99</v>
      </c>
      <c r="F33" s="4">
        <v>6003.2</v>
      </c>
      <c r="G33" s="3">
        <v>166</v>
      </c>
      <c r="H33" s="6">
        <v>4.5</v>
      </c>
      <c r="I33" s="3">
        <v>203</v>
      </c>
      <c r="J33" s="17" t="str">
        <f>HYPERLINK("https://amazon.com/dp/B0DCNM5MGW","Amazon - B0DCNM5MGW")</f>
        <v>Amazon - B0DCNM5MGW</v>
      </c>
      <c r="K33" s="18" t="s">
        <v>229</v>
      </c>
      <c r="L33" s="18" t="s">
        <v>230</v>
      </c>
      <c r="M33" s="18" t="s">
        <v>237</v>
      </c>
      <c r="N33" s="18" t="s">
        <v>271</v>
      </c>
      <c r="O33" s="18" t="s">
        <v>233</v>
      </c>
      <c r="P33" s="18" t="s">
        <v>321</v>
      </c>
    </row>
    <row r="34" spans="1:16" ht="45" x14ac:dyDescent="0.2">
      <c r="A34" s="7" t="s">
        <v>373</v>
      </c>
      <c r="B34" s="7" t="s">
        <v>374</v>
      </c>
      <c r="C34" s="7" t="s">
        <v>42</v>
      </c>
      <c r="D34" s="7" t="s">
        <v>228</v>
      </c>
      <c r="E34" s="9">
        <v>28.99</v>
      </c>
      <c r="F34" s="9">
        <v>4630.7700000000004</v>
      </c>
      <c r="G34" s="8">
        <v>165</v>
      </c>
      <c r="H34" s="11">
        <v>4.5</v>
      </c>
      <c r="I34" s="8">
        <v>592</v>
      </c>
      <c r="J34" s="19" t="str">
        <f>HYPERLINK("https://amazon.com/dp/B0D5QZBDRX","Amazon - B0D5QZBDRX")</f>
        <v>Amazon - B0D5QZBDRX</v>
      </c>
      <c r="K34" s="20" t="s">
        <v>229</v>
      </c>
      <c r="L34" s="20" t="s">
        <v>230</v>
      </c>
      <c r="M34" s="20" t="s">
        <v>237</v>
      </c>
      <c r="N34" s="20" t="s">
        <v>271</v>
      </c>
      <c r="O34" s="20" t="s">
        <v>233</v>
      </c>
      <c r="P34" s="20" t="s">
        <v>305</v>
      </c>
    </row>
    <row r="35" spans="1:16" ht="45" x14ac:dyDescent="0.2">
      <c r="A35" s="2" t="s">
        <v>375</v>
      </c>
      <c r="B35" s="2" t="s">
        <v>376</v>
      </c>
      <c r="C35" s="2" t="s">
        <v>45</v>
      </c>
      <c r="D35" s="2" t="s">
        <v>228</v>
      </c>
      <c r="E35" s="4">
        <v>23.99</v>
      </c>
      <c r="F35" s="4">
        <v>4107.04</v>
      </c>
      <c r="G35" s="3">
        <v>165</v>
      </c>
      <c r="H35" s="6">
        <v>4.5</v>
      </c>
      <c r="I35" s="3">
        <v>33</v>
      </c>
      <c r="J35" s="17" t="str">
        <f>HYPERLINK("https://amazon.com/dp/B0FHWCZ5RB","Amazon - B0FHWCZ5RB")</f>
        <v>Amazon - B0FHWCZ5RB</v>
      </c>
      <c r="K35" s="18" t="s">
        <v>286</v>
      </c>
      <c r="L35" s="18" t="s">
        <v>230</v>
      </c>
      <c r="M35" s="18" t="s">
        <v>237</v>
      </c>
      <c r="N35" s="18" t="s">
        <v>271</v>
      </c>
      <c r="O35" s="18" t="s">
        <v>233</v>
      </c>
      <c r="P35" s="18" t="s">
        <v>305</v>
      </c>
    </row>
    <row r="36" spans="1:16" ht="45" x14ac:dyDescent="0.2">
      <c r="A36" s="7" t="s">
        <v>377</v>
      </c>
      <c r="B36" s="7" t="s">
        <v>378</v>
      </c>
      <c r="C36" s="7" t="s">
        <v>28</v>
      </c>
      <c r="D36" s="7" t="s">
        <v>228</v>
      </c>
      <c r="E36" s="9">
        <v>33.99</v>
      </c>
      <c r="F36" s="9">
        <v>5401.82</v>
      </c>
      <c r="G36" s="8">
        <v>159</v>
      </c>
      <c r="H36" s="11">
        <v>4</v>
      </c>
      <c r="I36" s="8">
        <v>334</v>
      </c>
      <c r="J36" s="19" t="str">
        <f>HYPERLINK("https://amazon.com/dp/B0F13SHCYH","Amazon - B0F13SHCYH")</f>
        <v>Amazon - B0F13SHCYH</v>
      </c>
      <c r="K36" s="20" t="s">
        <v>229</v>
      </c>
      <c r="L36" s="20" t="s">
        <v>230</v>
      </c>
      <c r="M36" s="20" t="s">
        <v>237</v>
      </c>
      <c r="N36" s="20" t="s">
        <v>271</v>
      </c>
      <c r="O36" s="20" t="s">
        <v>246</v>
      </c>
      <c r="P36" s="20" t="s">
        <v>379</v>
      </c>
    </row>
    <row r="37" spans="1:16" ht="45" x14ac:dyDescent="0.2">
      <c r="A37" s="2" t="s">
        <v>380</v>
      </c>
      <c r="B37" s="2" t="s">
        <v>381</v>
      </c>
      <c r="C37" s="2" t="s">
        <v>28</v>
      </c>
      <c r="D37" s="2" t="s">
        <v>228</v>
      </c>
      <c r="E37" s="4">
        <v>20.99</v>
      </c>
      <c r="F37" s="4">
        <v>3303.74</v>
      </c>
      <c r="G37" s="3">
        <v>158</v>
      </c>
      <c r="H37" s="6">
        <v>4</v>
      </c>
      <c r="I37" s="3">
        <v>334</v>
      </c>
      <c r="J37" s="17" t="str">
        <f>HYPERLINK("https://amazon.com/dp/B0F13SV3DP","Amazon - B0F13SV3DP")</f>
        <v>Amazon - B0F13SV3DP</v>
      </c>
      <c r="K37" s="18" t="s">
        <v>229</v>
      </c>
      <c r="L37" s="18" t="s">
        <v>230</v>
      </c>
      <c r="M37" s="18" t="s">
        <v>237</v>
      </c>
      <c r="N37" s="18" t="s">
        <v>271</v>
      </c>
      <c r="O37" s="18" t="s">
        <v>233</v>
      </c>
      <c r="P37" s="18" t="s">
        <v>379</v>
      </c>
    </row>
    <row r="38" spans="1:16" ht="45" x14ac:dyDescent="0.2">
      <c r="A38" s="7" t="s">
        <v>306</v>
      </c>
      <c r="B38" s="7" t="s">
        <v>307</v>
      </c>
      <c r="C38" s="7" t="s">
        <v>12</v>
      </c>
      <c r="D38" s="7" t="s">
        <v>285</v>
      </c>
      <c r="E38" s="9">
        <v>147</v>
      </c>
      <c r="F38" s="9">
        <v>25296.54</v>
      </c>
      <c r="G38" s="8">
        <v>155</v>
      </c>
      <c r="H38" s="11">
        <v>5</v>
      </c>
      <c r="I38" s="8">
        <v>5</v>
      </c>
      <c r="J38" s="19" t="str">
        <f>HYPERLINK("https://amazon.com/dp/B0G1MM25PR","Amazon - B0G1MM25PR")</f>
        <v>Amazon - B0G1MM25PR</v>
      </c>
      <c r="K38" s="20" t="s">
        <v>286</v>
      </c>
      <c r="L38" s="20" t="s">
        <v>251</v>
      </c>
      <c r="M38" s="20" t="s">
        <v>287</v>
      </c>
      <c r="N38" s="20" t="s">
        <v>262</v>
      </c>
      <c r="O38" s="20" t="s">
        <v>233</v>
      </c>
      <c r="P38" s="20" t="s">
        <v>278</v>
      </c>
    </row>
    <row r="39" spans="1:16" ht="45" x14ac:dyDescent="0.2">
      <c r="A39" s="2" t="s">
        <v>249</v>
      </c>
      <c r="B39" s="2" t="s">
        <v>250</v>
      </c>
      <c r="C39" s="2" t="s">
        <v>8</v>
      </c>
      <c r="D39" s="2" t="s">
        <v>228</v>
      </c>
      <c r="E39" s="4">
        <v>509.98</v>
      </c>
      <c r="F39" s="4">
        <v>90360.46</v>
      </c>
      <c r="G39" s="3">
        <v>155</v>
      </c>
      <c r="H39" s="6">
        <v>4.4000000000000004</v>
      </c>
      <c r="I39" s="3">
        <v>53</v>
      </c>
      <c r="J39" s="17" t="str">
        <f>HYPERLINK("https://amazon.com/dp/B0CLG67RHF","Amazon - B0CLG67RHF")</f>
        <v>Amazon - B0CLG67RHF</v>
      </c>
      <c r="K39" s="18" t="s">
        <v>229</v>
      </c>
      <c r="L39" s="18" t="s">
        <v>251</v>
      </c>
      <c r="M39" s="18" t="s">
        <v>252</v>
      </c>
      <c r="N39" s="18" t="s">
        <v>253</v>
      </c>
      <c r="O39" s="18" t="s">
        <v>233</v>
      </c>
      <c r="P39" s="18" t="s">
        <v>234</v>
      </c>
    </row>
    <row r="40" spans="1:16" ht="45" x14ac:dyDescent="0.2">
      <c r="A40" s="7" t="s">
        <v>337</v>
      </c>
      <c r="B40" s="7" t="s">
        <v>338</v>
      </c>
      <c r="C40" s="7" t="s">
        <v>8</v>
      </c>
      <c r="D40" s="7" t="s">
        <v>228</v>
      </c>
      <c r="E40" s="9">
        <v>95.99</v>
      </c>
      <c r="F40" s="9">
        <v>14372.05</v>
      </c>
      <c r="G40" s="8">
        <v>150</v>
      </c>
      <c r="H40" s="11">
        <v>4.5999999999999996</v>
      </c>
      <c r="I40" s="8">
        <v>733</v>
      </c>
      <c r="J40" s="19" t="str">
        <f>HYPERLINK("https://amazon.com/dp/B09Y1F2MPB","Amazon - B09Y1F2MPB")</f>
        <v>Amazon - B09Y1F2MPB</v>
      </c>
      <c r="K40" s="20" t="s">
        <v>229</v>
      </c>
      <c r="L40" s="20" t="s">
        <v>230</v>
      </c>
      <c r="M40" s="20" t="s">
        <v>242</v>
      </c>
      <c r="N40" s="20" t="s">
        <v>339</v>
      </c>
      <c r="O40" s="20" t="s">
        <v>246</v>
      </c>
      <c r="P40" s="20" t="s">
        <v>234</v>
      </c>
    </row>
    <row r="41" spans="1:16" ht="45" x14ac:dyDescent="0.2">
      <c r="A41" s="2" t="s">
        <v>317</v>
      </c>
      <c r="B41" s="2" t="s">
        <v>318</v>
      </c>
      <c r="C41" s="2" t="s">
        <v>9</v>
      </c>
      <c r="D41" s="2" t="s">
        <v>228</v>
      </c>
      <c r="E41" s="4">
        <v>149.99</v>
      </c>
      <c r="F41" s="4">
        <v>19960.650000000001</v>
      </c>
      <c r="G41" s="3">
        <v>146</v>
      </c>
      <c r="H41" s="6">
        <v>4.2</v>
      </c>
      <c r="I41" s="3">
        <v>217</v>
      </c>
      <c r="J41" s="17" t="str">
        <f>HYPERLINK("https://amazon.com/dp/B0B71PT47Q","Amazon - B0B71PT47Q")</f>
        <v>Amazon - B0B71PT47Q</v>
      </c>
      <c r="K41" s="18" t="s">
        <v>229</v>
      </c>
      <c r="L41" s="18" t="s">
        <v>230</v>
      </c>
      <c r="M41" s="18" t="s">
        <v>237</v>
      </c>
      <c r="N41" s="18" t="s">
        <v>232</v>
      </c>
      <c r="O41" s="18" t="s">
        <v>233</v>
      </c>
      <c r="P41" s="18" t="s">
        <v>256</v>
      </c>
    </row>
    <row r="42" spans="1:16" ht="30" x14ac:dyDescent="0.2">
      <c r="A42" s="7" t="s">
        <v>290</v>
      </c>
      <c r="B42" s="7" t="s">
        <v>291</v>
      </c>
      <c r="C42" s="7" t="s">
        <v>8</v>
      </c>
      <c r="D42" s="7" t="s">
        <v>228</v>
      </c>
      <c r="E42" s="9">
        <v>279.99</v>
      </c>
      <c r="F42" s="9">
        <v>32889.03</v>
      </c>
      <c r="G42" s="8">
        <v>135</v>
      </c>
      <c r="H42" s="11">
        <v>4.7</v>
      </c>
      <c r="I42" s="8">
        <v>572</v>
      </c>
      <c r="J42" s="19" t="str">
        <f>HYPERLINK("https://amazon.com/dp/B09ZV7KJHL","Amazon - B09ZV7KJHL")</f>
        <v>Amazon - B09ZV7KJHL</v>
      </c>
      <c r="K42" s="20" t="s">
        <v>229</v>
      </c>
      <c r="L42" s="20" t="s">
        <v>230</v>
      </c>
      <c r="M42" s="20" t="s">
        <v>242</v>
      </c>
      <c r="N42" s="20" t="s">
        <v>232</v>
      </c>
      <c r="O42" s="20" t="s">
        <v>233</v>
      </c>
      <c r="P42" s="20" t="s">
        <v>234</v>
      </c>
    </row>
    <row r="43" spans="1:16" ht="45" x14ac:dyDescent="0.2">
      <c r="A43" s="2" t="s">
        <v>382</v>
      </c>
      <c r="B43" s="2" t="s">
        <v>383</v>
      </c>
      <c r="C43" s="2" t="s">
        <v>10</v>
      </c>
      <c r="D43" s="2" t="s">
        <v>228</v>
      </c>
      <c r="E43" s="4">
        <v>49.99</v>
      </c>
      <c r="F43" s="4">
        <v>6469.75</v>
      </c>
      <c r="G43" s="3">
        <v>129</v>
      </c>
      <c r="H43" s="6">
        <v>4.4000000000000004</v>
      </c>
      <c r="I43" s="3">
        <v>4303</v>
      </c>
      <c r="J43" s="17" t="str">
        <f>HYPERLINK("https://amazon.com/dp/B094XGX6GQ","Amazon - B094XGX6GQ")</f>
        <v>Amazon - B094XGX6GQ</v>
      </c>
      <c r="K43" s="18" t="s">
        <v>229</v>
      </c>
      <c r="L43" s="18" t="s">
        <v>230</v>
      </c>
      <c r="M43" s="18" t="s">
        <v>237</v>
      </c>
      <c r="N43" s="18" t="s">
        <v>243</v>
      </c>
      <c r="O43" s="18" t="s">
        <v>233</v>
      </c>
      <c r="P43" s="18" t="s">
        <v>305</v>
      </c>
    </row>
    <row r="44" spans="1:16" ht="45" x14ac:dyDescent="0.2">
      <c r="A44" s="7" t="s">
        <v>288</v>
      </c>
      <c r="B44" s="7" t="s">
        <v>289</v>
      </c>
      <c r="C44" s="7" t="s">
        <v>11</v>
      </c>
      <c r="D44" s="7" t="s">
        <v>228</v>
      </c>
      <c r="E44" s="9">
        <v>299.99</v>
      </c>
      <c r="F44" s="9">
        <v>33706.26</v>
      </c>
      <c r="G44" s="8">
        <v>128</v>
      </c>
      <c r="H44" s="11">
        <v>4.3</v>
      </c>
      <c r="I44" s="8">
        <v>233</v>
      </c>
      <c r="J44" s="19" t="str">
        <f>HYPERLINK("https://amazon.com/dp/B0DSW1DKTZ","Amazon - B0DSW1DKTZ")</f>
        <v>Amazon - B0DSW1DKTZ</v>
      </c>
      <c r="K44" s="20" t="s">
        <v>229</v>
      </c>
      <c r="L44" s="20" t="s">
        <v>251</v>
      </c>
      <c r="M44" s="20" t="s">
        <v>242</v>
      </c>
      <c r="N44" s="20" t="s">
        <v>262</v>
      </c>
      <c r="O44" s="20" t="s">
        <v>246</v>
      </c>
      <c r="P44" s="20" t="s">
        <v>234</v>
      </c>
    </row>
    <row r="45" spans="1:16" ht="45" x14ac:dyDescent="0.2">
      <c r="A45" s="2" t="s">
        <v>384</v>
      </c>
      <c r="B45" s="2" t="s">
        <v>385</v>
      </c>
      <c r="C45" s="2" t="s">
        <v>13</v>
      </c>
      <c r="D45" s="2" t="s">
        <v>228</v>
      </c>
      <c r="E45" s="4">
        <v>39.9</v>
      </c>
      <c r="F45" s="4">
        <v>5794.05</v>
      </c>
      <c r="G45" s="3">
        <v>126</v>
      </c>
      <c r="H45" s="6">
        <v>4.5999999999999996</v>
      </c>
      <c r="I45" s="3">
        <v>680</v>
      </c>
      <c r="J45" s="17" t="str">
        <f>HYPERLINK("https://amazon.com/dp/B0DJGFZQ5X","Amazon - B0DJGFZQ5X")</f>
        <v>Amazon - B0DJGFZQ5X</v>
      </c>
      <c r="K45" s="18" t="s">
        <v>229</v>
      </c>
      <c r="L45" s="18" t="s">
        <v>230</v>
      </c>
      <c r="M45" s="18" t="s">
        <v>237</v>
      </c>
      <c r="N45" s="18" t="s">
        <v>271</v>
      </c>
      <c r="O45" s="18" t="s">
        <v>246</v>
      </c>
      <c r="P45" s="18" t="s">
        <v>386</v>
      </c>
    </row>
    <row r="46" spans="1:16" ht="45" x14ac:dyDescent="0.2">
      <c r="A46" s="7" t="s">
        <v>308</v>
      </c>
      <c r="B46" s="7" t="s">
        <v>309</v>
      </c>
      <c r="C46" s="7" t="s">
        <v>14</v>
      </c>
      <c r="D46" s="7" t="s">
        <v>228</v>
      </c>
      <c r="E46" s="9">
        <v>189.99</v>
      </c>
      <c r="F46" s="9">
        <v>23852.53</v>
      </c>
      <c r="G46" s="8">
        <v>126</v>
      </c>
      <c r="H46" s="11">
        <v>4.5999999999999996</v>
      </c>
      <c r="I46" s="8">
        <v>201</v>
      </c>
      <c r="J46" s="19" t="str">
        <f>HYPERLINK("https://amazon.com/dp/B0F8QLHGZR","Amazon - B0F8QLHGZR")</f>
        <v>Amazon - B0F8QLHGZR</v>
      </c>
      <c r="K46" s="20" t="s">
        <v>229</v>
      </c>
      <c r="L46" s="20" t="s">
        <v>230</v>
      </c>
      <c r="M46" s="20" t="s">
        <v>242</v>
      </c>
      <c r="N46" s="20" t="s">
        <v>274</v>
      </c>
      <c r="O46" s="20" t="s">
        <v>246</v>
      </c>
      <c r="P46" s="20" t="s">
        <v>275</v>
      </c>
    </row>
    <row r="47" spans="1:16" ht="45" x14ac:dyDescent="0.2">
      <c r="A47" s="2" t="s">
        <v>387</v>
      </c>
      <c r="B47" s="2" t="s">
        <v>388</v>
      </c>
      <c r="C47" s="2" t="s">
        <v>20</v>
      </c>
      <c r="D47" s="2" t="s">
        <v>228</v>
      </c>
      <c r="E47" s="4">
        <v>69.989999999999995</v>
      </c>
      <c r="F47" s="4">
        <v>8833.2800000000007</v>
      </c>
      <c r="G47" s="3">
        <v>125</v>
      </c>
      <c r="H47" s="6">
        <v>4.8</v>
      </c>
      <c r="I47" s="3">
        <v>86</v>
      </c>
      <c r="J47" s="17" t="str">
        <f>HYPERLINK("https://amazon.com/dp/B0DHRPXGRL","Amazon - B0DHRPXGRL")</f>
        <v>Amazon - B0DHRPXGRL</v>
      </c>
      <c r="K47" s="18" t="s">
        <v>229</v>
      </c>
      <c r="L47" s="18" t="s">
        <v>230</v>
      </c>
      <c r="M47" s="18" t="s">
        <v>242</v>
      </c>
      <c r="N47" s="18" t="s">
        <v>253</v>
      </c>
      <c r="O47" s="18" t="s">
        <v>233</v>
      </c>
      <c r="P47" s="18" t="s">
        <v>389</v>
      </c>
    </row>
    <row r="48" spans="1:16" ht="45" x14ac:dyDescent="0.2">
      <c r="A48" s="7" t="s">
        <v>266</v>
      </c>
      <c r="B48" s="7" t="s">
        <v>267</v>
      </c>
      <c r="C48" s="7" t="s">
        <v>8</v>
      </c>
      <c r="D48" s="7" t="s">
        <v>228</v>
      </c>
      <c r="E48" s="9">
        <v>449.99</v>
      </c>
      <c r="F48" s="9">
        <v>51497.72</v>
      </c>
      <c r="G48" s="8">
        <v>121</v>
      </c>
      <c r="H48" s="11">
        <v>4.0999999999999996</v>
      </c>
      <c r="I48" s="8">
        <v>46</v>
      </c>
      <c r="J48" s="19" t="str">
        <f>HYPERLINK("https://amazon.com/dp/B0DTHZDGYD","Amazon - B0DTHZDGYD")</f>
        <v>Amazon - B0DTHZDGYD</v>
      </c>
      <c r="K48" s="20" t="s">
        <v>229</v>
      </c>
      <c r="L48" s="20" t="s">
        <v>251</v>
      </c>
      <c r="M48" s="20" t="s">
        <v>242</v>
      </c>
      <c r="N48" s="20" t="s">
        <v>253</v>
      </c>
      <c r="O48" s="20" t="s">
        <v>233</v>
      </c>
      <c r="P48" s="20" t="s">
        <v>234</v>
      </c>
    </row>
    <row r="49" spans="1:16" ht="45" x14ac:dyDescent="0.2">
      <c r="A49" s="2" t="s">
        <v>294</v>
      </c>
      <c r="B49" s="2" t="s">
        <v>295</v>
      </c>
      <c r="C49" s="2" t="s">
        <v>11</v>
      </c>
      <c r="D49" s="2" t="s">
        <v>228</v>
      </c>
      <c r="E49" s="4">
        <v>259.99</v>
      </c>
      <c r="F49" s="4">
        <v>29256.17</v>
      </c>
      <c r="G49" s="3">
        <v>119</v>
      </c>
      <c r="H49" s="6">
        <v>4.2</v>
      </c>
      <c r="I49" s="3">
        <v>209</v>
      </c>
      <c r="J49" s="17" t="str">
        <f>HYPERLINK("https://amazon.com/dp/B0FJFD212D","Amazon - B0FJFD212D")</f>
        <v>Amazon - B0FJFD212D</v>
      </c>
      <c r="K49" s="18" t="s">
        <v>229</v>
      </c>
      <c r="L49" s="18" t="s">
        <v>251</v>
      </c>
      <c r="M49" s="18" t="s">
        <v>237</v>
      </c>
      <c r="N49" s="18" t="s">
        <v>296</v>
      </c>
      <c r="O49" s="18" t="s">
        <v>233</v>
      </c>
      <c r="P49" s="18" t="s">
        <v>297</v>
      </c>
    </row>
    <row r="50" spans="1:16" ht="45" x14ac:dyDescent="0.2">
      <c r="A50" s="7" t="s">
        <v>390</v>
      </c>
      <c r="B50" s="7" t="s">
        <v>391</v>
      </c>
      <c r="C50" s="7" t="s">
        <v>12</v>
      </c>
      <c r="D50" s="7" t="s">
        <v>228</v>
      </c>
      <c r="E50" s="9">
        <v>33.99</v>
      </c>
      <c r="F50" s="9">
        <v>4551.79</v>
      </c>
      <c r="G50" s="8">
        <v>119</v>
      </c>
      <c r="H50" s="11">
        <v>4.5</v>
      </c>
      <c r="I50" s="8">
        <v>430</v>
      </c>
      <c r="J50" s="19" t="str">
        <f>HYPERLINK("https://amazon.com/dp/B0C9L96KF7","Amazon - B0C9L96KF7")</f>
        <v>Amazon - B0C9L96KF7</v>
      </c>
      <c r="K50" s="20" t="s">
        <v>229</v>
      </c>
      <c r="L50" s="20" t="s">
        <v>230</v>
      </c>
      <c r="M50" s="20" t="s">
        <v>237</v>
      </c>
      <c r="N50" s="20" t="s">
        <v>271</v>
      </c>
      <c r="O50" s="20" t="s">
        <v>233</v>
      </c>
      <c r="P50" s="20" t="s">
        <v>351</v>
      </c>
    </row>
    <row r="51" spans="1:16" ht="45" x14ac:dyDescent="0.2">
      <c r="A51" s="2" t="s">
        <v>301</v>
      </c>
      <c r="B51" s="2" t="s">
        <v>302</v>
      </c>
      <c r="C51" s="2" t="s">
        <v>11</v>
      </c>
      <c r="D51" s="2" t="s">
        <v>228</v>
      </c>
      <c r="E51" s="4">
        <v>239.99</v>
      </c>
      <c r="F51" s="4">
        <v>26964.44</v>
      </c>
      <c r="G51" s="3">
        <v>118</v>
      </c>
      <c r="H51" s="6">
        <v>4.2</v>
      </c>
      <c r="I51" s="3">
        <v>210</v>
      </c>
      <c r="J51" s="17" t="str">
        <f>HYPERLINK("https://amazon.com/dp/B0C64RBKJL","Amazon - B0C64RBKJL")</f>
        <v>Amazon - B0C64RBKJL</v>
      </c>
      <c r="K51" s="18" t="s">
        <v>229</v>
      </c>
      <c r="L51" s="18" t="s">
        <v>251</v>
      </c>
      <c r="M51" s="18" t="s">
        <v>242</v>
      </c>
      <c r="N51" s="18" t="s">
        <v>296</v>
      </c>
      <c r="O51" s="18" t="s">
        <v>233</v>
      </c>
      <c r="P51" s="18" t="s">
        <v>278</v>
      </c>
    </row>
    <row r="52" spans="1:16" ht="45" x14ac:dyDescent="0.2">
      <c r="A52" s="7" t="s">
        <v>392</v>
      </c>
      <c r="B52" s="7" t="s">
        <v>393</v>
      </c>
      <c r="C52" s="7" t="s">
        <v>60</v>
      </c>
      <c r="D52" s="7" t="s">
        <v>228</v>
      </c>
      <c r="E52" s="9">
        <v>14.99</v>
      </c>
      <c r="F52" s="9">
        <v>1753.73</v>
      </c>
      <c r="G52" s="8">
        <v>117</v>
      </c>
      <c r="H52" s="11">
        <v>4.9000000000000004</v>
      </c>
      <c r="I52" s="8">
        <v>28</v>
      </c>
      <c r="J52" s="19" t="str">
        <f>HYPERLINK("https://amazon.com/dp/B0F47SBC8N","Amazon - B0F47SBC8N")</f>
        <v>Amazon - B0F47SBC8N</v>
      </c>
      <c r="K52" s="20" t="s">
        <v>229</v>
      </c>
      <c r="L52" s="20" t="s">
        <v>230</v>
      </c>
      <c r="M52" s="20" t="s">
        <v>242</v>
      </c>
      <c r="N52" s="20" t="s">
        <v>271</v>
      </c>
      <c r="O52" s="20" t="s">
        <v>233</v>
      </c>
      <c r="P52" s="20" t="s">
        <v>271</v>
      </c>
    </row>
  </sheetData>
  <autoFilter ref="A2:P52" xr:uid="{00000000-0009-0000-0000-000002000000}"/>
  <mergeCells count="1">
    <mergeCell ref="A1:P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workbookViewId="0">
      <pane ySplit="2" topLeftCell="A3" activePane="bottomLeft" state="frozen"/>
      <selection pane="bottomLeft"/>
    </sheetView>
  </sheetViews>
  <sheetFormatPr baseColWidth="10" defaultColWidth="8.83203125" defaultRowHeight="15" x14ac:dyDescent="0.2"/>
  <cols>
    <col min="1" max="1" width="22" customWidth="1"/>
    <col min="2" max="3" width="14" customWidth="1"/>
    <col min="4" max="4" width="12" customWidth="1"/>
    <col min="5" max="5" width="16" customWidth="1"/>
    <col min="6" max="6" width="12" customWidth="1"/>
  </cols>
  <sheetData>
    <row r="1" spans="1:6" ht="34" customHeight="1" x14ac:dyDescent="0.2">
      <c r="A1" s="21" t="s">
        <v>394</v>
      </c>
      <c r="B1" s="22"/>
      <c r="C1" s="22"/>
      <c r="D1" s="22"/>
      <c r="E1" s="22"/>
      <c r="F1" s="22"/>
    </row>
    <row r="2" spans="1:6" ht="30" customHeight="1" x14ac:dyDescent="0.2">
      <c r="A2" s="1" t="s">
        <v>220</v>
      </c>
      <c r="B2" s="1" t="s">
        <v>395</v>
      </c>
      <c r="C2" s="1" t="s">
        <v>396</v>
      </c>
      <c r="D2" s="1" t="s">
        <v>397</v>
      </c>
      <c r="E2" s="1" t="s">
        <v>398</v>
      </c>
      <c r="F2" s="1" t="s">
        <v>399</v>
      </c>
    </row>
    <row r="3" spans="1:6" x14ac:dyDescent="0.2">
      <c r="A3" s="2" t="s">
        <v>229</v>
      </c>
      <c r="B3" s="4">
        <v>181.98</v>
      </c>
      <c r="C3" s="3">
        <v>22716</v>
      </c>
      <c r="D3" s="5">
        <v>0.95979999999999999</v>
      </c>
      <c r="E3" s="4">
        <v>2814711.82</v>
      </c>
      <c r="F3" s="5">
        <v>0.96989999999999998</v>
      </c>
    </row>
    <row r="4" spans="1:6" x14ac:dyDescent="0.2">
      <c r="A4" s="7" t="s">
        <v>286</v>
      </c>
      <c r="B4" s="9">
        <v>98.68</v>
      </c>
      <c r="C4" s="8">
        <v>952</v>
      </c>
      <c r="D4" s="10">
        <v>4.02E-2</v>
      </c>
      <c r="E4" s="9">
        <v>87445.87</v>
      </c>
      <c r="F4" s="10">
        <v>3.0099999999999998E-2</v>
      </c>
    </row>
    <row r="6" spans="1:6" ht="30" customHeight="1" x14ac:dyDescent="0.2">
      <c r="A6" s="1" t="s">
        <v>221</v>
      </c>
      <c r="B6" s="1" t="s">
        <v>395</v>
      </c>
      <c r="C6" s="1" t="s">
        <v>396</v>
      </c>
      <c r="D6" s="1" t="s">
        <v>397</v>
      </c>
      <c r="E6" s="1" t="s">
        <v>398</v>
      </c>
      <c r="F6" s="1" t="s">
        <v>399</v>
      </c>
    </row>
    <row r="7" spans="1:6" x14ac:dyDescent="0.2">
      <c r="A7" s="2" t="s">
        <v>230</v>
      </c>
      <c r="B7" s="4">
        <v>127.47</v>
      </c>
      <c r="C7" s="3">
        <v>22446</v>
      </c>
      <c r="D7" s="5">
        <v>0.94840000000000002</v>
      </c>
      <c r="E7" s="4">
        <v>2552543.7200000002</v>
      </c>
      <c r="F7" s="5">
        <v>0.87949999999999995</v>
      </c>
    </row>
    <row r="8" spans="1:6" x14ac:dyDescent="0.2">
      <c r="A8" s="7" t="s">
        <v>251</v>
      </c>
      <c r="B8" s="9">
        <v>344.97</v>
      </c>
      <c r="C8" s="8">
        <v>1222</v>
      </c>
      <c r="D8" s="10">
        <v>5.16E-2</v>
      </c>
      <c r="E8" s="9">
        <v>349613.97</v>
      </c>
      <c r="F8" s="10">
        <v>0.1205</v>
      </c>
    </row>
    <row r="10" spans="1:6" ht="30" customHeight="1" x14ac:dyDescent="0.2">
      <c r="A10" s="1" t="s">
        <v>222</v>
      </c>
      <c r="B10" s="1" t="s">
        <v>395</v>
      </c>
      <c r="C10" s="1" t="s">
        <v>396</v>
      </c>
      <c r="D10" s="1" t="s">
        <v>397</v>
      </c>
      <c r="E10" s="1" t="s">
        <v>398</v>
      </c>
      <c r="F10" s="1" t="s">
        <v>399</v>
      </c>
    </row>
    <row r="11" spans="1:6" x14ac:dyDescent="0.2">
      <c r="A11" s="2" t="s">
        <v>231</v>
      </c>
      <c r="B11" s="4">
        <v>106.97</v>
      </c>
      <c r="C11" s="3">
        <v>10285</v>
      </c>
      <c r="D11" s="5">
        <v>0.43459999999999999</v>
      </c>
      <c r="E11" s="4">
        <v>1323963.29</v>
      </c>
      <c r="F11" s="5">
        <v>0.45619999999999999</v>
      </c>
    </row>
    <row r="12" spans="1:6" x14ac:dyDescent="0.2">
      <c r="A12" s="7" t="s">
        <v>242</v>
      </c>
      <c r="B12" s="9">
        <v>207.44</v>
      </c>
      <c r="C12" s="8">
        <v>5186</v>
      </c>
      <c r="D12" s="10">
        <v>0.21909999999999999</v>
      </c>
      <c r="E12" s="9">
        <v>848017.02</v>
      </c>
      <c r="F12" s="10">
        <v>0.29220000000000002</v>
      </c>
    </row>
    <row r="13" spans="1:6" x14ac:dyDescent="0.2">
      <c r="A13" s="2" t="s">
        <v>237</v>
      </c>
      <c r="B13" s="4">
        <v>103.54</v>
      </c>
      <c r="C13" s="3">
        <v>3951</v>
      </c>
      <c r="D13" s="5">
        <v>0.16689999999999999</v>
      </c>
      <c r="E13" s="4">
        <v>377951.61</v>
      </c>
      <c r="F13" s="5">
        <v>0.13020000000000001</v>
      </c>
    </row>
    <row r="14" spans="1:6" x14ac:dyDescent="0.2">
      <c r="A14" s="7" t="s">
        <v>252</v>
      </c>
      <c r="B14" s="9">
        <v>604.99</v>
      </c>
      <c r="C14" s="8">
        <v>204</v>
      </c>
      <c r="D14" s="10">
        <v>8.6E-3</v>
      </c>
      <c r="E14" s="9">
        <v>125025.96</v>
      </c>
      <c r="F14" s="10">
        <v>4.3099999999999999E-2</v>
      </c>
    </row>
    <row r="15" spans="1:6" x14ac:dyDescent="0.2">
      <c r="A15" s="2" t="s">
        <v>287</v>
      </c>
      <c r="B15" s="4">
        <v>98.68</v>
      </c>
      <c r="C15" s="3">
        <v>952</v>
      </c>
      <c r="D15" s="5">
        <v>4.02E-2</v>
      </c>
      <c r="E15" s="4">
        <v>87445.87</v>
      </c>
      <c r="F15" s="5">
        <v>3.0099999999999998E-2</v>
      </c>
    </row>
    <row r="16" spans="1:6" x14ac:dyDescent="0.2">
      <c r="A16" s="7" t="s">
        <v>271</v>
      </c>
      <c r="B16" s="9">
        <v>45.49</v>
      </c>
      <c r="C16" s="8">
        <v>2587</v>
      </c>
      <c r="D16" s="10">
        <v>0.10929999999999999</v>
      </c>
      <c r="E16" s="9">
        <v>83180.23</v>
      </c>
      <c r="F16" s="10">
        <v>2.87E-2</v>
      </c>
    </row>
    <row r="17" spans="1:6" x14ac:dyDescent="0.2">
      <c r="A17" s="2" t="s">
        <v>270</v>
      </c>
      <c r="B17" s="4">
        <v>99.99</v>
      </c>
      <c r="C17" s="3">
        <v>460</v>
      </c>
      <c r="D17" s="5">
        <v>1.9400000000000001E-2</v>
      </c>
      <c r="E17" s="4">
        <v>42439.15</v>
      </c>
      <c r="F17" s="5">
        <v>1.46E-2</v>
      </c>
    </row>
    <row r="18" spans="1:6" x14ac:dyDescent="0.2">
      <c r="A18" s="7" t="s">
        <v>342</v>
      </c>
      <c r="B18" s="9">
        <v>329.99</v>
      </c>
      <c r="C18" s="8">
        <v>43</v>
      </c>
      <c r="D18" s="10">
        <v>1.8E-3</v>
      </c>
      <c r="E18" s="9">
        <v>14134.56</v>
      </c>
      <c r="F18" s="10">
        <v>4.8999999999999998E-3</v>
      </c>
    </row>
    <row r="20" spans="1:6" ht="30" customHeight="1" x14ac:dyDescent="0.2">
      <c r="A20" s="1" t="s">
        <v>223</v>
      </c>
      <c r="B20" s="1" t="s">
        <v>395</v>
      </c>
      <c r="C20" s="1" t="s">
        <v>396</v>
      </c>
      <c r="D20" s="1" t="s">
        <v>397</v>
      </c>
      <c r="E20" s="1" t="s">
        <v>398</v>
      </c>
      <c r="F20" s="1" t="s">
        <v>399</v>
      </c>
    </row>
    <row r="21" spans="1:6" x14ac:dyDescent="0.2">
      <c r="A21" s="2" t="s">
        <v>232</v>
      </c>
      <c r="B21" s="4">
        <v>133.69999999999999</v>
      </c>
      <c r="C21" s="3">
        <v>11514</v>
      </c>
      <c r="D21" s="5">
        <v>0.48649999999999999</v>
      </c>
      <c r="E21" s="4">
        <v>1481118.25</v>
      </c>
      <c r="F21" s="5">
        <v>0.51039999999999996</v>
      </c>
    </row>
    <row r="22" spans="1:6" x14ac:dyDescent="0.2">
      <c r="A22" s="7" t="s">
        <v>271</v>
      </c>
      <c r="B22" s="9">
        <v>99.05</v>
      </c>
      <c r="C22" s="8">
        <v>5138</v>
      </c>
      <c r="D22" s="10">
        <v>0.21709999999999999</v>
      </c>
      <c r="E22" s="9">
        <v>295927.28999999998</v>
      </c>
      <c r="F22" s="10">
        <v>0.10199999999999999</v>
      </c>
    </row>
    <row r="23" spans="1:6" x14ac:dyDescent="0.2">
      <c r="A23" s="2" t="s">
        <v>243</v>
      </c>
      <c r="B23" s="4">
        <v>163.32</v>
      </c>
      <c r="C23" s="3">
        <v>2112</v>
      </c>
      <c r="D23" s="5">
        <v>8.9200000000000002E-2</v>
      </c>
      <c r="E23" s="4">
        <v>243816.01</v>
      </c>
      <c r="F23" s="5">
        <v>8.4000000000000005E-2</v>
      </c>
    </row>
    <row r="24" spans="1:6" x14ac:dyDescent="0.2">
      <c r="A24" s="7" t="s">
        <v>238</v>
      </c>
      <c r="B24" s="9">
        <v>116.46</v>
      </c>
      <c r="C24" s="8">
        <v>1628</v>
      </c>
      <c r="D24" s="10">
        <v>6.88E-2</v>
      </c>
      <c r="E24" s="9">
        <v>219017.08</v>
      </c>
      <c r="F24" s="10">
        <v>7.5499999999999998E-2</v>
      </c>
    </row>
    <row r="25" spans="1:6" x14ac:dyDescent="0.2">
      <c r="A25" s="2" t="s">
        <v>253</v>
      </c>
      <c r="B25" s="4">
        <v>392.49</v>
      </c>
      <c r="C25" s="3">
        <v>404</v>
      </c>
      <c r="D25" s="5">
        <v>1.7100000000000001E-2</v>
      </c>
      <c r="E25" s="4">
        <v>166895.23000000001</v>
      </c>
      <c r="F25" s="5">
        <v>5.7500000000000002E-2</v>
      </c>
    </row>
    <row r="26" spans="1:6" x14ac:dyDescent="0.2">
      <c r="A26" s="7" t="s">
        <v>262</v>
      </c>
      <c r="B26" s="9">
        <v>226.74</v>
      </c>
      <c r="C26" s="8">
        <v>726</v>
      </c>
      <c r="D26" s="10">
        <v>3.0700000000000002E-2</v>
      </c>
      <c r="E26" s="9">
        <v>156500.35999999999</v>
      </c>
      <c r="F26" s="10">
        <v>5.3900000000000003E-2</v>
      </c>
    </row>
    <row r="27" spans="1:6" x14ac:dyDescent="0.2">
      <c r="A27" s="2" t="s">
        <v>274</v>
      </c>
      <c r="B27" s="4">
        <v>199.97</v>
      </c>
      <c r="C27" s="3">
        <v>795</v>
      </c>
      <c r="D27" s="5">
        <v>3.3599999999999998E-2</v>
      </c>
      <c r="E27" s="4">
        <v>114379.79</v>
      </c>
      <c r="F27" s="5">
        <v>3.9399999999999998E-2</v>
      </c>
    </row>
    <row r="28" spans="1:6" x14ac:dyDescent="0.2">
      <c r="A28" s="7" t="s">
        <v>265</v>
      </c>
      <c r="B28" s="9">
        <v>365.32</v>
      </c>
      <c r="C28" s="8">
        <v>474</v>
      </c>
      <c r="D28" s="10">
        <v>0.02</v>
      </c>
      <c r="E28" s="9">
        <v>109678.18</v>
      </c>
      <c r="F28" s="10">
        <v>3.78E-2</v>
      </c>
    </row>
    <row r="29" spans="1:6" x14ac:dyDescent="0.2">
      <c r="A29" s="2" t="s">
        <v>296</v>
      </c>
      <c r="B29" s="4">
        <v>166.93</v>
      </c>
      <c r="C29" s="3">
        <v>727</v>
      </c>
      <c r="D29" s="5">
        <v>3.0700000000000002E-2</v>
      </c>
      <c r="E29" s="4">
        <v>100453.45</v>
      </c>
      <c r="F29" s="5">
        <v>3.4599999999999999E-2</v>
      </c>
    </row>
    <row r="30" spans="1:6" x14ac:dyDescent="0.2">
      <c r="A30" s="7" t="s">
        <v>339</v>
      </c>
      <c r="B30" s="9">
        <v>95.99</v>
      </c>
      <c r="C30" s="8">
        <v>150</v>
      </c>
      <c r="D30" s="10">
        <v>6.3E-3</v>
      </c>
      <c r="E30" s="9">
        <v>14372.05</v>
      </c>
      <c r="F30" s="10">
        <v>5.0000000000000001E-3</v>
      </c>
    </row>
    <row r="32" spans="1:6" ht="30" customHeight="1" x14ac:dyDescent="0.2">
      <c r="A32" s="1" t="s">
        <v>224</v>
      </c>
      <c r="B32" s="1" t="s">
        <v>395</v>
      </c>
      <c r="C32" s="1" t="s">
        <v>396</v>
      </c>
      <c r="D32" s="1" t="s">
        <v>397</v>
      </c>
      <c r="E32" s="1" t="s">
        <v>398</v>
      </c>
      <c r="F32" s="1" t="s">
        <v>399</v>
      </c>
    </row>
    <row r="33" spans="1:6" x14ac:dyDescent="0.2">
      <c r="A33" s="2" t="s">
        <v>233</v>
      </c>
      <c r="B33" s="4">
        <v>171.18</v>
      </c>
      <c r="C33" s="3">
        <v>17559</v>
      </c>
      <c r="D33" s="5">
        <v>0.7419</v>
      </c>
      <c r="E33" s="4">
        <v>2128289.5299999998</v>
      </c>
      <c r="F33" s="5">
        <v>0.73329999999999995</v>
      </c>
    </row>
    <row r="34" spans="1:6" x14ac:dyDescent="0.2">
      <c r="A34" s="7" t="s">
        <v>246</v>
      </c>
      <c r="B34" s="9">
        <v>183.36</v>
      </c>
      <c r="C34" s="8">
        <v>5552</v>
      </c>
      <c r="D34" s="10">
        <v>0.2346</v>
      </c>
      <c r="E34" s="9">
        <v>712118.53</v>
      </c>
      <c r="F34" s="10">
        <v>0.24540000000000001</v>
      </c>
    </row>
    <row r="35" spans="1:6" x14ac:dyDescent="0.2">
      <c r="A35" s="2" t="s">
        <v>316</v>
      </c>
      <c r="B35" s="4">
        <v>165.07</v>
      </c>
      <c r="C35" s="3">
        <v>557</v>
      </c>
      <c r="D35" s="5">
        <v>2.35E-2</v>
      </c>
      <c r="E35" s="4">
        <v>61749.63</v>
      </c>
      <c r="F35" s="5">
        <v>2.1299999999999999E-2</v>
      </c>
    </row>
    <row r="37" spans="1:6" ht="30" customHeight="1" x14ac:dyDescent="0.2">
      <c r="A37" s="1" t="s">
        <v>225</v>
      </c>
      <c r="B37" s="1" t="s">
        <v>395</v>
      </c>
      <c r="C37" s="1" t="s">
        <v>396</v>
      </c>
      <c r="D37" s="1" t="s">
        <v>397</v>
      </c>
      <c r="E37" s="1" t="s">
        <v>398</v>
      </c>
      <c r="F37" s="1" t="s">
        <v>399</v>
      </c>
    </row>
    <row r="38" spans="1:6" x14ac:dyDescent="0.2">
      <c r="A38" s="2" t="s">
        <v>234</v>
      </c>
      <c r="B38" s="4">
        <v>234.19</v>
      </c>
      <c r="C38" s="3">
        <v>14078</v>
      </c>
      <c r="D38" s="5">
        <v>0.5948</v>
      </c>
      <c r="E38" s="4">
        <v>2050970.96</v>
      </c>
      <c r="F38" s="5">
        <v>0.70669999999999999</v>
      </c>
    </row>
    <row r="39" spans="1:6" x14ac:dyDescent="0.2">
      <c r="A39" s="7" t="s">
        <v>239</v>
      </c>
      <c r="B39" s="9">
        <v>129.69</v>
      </c>
      <c r="C39" s="8">
        <v>1498</v>
      </c>
      <c r="D39" s="10">
        <v>6.3299999999999995E-2</v>
      </c>
      <c r="E39" s="9">
        <v>205857.17</v>
      </c>
      <c r="F39" s="10">
        <v>7.0900000000000005E-2</v>
      </c>
    </row>
    <row r="40" spans="1:6" x14ac:dyDescent="0.2">
      <c r="A40" s="2" t="s">
        <v>256</v>
      </c>
      <c r="B40" s="4">
        <v>139.99</v>
      </c>
      <c r="C40" s="3">
        <v>832</v>
      </c>
      <c r="D40" s="5">
        <v>3.5200000000000002E-2</v>
      </c>
      <c r="E40" s="4">
        <v>121277.6</v>
      </c>
      <c r="F40" s="5">
        <v>4.1799999999999997E-2</v>
      </c>
    </row>
    <row r="41" spans="1:6" x14ac:dyDescent="0.2">
      <c r="A41" s="7" t="s">
        <v>305</v>
      </c>
      <c r="B41" s="9">
        <v>94.39</v>
      </c>
      <c r="C41" s="8">
        <v>2964</v>
      </c>
      <c r="D41" s="10">
        <v>0.12520000000000001</v>
      </c>
      <c r="E41" s="9">
        <v>101236.77</v>
      </c>
      <c r="F41" s="10">
        <v>3.49E-2</v>
      </c>
    </row>
    <row r="42" spans="1:6" x14ac:dyDescent="0.2">
      <c r="A42" s="2" t="s">
        <v>271</v>
      </c>
      <c r="B42" s="4">
        <v>72.400000000000006</v>
      </c>
      <c r="C42" s="3">
        <v>1261</v>
      </c>
      <c r="D42" s="5">
        <v>5.33E-2</v>
      </c>
      <c r="E42" s="4">
        <v>92704.05</v>
      </c>
      <c r="F42" s="5">
        <v>3.1899999999999998E-2</v>
      </c>
    </row>
    <row r="43" spans="1:6" x14ac:dyDescent="0.2">
      <c r="A43" s="7" t="s">
        <v>278</v>
      </c>
      <c r="B43" s="9">
        <v>175.66</v>
      </c>
      <c r="C43" s="8">
        <v>539</v>
      </c>
      <c r="D43" s="10">
        <v>2.2800000000000001E-2</v>
      </c>
      <c r="E43" s="9">
        <v>89475.22</v>
      </c>
      <c r="F43" s="10">
        <v>3.0800000000000001E-2</v>
      </c>
    </row>
    <row r="44" spans="1:6" x14ac:dyDescent="0.2">
      <c r="A44" s="2" t="s">
        <v>259</v>
      </c>
      <c r="B44" s="4">
        <v>79.989999999999995</v>
      </c>
      <c r="C44" s="3">
        <v>889</v>
      </c>
      <c r="D44" s="5">
        <v>3.7600000000000001E-2</v>
      </c>
      <c r="E44" s="4">
        <v>67852.11</v>
      </c>
      <c r="F44" s="5">
        <v>2.3400000000000001E-2</v>
      </c>
    </row>
    <row r="45" spans="1:6" x14ac:dyDescent="0.2">
      <c r="A45" s="7" t="s">
        <v>275</v>
      </c>
      <c r="B45" s="9">
        <v>139.99</v>
      </c>
      <c r="C45" s="8">
        <v>489</v>
      </c>
      <c r="D45" s="10">
        <v>2.07E-2</v>
      </c>
      <c r="E45" s="9">
        <v>65568.97</v>
      </c>
      <c r="F45" s="10">
        <v>2.2599999999999999E-2</v>
      </c>
    </row>
    <row r="46" spans="1:6" x14ac:dyDescent="0.2">
      <c r="A46" s="2" t="s">
        <v>297</v>
      </c>
      <c r="B46" s="4">
        <v>259.99</v>
      </c>
      <c r="C46" s="3">
        <v>119</v>
      </c>
      <c r="D46" s="5">
        <v>5.0000000000000001E-3</v>
      </c>
      <c r="E46" s="4">
        <v>29256.17</v>
      </c>
      <c r="F46" s="5">
        <v>1.01E-2</v>
      </c>
    </row>
    <row r="47" spans="1:6" x14ac:dyDescent="0.2">
      <c r="A47" s="7" t="s">
        <v>300</v>
      </c>
      <c r="B47" s="9">
        <v>99.99</v>
      </c>
      <c r="C47" s="8">
        <v>229</v>
      </c>
      <c r="D47" s="10">
        <v>9.7000000000000003E-3</v>
      </c>
      <c r="E47" s="9">
        <v>27227.25</v>
      </c>
      <c r="F47" s="10">
        <v>9.4000000000000004E-3</v>
      </c>
    </row>
    <row r="48" spans="1:6" x14ac:dyDescent="0.2">
      <c r="A48" s="2" t="s">
        <v>321</v>
      </c>
      <c r="B48" s="4">
        <v>59.99</v>
      </c>
      <c r="C48" s="3">
        <v>328</v>
      </c>
      <c r="D48" s="5">
        <v>1.3899999999999999E-2</v>
      </c>
      <c r="E48" s="4">
        <v>19701.37</v>
      </c>
      <c r="F48" s="5">
        <v>6.7999999999999996E-3</v>
      </c>
    </row>
    <row r="49" spans="1:6" x14ac:dyDescent="0.2">
      <c r="A49" s="7" t="s">
        <v>324</v>
      </c>
      <c r="B49" s="9">
        <v>269.99</v>
      </c>
      <c r="C49" s="8">
        <v>75</v>
      </c>
      <c r="D49" s="10">
        <v>3.2000000000000002E-3</v>
      </c>
      <c r="E49" s="9">
        <v>19315.57</v>
      </c>
      <c r="F49" s="10">
        <v>6.7000000000000002E-3</v>
      </c>
    </row>
    <row r="50" spans="1:6" x14ac:dyDescent="0.2">
      <c r="A50" s="2" t="s">
        <v>351</v>
      </c>
      <c r="B50" s="4">
        <v>32.979999999999997</v>
      </c>
      <c r="C50" s="3">
        <v>367</v>
      </c>
      <c r="D50" s="5">
        <v>1.55E-2</v>
      </c>
      <c r="E50" s="4">
        <v>11714.48</v>
      </c>
      <c r="F50" s="5">
        <v>4.0000000000000001E-3</v>
      </c>
    </row>
  </sheetData>
  <mergeCells count="1">
    <mergeCell ref="A1:F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workbookViewId="0">
      <pane ySplit="2" topLeftCell="A3" activePane="bottomLeft" state="frozen"/>
      <selection pane="bottomLeft"/>
    </sheetView>
  </sheetViews>
  <sheetFormatPr baseColWidth="10" defaultColWidth="8.83203125" defaultRowHeight="15" x14ac:dyDescent="0.2"/>
  <cols>
    <col min="1" max="2" width="16" customWidth="1"/>
    <col min="3" max="3" width="14" customWidth="1"/>
    <col min="4" max="6" width="12" customWidth="1"/>
  </cols>
  <sheetData>
    <row r="1" spans="1:6" ht="34" customHeight="1" x14ac:dyDescent="0.2">
      <c r="A1" s="21" t="s">
        <v>400</v>
      </c>
      <c r="B1" s="22"/>
      <c r="C1" s="22"/>
      <c r="D1" s="22"/>
      <c r="E1" s="22"/>
      <c r="F1" s="22"/>
    </row>
    <row r="2" spans="1:6" ht="30" customHeight="1" x14ac:dyDescent="0.2">
      <c r="A2" s="1" t="s">
        <v>401</v>
      </c>
      <c r="B2" s="1" t="s">
        <v>402</v>
      </c>
      <c r="C2" s="1" t="s">
        <v>403</v>
      </c>
      <c r="D2" s="1" t="s">
        <v>404</v>
      </c>
      <c r="E2" s="1" t="s">
        <v>405</v>
      </c>
      <c r="F2" s="1" t="s">
        <v>395</v>
      </c>
    </row>
    <row r="3" spans="1:6" x14ac:dyDescent="0.2">
      <c r="A3" s="2" t="s">
        <v>406</v>
      </c>
      <c r="B3" s="4">
        <v>167037.29</v>
      </c>
      <c r="C3" s="3">
        <v>6159</v>
      </c>
      <c r="D3" s="5">
        <v>4.8599999999999997E-2</v>
      </c>
      <c r="E3" s="5">
        <v>0.1993</v>
      </c>
      <c r="F3" s="4">
        <v>24.09</v>
      </c>
    </row>
    <row r="4" spans="1:6" x14ac:dyDescent="0.2">
      <c r="A4" s="7" t="s">
        <v>407</v>
      </c>
      <c r="B4" s="9">
        <v>106669.37</v>
      </c>
      <c r="C4" s="8">
        <v>2003</v>
      </c>
      <c r="D4" s="10">
        <v>3.1E-2</v>
      </c>
      <c r="E4" s="10">
        <v>6.4799999999999996E-2</v>
      </c>
      <c r="F4" s="9">
        <v>50.64</v>
      </c>
    </row>
    <row r="5" spans="1:6" x14ac:dyDescent="0.2">
      <c r="A5" s="2" t="s">
        <v>408</v>
      </c>
      <c r="B5" s="4">
        <v>266987.24</v>
      </c>
      <c r="C5" s="3">
        <v>3358</v>
      </c>
      <c r="D5" s="5">
        <v>7.7600000000000002E-2</v>
      </c>
      <c r="E5" s="5">
        <v>0.1087</v>
      </c>
      <c r="F5" s="4">
        <v>76.56</v>
      </c>
    </row>
    <row r="6" spans="1:6" x14ac:dyDescent="0.2">
      <c r="A6" s="7" t="s">
        <v>409</v>
      </c>
      <c r="B6" s="9">
        <v>171617.38</v>
      </c>
      <c r="C6" s="8">
        <v>1700</v>
      </c>
      <c r="D6" s="10">
        <v>4.99E-2</v>
      </c>
      <c r="E6" s="10">
        <v>5.5E-2</v>
      </c>
      <c r="F6" s="9">
        <v>97.58</v>
      </c>
    </row>
    <row r="7" spans="1:6" x14ac:dyDescent="0.2">
      <c r="A7" s="2" t="s">
        <v>410</v>
      </c>
      <c r="B7" s="4">
        <v>1922667.56</v>
      </c>
      <c r="C7" s="3">
        <v>14564</v>
      </c>
      <c r="D7" s="5">
        <v>0.55920000000000003</v>
      </c>
      <c r="E7" s="5">
        <v>0.4713</v>
      </c>
      <c r="F7" s="4">
        <v>127.92</v>
      </c>
    </row>
    <row r="8" spans="1:6" x14ac:dyDescent="0.2">
      <c r="A8" s="7" t="s">
        <v>411</v>
      </c>
      <c r="B8" s="9">
        <v>206722.76</v>
      </c>
      <c r="C8" s="8">
        <v>1382</v>
      </c>
      <c r="D8" s="10">
        <v>6.0100000000000001E-2</v>
      </c>
      <c r="E8" s="10">
        <v>4.4699999999999997E-2</v>
      </c>
      <c r="F8" s="9">
        <v>173.01</v>
      </c>
    </row>
    <row r="9" spans="1:6" x14ac:dyDescent="0.2">
      <c r="A9" s="2" t="s">
        <v>412</v>
      </c>
      <c r="B9" s="4">
        <v>596767.22</v>
      </c>
      <c r="C9" s="3">
        <v>1737</v>
      </c>
      <c r="D9" s="5">
        <v>0.1736</v>
      </c>
      <c r="E9" s="5">
        <v>5.62E-2</v>
      </c>
      <c r="F9" s="4">
        <v>443.92</v>
      </c>
    </row>
  </sheetData>
  <mergeCells count="1">
    <mergeCell ref="A1:F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41"/>
  <sheetViews>
    <sheetView workbookViewId="0">
      <pane ySplit="2" topLeftCell="A3" activePane="bottomLeft" state="frozen"/>
      <selection pane="bottomLeft"/>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20" customWidth="1"/>
    <col min="12" max="12" width="12" customWidth="1"/>
    <col min="13" max="13" width="14" customWidth="1"/>
    <col min="14" max="14" width="16" customWidth="1"/>
    <col min="15" max="15" width="12" customWidth="1"/>
    <col min="16" max="16" width="14" customWidth="1"/>
  </cols>
  <sheetData>
    <row r="1" spans="1:16" ht="34" customHeight="1" x14ac:dyDescent="0.2">
      <c r="A1" s="21" t="s">
        <v>413</v>
      </c>
      <c r="B1" s="22"/>
      <c r="C1" s="22"/>
      <c r="D1" s="22"/>
      <c r="E1" s="22"/>
      <c r="F1" s="22"/>
      <c r="G1" s="22"/>
      <c r="H1" s="22"/>
      <c r="I1" s="22"/>
      <c r="J1" s="22"/>
      <c r="K1" s="22"/>
      <c r="L1" s="22"/>
      <c r="M1" s="22"/>
      <c r="N1" s="22"/>
      <c r="O1" s="22"/>
      <c r="P1" s="22"/>
    </row>
    <row r="2" spans="1:16" ht="30" customHeight="1" x14ac:dyDescent="0.2">
      <c r="A2" s="1" t="s">
        <v>214</v>
      </c>
      <c r="B2" s="1" t="s">
        <v>215</v>
      </c>
      <c r="C2" s="1" t="s">
        <v>1</v>
      </c>
      <c r="D2" s="1" t="s">
        <v>216</v>
      </c>
      <c r="E2" s="1" t="s">
        <v>217</v>
      </c>
      <c r="F2" s="1" t="s">
        <v>3</v>
      </c>
      <c r="G2" s="1" t="s">
        <v>4</v>
      </c>
      <c r="H2" s="1" t="s">
        <v>7</v>
      </c>
      <c r="I2" s="1" t="s">
        <v>218</v>
      </c>
      <c r="J2" s="1" t="s">
        <v>219</v>
      </c>
      <c r="K2" s="1" t="s">
        <v>220</v>
      </c>
      <c r="L2" s="1" t="s">
        <v>221</v>
      </c>
      <c r="M2" s="1" t="s">
        <v>222</v>
      </c>
      <c r="N2" s="1" t="s">
        <v>223</v>
      </c>
      <c r="O2" s="1" t="s">
        <v>224</v>
      </c>
      <c r="P2" s="1" t="s">
        <v>225</v>
      </c>
    </row>
    <row r="3" spans="1:16" ht="45" x14ac:dyDescent="0.2">
      <c r="A3" s="2" t="s">
        <v>226</v>
      </c>
      <c r="B3" s="2" t="s">
        <v>227</v>
      </c>
      <c r="C3" s="2" t="s">
        <v>8</v>
      </c>
      <c r="D3" s="2" t="s">
        <v>228</v>
      </c>
      <c r="E3" s="4">
        <v>103.98</v>
      </c>
      <c r="F3" s="4">
        <v>1039447.5</v>
      </c>
      <c r="G3" s="3">
        <v>8093</v>
      </c>
      <c r="H3" s="6">
        <v>4.5999999999999996</v>
      </c>
      <c r="I3" s="3">
        <v>1542</v>
      </c>
      <c r="J3" s="17" t="str">
        <f>HYPERLINK("https://amazon.com/dp/B0CJY5C9QX","Amazon - B0CJY5C9QX")</f>
        <v>Amazon - B0CJY5C9QX</v>
      </c>
      <c r="K3" s="18" t="s">
        <v>229</v>
      </c>
      <c r="L3" s="18" t="s">
        <v>230</v>
      </c>
      <c r="M3" s="18" t="s">
        <v>231</v>
      </c>
      <c r="N3" s="18" t="s">
        <v>232</v>
      </c>
      <c r="O3" s="18" t="s">
        <v>233</v>
      </c>
      <c r="P3" s="18" t="s">
        <v>234</v>
      </c>
    </row>
    <row r="4" spans="1:16" ht="30" x14ac:dyDescent="0.2">
      <c r="A4" s="2" t="s">
        <v>235</v>
      </c>
      <c r="B4" s="2" t="s">
        <v>236</v>
      </c>
      <c r="C4" s="2" t="s">
        <v>9</v>
      </c>
      <c r="D4" s="2" t="s">
        <v>228</v>
      </c>
      <c r="E4" s="4">
        <v>139.38999999999999</v>
      </c>
      <c r="F4" s="4">
        <v>195203.83</v>
      </c>
      <c r="G4" s="3">
        <v>1401</v>
      </c>
      <c r="H4" s="6">
        <v>4.5999999999999996</v>
      </c>
      <c r="I4" s="3">
        <v>1717</v>
      </c>
      <c r="J4" s="17" t="str">
        <f>HYPERLINK("https://amazon.com/dp/B0B28HRSBP","Amazon - B0B28HRSBP")</f>
        <v>Amazon - B0B28HRSBP</v>
      </c>
      <c r="K4" s="18" t="s">
        <v>229</v>
      </c>
      <c r="L4" s="18" t="s">
        <v>230</v>
      </c>
      <c r="M4" s="18" t="s">
        <v>237</v>
      </c>
      <c r="N4" s="18" t="s">
        <v>238</v>
      </c>
      <c r="O4" s="18" t="s">
        <v>233</v>
      </c>
      <c r="P4" s="18" t="s">
        <v>239</v>
      </c>
    </row>
    <row r="5" spans="1:16" ht="30" x14ac:dyDescent="0.2">
      <c r="A5" s="2" t="s">
        <v>240</v>
      </c>
      <c r="B5" s="2" t="s">
        <v>241</v>
      </c>
      <c r="C5" s="2" t="s">
        <v>8</v>
      </c>
      <c r="D5" s="2" t="s">
        <v>228</v>
      </c>
      <c r="E5" s="4">
        <v>139.99</v>
      </c>
      <c r="F5" s="4">
        <v>156648.32999999999</v>
      </c>
      <c r="G5" s="3">
        <v>1148</v>
      </c>
      <c r="H5" s="6">
        <v>4.5999999999999996</v>
      </c>
      <c r="I5" s="3">
        <v>320</v>
      </c>
      <c r="J5" s="17" t="str">
        <f>HYPERLINK("https://amazon.com/dp/B0DT4H7QQM","Amazon - B0DT4H7QQM")</f>
        <v>Amazon - B0DT4H7QQM</v>
      </c>
      <c r="K5" s="18" t="s">
        <v>229</v>
      </c>
      <c r="L5" s="18" t="s">
        <v>230</v>
      </c>
      <c r="M5" s="18" t="s">
        <v>242</v>
      </c>
      <c r="N5" s="18" t="s">
        <v>243</v>
      </c>
      <c r="O5" s="18" t="s">
        <v>233</v>
      </c>
      <c r="P5" s="18" t="s">
        <v>234</v>
      </c>
    </row>
    <row r="6" spans="1:16" ht="45" x14ac:dyDescent="0.2">
      <c r="A6" s="2" t="s">
        <v>244</v>
      </c>
      <c r="B6" s="2" t="s">
        <v>245</v>
      </c>
      <c r="C6" s="2" t="s">
        <v>8</v>
      </c>
      <c r="D6" s="2" t="s">
        <v>228</v>
      </c>
      <c r="E6" s="4">
        <v>149.99</v>
      </c>
      <c r="F6" s="4">
        <v>146493.76999999999</v>
      </c>
      <c r="G6" s="3">
        <v>977</v>
      </c>
      <c r="H6" s="6">
        <v>4.5999999999999996</v>
      </c>
      <c r="I6" s="3">
        <v>458</v>
      </c>
      <c r="J6" s="17" t="str">
        <f>HYPERLINK("https://amazon.com/dp/B0CJY6SWBN","Amazon - B0CJY6SWBN")</f>
        <v>Amazon - B0CJY6SWBN</v>
      </c>
      <c r="K6" s="18" t="s">
        <v>229</v>
      </c>
      <c r="L6" s="18" t="s">
        <v>230</v>
      </c>
      <c r="M6" s="18" t="s">
        <v>231</v>
      </c>
      <c r="N6" s="18" t="s">
        <v>232</v>
      </c>
      <c r="O6" s="18" t="s">
        <v>246</v>
      </c>
      <c r="P6" s="18" t="s">
        <v>234</v>
      </c>
    </row>
    <row r="7" spans="1:16" ht="45" x14ac:dyDescent="0.2">
      <c r="A7" s="2" t="s">
        <v>247</v>
      </c>
      <c r="B7" s="2" t="s">
        <v>248</v>
      </c>
      <c r="C7" s="2" t="s">
        <v>9</v>
      </c>
      <c r="D7" s="2" t="s">
        <v>228</v>
      </c>
      <c r="E7" s="4">
        <v>159.99</v>
      </c>
      <c r="F7" s="4">
        <v>97593.56</v>
      </c>
      <c r="G7" s="3">
        <v>734</v>
      </c>
      <c r="H7" s="6">
        <v>4.5</v>
      </c>
      <c r="I7" s="3">
        <v>549</v>
      </c>
      <c r="J7" s="17" t="str">
        <f>HYPERLINK("https://amazon.com/dp/B0C3B32Q9Z","Amazon - B0C3B32Q9Z")</f>
        <v>Amazon - B0C3B32Q9Z</v>
      </c>
      <c r="K7" s="18" t="s">
        <v>229</v>
      </c>
      <c r="L7" s="18" t="s">
        <v>230</v>
      </c>
      <c r="M7" s="18" t="s">
        <v>242</v>
      </c>
      <c r="N7" s="18" t="s">
        <v>232</v>
      </c>
      <c r="O7" s="18" t="s">
        <v>246</v>
      </c>
      <c r="P7" s="18" t="s">
        <v>234</v>
      </c>
    </row>
    <row r="8" spans="1:16" ht="45" x14ac:dyDescent="0.2">
      <c r="A8" s="2" t="s">
        <v>249</v>
      </c>
      <c r="B8" s="2" t="s">
        <v>250</v>
      </c>
      <c r="C8" s="2" t="s">
        <v>8</v>
      </c>
      <c r="D8" s="2" t="s">
        <v>228</v>
      </c>
      <c r="E8" s="4">
        <v>509.98</v>
      </c>
      <c r="F8" s="4">
        <v>90360.46</v>
      </c>
      <c r="G8" s="3">
        <v>155</v>
      </c>
      <c r="H8" s="6">
        <v>4.4000000000000004</v>
      </c>
      <c r="I8" s="3">
        <v>53</v>
      </c>
      <c r="J8" s="17" t="str">
        <f>HYPERLINK("https://amazon.com/dp/B0CLG67RHF","Amazon - B0CLG67RHF")</f>
        <v>Amazon - B0CLG67RHF</v>
      </c>
      <c r="K8" s="18" t="s">
        <v>229</v>
      </c>
      <c r="L8" s="18" t="s">
        <v>251</v>
      </c>
      <c r="M8" s="18" t="s">
        <v>252</v>
      </c>
      <c r="N8" s="18" t="s">
        <v>253</v>
      </c>
      <c r="O8" s="18" t="s">
        <v>233</v>
      </c>
      <c r="P8" s="18" t="s">
        <v>234</v>
      </c>
    </row>
    <row r="9" spans="1:16" ht="45" x14ac:dyDescent="0.2">
      <c r="A9" s="2" t="s">
        <v>254</v>
      </c>
      <c r="B9" s="2" t="s">
        <v>255</v>
      </c>
      <c r="C9" s="2" t="s">
        <v>10</v>
      </c>
      <c r="D9" s="2" t="s">
        <v>228</v>
      </c>
      <c r="E9" s="4">
        <v>119.98</v>
      </c>
      <c r="F9" s="4">
        <v>85960.31</v>
      </c>
      <c r="G9" s="3">
        <v>584</v>
      </c>
      <c r="H9" s="6">
        <v>4.5999999999999996</v>
      </c>
      <c r="I9" s="3">
        <v>395</v>
      </c>
      <c r="J9" s="17" t="str">
        <f>HYPERLINK("https://amazon.com/dp/B0F62WJY8N","Amazon - B0F62WJY8N")</f>
        <v>Amazon - B0F62WJY8N</v>
      </c>
      <c r="K9" s="18" t="s">
        <v>229</v>
      </c>
      <c r="L9" s="18" t="s">
        <v>230</v>
      </c>
      <c r="M9" s="18" t="s">
        <v>231</v>
      </c>
      <c r="N9" s="18" t="s">
        <v>232</v>
      </c>
      <c r="O9" s="18" t="s">
        <v>246</v>
      </c>
      <c r="P9" s="18" t="s">
        <v>256</v>
      </c>
    </row>
    <row r="10" spans="1:16" ht="45" x14ac:dyDescent="0.2">
      <c r="A10" s="2" t="s">
        <v>257</v>
      </c>
      <c r="B10" s="2" t="s">
        <v>258</v>
      </c>
      <c r="C10" s="2" t="s">
        <v>12</v>
      </c>
      <c r="D10" s="2" t="s">
        <v>228</v>
      </c>
      <c r="E10" s="4">
        <v>79.989999999999995</v>
      </c>
      <c r="F10" s="4">
        <v>67852.11</v>
      </c>
      <c r="G10" s="3">
        <v>889</v>
      </c>
      <c r="H10" s="6">
        <v>4.5999999999999996</v>
      </c>
      <c r="I10" s="3">
        <v>91</v>
      </c>
      <c r="J10" s="17" t="str">
        <f>HYPERLINK("https://amazon.com/dp/B0FGJ8WVGP","Amazon - B0FGJ8WVGP")</f>
        <v>Amazon - B0FGJ8WVGP</v>
      </c>
      <c r="K10" s="18" t="s">
        <v>229</v>
      </c>
      <c r="L10" s="18" t="s">
        <v>230</v>
      </c>
      <c r="M10" s="18" t="s">
        <v>237</v>
      </c>
      <c r="N10" s="18" t="s">
        <v>243</v>
      </c>
      <c r="O10" s="18" t="s">
        <v>233</v>
      </c>
      <c r="P10" s="18" t="s">
        <v>259</v>
      </c>
    </row>
    <row r="11" spans="1:16" ht="45" x14ac:dyDescent="0.2">
      <c r="A11" s="2" t="s">
        <v>260</v>
      </c>
      <c r="B11" s="2" t="s">
        <v>261</v>
      </c>
      <c r="C11" s="2" t="s">
        <v>8</v>
      </c>
      <c r="D11" s="2" t="s">
        <v>228</v>
      </c>
      <c r="E11" s="4">
        <v>299.99</v>
      </c>
      <c r="F11" s="4">
        <v>62435.43</v>
      </c>
      <c r="G11" s="3">
        <v>223</v>
      </c>
      <c r="H11" s="6">
        <v>4.2</v>
      </c>
      <c r="I11" s="3">
        <v>223</v>
      </c>
      <c r="J11" s="17" t="str">
        <f>HYPERLINK("https://amazon.com/dp/B0CHW4FLS7","Amazon - B0CHW4FLS7")</f>
        <v>Amazon - B0CHW4FLS7</v>
      </c>
      <c r="K11" s="18" t="s">
        <v>229</v>
      </c>
      <c r="L11" s="18" t="s">
        <v>230</v>
      </c>
      <c r="M11" s="18" t="s">
        <v>242</v>
      </c>
      <c r="N11" s="18" t="s">
        <v>262</v>
      </c>
      <c r="O11" s="18" t="s">
        <v>246</v>
      </c>
      <c r="P11" s="18" t="s">
        <v>234</v>
      </c>
    </row>
    <row r="12" spans="1:16" ht="45" x14ac:dyDescent="0.2">
      <c r="A12" s="2" t="s">
        <v>263</v>
      </c>
      <c r="B12" s="2" t="s">
        <v>264</v>
      </c>
      <c r="C12" s="2" t="s">
        <v>8</v>
      </c>
      <c r="D12" s="2" t="s">
        <v>228</v>
      </c>
      <c r="E12" s="4">
        <v>349.99</v>
      </c>
      <c r="F12" s="4">
        <v>57372.54</v>
      </c>
      <c r="G12" s="3">
        <v>173</v>
      </c>
      <c r="H12" s="6">
        <v>4</v>
      </c>
      <c r="I12" s="3">
        <v>107</v>
      </c>
      <c r="J12" s="17" t="str">
        <f>HYPERLINK("https://amazon.com/dp/B0CLG4LHWP","Amazon - B0CLG4LHWP")</f>
        <v>Amazon - B0CLG4LHWP</v>
      </c>
      <c r="K12" s="18" t="s">
        <v>229</v>
      </c>
      <c r="L12" s="18" t="s">
        <v>230</v>
      </c>
      <c r="M12" s="18" t="s">
        <v>242</v>
      </c>
      <c r="N12" s="18" t="s">
        <v>265</v>
      </c>
      <c r="O12" s="18" t="s">
        <v>233</v>
      </c>
      <c r="P12" s="18" t="s">
        <v>234</v>
      </c>
    </row>
    <row r="13" spans="1:16" ht="45" x14ac:dyDescent="0.2">
      <c r="A13" s="2" t="s">
        <v>266</v>
      </c>
      <c r="B13" s="2" t="s">
        <v>267</v>
      </c>
      <c r="C13" s="2" t="s">
        <v>8</v>
      </c>
      <c r="D13" s="2" t="s">
        <v>228</v>
      </c>
      <c r="E13" s="4">
        <v>449.99</v>
      </c>
      <c r="F13" s="4">
        <v>51497.72</v>
      </c>
      <c r="G13" s="3">
        <v>121</v>
      </c>
      <c r="H13" s="6">
        <v>4.0999999999999996</v>
      </c>
      <c r="I13" s="3">
        <v>46</v>
      </c>
      <c r="J13" s="17" t="str">
        <f>HYPERLINK("https://amazon.com/dp/B0DTHZDGYD","Amazon - B0DTHZDGYD")</f>
        <v>Amazon - B0DTHZDGYD</v>
      </c>
      <c r="K13" s="18" t="s">
        <v>229</v>
      </c>
      <c r="L13" s="18" t="s">
        <v>251</v>
      </c>
      <c r="M13" s="18" t="s">
        <v>242</v>
      </c>
      <c r="N13" s="18" t="s">
        <v>253</v>
      </c>
      <c r="O13" s="18" t="s">
        <v>233</v>
      </c>
      <c r="P13" s="18" t="s">
        <v>234</v>
      </c>
    </row>
    <row r="14" spans="1:16" ht="30" x14ac:dyDescent="0.2">
      <c r="A14" s="2" t="s">
        <v>268</v>
      </c>
      <c r="B14" s="2" t="s">
        <v>269</v>
      </c>
      <c r="C14" s="2" t="s">
        <v>16</v>
      </c>
      <c r="D14" s="2" t="s">
        <v>228</v>
      </c>
      <c r="E14" s="4">
        <v>99.99</v>
      </c>
      <c r="F14" s="4">
        <v>42439.15</v>
      </c>
      <c r="G14" s="3">
        <v>460</v>
      </c>
      <c r="H14" s="6">
        <v>4.5999999999999996</v>
      </c>
      <c r="I14" s="3">
        <v>89</v>
      </c>
      <c r="J14" s="17" t="str">
        <f>HYPERLINK("https://amazon.com/dp/B082JCSB4Z","Amazon - B082JCSB4Z")</f>
        <v>Amazon - B082JCSB4Z</v>
      </c>
      <c r="K14" s="18" t="s">
        <v>229</v>
      </c>
      <c r="L14" s="18" t="s">
        <v>230</v>
      </c>
      <c r="M14" s="18" t="s">
        <v>270</v>
      </c>
      <c r="N14" s="18" t="s">
        <v>271</v>
      </c>
      <c r="O14" s="18" t="s">
        <v>233</v>
      </c>
      <c r="P14" s="18" t="s">
        <v>271</v>
      </c>
    </row>
    <row r="15" spans="1:16" ht="45" x14ac:dyDescent="0.2">
      <c r="A15" s="2" t="s">
        <v>272</v>
      </c>
      <c r="B15" s="2" t="s">
        <v>273</v>
      </c>
      <c r="C15" s="2" t="s">
        <v>17</v>
      </c>
      <c r="D15" s="2" t="s">
        <v>228</v>
      </c>
      <c r="E15" s="4">
        <v>89.99</v>
      </c>
      <c r="F15" s="4">
        <v>41716.44</v>
      </c>
      <c r="G15" s="3">
        <v>363</v>
      </c>
      <c r="H15" s="6">
        <v>4.7</v>
      </c>
      <c r="I15" s="3">
        <v>90</v>
      </c>
      <c r="J15" s="17" t="str">
        <f>HYPERLINK("https://amazon.com/dp/B0FFT6SJHW","Amazon - B0FFT6SJHW")</f>
        <v>Amazon - B0FFT6SJHW</v>
      </c>
      <c r="K15" s="18" t="s">
        <v>229</v>
      </c>
      <c r="L15" s="18" t="s">
        <v>230</v>
      </c>
      <c r="M15" s="18" t="s">
        <v>242</v>
      </c>
      <c r="N15" s="18" t="s">
        <v>274</v>
      </c>
      <c r="O15" s="18" t="s">
        <v>233</v>
      </c>
      <c r="P15" s="18" t="s">
        <v>275</v>
      </c>
    </row>
    <row r="16" spans="1:16" ht="45" x14ac:dyDescent="0.2">
      <c r="A16" s="2" t="s">
        <v>276</v>
      </c>
      <c r="B16" s="2" t="s">
        <v>277</v>
      </c>
      <c r="C16" s="2" t="s">
        <v>8</v>
      </c>
      <c r="D16" s="2" t="s">
        <v>228</v>
      </c>
      <c r="E16" s="4">
        <v>139.99</v>
      </c>
      <c r="F16" s="4">
        <v>37214.239999999998</v>
      </c>
      <c r="G16" s="3">
        <v>266</v>
      </c>
      <c r="H16" s="6">
        <v>4.5999999999999996</v>
      </c>
      <c r="I16" s="3">
        <v>3612</v>
      </c>
      <c r="J16" s="17" t="str">
        <f>HYPERLINK("https://amazon.com/dp/B08519F2W9","Amazon - B08519F2W9")</f>
        <v>Amazon - B08519F2W9</v>
      </c>
      <c r="K16" s="18" t="s">
        <v>229</v>
      </c>
      <c r="L16" s="18" t="s">
        <v>230</v>
      </c>
      <c r="M16" s="18" t="s">
        <v>242</v>
      </c>
      <c r="N16" s="18" t="s">
        <v>271</v>
      </c>
      <c r="O16" s="18" t="s">
        <v>246</v>
      </c>
      <c r="P16" s="18" t="s">
        <v>278</v>
      </c>
    </row>
    <row r="17" spans="1:16" ht="45" x14ac:dyDescent="0.2">
      <c r="A17" s="2" t="s">
        <v>279</v>
      </c>
      <c r="B17" s="2" t="s">
        <v>280</v>
      </c>
      <c r="C17" s="2" t="s">
        <v>9</v>
      </c>
      <c r="D17" s="2" t="s">
        <v>228</v>
      </c>
      <c r="E17" s="4">
        <v>159.99</v>
      </c>
      <c r="F17" s="4">
        <v>35062.129999999997</v>
      </c>
      <c r="G17" s="3">
        <v>220</v>
      </c>
      <c r="H17" s="6">
        <v>4.7</v>
      </c>
      <c r="I17" s="3">
        <v>49</v>
      </c>
      <c r="J17" s="17" t="str">
        <f>HYPERLINK("https://amazon.com/dp/B0DNFL72B5","Amazon - B0DNFL72B5")</f>
        <v>Amazon - B0DNFL72B5</v>
      </c>
      <c r="K17" s="18" t="s">
        <v>229</v>
      </c>
      <c r="L17" s="18" t="s">
        <v>230</v>
      </c>
      <c r="M17" s="18" t="s">
        <v>242</v>
      </c>
      <c r="N17" s="18" t="s">
        <v>262</v>
      </c>
      <c r="O17" s="18" t="s">
        <v>246</v>
      </c>
      <c r="P17" s="18" t="s">
        <v>234</v>
      </c>
    </row>
    <row r="18" spans="1:16" ht="45" x14ac:dyDescent="0.2">
      <c r="A18" s="2" t="s">
        <v>281</v>
      </c>
      <c r="B18" s="2" t="s">
        <v>282</v>
      </c>
      <c r="C18" s="2" t="s">
        <v>8</v>
      </c>
      <c r="D18" s="2" t="s">
        <v>228</v>
      </c>
      <c r="E18" s="4">
        <v>699.99</v>
      </c>
      <c r="F18" s="4">
        <v>34665.5</v>
      </c>
      <c r="G18" s="3">
        <v>49</v>
      </c>
      <c r="H18" s="6">
        <v>4.0999999999999996</v>
      </c>
      <c r="I18" s="3">
        <v>27</v>
      </c>
      <c r="J18" s="17" t="str">
        <f>HYPERLINK("https://amazon.com/dp/B0D7PYRRKD","Amazon - B0D7PYRRKD")</f>
        <v>Amazon - B0D7PYRRKD</v>
      </c>
      <c r="K18" s="18" t="s">
        <v>229</v>
      </c>
      <c r="L18" s="18" t="s">
        <v>251</v>
      </c>
      <c r="M18" s="18" t="s">
        <v>252</v>
      </c>
      <c r="N18" s="18" t="s">
        <v>265</v>
      </c>
      <c r="O18" s="18" t="s">
        <v>233</v>
      </c>
      <c r="P18" s="18" t="s">
        <v>234</v>
      </c>
    </row>
    <row r="19" spans="1:16" ht="45" x14ac:dyDescent="0.2">
      <c r="A19" s="2" t="s">
        <v>283</v>
      </c>
      <c r="B19" s="2" t="s">
        <v>284</v>
      </c>
      <c r="C19" s="2" t="s">
        <v>8</v>
      </c>
      <c r="D19" s="2" t="s">
        <v>285</v>
      </c>
      <c r="E19" s="4">
        <v>79.989999999999995</v>
      </c>
      <c r="F19" s="4">
        <v>33817.870000000003</v>
      </c>
      <c r="G19" s="3">
        <v>423</v>
      </c>
      <c r="H19" s="6">
        <v>4.2</v>
      </c>
      <c r="I19" s="3">
        <v>157</v>
      </c>
      <c r="J19" s="17" t="str">
        <f>HYPERLINK("https://amazon.com/dp/B0F2H49C2D","Amazon - B0F2H49C2D")</f>
        <v>Amazon - B0F2H49C2D</v>
      </c>
      <c r="K19" s="18" t="s">
        <v>286</v>
      </c>
      <c r="L19" s="18" t="s">
        <v>230</v>
      </c>
      <c r="M19" s="18" t="s">
        <v>287</v>
      </c>
      <c r="N19" s="18" t="s">
        <v>271</v>
      </c>
      <c r="O19" s="18" t="s">
        <v>233</v>
      </c>
      <c r="P19" s="18" t="s">
        <v>234</v>
      </c>
    </row>
    <row r="20" spans="1:16" ht="45" x14ac:dyDescent="0.2">
      <c r="A20" s="2" t="s">
        <v>288</v>
      </c>
      <c r="B20" s="2" t="s">
        <v>289</v>
      </c>
      <c r="C20" s="2" t="s">
        <v>11</v>
      </c>
      <c r="D20" s="2" t="s">
        <v>228</v>
      </c>
      <c r="E20" s="4">
        <v>299.99</v>
      </c>
      <c r="F20" s="4">
        <v>33706.26</v>
      </c>
      <c r="G20" s="3">
        <v>128</v>
      </c>
      <c r="H20" s="6">
        <v>4.3</v>
      </c>
      <c r="I20" s="3">
        <v>233</v>
      </c>
      <c r="J20" s="17" t="str">
        <f>HYPERLINK("https://amazon.com/dp/B0DSW1DKTZ","Amazon - B0DSW1DKTZ")</f>
        <v>Amazon - B0DSW1DKTZ</v>
      </c>
      <c r="K20" s="18" t="s">
        <v>229</v>
      </c>
      <c r="L20" s="18" t="s">
        <v>251</v>
      </c>
      <c r="M20" s="18" t="s">
        <v>242</v>
      </c>
      <c r="N20" s="18" t="s">
        <v>262</v>
      </c>
      <c r="O20" s="18" t="s">
        <v>246</v>
      </c>
      <c r="P20" s="18" t="s">
        <v>234</v>
      </c>
    </row>
    <row r="21" spans="1:16" ht="30" x14ac:dyDescent="0.2">
      <c r="A21" s="2" t="s">
        <v>290</v>
      </c>
      <c r="B21" s="2" t="s">
        <v>291</v>
      </c>
      <c r="C21" s="2" t="s">
        <v>8</v>
      </c>
      <c r="D21" s="2" t="s">
        <v>228</v>
      </c>
      <c r="E21" s="4">
        <v>279.99</v>
      </c>
      <c r="F21" s="4">
        <v>32889.03</v>
      </c>
      <c r="G21" s="3">
        <v>135</v>
      </c>
      <c r="H21" s="6">
        <v>4.7</v>
      </c>
      <c r="I21" s="3">
        <v>572</v>
      </c>
      <c r="J21" s="17" t="str">
        <f>HYPERLINK("https://amazon.com/dp/B09ZV7KJHL","Amazon - B09ZV7KJHL")</f>
        <v>Amazon - B09ZV7KJHL</v>
      </c>
      <c r="K21" s="18" t="s">
        <v>229</v>
      </c>
      <c r="L21" s="18" t="s">
        <v>230</v>
      </c>
      <c r="M21" s="18" t="s">
        <v>242</v>
      </c>
      <c r="N21" s="18" t="s">
        <v>232</v>
      </c>
      <c r="O21" s="18" t="s">
        <v>233</v>
      </c>
      <c r="P21" s="18" t="s">
        <v>234</v>
      </c>
    </row>
    <row r="22" spans="1:16" ht="45" x14ac:dyDescent="0.2">
      <c r="A22" s="2" t="s">
        <v>292</v>
      </c>
      <c r="B22" s="2" t="s">
        <v>293</v>
      </c>
      <c r="C22" s="2" t="s">
        <v>10</v>
      </c>
      <c r="D22" s="2" t="s">
        <v>228</v>
      </c>
      <c r="E22" s="4">
        <v>94.99</v>
      </c>
      <c r="F22" s="4">
        <v>31838.02</v>
      </c>
      <c r="G22" s="3">
        <v>324</v>
      </c>
      <c r="H22" s="6">
        <v>4.5999999999999996</v>
      </c>
      <c r="I22" s="3">
        <v>395</v>
      </c>
      <c r="J22" s="17" t="str">
        <f>HYPERLINK("https://amazon.com/dp/B0DT16R78W","Amazon - B0DT16R78W")</f>
        <v>Amazon - B0DT16R78W</v>
      </c>
      <c r="K22" s="18" t="s">
        <v>229</v>
      </c>
      <c r="L22" s="18" t="s">
        <v>230</v>
      </c>
      <c r="M22" s="18" t="s">
        <v>231</v>
      </c>
      <c r="N22" s="18" t="s">
        <v>232</v>
      </c>
      <c r="O22" s="18" t="s">
        <v>246</v>
      </c>
      <c r="P22" s="18" t="s">
        <v>234</v>
      </c>
    </row>
    <row r="23" spans="1:16" ht="45" x14ac:dyDescent="0.2">
      <c r="A23" s="2" t="s">
        <v>294</v>
      </c>
      <c r="B23" s="2" t="s">
        <v>295</v>
      </c>
      <c r="C23" s="2" t="s">
        <v>11</v>
      </c>
      <c r="D23" s="2" t="s">
        <v>228</v>
      </c>
      <c r="E23" s="4">
        <v>259.99</v>
      </c>
      <c r="F23" s="4">
        <v>29256.17</v>
      </c>
      <c r="G23" s="3">
        <v>119</v>
      </c>
      <c r="H23" s="6">
        <v>4.2</v>
      </c>
      <c r="I23" s="3">
        <v>209</v>
      </c>
      <c r="J23" s="17" t="str">
        <f>HYPERLINK("https://amazon.com/dp/B0FJFD212D","Amazon - B0FJFD212D")</f>
        <v>Amazon - B0FJFD212D</v>
      </c>
      <c r="K23" s="18" t="s">
        <v>229</v>
      </c>
      <c r="L23" s="18" t="s">
        <v>251</v>
      </c>
      <c r="M23" s="18" t="s">
        <v>237</v>
      </c>
      <c r="N23" s="18" t="s">
        <v>296</v>
      </c>
      <c r="O23" s="18" t="s">
        <v>233</v>
      </c>
      <c r="P23" s="18" t="s">
        <v>297</v>
      </c>
    </row>
    <row r="24" spans="1:16" ht="45" x14ac:dyDescent="0.2">
      <c r="A24" s="2" t="s">
        <v>298</v>
      </c>
      <c r="B24" s="2" t="s">
        <v>299</v>
      </c>
      <c r="C24" s="2" t="s">
        <v>14</v>
      </c>
      <c r="D24" s="2" t="s">
        <v>228</v>
      </c>
      <c r="E24" s="4">
        <v>99.99</v>
      </c>
      <c r="F24" s="4">
        <v>27227.25</v>
      </c>
      <c r="G24" s="3">
        <v>229</v>
      </c>
      <c r="H24" s="6">
        <v>4.5999999999999996</v>
      </c>
      <c r="I24" s="3">
        <v>201</v>
      </c>
      <c r="J24" s="17" t="str">
        <f>HYPERLINK("https://amazon.com/dp/B0DPHJSPBY","Amazon - B0DPHJSPBY")</f>
        <v>Amazon - B0DPHJSPBY</v>
      </c>
      <c r="K24" s="18" t="s">
        <v>229</v>
      </c>
      <c r="L24" s="18" t="s">
        <v>230</v>
      </c>
      <c r="M24" s="18" t="s">
        <v>237</v>
      </c>
      <c r="N24" s="18" t="s">
        <v>296</v>
      </c>
      <c r="O24" s="18" t="s">
        <v>233</v>
      </c>
      <c r="P24" s="18" t="s">
        <v>300</v>
      </c>
    </row>
    <row r="25" spans="1:16" ht="45" x14ac:dyDescent="0.2">
      <c r="A25" s="2" t="s">
        <v>301</v>
      </c>
      <c r="B25" s="2" t="s">
        <v>302</v>
      </c>
      <c r="C25" s="2" t="s">
        <v>11</v>
      </c>
      <c r="D25" s="2" t="s">
        <v>228</v>
      </c>
      <c r="E25" s="4">
        <v>239.99</v>
      </c>
      <c r="F25" s="4">
        <v>26964.44</v>
      </c>
      <c r="G25" s="3">
        <v>118</v>
      </c>
      <c r="H25" s="6">
        <v>4.2</v>
      </c>
      <c r="I25" s="3">
        <v>210</v>
      </c>
      <c r="J25" s="17" t="str">
        <f>HYPERLINK("https://amazon.com/dp/B0C64RBKJL","Amazon - B0C64RBKJL")</f>
        <v>Amazon - B0C64RBKJL</v>
      </c>
      <c r="K25" s="18" t="s">
        <v>229</v>
      </c>
      <c r="L25" s="18" t="s">
        <v>251</v>
      </c>
      <c r="M25" s="18" t="s">
        <v>242</v>
      </c>
      <c r="N25" s="18" t="s">
        <v>296</v>
      </c>
      <c r="O25" s="18" t="s">
        <v>233</v>
      </c>
      <c r="P25" s="18" t="s">
        <v>278</v>
      </c>
    </row>
    <row r="26" spans="1:16" ht="30" x14ac:dyDescent="0.2">
      <c r="A26" s="2" t="s">
        <v>303</v>
      </c>
      <c r="B26" s="2" t="s">
        <v>304</v>
      </c>
      <c r="C26" s="2" t="s">
        <v>15</v>
      </c>
      <c r="D26" s="2" t="s">
        <v>228</v>
      </c>
      <c r="E26" s="4">
        <v>49.99</v>
      </c>
      <c r="F26" s="4">
        <v>26841.31</v>
      </c>
      <c r="G26" s="3">
        <v>620</v>
      </c>
      <c r="H26" s="6">
        <v>4.5999999999999996</v>
      </c>
      <c r="I26" s="3">
        <v>115</v>
      </c>
      <c r="J26" s="17" t="str">
        <f>HYPERLINK("https://amazon.com/dp/B0FJR2Y5B9","Amazon - B0FJR2Y5B9")</f>
        <v>Amazon - B0FJR2Y5B9</v>
      </c>
      <c r="K26" s="18" t="s">
        <v>229</v>
      </c>
      <c r="L26" s="18" t="s">
        <v>230</v>
      </c>
      <c r="M26" s="18" t="s">
        <v>271</v>
      </c>
      <c r="N26" s="18" t="s">
        <v>271</v>
      </c>
      <c r="O26" s="18" t="s">
        <v>246</v>
      </c>
      <c r="P26" s="18" t="s">
        <v>305</v>
      </c>
    </row>
    <row r="27" spans="1:16" ht="45" x14ac:dyDescent="0.2">
      <c r="A27" s="2" t="s">
        <v>306</v>
      </c>
      <c r="B27" s="2" t="s">
        <v>307</v>
      </c>
      <c r="C27" s="2" t="s">
        <v>12</v>
      </c>
      <c r="D27" s="2" t="s">
        <v>285</v>
      </c>
      <c r="E27" s="4">
        <v>147</v>
      </c>
      <c r="F27" s="4">
        <v>25296.54</v>
      </c>
      <c r="G27" s="3">
        <v>155</v>
      </c>
      <c r="H27" s="6">
        <v>5</v>
      </c>
      <c r="I27" s="3">
        <v>5</v>
      </c>
      <c r="J27" s="17" t="str">
        <f>HYPERLINK("https://amazon.com/dp/B0G1MM25PR","Amazon - B0G1MM25PR")</f>
        <v>Amazon - B0G1MM25PR</v>
      </c>
      <c r="K27" s="18" t="s">
        <v>286</v>
      </c>
      <c r="L27" s="18" t="s">
        <v>251</v>
      </c>
      <c r="M27" s="18" t="s">
        <v>287</v>
      </c>
      <c r="N27" s="18" t="s">
        <v>262</v>
      </c>
      <c r="O27" s="18" t="s">
        <v>233</v>
      </c>
      <c r="P27" s="18" t="s">
        <v>278</v>
      </c>
    </row>
    <row r="28" spans="1:16" ht="45" x14ac:dyDescent="0.2">
      <c r="A28" s="2" t="s">
        <v>308</v>
      </c>
      <c r="B28" s="2" t="s">
        <v>309</v>
      </c>
      <c r="C28" s="2" t="s">
        <v>14</v>
      </c>
      <c r="D28" s="2" t="s">
        <v>228</v>
      </c>
      <c r="E28" s="4">
        <v>189.99</v>
      </c>
      <c r="F28" s="4">
        <v>23852.53</v>
      </c>
      <c r="G28" s="3">
        <v>126</v>
      </c>
      <c r="H28" s="6">
        <v>4.5999999999999996</v>
      </c>
      <c r="I28" s="3">
        <v>201</v>
      </c>
      <c r="J28" s="17" t="str">
        <f>HYPERLINK("https://amazon.com/dp/B0F8QLHGZR","Amazon - B0F8QLHGZR")</f>
        <v>Amazon - B0F8QLHGZR</v>
      </c>
      <c r="K28" s="18" t="s">
        <v>229</v>
      </c>
      <c r="L28" s="18" t="s">
        <v>230</v>
      </c>
      <c r="M28" s="18" t="s">
        <v>242</v>
      </c>
      <c r="N28" s="18" t="s">
        <v>274</v>
      </c>
      <c r="O28" s="18" t="s">
        <v>246</v>
      </c>
      <c r="P28" s="18" t="s">
        <v>275</v>
      </c>
    </row>
    <row r="29" spans="1:16" ht="30" x14ac:dyDescent="0.2">
      <c r="A29" s="2" t="s">
        <v>310</v>
      </c>
      <c r="B29" s="2" t="s">
        <v>311</v>
      </c>
      <c r="C29" s="2" t="s">
        <v>19</v>
      </c>
      <c r="D29" s="2" t="s">
        <v>228</v>
      </c>
      <c r="E29" s="4">
        <v>15.99</v>
      </c>
      <c r="F29" s="4">
        <v>23601.93</v>
      </c>
      <c r="G29" s="3">
        <v>1406</v>
      </c>
      <c r="H29" s="6">
        <v>4.4000000000000004</v>
      </c>
      <c r="I29" s="3">
        <v>1234</v>
      </c>
      <c r="J29" s="17" t="str">
        <f>HYPERLINK("https://amazon.com/dp/B0C4FBM6GV","Amazon - B0C4FBM6GV")</f>
        <v>Amazon - B0C4FBM6GV</v>
      </c>
      <c r="K29" s="18" t="s">
        <v>229</v>
      </c>
      <c r="L29" s="18" t="s">
        <v>230</v>
      </c>
      <c r="M29" s="18" t="s">
        <v>271</v>
      </c>
      <c r="N29" s="18" t="s">
        <v>271</v>
      </c>
      <c r="O29" s="18" t="s">
        <v>233</v>
      </c>
      <c r="P29" s="18" t="s">
        <v>305</v>
      </c>
    </row>
    <row r="30" spans="1:16" ht="45" x14ac:dyDescent="0.2">
      <c r="A30" s="2" t="s">
        <v>312</v>
      </c>
      <c r="B30" s="2" t="s">
        <v>313</v>
      </c>
      <c r="C30" s="2" t="s">
        <v>13</v>
      </c>
      <c r="D30" s="2" t="s">
        <v>228</v>
      </c>
      <c r="E30" s="4">
        <v>99.9</v>
      </c>
      <c r="F30" s="4">
        <v>21770.93</v>
      </c>
      <c r="G30" s="3">
        <v>218</v>
      </c>
      <c r="H30" s="6">
        <v>4.4000000000000004</v>
      </c>
      <c r="I30" s="3">
        <v>532</v>
      </c>
      <c r="J30" s="17" t="str">
        <f>HYPERLINK("https://amazon.com/dp/B0C9GR791B","Amazon - B0C9GR791B")</f>
        <v>Amazon - B0C9GR791B</v>
      </c>
      <c r="K30" s="18" t="s">
        <v>229</v>
      </c>
      <c r="L30" s="18" t="s">
        <v>230</v>
      </c>
      <c r="M30" s="18" t="s">
        <v>242</v>
      </c>
      <c r="N30" s="18" t="s">
        <v>274</v>
      </c>
      <c r="O30" s="18" t="s">
        <v>233</v>
      </c>
      <c r="P30" s="18" t="s">
        <v>234</v>
      </c>
    </row>
    <row r="31" spans="1:16" ht="45" x14ac:dyDescent="0.2">
      <c r="A31" s="2" t="s">
        <v>314</v>
      </c>
      <c r="B31" s="2" t="s">
        <v>315</v>
      </c>
      <c r="C31" s="2" t="s">
        <v>13</v>
      </c>
      <c r="D31" s="2" t="s">
        <v>228</v>
      </c>
      <c r="E31" s="4">
        <v>65.900000000000006</v>
      </c>
      <c r="F31" s="4">
        <v>20223.689999999999</v>
      </c>
      <c r="G31" s="3">
        <v>307</v>
      </c>
      <c r="H31" s="6">
        <v>4.5999999999999996</v>
      </c>
      <c r="I31" s="3">
        <v>686</v>
      </c>
      <c r="J31" s="17" t="str">
        <f>HYPERLINK("https://amazon.com/dp/B0BVMFYQNS","Amazon - B0BVMFYQNS")</f>
        <v>Amazon - B0BVMFYQNS</v>
      </c>
      <c r="K31" s="18" t="s">
        <v>229</v>
      </c>
      <c r="L31" s="18" t="s">
        <v>230</v>
      </c>
      <c r="M31" s="18" t="s">
        <v>231</v>
      </c>
      <c r="N31" s="18" t="s">
        <v>271</v>
      </c>
      <c r="O31" s="18" t="s">
        <v>316</v>
      </c>
      <c r="P31" s="18" t="s">
        <v>271</v>
      </c>
    </row>
    <row r="32" spans="1:16" ht="45" x14ac:dyDescent="0.2">
      <c r="A32" s="2" t="s">
        <v>317</v>
      </c>
      <c r="B32" s="2" t="s">
        <v>318</v>
      </c>
      <c r="C32" s="2" t="s">
        <v>9</v>
      </c>
      <c r="D32" s="2" t="s">
        <v>228</v>
      </c>
      <c r="E32" s="4">
        <v>149.99</v>
      </c>
      <c r="F32" s="4">
        <v>19960.650000000001</v>
      </c>
      <c r="G32" s="3">
        <v>146</v>
      </c>
      <c r="H32" s="6">
        <v>4.2</v>
      </c>
      <c r="I32" s="3">
        <v>217</v>
      </c>
      <c r="J32" s="17" t="str">
        <f>HYPERLINK("https://amazon.com/dp/B0B71PT47Q","Amazon - B0B71PT47Q")</f>
        <v>Amazon - B0B71PT47Q</v>
      </c>
      <c r="K32" s="18" t="s">
        <v>229</v>
      </c>
      <c r="L32" s="18" t="s">
        <v>230</v>
      </c>
      <c r="M32" s="18" t="s">
        <v>237</v>
      </c>
      <c r="N32" s="18" t="s">
        <v>232</v>
      </c>
      <c r="O32" s="18" t="s">
        <v>233</v>
      </c>
      <c r="P32" s="18" t="s">
        <v>256</v>
      </c>
    </row>
    <row r="33" spans="1:16" ht="45" x14ac:dyDescent="0.2">
      <c r="A33" s="2" t="s">
        <v>319</v>
      </c>
      <c r="B33" s="2" t="s">
        <v>320</v>
      </c>
      <c r="C33" s="2" t="s">
        <v>18</v>
      </c>
      <c r="D33" s="2" t="s">
        <v>228</v>
      </c>
      <c r="E33" s="4">
        <v>59.99</v>
      </c>
      <c r="F33" s="4">
        <v>19701.37</v>
      </c>
      <c r="G33" s="3">
        <v>328</v>
      </c>
      <c r="H33" s="6">
        <v>4.4000000000000004</v>
      </c>
      <c r="I33" s="3">
        <v>2113</v>
      </c>
      <c r="J33" s="17" t="str">
        <f>HYPERLINK("https://amazon.com/dp/B0CJC65Q9P","Amazon - B0CJC65Q9P")</f>
        <v>Amazon - B0CJC65Q9P</v>
      </c>
      <c r="K33" s="18" t="s">
        <v>229</v>
      </c>
      <c r="L33" s="18" t="s">
        <v>230</v>
      </c>
      <c r="M33" s="18" t="s">
        <v>271</v>
      </c>
      <c r="N33" s="18" t="s">
        <v>271</v>
      </c>
      <c r="O33" s="18" t="s">
        <v>233</v>
      </c>
      <c r="P33" s="18" t="s">
        <v>321</v>
      </c>
    </row>
    <row r="34" spans="1:16" ht="45" x14ac:dyDescent="0.2">
      <c r="A34" s="2" t="s">
        <v>322</v>
      </c>
      <c r="B34" s="2" t="s">
        <v>323</v>
      </c>
      <c r="C34" s="2" t="s">
        <v>8</v>
      </c>
      <c r="D34" s="2" t="s">
        <v>228</v>
      </c>
      <c r="E34" s="4">
        <v>269.99</v>
      </c>
      <c r="F34" s="4">
        <v>19315.57</v>
      </c>
      <c r="G34" s="3">
        <v>75</v>
      </c>
      <c r="H34" s="6">
        <v>4.7</v>
      </c>
      <c r="I34" s="3">
        <v>633</v>
      </c>
      <c r="J34" s="17" t="str">
        <f>HYPERLINK("https://amazon.com/dp/B07SQ4FLYX","Amazon - B07SQ4FLYX")</f>
        <v>Amazon - B07SQ4FLYX</v>
      </c>
      <c r="K34" s="18" t="s">
        <v>229</v>
      </c>
      <c r="L34" s="18" t="s">
        <v>230</v>
      </c>
      <c r="M34" s="18" t="s">
        <v>242</v>
      </c>
      <c r="N34" s="18" t="s">
        <v>243</v>
      </c>
      <c r="O34" s="18" t="s">
        <v>246</v>
      </c>
      <c r="P34" s="18" t="s">
        <v>324</v>
      </c>
    </row>
    <row r="35" spans="1:16" ht="45" x14ac:dyDescent="0.2">
      <c r="A35" s="2" t="s">
        <v>325</v>
      </c>
      <c r="B35" s="2" t="s">
        <v>326</v>
      </c>
      <c r="C35" s="2" t="s">
        <v>22</v>
      </c>
      <c r="D35" s="2" t="s">
        <v>228</v>
      </c>
      <c r="E35" s="4">
        <v>45.99</v>
      </c>
      <c r="F35" s="4">
        <v>17640.14</v>
      </c>
      <c r="G35" s="3">
        <v>252</v>
      </c>
      <c r="H35" s="6">
        <v>4.3</v>
      </c>
      <c r="I35" s="3">
        <v>36</v>
      </c>
      <c r="J35" s="17" t="str">
        <f>HYPERLINK("https://amazon.com/dp/B0FXL4JXC5","Amazon - B0FXL4JXC5")</f>
        <v>Amazon - B0FXL4JXC5</v>
      </c>
      <c r="K35" s="18" t="s">
        <v>229</v>
      </c>
      <c r="L35" s="18" t="s">
        <v>230</v>
      </c>
      <c r="M35" s="18" t="s">
        <v>242</v>
      </c>
      <c r="N35" s="18" t="s">
        <v>265</v>
      </c>
      <c r="O35" s="18" t="s">
        <v>233</v>
      </c>
      <c r="P35" s="18" t="s">
        <v>234</v>
      </c>
    </row>
    <row r="36" spans="1:16" ht="45" x14ac:dyDescent="0.2">
      <c r="A36" s="2" t="s">
        <v>327</v>
      </c>
      <c r="B36" s="2" t="s">
        <v>328</v>
      </c>
      <c r="C36" s="2" t="s">
        <v>8</v>
      </c>
      <c r="D36" s="2" t="s">
        <v>228</v>
      </c>
      <c r="E36" s="4">
        <v>159.99</v>
      </c>
      <c r="F36" s="4">
        <v>17469.53</v>
      </c>
      <c r="G36" s="3">
        <v>112</v>
      </c>
      <c r="H36" s="6">
        <v>4.5</v>
      </c>
      <c r="I36" s="3">
        <v>365</v>
      </c>
      <c r="J36" s="17" t="str">
        <f>HYPERLINK("https://amazon.com/dp/B09NBRQ4ST","Amazon - B09NBRQ4ST")</f>
        <v>Amazon - B09NBRQ4ST</v>
      </c>
      <c r="K36" s="18" t="s">
        <v>229</v>
      </c>
      <c r="L36" s="18" t="s">
        <v>230</v>
      </c>
      <c r="M36" s="18" t="s">
        <v>242</v>
      </c>
      <c r="N36" s="18" t="s">
        <v>271</v>
      </c>
      <c r="O36" s="18" t="s">
        <v>316</v>
      </c>
      <c r="P36" s="18" t="s">
        <v>234</v>
      </c>
    </row>
    <row r="37" spans="1:16" ht="45" x14ac:dyDescent="0.2">
      <c r="A37" s="2" t="s">
        <v>329</v>
      </c>
      <c r="B37" s="2" t="s">
        <v>330</v>
      </c>
      <c r="C37" s="2" t="s">
        <v>26</v>
      </c>
      <c r="D37" s="2" t="s">
        <v>228</v>
      </c>
      <c r="E37" s="4">
        <v>39.99</v>
      </c>
      <c r="F37" s="4">
        <v>17013.560000000001</v>
      </c>
      <c r="G37" s="3">
        <v>426</v>
      </c>
      <c r="H37" s="6">
        <v>4.5</v>
      </c>
      <c r="I37" s="3">
        <v>522</v>
      </c>
      <c r="J37" s="17" t="str">
        <f>HYPERLINK("https://amazon.com/dp/B0FGD1CNPW","Amazon - B0FGD1CNPW")</f>
        <v>Amazon - B0FGD1CNPW</v>
      </c>
      <c r="K37" s="18" t="s">
        <v>229</v>
      </c>
      <c r="L37" s="18" t="s">
        <v>230</v>
      </c>
      <c r="M37" s="18" t="s">
        <v>237</v>
      </c>
      <c r="N37" s="18" t="s">
        <v>232</v>
      </c>
      <c r="O37" s="18" t="s">
        <v>246</v>
      </c>
      <c r="P37" s="18" t="s">
        <v>305</v>
      </c>
    </row>
    <row r="38" spans="1:16" ht="30" x14ac:dyDescent="0.2">
      <c r="A38" s="2" t="s">
        <v>331</v>
      </c>
      <c r="B38" s="2" t="s">
        <v>332</v>
      </c>
      <c r="C38" s="2" t="s">
        <v>24</v>
      </c>
      <c r="D38" s="2" t="s">
        <v>285</v>
      </c>
      <c r="E38" s="4">
        <v>67.73</v>
      </c>
      <c r="F38" s="4">
        <v>17005.59</v>
      </c>
      <c r="G38" s="3">
        <v>261</v>
      </c>
      <c r="H38" s="6">
        <v>4.5</v>
      </c>
      <c r="I38" s="3">
        <v>72</v>
      </c>
      <c r="J38" s="17" t="str">
        <f>HYPERLINK("https://amazon.com/dp/B0F8VS1FV6","Amazon - B0F8VS1FV6")</f>
        <v>Amazon - B0F8VS1FV6</v>
      </c>
      <c r="K38" s="18" t="s">
        <v>286</v>
      </c>
      <c r="L38" s="18" t="s">
        <v>251</v>
      </c>
      <c r="M38" s="18" t="s">
        <v>287</v>
      </c>
      <c r="N38" s="18" t="s">
        <v>296</v>
      </c>
      <c r="O38" s="18" t="s">
        <v>233</v>
      </c>
      <c r="P38" s="18" t="s">
        <v>271</v>
      </c>
    </row>
    <row r="39" spans="1:16" ht="45" x14ac:dyDescent="0.2">
      <c r="A39" s="2" t="s">
        <v>333</v>
      </c>
      <c r="B39" s="2" t="s">
        <v>334</v>
      </c>
      <c r="C39" s="2" t="s">
        <v>21</v>
      </c>
      <c r="D39" s="2" t="s">
        <v>228</v>
      </c>
      <c r="E39" s="4">
        <v>319.99</v>
      </c>
      <c r="F39" s="4">
        <v>15991.91</v>
      </c>
      <c r="G39" s="3">
        <v>50</v>
      </c>
      <c r="H39" s="6">
        <v>4.9000000000000004</v>
      </c>
      <c r="I39" s="3">
        <v>29</v>
      </c>
      <c r="J39" s="17" t="str">
        <f>HYPERLINK("https://amazon.com/dp/B0FQBWRMHQ","Amazon - B0FQBWRMHQ")</f>
        <v>Amazon - B0FQBWRMHQ</v>
      </c>
      <c r="K39" s="18" t="s">
        <v>229</v>
      </c>
      <c r="L39" s="18" t="s">
        <v>251</v>
      </c>
      <c r="M39" s="18" t="s">
        <v>242</v>
      </c>
      <c r="N39" s="18" t="s">
        <v>274</v>
      </c>
      <c r="O39" s="18" t="s">
        <v>246</v>
      </c>
      <c r="P39" s="18" t="s">
        <v>234</v>
      </c>
    </row>
    <row r="40" spans="1:16" ht="45" x14ac:dyDescent="0.2">
      <c r="A40" s="2" t="s">
        <v>335</v>
      </c>
      <c r="B40" s="2" t="s">
        <v>336</v>
      </c>
      <c r="C40" s="2" t="s">
        <v>8</v>
      </c>
      <c r="D40" s="2" t="s">
        <v>228</v>
      </c>
      <c r="E40" s="4">
        <v>149.99</v>
      </c>
      <c r="F40" s="4">
        <v>15356.64</v>
      </c>
      <c r="G40" s="3">
        <v>102</v>
      </c>
      <c r="H40" s="6">
        <v>4.5999999999999996</v>
      </c>
      <c r="I40" s="3">
        <v>3612</v>
      </c>
      <c r="J40" s="17" t="str">
        <f>HYPERLINK("https://amazon.com/dp/B08519V6GW","Amazon - B08519V6GW")</f>
        <v>Amazon - B08519V6GW</v>
      </c>
      <c r="K40" s="18" t="s">
        <v>229</v>
      </c>
      <c r="L40" s="18" t="s">
        <v>230</v>
      </c>
      <c r="M40" s="18" t="s">
        <v>242</v>
      </c>
      <c r="N40" s="18" t="s">
        <v>271</v>
      </c>
      <c r="O40" s="18" t="s">
        <v>246</v>
      </c>
      <c r="P40" s="18" t="s">
        <v>256</v>
      </c>
    </row>
    <row r="41" spans="1:16" ht="45" x14ac:dyDescent="0.2">
      <c r="A41" s="2" t="s">
        <v>337</v>
      </c>
      <c r="B41" s="2" t="s">
        <v>338</v>
      </c>
      <c r="C41" s="2" t="s">
        <v>8</v>
      </c>
      <c r="D41" s="2" t="s">
        <v>228</v>
      </c>
      <c r="E41" s="4">
        <v>95.99</v>
      </c>
      <c r="F41" s="4">
        <v>14372.05</v>
      </c>
      <c r="G41" s="3">
        <v>150</v>
      </c>
      <c r="H41" s="6">
        <v>4.5999999999999996</v>
      </c>
      <c r="I41" s="3">
        <v>733</v>
      </c>
      <c r="J41" s="17" t="str">
        <f>HYPERLINK("https://amazon.com/dp/B09Y1F2MPB","Amazon - B09Y1F2MPB")</f>
        <v>Amazon - B09Y1F2MPB</v>
      </c>
      <c r="K41" s="18" t="s">
        <v>229</v>
      </c>
      <c r="L41" s="18" t="s">
        <v>230</v>
      </c>
      <c r="M41" s="18" t="s">
        <v>242</v>
      </c>
      <c r="N41" s="18" t="s">
        <v>339</v>
      </c>
      <c r="O41" s="18" t="s">
        <v>246</v>
      </c>
      <c r="P41" s="18" t="s">
        <v>234</v>
      </c>
    </row>
    <row r="42" spans="1:16" ht="45" x14ac:dyDescent="0.2">
      <c r="A42" s="2" t="s">
        <v>340</v>
      </c>
      <c r="B42" s="2" t="s">
        <v>341</v>
      </c>
      <c r="C42" s="2" t="s">
        <v>8</v>
      </c>
      <c r="D42" s="2" t="s">
        <v>228</v>
      </c>
      <c r="E42" s="4">
        <v>329.99</v>
      </c>
      <c r="F42" s="4">
        <v>14134.56</v>
      </c>
      <c r="G42" s="3">
        <v>43</v>
      </c>
      <c r="H42" s="6">
        <v>4.4000000000000004</v>
      </c>
      <c r="I42" s="3">
        <v>66</v>
      </c>
      <c r="J42" s="17" t="str">
        <f>HYPERLINK("https://amazon.com/dp/B0C4H7RJY7","Amazon - B0C4H7RJY7")</f>
        <v>Amazon - B0C4H7RJY7</v>
      </c>
      <c r="K42" s="18" t="s">
        <v>229</v>
      </c>
      <c r="L42" s="18" t="s">
        <v>230</v>
      </c>
      <c r="M42" s="18" t="s">
        <v>342</v>
      </c>
      <c r="N42" s="18" t="s">
        <v>271</v>
      </c>
      <c r="O42" s="18" t="s">
        <v>316</v>
      </c>
      <c r="P42" s="18" t="s">
        <v>305</v>
      </c>
    </row>
    <row r="43" spans="1:16" ht="45" x14ac:dyDescent="0.2">
      <c r="A43" s="2" t="s">
        <v>343</v>
      </c>
      <c r="B43" s="2" t="s">
        <v>344</v>
      </c>
      <c r="C43" s="2" t="s">
        <v>8</v>
      </c>
      <c r="D43" s="2" t="s">
        <v>228</v>
      </c>
      <c r="E43" s="4">
        <v>499.99</v>
      </c>
      <c r="F43" s="4">
        <v>13821.4</v>
      </c>
      <c r="G43" s="3">
        <v>28</v>
      </c>
      <c r="H43" s="6">
        <v>3.8</v>
      </c>
      <c r="I43" s="3">
        <v>23</v>
      </c>
      <c r="J43" s="17" t="str">
        <f>HYPERLINK("https://amazon.com/dp/B0FFGZC3WX","Amazon - B0FFGZC3WX")</f>
        <v>Amazon - B0FFGZC3WX</v>
      </c>
      <c r="K43" s="18" t="s">
        <v>229</v>
      </c>
      <c r="L43" s="18" t="s">
        <v>251</v>
      </c>
      <c r="M43" s="18" t="s">
        <v>242</v>
      </c>
      <c r="N43" s="18" t="s">
        <v>253</v>
      </c>
      <c r="O43" s="18" t="s">
        <v>246</v>
      </c>
      <c r="P43" s="18" t="s">
        <v>234</v>
      </c>
    </row>
    <row r="44" spans="1:16" ht="45" x14ac:dyDescent="0.2">
      <c r="A44" s="2" t="s">
        <v>345</v>
      </c>
      <c r="B44" s="2" t="s">
        <v>346</v>
      </c>
      <c r="C44" s="2" t="s">
        <v>8</v>
      </c>
      <c r="D44" s="2" t="s">
        <v>228</v>
      </c>
      <c r="E44" s="4">
        <v>55.99</v>
      </c>
      <c r="F44" s="4">
        <v>13035.62</v>
      </c>
      <c r="G44" s="3">
        <v>233</v>
      </c>
      <c r="H44" s="6">
        <v>4.5</v>
      </c>
      <c r="I44" s="3">
        <v>2183</v>
      </c>
      <c r="J44" s="17" t="str">
        <f>HYPERLINK("https://amazon.com/dp/B07TTQF24F","Amazon - B07TTQF24F")</f>
        <v>Amazon - B07TTQF24F</v>
      </c>
      <c r="K44" s="18" t="s">
        <v>229</v>
      </c>
      <c r="L44" s="18" t="s">
        <v>230</v>
      </c>
      <c r="M44" s="18" t="s">
        <v>271</v>
      </c>
      <c r="N44" s="18" t="s">
        <v>271</v>
      </c>
      <c r="O44" s="18" t="s">
        <v>233</v>
      </c>
      <c r="P44" s="18" t="s">
        <v>271</v>
      </c>
    </row>
    <row r="45" spans="1:16" ht="45" x14ac:dyDescent="0.2">
      <c r="A45" s="2" t="s">
        <v>347</v>
      </c>
      <c r="B45" s="2" t="s">
        <v>348</v>
      </c>
      <c r="C45" s="2" t="s">
        <v>10</v>
      </c>
      <c r="D45" s="2" t="s">
        <v>228</v>
      </c>
      <c r="E45" s="4">
        <v>109.99</v>
      </c>
      <c r="F45" s="4">
        <v>12487.38</v>
      </c>
      <c r="G45" s="3">
        <v>114</v>
      </c>
      <c r="H45" s="6">
        <v>4.7</v>
      </c>
      <c r="I45" s="3">
        <v>89</v>
      </c>
      <c r="J45" s="17" t="str">
        <f>HYPERLINK("https://amazon.com/dp/B0FQC32XV7","Amazon - B0FQC32XV7")</f>
        <v>Amazon - B0FQC32XV7</v>
      </c>
      <c r="K45" s="18" t="s">
        <v>229</v>
      </c>
      <c r="L45" s="18" t="s">
        <v>230</v>
      </c>
      <c r="M45" s="18" t="s">
        <v>242</v>
      </c>
      <c r="N45" s="18" t="s">
        <v>238</v>
      </c>
      <c r="O45" s="18" t="s">
        <v>246</v>
      </c>
      <c r="P45" s="18" t="s">
        <v>234</v>
      </c>
    </row>
    <row r="46" spans="1:16" ht="45" x14ac:dyDescent="0.2">
      <c r="A46" s="2" t="s">
        <v>349</v>
      </c>
      <c r="B46" s="2" t="s">
        <v>350</v>
      </c>
      <c r="C46" s="2" t="s">
        <v>20</v>
      </c>
      <c r="D46" s="2" t="s">
        <v>228</v>
      </c>
      <c r="E46" s="4">
        <v>32.979999999999997</v>
      </c>
      <c r="F46" s="4">
        <v>11714.48</v>
      </c>
      <c r="G46" s="3">
        <v>367</v>
      </c>
      <c r="H46" s="6">
        <v>4.7</v>
      </c>
      <c r="I46" s="3">
        <v>438</v>
      </c>
      <c r="J46" s="17" t="str">
        <f>HYPERLINK("https://amazon.com/dp/B0D1VGWHJ4","Amazon - B0D1VGWHJ4")</f>
        <v>Amazon - B0D1VGWHJ4</v>
      </c>
      <c r="K46" s="18" t="s">
        <v>229</v>
      </c>
      <c r="L46" s="18" t="s">
        <v>230</v>
      </c>
      <c r="M46" s="18" t="s">
        <v>237</v>
      </c>
      <c r="N46" s="18" t="s">
        <v>271</v>
      </c>
      <c r="O46" s="18" t="s">
        <v>246</v>
      </c>
      <c r="P46" s="18" t="s">
        <v>351</v>
      </c>
    </row>
    <row r="47" spans="1:16" ht="45" x14ac:dyDescent="0.2">
      <c r="A47" s="2" t="s">
        <v>352</v>
      </c>
      <c r="B47" s="2" t="s">
        <v>353</v>
      </c>
      <c r="C47" s="2" t="s">
        <v>11</v>
      </c>
      <c r="D47" s="2" t="s">
        <v>285</v>
      </c>
      <c r="E47" s="4">
        <v>99.99</v>
      </c>
      <c r="F47" s="4">
        <v>11325.87</v>
      </c>
      <c r="G47" s="3">
        <v>113</v>
      </c>
      <c r="H47" s="6">
        <v>4.3</v>
      </c>
      <c r="I47" s="3">
        <v>204</v>
      </c>
      <c r="J47" s="17" t="str">
        <f>HYPERLINK("https://amazon.com/dp/B08Y5S32YV","Amazon - B08Y5S32YV")</f>
        <v>Amazon - B08Y5S32YV</v>
      </c>
      <c r="K47" s="18" t="s">
        <v>286</v>
      </c>
      <c r="L47" s="18" t="s">
        <v>230</v>
      </c>
      <c r="M47" s="18" t="s">
        <v>287</v>
      </c>
      <c r="N47" s="18" t="s">
        <v>238</v>
      </c>
      <c r="O47" s="18" t="s">
        <v>233</v>
      </c>
      <c r="P47" s="18" t="s">
        <v>234</v>
      </c>
    </row>
    <row r="48" spans="1:16" ht="45" x14ac:dyDescent="0.2">
      <c r="A48" s="2" t="s">
        <v>354</v>
      </c>
      <c r="B48" s="2" t="s">
        <v>355</v>
      </c>
      <c r="C48" s="2" t="s">
        <v>27</v>
      </c>
      <c r="D48" s="2" t="s">
        <v>228</v>
      </c>
      <c r="E48" s="4">
        <v>109.99</v>
      </c>
      <c r="F48" s="4">
        <v>11215.65</v>
      </c>
      <c r="G48" s="3">
        <v>100</v>
      </c>
      <c r="H48" s="6">
        <v>4.5999999999999996</v>
      </c>
      <c r="I48" s="3">
        <v>50</v>
      </c>
      <c r="J48" s="17" t="str">
        <f>HYPERLINK("https://amazon.com/dp/B0DZNQSLMP","Amazon - B0DZNQSLMP")</f>
        <v>Amazon - B0DZNQSLMP</v>
      </c>
      <c r="K48" s="18" t="s">
        <v>229</v>
      </c>
      <c r="L48" s="18" t="s">
        <v>230</v>
      </c>
      <c r="M48" s="18" t="s">
        <v>242</v>
      </c>
      <c r="N48" s="18" t="s">
        <v>253</v>
      </c>
      <c r="O48" s="18" t="s">
        <v>233</v>
      </c>
      <c r="P48" s="18" t="s">
        <v>234</v>
      </c>
    </row>
    <row r="49" spans="1:16" ht="45" x14ac:dyDescent="0.2">
      <c r="A49" s="2" t="s">
        <v>356</v>
      </c>
      <c r="B49" s="2" t="s">
        <v>357</v>
      </c>
      <c r="C49" s="2" t="s">
        <v>11</v>
      </c>
      <c r="D49" s="2" t="s">
        <v>228</v>
      </c>
      <c r="E49" s="4">
        <v>299.99</v>
      </c>
      <c r="F49" s="4">
        <v>11047.98</v>
      </c>
      <c r="G49" s="3">
        <v>38</v>
      </c>
      <c r="H49" s="6">
        <v>4.3</v>
      </c>
      <c r="I49" s="3">
        <v>233</v>
      </c>
      <c r="J49" s="17" t="str">
        <f>HYPERLINK("https://amazon.com/dp/B0FJLPG74M","Amazon - B0FJLPG74M")</f>
        <v>Amazon - B0FJLPG74M</v>
      </c>
      <c r="K49" s="18" t="s">
        <v>229</v>
      </c>
      <c r="L49" s="18" t="s">
        <v>251</v>
      </c>
      <c r="M49" s="18" t="s">
        <v>242</v>
      </c>
      <c r="N49" s="18" t="s">
        <v>274</v>
      </c>
      <c r="O49" s="18" t="s">
        <v>246</v>
      </c>
      <c r="P49" s="18" t="s">
        <v>234</v>
      </c>
    </row>
    <row r="50" spans="1:16" ht="45" x14ac:dyDescent="0.2">
      <c r="A50" s="2" t="s">
        <v>358</v>
      </c>
      <c r="B50" s="2" t="s">
        <v>359</v>
      </c>
      <c r="C50" s="2" t="s">
        <v>15</v>
      </c>
      <c r="D50" s="2" t="s">
        <v>228</v>
      </c>
      <c r="E50" s="4">
        <v>119.99</v>
      </c>
      <c r="F50" s="4">
        <v>10653.34</v>
      </c>
      <c r="G50" s="3">
        <v>97</v>
      </c>
      <c r="H50" s="6">
        <v>4.5999999999999996</v>
      </c>
      <c r="I50" s="3">
        <v>115</v>
      </c>
      <c r="J50" s="17" t="str">
        <f>HYPERLINK("https://amazon.com/dp/B0FZ851CGL","Amazon - B0FZ851CGL")</f>
        <v>Amazon - B0FZ851CGL</v>
      </c>
      <c r="K50" s="18" t="s">
        <v>229</v>
      </c>
      <c r="L50" s="18" t="s">
        <v>230</v>
      </c>
      <c r="M50" s="18" t="s">
        <v>242</v>
      </c>
      <c r="N50" s="18" t="s">
        <v>271</v>
      </c>
      <c r="O50" s="18" t="s">
        <v>233</v>
      </c>
      <c r="P50" s="18" t="s">
        <v>239</v>
      </c>
    </row>
    <row r="51" spans="1:16" ht="45" x14ac:dyDescent="0.2">
      <c r="A51" s="2" t="s">
        <v>360</v>
      </c>
      <c r="B51" s="2" t="s">
        <v>361</v>
      </c>
      <c r="C51" s="2" t="s">
        <v>10</v>
      </c>
      <c r="D51" s="2" t="s">
        <v>228</v>
      </c>
      <c r="E51" s="4">
        <v>104.39</v>
      </c>
      <c r="F51" s="4">
        <v>9921.85</v>
      </c>
      <c r="G51" s="3">
        <v>95</v>
      </c>
      <c r="H51" s="6">
        <v>4.5999999999999996</v>
      </c>
      <c r="I51" s="3">
        <v>198</v>
      </c>
      <c r="J51" s="17" t="str">
        <f>HYPERLINK("https://amazon.com/dp/B0BVML78W1","Amazon - B0BVML78W1")</f>
        <v>Amazon - B0BVML78W1</v>
      </c>
      <c r="K51" s="18" t="s">
        <v>229</v>
      </c>
      <c r="L51" s="18" t="s">
        <v>230</v>
      </c>
      <c r="M51" s="18" t="s">
        <v>242</v>
      </c>
      <c r="N51" s="18" t="s">
        <v>232</v>
      </c>
      <c r="O51" s="18" t="s">
        <v>316</v>
      </c>
      <c r="P51" s="18" t="s">
        <v>305</v>
      </c>
    </row>
    <row r="52" spans="1:16" ht="45" x14ac:dyDescent="0.2">
      <c r="A52" s="2" t="s">
        <v>362</v>
      </c>
      <c r="B52" s="2" t="s">
        <v>363</v>
      </c>
      <c r="C52" s="2" t="s">
        <v>29</v>
      </c>
      <c r="D52" s="2" t="s">
        <v>228</v>
      </c>
      <c r="E52" s="4">
        <v>25.99</v>
      </c>
      <c r="F52" s="4">
        <v>9723.56</v>
      </c>
      <c r="G52" s="3">
        <v>374</v>
      </c>
      <c r="H52" s="6">
        <v>4.4000000000000004</v>
      </c>
      <c r="I52" s="3">
        <v>277</v>
      </c>
      <c r="J52" s="17" t="str">
        <f>HYPERLINK("https://amazon.com/dp/B0D2KRN3XR","Amazon - B0D2KRN3XR")</f>
        <v>Amazon - B0D2KRN3XR</v>
      </c>
      <c r="K52" s="18" t="s">
        <v>229</v>
      </c>
      <c r="L52" s="18" t="s">
        <v>230</v>
      </c>
      <c r="M52" s="18" t="s">
        <v>237</v>
      </c>
      <c r="N52" s="18" t="s">
        <v>271</v>
      </c>
      <c r="O52" s="18" t="s">
        <v>233</v>
      </c>
      <c r="P52" s="18" t="s">
        <v>305</v>
      </c>
    </row>
    <row r="53" spans="1:16" ht="45" x14ac:dyDescent="0.2">
      <c r="A53" s="2" t="s">
        <v>414</v>
      </c>
      <c r="B53" s="2" t="s">
        <v>415</v>
      </c>
      <c r="C53" s="2" t="s">
        <v>12</v>
      </c>
      <c r="D53" s="2" t="s">
        <v>228</v>
      </c>
      <c r="E53" s="4">
        <v>142.99</v>
      </c>
      <c r="F53" s="4">
        <v>9213.94</v>
      </c>
      <c r="G53" s="3">
        <v>61</v>
      </c>
      <c r="H53" s="6">
        <v>4.4000000000000004</v>
      </c>
      <c r="I53" s="3">
        <v>9</v>
      </c>
      <c r="J53" s="17" t="str">
        <f>HYPERLINK("https://amazon.com/dp/B0DZMN1941","Amazon - B0DZMN1941")</f>
        <v>Amazon - B0DZMN1941</v>
      </c>
      <c r="K53" s="18" t="s">
        <v>229</v>
      </c>
      <c r="L53" s="18" t="s">
        <v>230</v>
      </c>
      <c r="M53" s="18" t="s">
        <v>242</v>
      </c>
      <c r="N53" s="18" t="s">
        <v>274</v>
      </c>
      <c r="O53" s="18" t="s">
        <v>233</v>
      </c>
      <c r="P53" s="18" t="s">
        <v>278</v>
      </c>
    </row>
    <row r="54" spans="1:16" ht="45" x14ac:dyDescent="0.2">
      <c r="A54" s="2" t="s">
        <v>387</v>
      </c>
      <c r="B54" s="2" t="s">
        <v>388</v>
      </c>
      <c r="C54" s="2" t="s">
        <v>20</v>
      </c>
      <c r="D54" s="2" t="s">
        <v>228</v>
      </c>
      <c r="E54" s="4">
        <v>69.989999999999995</v>
      </c>
      <c r="F54" s="4">
        <v>8833.2800000000007</v>
      </c>
      <c r="G54" s="3">
        <v>125</v>
      </c>
      <c r="H54" s="6">
        <v>4.8</v>
      </c>
      <c r="I54" s="3">
        <v>86</v>
      </c>
      <c r="J54" s="17" t="str">
        <f>HYPERLINK("https://amazon.com/dp/B0DHRPXGRL","Amazon - B0DHRPXGRL")</f>
        <v>Amazon - B0DHRPXGRL</v>
      </c>
      <c r="K54" s="18" t="s">
        <v>229</v>
      </c>
      <c r="L54" s="18" t="s">
        <v>230</v>
      </c>
      <c r="M54" s="18" t="s">
        <v>242</v>
      </c>
      <c r="N54" s="18" t="s">
        <v>253</v>
      </c>
      <c r="O54" s="18" t="s">
        <v>233</v>
      </c>
      <c r="P54" s="18" t="s">
        <v>389</v>
      </c>
    </row>
    <row r="55" spans="1:16" ht="45" x14ac:dyDescent="0.2">
      <c r="A55" s="2" t="s">
        <v>416</v>
      </c>
      <c r="B55" s="2" t="s">
        <v>417</v>
      </c>
      <c r="C55" s="2" t="s">
        <v>8</v>
      </c>
      <c r="D55" s="2" t="s">
        <v>228</v>
      </c>
      <c r="E55" s="4">
        <v>149.99</v>
      </c>
      <c r="F55" s="4">
        <v>8786.43</v>
      </c>
      <c r="G55" s="3">
        <v>59</v>
      </c>
      <c r="H55" s="6">
        <v>4.7</v>
      </c>
      <c r="I55" s="3">
        <v>397</v>
      </c>
      <c r="J55" s="17" t="str">
        <f>HYPERLINK("https://amazon.com/dp/B08D9GDQD5","Amazon - B08D9GDQD5")</f>
        <v>Amazon - B08D9GDQD5</v>
      </c>
      <c r="K55" s="18" t="s">
        <v>229</v>
      </c>
      <c r="L55" s="18" t="s">
        <v>230</v>
      </c>
      <c r="M55" s="18" t="s">
        <v>231</v>
      </c>
      <c r="N55" s="18" t="s">
        <v>243</v>
      </c>
      <c r="O55" s="18" t="s">
        <v>233</v>
      </c>
      <c r="P55" s="18" t="s">
        <v>271</v>
      </c>
    </row>
    <row r="56" spans="1:16" ht="45" x14ac:dyDescent="0.2">
      <c r="A56" s="2" t="s">
        <v>418</v>
      </c>
      <c r="B56" s="2" t="s">
        <v>419</v>
      </c>
      <c r="C56" s="2" t="s">
        <v>8</v>
      </c>
      <c r="D56" s="2" t="s">
        <v>228</v>
      </c>
      <c r="E56" s="4">
        <v>169.99</v>
      </c>
      <c r="F56" s="4">
        <v>8517.9699999999993</v>
      </c>
      <c r="G56" s="3">
        <v>53</v>
      </c>
      <c r="H56" s="6">
        <v>4.5999999999999996</v>
      </c>
      <c r="I56" s="3">
        <v>363</v>
      </c>
      <c r="J56" s="17" t="str">
        <f>HYPERLINK("https://amazon.com/dp/B0CNPWHCQG","Amazon - B0CNPWHCQG")</f>
        <v>Amazon - B0CNPWHCQG</v>
      </c>
      <c r="K56" s="18" t="s">
        <v>229</v>
      </c>
      <c r="L56" s="18" t="s">
        <v>230</v>
      </c>
      <c r="M56" s="18" t="s">
        <v>242</v>
      </c>
      <c r="N56" s="18" t="s">
        <v>271</v>
      </c>
      <c r="O56" s="18" t="s">
        <v>316</v>
      </c>
      <c r="P56" s="18" t="s">
        <v>256</v>
      </c>
    </row>
    <row r="57" spans="1:16" ht="30" x14ac:dyDescent="0.2">
      <c r="A57" s="2" t="s">
        <v>420</v>
      </c>
      <c r="B57" s="2" t="s">
        <v>421</v>
      </c>
      <c r="C57" s="2" t="s">
        <v>30</v>
      </c>
      <c r="D57" s="2" t="s">
        <v>228</v>
      </c>
      <c r="E57" s="4">
        <v>139.99</v>
      </c>
      <c r="F57" s="4">
        <v>8286.5400000000009</v>
      </c>
      <c r="G57" s="3">
        <v>60</v>
      </c>
      <c r="H57" s="6">
        <v>3.8</v>
      </c>
      <c r="I57" s="3">
        <v>14</v>
      </c>
      <c r="J57" s="17" t="str">
        <f>HYPERLINK("https://amazon.com/dp/B0DCHMC6L8","Amazon - B0DCHMC6L8")</f>
        <v>Amazon - B0DCHMC6L8</v>
      </c>
      <c r="K57" s="18" t="s">
        <v>229</v>
      </c>
      <c r="L57" s="18" t="s">
        <v>230</v>
      </c>
      <c r="M57" s="18" t="s">
        <v>237</v>
      </c>
      <c r="N57" s="18" t="s">
        <v>243</v>
      </c>
      <c r="O57" s="18" t="s">
        <v>233</v>
      </c>
      <c r="P57" s="18" t="s">
        <v>271</v>
      </c>
    </row>
    <row r="58" spans="1:16" ht="45" x14ac:dyDescent="0.2">
      <c r="A58" s="2" t="s">
        <v>422</v>
      </c>
      <c r="B58" s="2" t="s">
        <v>423</v>
      </c>
      <c r="C58" s="2" t="s">
        <v>23</v>
      </c>
      <c r="D58" s="2" t="s">
        <v>228</v>
      </c>
      <c r="E58" s="4">
        <v>139.99</v>
      </c>
      <c r="F58" s="4">
        <v>8249.6</v>
      </c>
      <c r="G58" s="3">
        <v>114</v>
      </c>
      <c r="H58" s="6">
        <v>4.5</v>
      </c>
      <c r="I58" s="3">
        <v>145</v>
      </c>
      <c r="J58" s="17" t="str">
        <f>HYPERLINK("https://amazon.com/dp/B0FGXN5HBK","Amazon - B0FGXN5HBK")</f>
        <v>Amazon - B0FGXN5HBK</v>
      </c>
      <c r="K58" s="18" t="s">
        <v>229</v>
      </c>
      <c r="L58" s="18" t="s">
        <v>230</v>
      </c>
      <c r="M58" s="18" t="s">
        <v>242</v>
      </c>
      <c r="N58" s="18" t="s">
        <v>296</v>
      </c>
      <c r="O58" s="18" t="s">
        <v>233</v>
      </c>
      <c r="P58" s="18" t="s">
        <v>234</v>
      </c>
    </row>
    <row r="59" spans="1:16" ht="45" x14ac:dyDescent="0.2">
      <c r="A59" s="2" t="s">
        <v>424</v>
      </c>
      <c r="B59" s="2" t="s">
        <v>425</v>
      </c>
      <c r="C59" s="2" t="s">
        <v>32</v>
      </c>
      <c r="D59" s="2" t="s">
        <v>228</v>
      </c>
      <c r="E59" s="4">
        <v>105.99</v>
      </c>
      <c r="F59" s="4">
        <v>8238.26</v>
      </c>
      <c r="G59" s="3">
        <v>78</v>
      </c>
      <c r="H59" s="6">
        <v>4.5999999999999996</v>
      </c>
      <c r="I59" s="3">
        <v>462</v>
      </c>
      <c r="J59" s="17" t="str">
        <f>HYPERLINK("https://amazon.com/dp/B0DFHL8YN5","Amazon - B0DFHL8YN5")</f>
        <v>Amazon - B0DFHL8YN5</v>
      </c>
      <c r="K59" s="18" t="s">
        <v>229</v>
      </c>
      <c r="L59" s="18" t="s">
        <v>230</v>
      </c>
      <c r="M59" s="18" t="s">
        <v>237</v>
      </c>
      <c r="N59" s="18" t="s">
        <v>232</v>
      </c>
      <c r="O59" s="18" t="s">
        <v>233</v>
      </c>
      <c r="P59" s="18" t="s">
        <v>239</v>
      </c>
    </row>
    <row r="60" spans="1:16" ht="45" x14ac:dyDescent="0.2">
      <c r="A60" s="2" t="s">
        <v>426</v>
      </c>
      <c r="B60" s="2" t="s">
        <v>427</v>
      </c>
      <c r="C60" s="2" t="s">
        <v>10</v>
      </c>
      <c r="D60" s="2" t="s">
        <v>228</v>
      </c>
      <c r="E60" s="4">
        <v>124.99</v>
      </c>
      <c r="F60" s="4">
        <v>8058.85</v>
      </c>
      <c r="G60" s="3">
        <v>64</v>
      </c>
      <c r="H60" s="6">
        <v>4.5999999999999996</v>
      </c>
      <c r="I60" s="3">
        <v>359</v>
      </c>
      <c r="J60" s="17" t="str">
        <f>HYPERLINK("https://amazon.com/dp/B0DBZ6Q4YH","Amazon - B0DBZ6Q4YH")</f>
        <v>Amazon - B0DBZ6Q4YH</v>
      </c>
      <c r="K60" s="18" t="s">
        <v>229</v>
      </c>
      <c r="L60" s="18" t="s">
        <v>230</v>
      </c>
      <c r="M60" s="18" t="s">
        <v>231</v>
      </c>
      <c r="N60" s="18" t="s">
        <v>253</v>
      </c>
      <c r="O60" s="18" t="s">
        <v>233</v>
      </c>
      <c r="P60" s="18" t="s">
        <v>234</v>
      </c>
    </row>
    <row r="61" spans="1:16" ht="45" x14ac:dyDescent="0.2">
      <c r="A61" s="2" t="s">
        <v>428</v>
      </c>
      <c r="B61" s="2" t="s">
        <v>429</v>
      </c>
      <c r="C61" s="2" t="s">
        <v>14</v>
      </c>
      <c r="D61" s="2" t="s">
        <v>228</v>
      </c>
      <c r="E61" s="4">
        <v>159.99</v>
      </c>
      <c r="F61" s="4">
        <v>8046.49</v>
      </c>
      <c r="G61" s="3">
        <v>44</v>
      </c>
      <c r="H61" s="6">
        <v>4.8</v>
      </c>
      <c r="I61" s="3">
        <v>58</v>
      </c>
      <c r="J61" s="17" t="str">
        <f>HYPERLINK("https://amazon.com/dp/B0GDFG41PS","Amazon - B0GDFG41PS")</f>
        <v>Amazon - B0GDFG41PS</v>
      </c>
      <c r="K61" s="18" t="s">
        <v>229</v>
      </c>
      <c r="L61" s="18" t="s">
        <v>230</v>
      </c>
      <c r="M61" s="18" t="s">
        <v>242</v>
      </c>
      <c r="N61" s="18" t="s">
        <v>274</v>
      </c>
      <c r="O61" s="18" t="s">
        <v>246</v>
      </c>
      <c r="P61" s="18" t="s">
        <v>275</v>
      </c>
    </row>
    <row r="62" spans="1:16" ht="45" x14ac:dyDescent="0.2">
      <c r="A62" s="2" t="s">
        <v>430</v>
      </c>
      <c r="B62" s="2" t="s">
        <v>431</v>
      </c>
      <c r="C62" s="2" t="s">
        <v>11</v>
      </c>
      <c r="D62" s="2" t="s">
        <v>228</v>
      </c>
      <c r="E62" s="4">
        <v>149.99</v>
      </c>
      <c r="F62" s="4">
        <v>8046.08</v>
      </c>
      <c r="G62" s="3">
        <v>53</v>
      </c>
      <c r="H62" s="6">
        <v>4.7</v>
      </c>
      <c r="I62" s="3">
        <v>107</v>
      </c>
      <c r="J62" s="17" t="str">
        <f>HYPERLINK("https://amazon.com/dp/B0FZTB97PN","Amazon - B0FZTB97PN")</f>
        <v>Amazon - B0FZTB97PN</v>
      </c>
      <c r="K62" s="18" t="s">
        <v>229</v>
      </c>
      <c r="L62" s="18" t="s">
        <v>230</v>
      </c>
      <c r="M62" s="18" t="s">
        <v>242</v>
      </c>
      <c r="N62" s="18" t="s">
        <v>238</v>
      </c>
      <c r="O62" s="18" t="s">
        <v>246</v>
      </c>
      <c r="P62" s="18" t="s">
        <v>256</v>
      </c>
    </row>
    <row r="63" spans="1:16" ht="45" x14ac:dyDescent="0.2">
      <c r="A63" s="2" t="s">
        <v>432</v>
      </c>
      <c r="B63" s="2" t="s">
        <v>433</v>
      </c>
      <c r="C63" s="2" t="s">
        <v>10</v>
      </c>
      <c r="D63" s="2" t="s">
        <v>228</v>
      </c>
      <c r="E63" s="4">
        <v>99.99</v>
      </c>
      <c r="F63" s="4">
        <v>7572.83</v>
      </c>
      <c r="G63" s="3">
        <v>56</v>
      </c>
      <c r="H63" s="6">
        <v>4.7</v>
      </c>
      <c r="I63" s="3">
        <v>196</v>
      </c>
      <c r="J63" s="17" t="str">
        <f>HYPERLINK("https://amazon.com/dp/B0CT5L1H9B","Amazon - B0CT5L1H9B")</f>
        <v>Amazon - B0CT5L1H9B</v>
      </c>
      <c r="K63" s="18" t="s">
        <v>229</v>
      </c>
      <c r="L63" s="18" t="s">
        <v>230</v>
      </c>
      <c r="M63" s="18" t="s">
        <v>242</v>
      </c>
      <c r="N63" s="18" t="s">
        <v>271</v>
      </c>
      <c r="O63" s="18" t="s">
        <v>316</v>
      </c>
      <c r="P63" s="18" t="s">
        <v>305</v>
      </c>
    </row>
    <row r="64" spans="1:16" ht="45" x14ac:dyDescent="0.2">
      <c r="A64" s="2" t="s">
        <v>434</v>
      </c>
      <c r="B64" s="2" t="s">
        <v>435</v>
      </c>
      <c r="C64" s="2" t="s">
        <v>34</v>
      </c>
      <c r="D64" s="2" t="s">
        <v>228</v>
      </c>
      <c r="E64" s="4">
        <v>69.89</v>
      </c>
      <c r="F64" s="4">
        <v>7105.56</v>
      </c>
      <c r="G64" s="3">
        <v>100</v>
      </c>
      <c r="H64" s="6">
        <v>4.9000000000000004</v>
      </c>
      <c r="I64" s="3">
        <v>24</v>
      </c>
      <c r="J64" s="17" t="str">
        <f>HYPERLINK("https://amazon.com/dp/B0FRMFNFHL","Amazon - B0FRMFNFHL")</f>
        <v>Amazon - B0FRMFNFHL</v>
      </c>
      <c r="K64" s="18" t="s">
        <v>229</v>
      </c>
      <c r="L64" s="18" t="s">
        <v>230</v>
      </c>
      <c r="M64" s="18" t="s">
        <v>242</v>
      </c>
      <c r="N64" s="18" t="s">
        <v>253</v>
      </c>
      <c r="O64" s="18" t="s">
        <v>233</v>
      </c>
      <c r="P64" s="18" t="s">
        <v>275</v>
      </c>
    </row>
    <row r="65" spans="1:16" ht="45" x14ac:dyDescent="0.2">
      <c r="A65" s="2" t="s">
        <v>436</v>
      </c>
      <c r="B65" s="2" t="s">
        <v>437</v>
      </c>
      <c r="C65" s="2" t="s">
        <v>8</v>
      </c>
      <c r="D65" s="2" t="s">
        <v>228</v>
      </c>
      <c r="E65" s="4">
        <v>119.99</v>
      </c>
      <c r="F65" s="4">
        <v>7102.62</v>
      </c>
      <c r="G65" s="3">
        <v>59</v>
      </c>
      <c r="H65" s="6">
        <v>4.2</v>
      </c>
      <c r="I65" s="3">
        <v>92</v>
      </c>
      <c r="J65" s="17" t="str">
        <f>HYPERLINK("https://amazon.com/dp/B0BG27Q1JS","Amazon - B0BG27Q1JS")</f>
        <v>Amazon - B0BG27Q1JS</v>
      </c>
      <c r="K65" s="18" t="s">
        <v>229</v>
      </c>
      <c r="L65" s="18" t="s">
        <v>230</v>
      </c>
      <c r="M65" s="18" t="s">
        <v>231</v>
      </c>
      <c r="N65" s="18" t="s">
        <v>271</v>
      </c>
      <c r="O65" s="18" t="s">
        <v>233</v>
      </c>
      <c r="P65" s="18" t="s">
        <v>234</v>
      </c>
    </row>
    <row r="66" spans="1:16" ht="45" x14ac:dyDescent="0.2">
      <c r="A66" s="2" t="s">
        <v>438</v>
      </c>
      <c r="B66" s="2" t="s">
        <v>439</v>
      </c>
      <c r="C66" s="2" t="s">
        <v>11</v>
      </c>
      <c r="D66" s="2" t="s">
        <v>228</v>
      </c>
      <c r="E66" s="4">
        <v>139.99</v>
      </c>
      <c r="F66" s="4">
        <v>7051.98</v>
      </c>
      <c r="G66" s="3">
        <v>50</v>
      </c>
      <c r="H66" s="6">
        <v>4.7</v>
      </c>
      <c r="I66" s="3">
        <v>107</v>
      </c>
      <c r="J66" s="17" t="str">
        <f>HYPERLINK("https://amazon.com/dp/B0DSVY5LQD","Amazon - B0DSVY5LQD")</f>
        <v>Amazon - B0DSVY5LQD</v>
      </c>
      <c r="K66" s="18" t="s">
        <v>229</v>
      </c>
      <c r="L66" s="18" t="s">
        <v>230</v>
      </c>
      <c r="M66" s="18" t="s">
        <v>242</v>
      </c>
      <c r="N66" s="18" t="s">
        <v>262</v>
      </c>
      <c r="O66" s="18" t="s">
        <v>246</v>
      </c>
      <c r="P66" s="18" t="s">
        <v>234</v>
      </c>
    </row>
    <row r="67" spans="1:16" ht="45" x14ac:dyDescent="0.2">
      <c r="A67" s="2" t="s">
        <v>440</v>
      </c>
      <c r="B67" s="2" t="s">
        <v>441</v>
      </c>
      <c r="C67" s="2" t="s">
        <v>14</v>
      </c>
      <c r="D67" s="2" t="s">
        <v>228</v>
      </c>
      <c r="E67" s="4">
        <v>109.99</v>
      </c>
      <c r="F67" s="4">
        <v>6905.67</v>
      </c>
      <c r="G67" s="3">
        <v>51</v>
      </c>
      <c r="H67" s="6">
        <v>4.8</v>
      </c>
      <c r="I67" s="3">
        <v>58</v>
      </c>
      <c r="J67" s="17" t="str">
        <f>HYPERLINK("https://amazon.com/dp/B0GDFRH4J8","Amazon - B0GDFRH4J8")</f>
        <v>Amazon - B0GDFRH4J8</v>
      </c>
      <c r="K67" s="18" t="s">
        <v>229</v>
      </c>
      <c r="L67" s="18" t="s">
        <v>230</v>
      </c>
      <c r="M67" s="18" t="s">
        <v>242</v>
      </c>
      <c r="N67" s="18" t="s">
        <v>253</v>
      </c>
      <c r="O67" s="18" t="s">
        <v>233</v>
      </c>
      <c r="P67" s="18" t="s">
        <v>275</v>
      </c>
    </row>
    <row r="68" spans="1:16" ht="45" x14ac:dyDescent="0.2">
      <c r="A68" s="2" t="s">
        <v>442</v>
      </c>
      <c r="B68" s="2" t="s">
        <v>443</v>
      </c>
      <c r="C68" s="2" t="s">
        <v>10</v>
      </c>
      <c r="D68" s="2" t="s">
        <v>228</v>
      </c>
      <c r="E68" s="4">
        <v>109.99</v>
      </c>
      <c r="F68" s="4">
        <v>6904.26</v>
      </c>
      <c r="G68" s="3">
        <v>63</v>
      </c>
      <c r="H68" s="6">
        <v>4.5</v>
      </c>
      <c r="I68" s="3">
        <v>114</v>
      </c>
      <c r="J68" s="17" t="str">
        <f>HYPERLINK("https://amazon.com/dp/B0FD3NRZ5S","Amazon - B0FD3NRZ5S")</f>
        <v>Amazon - B0FD3NRZ5S</v>
      </c>
      <c r="K68" s="18" t="s">
        <v>229</v>
      </c>
      <c r="L68" s="18" t="s">
        <v>230</v>
      </c>
      <c r="M68" s="18" t="s">
        <v>242</v>
      </c>
      <c r="N68" s="18" t="s">
        <v>271</v>
      </c>
      <c r="O68" s="18" t="s">
        <v>233</v>
      </c>
      <c r="P68" s="18" t="s">
        <v>234</v>
      </c>
    </row>
    <row r="69" spans="1:16" ht="30" x14ac:dyDescent="0.2">
      <c r="A69" s="2" t="s">
        <v>367</v>
      </c>
      <c r="B69" s="2" t="s">
        <v>368</v>
      </c>
      <c r="C69" s="2" t="s">
        <v>19</v>
      </c>
      <c r="D69" s="2" t="s">
        <v>228</v>
      </c>
      <c r="E69" s="4">
        <v>25.99</v>
      </c>
      <c r="F69" s="4">
        <v>6786.82</v>
      </c>
      <c r="G69" s="3">
        <v>235</v>
      </c>
      <c r="H69" s="6">
        <v>4.4000000000000004</v>
      </c>
      <c r="I69" s="3">
        <v>1222</v>
      </c>
      <c r="J69" s="17" t="str">
        <f>HYPERLINK("https://amazon.com/dp/B0FM82MR7C","Amazon - B0FM82MR7C")</f>
        <v>Amazon - B0FM82MR7C</v>
      </c>
      <c r="K69" s="18" t="s">
        <v>229</v>
      </c>
      <c r="L69" s="18" t="s">
        <v>230</v>
      </c>
      <c r="M69" s="18" t="s">
        <v>271</v>
      </c>
      <c r="N69" s="18" t="s">
        <v>271</v>
      </c>
      <c r="O69" s="18" t="s">
        <v>246</v>
      </c>
      <c r="P69" s="18" t="s">
        <v>305</v>
      </c>
    </row>
    <row r="70" spans="1:16" ht="45" x14ac:dyDescent="0.2">
      <c r="A70" s="2" t="s">
        <v>444</v>
      </c>
      <c r="B70" s="2" t="s">
        <v>445</v>
      </c>
      <c r="C70" s="2" t="s">
        <v>11</v>
      </c>
      <c r="D70" s="2" t="s">
        <v>228</v>
      </c>
      <c r="E70" s="4">
        <v>799.99</v>
      </c>
      <c r="F70" s="4">
        <v>6769.45</v>
      </c>
      <c r="G70" s="3">
        <v>8</v>
      </c>
      <c r="H70" s="6">
        <v>4.3</v>
      </c>
      <c r="I70" s="3">
        <v>67</v>
      </c>
      <c r="J70" s="17" t="str">
        <f>HYPERLINK("https://amazon.com/dp/B0FLNJ8CNL","Amazon - B0FLNJ8CNL")</f>
        <v>Amazon - B0FLNJ8CNL</v>
      </c>
      <c r="K70" s="18" t="s">
        <v>229</v>
      </c>
      <c r="L70" s="18" t="s">
        <v>230</v>
      </c>
      <c r="M70" s="18" t="s">
        <v>242</v>
      </c>
      <c r="N70" s="18" t="s">
        <v>446</v>
      </c>
      <c r="O70" s="18" t="s">
        <v>233</v>
      </c>
      <c r="P70" s="18" t="s">
        <v>234</v>
      </c>
    </row>
    <row r="71" spans="1:16" ht="45" x14ac:dyDescent="0.2">
      <c r="A71" s="2" t="s">
        <v>447</v>
      </c>
      <c r="B71" s="2" t="s">
        <v>448</v>
      </c>
      <c r="C71" s="2" t="s">
        <v>11</v>
      </c>
      <c r="D71" s="2" t="s">
        <v>228</v>
      </c>
      <c r="E71" s="4">
        <v>128.88</v>
      </c>
      <c r="F71" s="4">
        <v>6687.22</v>
      </c>
      <c r="G71" s="3">
        <v>48</v>
      </c>
      <c r="H71" s="6">
        <v>4.5999999999999996</v>
      </c>
      <c r="I71" s="3">
        <v>65</v>
      </c>
      <c r="J71" s="17" t="str">
        <f>HYPERLINK("https://amazon.com/dp/B0FHGMHLJR","Amazon - B0FHGMHLJR")</f>
        <v>Amazon - B0FHGMHLJR</v>
      </c>
      <c r="K71" s="18" t="s">
        <v>229</v>
      </c>
      <c r="L71" s="18" t="s">
        <v>230</v>
      </c>
      <c r="M71" s="18" t="s">
        <v>242</v>
      </c>
      <c r="N71" s="18" t="s">
        <v>243</v>
      </c>
      <c r="O71" s="18" t="s">
        <v>233</v>
      </c>
      <c r="P71" s="18" t="s">
        <v>234</v>
      </c>
    </row>
    <row r="72" spans="1:16" ht="45" x14ac:dyDescent="0.2">
      <c r="A72" s="2" t="s">
        <v>449</v>
      </c>
      <c r="B72" s="2" t="s">
        <v>450</v>
      </c>
      <c r="C72" s="2" t="s">
        <v>11</v>
      </c>
      <c r="D72" s="2" t="s">
        <v>228</v>
      </c>
      <c r="E72" s="4">
        <v>399.99</v>
      </c>
      <c r="F72" s="4">
        <v>6580.35</v>
      </c>
      <c r="G72" s="3">
        <v>16</v>
      </c>
      <c r="H72" s="6">
        <v>5</v>
      </c>
      <c r="I72" s="3">
        <v>1</v>
      </c>
      <c r="J72" s="17" t="str">
        <f>HYPERLINK("https://amazon.com/dp/B0G48WTXYF","Amazon - B0G48WTXYF")</f>
        <v>Amazon - B0G48WTXYF</v>
      </c>
      <c r="K72" s="18" t="s">
        <v>229</v>
      </c>
      <c r="L72" s="18" t="s">
        <v>251</v>
      </c>
      <c r="M72" s="18" t="s">
        <v>242</v>
      </c>
      <c r="N72" s="18" t="s">
        <v>262</v>
      </c>
      <c r="O72" s="18" t="s">
        <v>246</v>
      </c>
      <c r="P72" s="18" t="s">
        <v>234</v>
      </c>
    </row>
    <row r="73" spans="1:16" ht="45" x14ac:dyDescent="0.2">
      <c r="A73" s="2" t="s">
        <v>382</v>
      </c>
      <c r="B73" s="2" t="s">
        <v>383</v>
      </c>
      <c r="C73" s="2" t="s">
        <v>10</v>
      </c>
      <c r="D73" s="2" t="s">
        <v>228</v>
      </c>
      <c r="E73" s="4">
        <v>49.99</v>
      </c>
      <c r="F73" s="4">
        <v>6469.75</v>
      </c>
      <c r="G73" s="3">
        <v>129</v>
      </c>
      <c r="H73" s="6">
        <v>4.4000000000000004</v>
      </c>
      <c r="I73" s="3">
        <v>4303</v>
      </c>
      <c r="J73" s="17" t="str">
        <f>HYPERLINK("https://amazon.com/dp/B094XGX6GQ","Amazon - B094XGX6GQ")</f>
        <v>Amazon - B094XGX6GQ</v>
      </c>
      <c r="K73" s="18" t="s">
        <v>229</v>
      </c>
      <c r="L73" s="18" t="s">
        <v>230</v>
      </c>
      <c r="M73" s="18" t="s">
        <v>237</v>
      </c>
      <c r="N73" s="18" t="s">
        <v>243</v>
      </c>
      <c r="O73" s="18" t="s">
        <v>233</v>
      </c>
      <c r="P73" s="18" t="s">
        <v>305</v>
      </c>
    </row>
    <row r="74" spans="1:16" ht="30" x14ac:dyDescent="0.2">
      <c r="A74" s="2" t="s">
        <v>451</v>
      </c>
      <c r="B74" s="2" t="s">
        <v>452</v>
      </c>
      <c r="C74" s="2" t="s">
        <v>10</v>
      </c>
      <c r="D74" s="2" t="s">
        <v>228</v>
      </c>
      <c r="E74" s="4">
        <v>139.99</v>
      </c>
      <c r="F74" s="4">
        <v>6439.94</v>
      </c>
      <c r="G74" s="3">
        <v>48</v>
      </c>
      <c r="H74" s="6">
        <v>4.7</v>
      </c>
      <c r="I74" s="3">
        <v>452</v>
      </c>
      <c r="J74" s="17" t="str">
        <f>HYPERLINK("https://amazon.com/dp/B0CXSTNWTW","Amazon - B0CXSTNWTW")</f>
        <v>Amazon - B0CXSTNWTW</v>
      </c>
      <c r="K74" s="18" t="s">
        <v>229</v>
      </c>
      <c r="L74" s="18" t="s">
        <v>230</v>
      </c>
      <c r="M74" s="18" t="s">
        <v>242</v>
      </c>
      <c r="N74" s="18" t="s">
        <v>271</v>
      </c>
      <c r="O74" s="18" t="s">
        <v>246</v>
      </c>
      <c r="P74" s="18" t="s">
        <v>234</v>
      </c>
    </row>
    <row r="75" spans="1:16" ht="45" x14ac:dyDescent="0.2">
      <c r="A75" s="2" t="s">
        <v>453</v>
      </c>
      <c r="B75" s="2" t="s">
        <v>454</v>
      </c>
      <c r="C75" s="2" t="s">
        <v>20</v>
      </c>
      <c r="D75" s="2" t="s">
        <v>228</v>
      </c>
      <c r="E75" s="4">
        <v>158.97999999999999</v>
      </c>
      <c r="F75" s="4">
        <v>6374.14</v>
      </c>
      <c r="G75" s="3">
        <v>38</v>
      </c>
      <c r="H75" s="6">
        <v>4.7</v>
      </c>
      <c r="I75" s="3">
        <v>49</v>
      </c>
      <c r="J75" s="17" t="str">
        <f>HYPERLINK("https://amazon.com/dp/B0FBWTBNTY","Amazon - B0FBWTBNTY")</f>
        <v>Amazon - B0FBWTBNTY</v>
      </c>
      <c r="K75" s="18" t="s">
        <v>229</v>
      </c>
      <c r="L75" s="18" t="s">
        <v>230</v>
      </c>
      <c r="M75" s="18" t="s">
        <v>242</v>
      </c>
      <c r="N75" s="18" t="s">
        <v>271</v>
      </c>
      <c r="O75" s="18" t="s">
        <v>233</v>
      </c>
      <c r="P75" s="18" t="s">
        <v>275</v>
      </c>
    </row>
    <row r="76" spans="1:16" ht="30" x14ac:dyDescent="0.2">
      <c r="A76" s="2" t="s">
        <v>369</v>
      </c>
      <c r="B76" s="2" t="s">
        <v>370</v>
      </c>
      <c r="C76" s="2" t="s">
        <v>10</v>
      </c>
      <c r="D76" s="2" t="s">
        <v>228</v>
      </c>
      <c r="E76" s="4">
        <v>29.99</v>
      </c>
      <c r="F76" s="4">
        <v>6287.23</v>
      </c>
      <c r="G76" s="3">
        <v>210</v>
      </c>
      <c r="H76" s="6">
        <v>4.4000000000000004</v>
      </c>
      <c r="I76" s="3">
        <v>179</v>
      </c>
      <c r="J76" s="17" t="str">
        <f>HYPERLINK("https://amazon.com/dp/B0FX99L27P","Amazon - B0FX99L27P")</f>
        <v>Amazon - B0FX99L27P</v>
      </c>
      <c r="K76" s="18" t="s">
        <v>229</v>
      </c>
      <c r="L76" s="18" t="s">
        <v>230</v>
      </c>
      <c r="M76" s="18" t="s">
        <v>242</v>
      </c>
      <c r="N76" s="18" t="s">
        <v>271</v>
      </c>
      <c r="O76" s="18" t="s">
        <v>246</v>
      </c>
      <c r="P76" s="18" t="s">
        <v>305</v>
      </c>
    </row>
    <row r="77" spans="1:16" ht="45" x14ac:dyDescent="0.2">
      <c r="A77" s="2" t="s">
        <v>371</v>
      </c>
      <c r="B77" s="2" t="s">
        <v>372</v>
      </c>
      <c r="C77" s="2" t="s">
        <v>12</v>
      </c>
      <c r="D77" s="2" t="s">
        <v>228</v>
      </c>
      <c r="E77" s="4">
        <v>33.99</v>
      </c>
      <c r="F77" s="4">
        <v>6003.2</v>
      </c>
      <c r="G77" s="3">
        <v>166</v>
      </c>
      <c r="H77" s="6">
        <v>4.5</v>
      </c>
      <c r="I77" s="3">
        <v>203</v>
      </c>
      <c r="J77" s="17" t="str">
        <f>HYPERLINK("https://amazon.com/dp/B0DCNM5MGW","Amazon - B0DCNM5MGW")</f>
        <v>Amazon - B0DCNM5MGW</v>
      </c>
      <c r="K77" s="18" t="s">
        <v>229</v>
      </c>
      <c r="L77" s="18" t="s">
        <v>230</v>
      </c>
      <c r="M77" s="18" t="s">
        <v>237</v>
      </c>
      <c r="N77" s="18" t="s">
        <v>271</v>
      </c>
      <c r="O77" s="18" t="s">
        <v>233</v>
      </c>
      <c r="P77" s="18" t="s">
        <v>321</v>
      </c>
    </row>
    <row r="78" spans="1:16" x14ac:dyDescent="0.2">
      <c r="A78" s="2" t="s">
        <v>455</v>
      </c>
      <c r="B78" s="2" t="s">
        <v>456</v>
      </c>
      <c r="C78" s="2" t="s">
        <v>36</v>
      </c>
      <c r="D78" s="2" t="s">
        <v>228</v>
      </c>
      <c r="E78" s="4">
        <v>425.78</v>
      </c>
      <c r="F78" s="4">
        <v>5822.94</v>
      </c>
      <c r="G78" s="3">
        <v>13</v>
      </c>
      <c r="H78" s="6">
        <v>5</v>
      </c>
      <c r="I78" s="3">
        <v>2</v>
      </c>
      <c r="J78" s="17" t="str">
        <f>HYPERLINK("https://amazon.com/dp/B0FGH475P3","Amazon - B0FGH475P3")</f>
        <v>Amazon - B0FGH475P3</v>
      </c>
      <c r="K78" s="18" t="s">
        <v>229</v>
      </c>
      <c r="L78" s="18" t="s">
        <v>230</v>
      </c>
      <c r="M78" s="18" t="s">
        <v>271</v>
      </c>
      <c r="N78" s="18" t="s">
        <v>271</v>
      </c>
      <c r="O78" s="18" t="s">
        <v>233</v>
      </c>
      <c r="P78" s="18" t="s">
        <v>271</v>
      </c>
    </row>
    <row r="79" spans="1:16" ht="45" x14ac:dyDescent="0.2">
      <c r="A79" s="2" t="s">
        <v>384</v>
      </c>
      <c r="B79" s="2" t="s">
        <v>385</v>
      </c>
      <c r="C79" s="2" t="s">
        <v>13</v>
      </c>
      <c r="D79" s="2" t="s">
        <v>228</v>
      </c>
      <c r="E79" s="4">
        <v>39.9</v>
      </c>
      <c r="F79" s="4">
        <v>5794.05</v>
      </c>
      <c r="G79" s="3">
        <v>126</v>
      </c>
      <c r="H79" s="6">
        <v>4.5999999999999996</v>
      </c>
      <c r="I79" s="3">
        <v>680</v>
      </c>
      <c r="J79" s="17" t="str">
        <f>HYPERLINK("https://amazon.com/dp/B0DJGFZQ5X","Amazon - B0DJGFZQ5X")</f>
        <v>Amazon - B0DJGFZQ5X</v>
      </c>
      <c r="K79" s="18" t="s">
        <v>229</v>
      </c>
      <c r="L79" s="18" t="s">
        <v>230</v>
      </c>
      <c r="M79" s="18" t="s">
        <v>237</v>
      </c>
      <c r="N79" s="18" t="s">
        <v>271</v>
      </c>
      <c r="O79" s="18" t="s">
        <v>246</v>
      </c>
      <c r="P79" s="18" t="s">
        <v>386</v>
      </c>
    </row>
    <row r="80" spans="1:16" ht="45" x14ac:dyDescent="0.2">
      <c r="A80" s="2" t="s">
        <v>457</v>
      </c>
      <c r="B80" s="2" t="s">
        <v>458</v>
      </c>
      <c r="C80" s="2" t="s">
        <v>15</v>
      </c>
      <c r="D80" s="2" t="s">
        <v>228</v>
      </c>
      <c r="E80" s="4">
        <v>139.99</v>
      </c>
      <c r="F80" s="4">
        <v>5679.67</v>
      </c>
      <c r="G80" s="3">
        <v>43</v>
      </c>
      <c r="H80" s="6">
        <v>4.5999999999999996</v>
      </c>
      <c r="I80" s="3">
        <v>115</v>
      </c>
      <c r="J80" s="17" t="str">
        <f>HYPERLINK("https://amazon.com/dp/B0GGLZCT28","Amazon - B0GGLZCT28")</f>
        <v>Amazon - B0GGLZCT28</v>
      </c>
      <c r="K80" s="18" t="s">
        <v>229</v>
      </c>
      <c r="L80" s="18" t="s">
        <v>230</v>
      </c>
      <c r="M80" s="18" t="s">
        <v>242</v>
      </c>
      <c r="N80" s="18" t="s">
        <v>253</v>
      </c>
      <c r="O80" s="18" t="s">
        <v>233</v>
      </c>
      <c r="P80" s="18" t="s">
        <v>239</v>
      </c>
    </row>
    <row r="81" spans="1:16" ht="45" x14ac:dyDescent="0.2">
      <c r="A81" s="2" t="s">
        <v>459</v>
      </c>
      <c r="B81" s="2" t="s">
        <v>460</v>
      </c>
      <c r="C81" s="2" t="s">
        <v>23</v>
      </c>
      <c r="D81" s="2" t="s">
        <v>228</v>
      </c>
      <c r="E81" s="4">
        <v>189.99</v>
      </c>
      <c r="F81" s="4">
        <v>5665.87</v>
      </c>
      <c r="G81" s="3">
        <v>30</v>
      </c>
      <c r="H81" s="6">
        <v>4.3</v>
      </c>
      <c r="I81" s="3">
        <v>25</v>
      </c>
      <c r="J81" s="17" t="str">
        <f>HYPERLINK("https://amazon.com/dp/B0FSQFN58Q","Amazon - B0FSQFN58Q")</f>
        <v>Amazon - B0FSQFN58Q</v>
      </c>
      <c r="K81" s="18" t="s">
        <v>229</v>
      </c>
      <c r="L81" s="18" t="s">
        <v>230</v>
      </c>
      <c r="M81" s="18" t="s">
        <v>242</v>
      </c>
      <c r="N81" s="18" t="s">
        <v>265</v>
      </c>
      <c r="O81" s="18" t="s">
        <v>233</v>
      </c>
      <c r="P81" s="18" t="s">
        <v>278</v>
      </c>
    </row>
    <row r="82" spans="1:16" ht="45" x14ac:dyDescent="0.2">
      <c r="A82" s="2" t="s">
        <v>461</v>
      </c>
      <c r="B82" s="2" t="s">
        <v>462</v>
      </c>
      <c r="C82" s="2" t="s">
        <v>18</v>
      </c>
      <c r="D82" s="2" t="s">
        <v>228</v>
      </c>
      <c r="E82" s="4">
        <v>78.25</v>
      </c>
      <c r="F82" s="4">
        <v>5431.17</v>
      </c>
      <c r="G82" s="3">
        <v>63</v>
      </c>
      <c r="H82" s="6">
        <v>4.4000000000000004</v>
      </c>
      <c r="I82" s="3">
        <v>171</v>
      </c>
      <c r="J82" s="17" t="str">
        <f>HYPERLINK("https://amazon.com/dp/B0CW67ZYP1","Amazon - B0CW67ZYP1")</f>
        <v>Amazon - B0CW67ZYP1</v>
      </c>
      <c r="K82" s="18" t="s">
        <v>229</v>
      </c>
      <c r="L82" s="18" t="s">
        <v>230</v>
      </c>
      <c r="M82" s="18" t="s">
        <v>242</v>
      </c>
      <c r="N82" s="18" t="s">
        <v>271</v>
      </c>
      <c r="O82" s="18" t="s">
        <v>233</v>
      </c>
      <c r="P82" s="18" t="s">
        <v>234</v>
      </c>
    </row>
    <row r="83" spans="1:16" ht="45" x14ac:dyDescent="0.2">
      <c r="A83" s="2" t="s">
        <v>377</v>
      </c>
      <c r="B83" s="2" t="s">
        <v>378</v>
      </c>
      <c r="C83" s="2" t="s">
        <v>28</v>
      </c>
      <c r="D83" s="2" t="s">
        <v>228</v>
      </c>
      <c r="E83" s="4">
        <v>33.99</v>
      </c>
      <c r="F83" s="4">
        <v>5401.82</v>
      </c>
      <c r="G83" s="3">
        <v>159</v>
      </c>
      <c r="H83" s="6">
        <v>4</v>
      </c>
      <c r="I83" s="3">
        <v>334</v>
      </c>
      <c r="J83" s="17" t="str">
        <f>HYPERLINK("https://amazon.com/dp/B0F13SHCYH","Amazon - B0F13SHCYH")</f>
        <v>Amazon - B0F13SHCYH</v>
      </c>
      <c r="K83" s="18" t="s">
        <v>229</v>
      </c>
      <c r="L83" s="18" t="s">
        <v>230</v>
      </c>
      <c r="M83" s="18" t="s">
        <v>237</v>
      </c>
      <c r="N83" s="18" t="s">
        <v>271</v>
      </c>
      <c r="O83" s="18" t="s">
        <v>246</v>
      </c>
      <c r="P83" s="18" t="s">
        <v>379</v>
      </c>
    </row>
    <row r="84" spans="1:16" ht="45" x14ac:dyDescent="0.2">
      <c r="A84" s="2" t="s">
        <v>463</v>
      </c>
      <c r="B84" s="2" t="s">
        <v>464</v>
      </c>
      <c r="C84" s="2" t="s">
        <v>24</v>
      </c>
      <c r="D84" s="2" t="s">
        <v>228</v>
      </c>
      <c r="E84" s="4">
        <v>79.73</v>
      </c>
      <c r="F84" s="4">
        <v>5345.06</v>
      </c>
      <c r="G84" s="3">
        <v>67</v>
      </c>
      <c r="H84" s="6">
        <v>4.5</v>
      </c>
      <c r="I84" s="3">
        <v>72</v>
      </c>
      <c r="J84" s="17" t="str">
        <f>HYPERLINK("https://amazon.com/dp/B0F8B96XV6","Amazon - B0F8B96XV6")</f>
        <v>Amazon - B0F8B96XV6</v>
      </c>
      <c r="K84" s="18" t="s">
        <v>229</v>
      </c>
      <c r="L84" s="18" t="s">
        <v>251</v>
      </c>
      <c r="M84" s="18" t="s">
        <v>242</v>
      </c>
      <c r="N84" s="18" t="s">
        <v>296</v>
      </c>
      <c r="O84" s="18" t="s">
        <v>233</v>
      </c>
      <c r="P84" s="18" t="s">
        <v>234</v>
      </c>
    </row>
    <row r="85" spans="1:16" ht="30" x14ac:dyDescent="0.2">
      <c r="A85" s="2" t="s">
        <v>465</v>
      </c>
      <c r="B85" s="2" t="s">
        <v>466</v>
      </c>
      <c r="C85" s="2" t="s">
        <v>35</v>
      </c>
      <c r="D85" s="2" t="s">
        <v>228</v>
      </c>
      <c r="E85" s="4">
        <v>659.99</v>
      </c>
      <c r="F85" s="4">
        <v>5020.25</v>
      </c>
      <c r="G85" s="3">
        <v>8</v>
      </c>
      <c r="H85" s="6">
        <v>4.2</v>
      </c>
      <c r="I85" s="3">
        <v>158</v>
      </c>
      <c r="J85" s="17" t="str">
        <f>HYPERLINK("https://amazon.com/dp/B093SVJZRZ","Amazon - B093SVJZRZ")</f>
        <v>Amazon - B093SVJZRZ</v>
      </c>
      <c r="K85" s="18" t="s">
        <v>229</v>
      </c>
      <c r="L85" s="18" t="s">
        <v>230</v>
      </c>
      <c r="M85" s="18" t="s">
        <v>242</v>
      </c>
      <c r="N85" s="18" t="s">
        <v>271</v>
      </c>
      <c r="O85" s="18" t="s">
        <v>233</v>
      </c>
      <c r="P85" s="18" t="s">
        <v>467</v>
      </c>
    </row>
    <row r="86" spans="1:16" ht="45" x14ac:dyDescent="0.2">
      <c r="A86" s="2" t="s">
        <v>468</v>
      </c>
      <c r="B86" s="2" t="s">
        <v>469</v>
      </c>
      <c r="C86" s="2" t="s">
        <v>13</v>
      </c>
      <c r="D86" s="2" t="s">
        <v>228</v>
      </c>
      <c r="E86" s="4">
        <v>64.900000000000006</v>
      </c>
      <c r="F86" s="4">
        <v>5011.2700000000004</v>
      </c>
      <c r="G86" s="3">
        <v>77</v>
      </c>
      <c r="H86" s="6">
        <v>4.4000000000000004</v>
      </c>
      <c r="I86" s="3">
        <v>250</v>
      </c>
      <c r="J86" s="17" t="str">
        <f>HYPERLINK("https://amazon.com/dp/B0DHRTVQZB","Amazon - B0DHRTVQZB")</f>
        <v>Amazon - B0DHRTVQZB</v>
      </c>
      <c r="K86" s="18" t="s">
        <v>229</v>
      </c>
      <c r="L86" s="18" t="s">
        <v>230</v>
      </c>
      <c r="M86" s="18" t="s">
        <v>242</v>
      </c>
      <c r="N86" s="18" t="s">
        <v>271</v>
      </c>
      <c r="O86" s="18" t="s">
        <v>316</v>
      </c>
      <c r="P86" s="18" t="s">
        <v>305</v>
      </c>
    </row>
    <row r="87" spans="1:16" ht="45" x14ac:dyDescent="0.2">
      <c r="A87" s="2" t="s">
        <v>365</v>
      </c>
      <c r="B87" s="2" t="s">
        <v>366</v>
      </c>
      <c r="C87" s="2" t="s">
        <v>28</v>
      </c>
      <c r="D87" s="2" t="s">
        <v>228</v>
      </c>
      <c r="E87" s="4">
        <v>19.989999999999998</v>
      </c>
      <c r="F87" s="4">
        <v>4951.38</v>
      </c>
      <c r="G87" s="3">
        <v>248</v>
      </c>
      <c r="H87" s="6">
        <v>4.4000000000000004</v>
      </c>
      <c r="I87" s="3">
        <v>53</v>
      </c>
      <c r="J87" s="17" t="str">
        <f>HYPERLINK("https://amazon.com/dp/B0G6L4JSWF","Amazon - B0G6L4JSWF")</f>
        <v>Amazon - B0G6L4JSWF</v>
      </c>
      <c r="K87" s="18" t="s">
        <v>229</v>
      </c>
      <c r="L87" s="18" t="s">
        <v>230</v>
      </c>
      <c r="M87" s="18" t="s">
        <v>237</v>
      </c>
      <c r="N87" s="18" t="s">
        <v>271</v>
      </c>
      <c r="O87" s="18" t="s">
        <v>246</v>
      </c>
      <c r="P87" s="18" t="s">
        <v>305</v>
      </c>
    </row>
    <row r="88" spans="1:16" ht="30" x14ac:dyDescent="0.2">
      <c r="A88" s="2" t="s">
        <v>470</v>
      </c>
      <c r="B88" s="2" t="s">
        <v>471</v>
      </c>
      <c r="C88" s="2" t="s">
        <v>8</v>
      </c>
      <c r="D88" s="2" t="s">
        <v>228</v>
      </c>
      <c r="E88" s="4">
        <v>89.99</v>
      </c>
      <c r="F88" s="4">
        <v>4889.8999999999996</v>
      </c>
      <c r="G88" s="3">
        <v>54</v>
      </c>
      <c r="H88" s="6">
        <v>4.5999999999999996</v>
      </c>
      <c r="I88" s="3">
        <v>51</v>
      </c>
      <c r="J88" s="17" t="str">
        <f>HYPERLINK("https://amazon.com/dp/B08QCCZHC6","Amazon - B08QCCZHC6")</f>
        <v>Amazon - B08QCCZHC6</v>
      </c>
      <c r="K88" s="18" t="s">
        <v>229</v>
      </c>
      <c r="L88" s="18" t="s">
        <v>230</v>
      </c>
      <c r="M88" s="18" t="s">
        <v>271</v>
      </c>
      <c r="N88" s="18" t="s">
        <v>243</v>
      </c>
      <c r="O88" s="18" t="s">
        <v>246</v>
      </c>
      <c r="P88" s="18" t="s">
        <v>278</v>
      </c>
    </row>
    <row r="89" spans="1:16" ht="45" x14ac:dyDescent="0.2">
      <c r="A89" s="2" t="s">
        <v>472</v>
      </c>
      <c r="B89" s="2" t="s">
        <v>473</v>
      </c>
      <c r="C89" s="2" t="s">
        <v>27</v>
      </c>
      <c r="D89" s="2" t="s">
        <v>228</v>
      </c>
      <c r="E89" s="4">
        <v>89.99</v>
      </c>
      <c r="F89" s="4">
        <v>4797.3999999999996</v>
      </c>
      <c r="G89" s="3">
        <v>51</v>
      </c>
      <c r="H89" s="6">
        <v>5</v>
      </c>
      <c r="I89" s="3">
        <v>9</v>
      </c>
      <c r="J89" s="17" t="str">
        <f>HYPERLINK("https://amazon.com/dp/B0FJF9SXSR","Amazon - B0FJF9SXSR")</f>
        <v>Amazon - B0FJF9SXSR</v>
      </c>
      <c r="K89" s="18" t="s">
        <v>229</v>
      </c>
      <c r="L89" s="18" t="s">
        <v>230</v>
      </c>
      <c r="M89" s="18" t="s">
        <v>237</v>
      </c>
      <c r="N89" s="18" t="s">
        <v>253</v>
      </c>
      <c r="O89" s="18" t="s">
        <v>233</v>
      </c>
      <c r="P89" s="18" t="s">
        <v>278</v>
      </c>
    </row>
    <row r="90" spans="1:16" ht="45" x14ac:dyDescent="0.2">
      <c r="A90" s="2" t="s">
        <v>474</v>
      </c>
      <c r="B90" s="2" t="s">
        <v>475</v>
      </c>
      <c r="C90" s="2" t="s">
        <v>11</v>
      </c>
      <c r="D90" s="2" t="s">
        <v>228</v>
      </c>
      <c r="E90" s="4">
        <v>329.99</v>
      </c>
      <c r="F90" s="4">
        <v>4751.9399999999996</v>
      </c>
      <c r="G90" s="3">
        <v>14</v>
      </c>
      <c r="H90" s="6">
        <v>4.3</v>
      </c>
      <c r="I90" s="3">
        <v>66</v>
      </c>
      <c r="J90" s="17" t="str">
        <f>HYPERLINK("https://amazon.com/dp/B0FJLL4LY1","Amazon - B0FJLL4LY1")</f>
        <v>Amazon - B0FJLL4LY1</v>
      </c>
      <c r="K90" s="18" t="s">
        <v>229</v>
      </c>
      <c r="L90" s="18" t="s">
        <v>230</v>
      </c>
      <c r="M90" s="18" t="s">
        <v>242</v>
      </c>
      <c r="N90" s="18" t="s">
        <v>265</v>
      </c>
      <c r="O90" s="18" t="s">
        <v>233</v>
      </c>
      <c r="P90" s="18" t="s">
        <v>234</v>
      </c>
    </row>
    <row r="91" spans="1:16" ht="45" x14ac:dyDescent="0.2">
      <c r="A91" s="2" t="s">
        <v>476</v>
      </c>
      <c r="B91" s="2" t="s">
        <v>477</v>
      </c>
      <c r="C91" s="2" t="s">
        <v>11</v>
      </c>
      <c r="D91" s="2" t="s">
        <v>228</v>
      </c>
      <c r="E91" s="4">
        <v>129.99</v>
      </c>
      <c r="F91" s="4">
        <v>4702.68</v>
      </c>
      <c r="G91" s="3">
        <v>36</v>
      </c>
      <c r="H91" s="6">
        <v>4.5999999999999996</v>
      </c>
      <c r="I91" s="3">
        <v>65</v>
      </c>
      <c r="J91" s="17" t="str">
        <f>HYPERLINK("https://amazon.com/dp/B0FZT8LXG2","Amazon - B0FZT8LXG2")</f>
        <v>Amazon - B0FZT8LXG2</v>
      </c>
      <c r="K91" s="18" t="s">
        <v>229</v>
      </c>
      <c r="L91" s="18" t="s">
        <v>230</v>
      </c>
      <c r="M91" s="18" t="s">
        <v>242</v>
      </c>
      <c r="N91" s="18" t="s">
        <v>296</v>
      </c>
      <c r="O91" s="18" t="s">
        <v>233</v>
      </c>
      <c r="P91" s="18" t="s">
        <v>234</v>
      </c>
    </row>
    <row r="92" spans="1:16" ht="45" x14ac:dyDescent="0.2">
      <c r="A92" s="2" t="s">
        <v>478</v>
      </c>
      <c r="B92" s="2" t="s">
        <v>479</v>
      </c>
      <c r="C92" s="2" t="s">
        <v>41</v>
      </c>
      <c r="D92" s="2" t="s">
        <v>228</v>
      </c>
      <c r="E92" s="4">
        <v>112.99</v>
      </c>
      <c r="F92" s="4">
        <v>4645.54</v>
      </c>
      <c r="G92" s="3">
        <v>38</v>
      </c>
      <c r="H92" s="6">
        <v>4.4000000000000004</v>
      </c>
      <c r="I92" s="3">
        <v>75</v>
      </c>
      <c r="J92" s="17" t="str">
        <f>HYPERLINK("https://amazon.com/dp/B0DPQ2HV9T","Amazon - B0DPQ2HV9T")</f>
        <v>Amazon - B0DPQ2HV9T</v>
      </c>
      <c r="K92" s="18" t="s">
        <v>229</v>
      </c>
      <c r="L92" s="18" t="s">
        <v>230</v>
      </c>
      <c r="M92" s="18" t="s">
        <v>242</v>
      </c>
      <c r="N92" s="18" t="s">
        <v>253</v>
      </c>
      <c r="O92" s="18" t="s">
        <v>246</v>
      </c>
      <c r="P92" s="18" t="s">
        <v>234</v>
      </c>
    </row>
    <row r="93" spans="1:16" ht="45" x14ac:dyDescent="0.2">
      <c r="A93" s="2" t="s">
        <v>373</v>
      </c>
      <c r="B93" s="2" t="s">
        <v>374</v>
      </c>
      <c r="C93" s="2" t="s">
        <v>42</v>
      </c>
      <c r="D93" s="2" t="s">
        <v>228</v>
      </c>
      <c r="E93" s="4">
        <v>28.99</v>
      </c>
      <c r="F93" s="4">
        <v>4630.7700000000004</v>
      </c>
      <c r="G93" s="3">
        <v>165</v>
      </c>
      <c r="H93" s="6">
        <v>4.5</v>
      </c>
      <c r="I93" s="3">
        <v>592</v>
      </c>
      <c r="J93" s="17" t="str">
        <f>HYPERLINK("https://amazon.com/dp/B0D5QZBDRX","Amazon - B0D5QZBDRX")</f>
        <v>Amazon - B0D5QZBDRX</v>
      </c>
      <c r="K93" s="18" t="s">
        <v>229</v>
      </c>
      <c r="L93" s="18" t="s">
        <v>230</v>
      </c>
      <c r="M93" s="18" t="s">
        <v>237</v>
      </c>
      <c r="N93" s="18" t="s">
        <v>271</v>
      </c>
      <c r="O93" s="18" t="s">
        <v>233</v>
      </c>
      <c r="P93" s="18" t="s">
        <v>305</v>
      </c>
    </row>
    <row r="94" spans="1:16" ht="30" x14ac:dyDescent="0.2">
      <c r="A94" s="2" t="s">
        <v>480</v>
      </c>
      <c r="B94" s="2" t="s">
        <v>481</v>
      </c>
      <c r="C94" s="2" t="s">
        <v>31</v>
      </c>
      <c r="D94" s="2" t="s">
        <v>228</v>
      </c>
      <c r="E94" s="4">
        <v>149.99</v>
      </c>
      <c r="F94" s="4">
        <v>4590.6400000000003</v>
      </c>
      <c r="G94" s="3">
        <v>47</v>
      </c>
      <c r="H94" s="6">
        <v>4.9000000000000004</v>
      </c>
      <c r="I94" s="3">
        <v>57</v>
      </c>
      <c r="J94" s="17" t="str">
        <f>HYPERLINK("https://amazon.com/dp/B0FDF9WVNK","Amazon - B0FDF9WVNK")</f>
        <v>Amazon - B0FDF9WVNK</v>
      </c>
      <c r="K94" s="18" t="s">
        <v>229</v>
      </c>
      <c r="L94" s="18" t="s">
        <v>230</v>
      </c>
      <c r="M94" s="18" t="s">
        <v>242</v>
      </c>
      <c r="N94" s="18" t="s">
        <v>271</v>
      </c>
      <c r="O94" s="18" t="s">
        <v>246</v>
      </c>
      <c r="P94" s="18" t="s">
        <v>234</v>
      </c>
    </row>
    <row r="95" spans="1:16" ht="45" x14ac:dyDescent="0.2">
      <c r="A95" s="2" t="s">
        <v>482</v>
      </c>
      <c r="B95" s="2" t="s">
        <v>483</v>
      </c>
      <c r="C95" s="2" t="s">
        <v>43</v>
      </c>
      <c r="D95" s="2" t="s">
        <v>228</v>
      </c>
      <c r="E95" s="4">
        <v>259.99</v>
      </c>
      <c r="F95" s="4">
        <v>4573.26</v>
      </c>
      <c r="G95" s="3">
        <v>15</v>
      </c>
      <c r="H95" s="6">
        <v>4.5</v>
      </c>
      <c r="I95" s="3">
        <v>18</v>
      </c>
      <c r="J95" s="17" t="str">
        <f>HYPERLINK("https://amazon.com/dp/B0DZFTBJXN","Amazon - B0DZFTBJXN")</f>
        <v>Amazon - B0DZFTBJXN</v>
      </c>
      <c r="K95" s="18" t="s">
        <v>229</v>
      </c>
      <c r="L95" s="18" t="s">
        <v>230</v>
      </c>
      <c r="M95" s="18" t="s">
        <v>242</v>
      </c>
      <c r="N95" s="18" t="s">
        <v>274</v>
      </c>
      <c r="O95" s="18" t="s">
        <v>233</v>
      </c>
      <c r="P95" s="18" t="s">
        <v>234</v>
      </c>
    </row>
    <row r="96" spans="1:16" ht="45" x14ac:dyDescent="0.2">
      <c r="A96" s="2" t="s">
        <v>390</v>
      </c>
      <c r="B96" s="2" t="s">
        <v>391</v>
      </c>
      <c r="C96" s="2" t="s">
        <v>12</v>
      </c>
      <c r="D96" s="2" t="s">
        <v>228</v>
      </c>
      <c r="E96" s="4">
        <v>33.99</v>
      </c>
      <c r="F96" s="4">
        <v>4551.79</v>
      </c>
      <c r="G96" s="3">
        <v>119</v>
      </c>
      <c r="H96" s="6">
        <v>4.5</v>
      </c>
      <c r="I96" s="3">
        <v>430</v>
      </c>
      <c r="J96" s="17" t="str">
        <f>HYPERLINK("https://amazon.com/dp/B0C9L96KF7","Amazon - B0C9L96KF7")</f>
        <v>Amazon - B0C9L96KF7</v>
      </c>
      <c r="K96" s="18" t="s">
        <v>229</v>
      </c>
      <c r="L96" s="18" t="s">
        <v>230</v>
      </c>
      <c r="M96" s="18" t="s">
        <v>237</v>
      </c>
      <c r="N96" s="18" t="s">
        <v>271</v>
      </c>
      <c r="O96" s="18" t="s">
        <v>233</v>
      </c>
      <c r="P96" s="18" t="s">
        <v>351</v>
      </c>
    </row>
    <row r="97" spans="1:16" ht="45" x14ac:dyDescent="0.2">
      <c r="A97" s="2" t="s">
        <v>484</v>
      </c>
      <c r="B97" s="2" t="s">
        <v>485</v>
      </c>
      <c r="C97" s="2" t="s">
        <v>8</v>
      </c>
      <c r="D97" s="2" t="s">
        <v>228</v>
      </c>
      <c r="E97" s="4">
        <v>89.99</v>
      </c>
      <c r="F97" s="4">
        <v>4496.2</v>
      </c>
      <c r="G97" s="3">
        <v>50</v>
      </c>
      <c r="H97" s="6">
        <v>4.3</v>
      </c>
      <c r="I97" s="3">
        <v>178</v>
      </c>
      <c r="J97" s="17" t="str">
        <f>HYPERLINK("https://amazon.com/dp/B09YGNWL44","Amazon - B09YGNWL44")</f>
        <v>Amazon - B09YGNWL44</v>
      </c>
      <c r="K97" s="18" t="s">
        <v>229</v>
      </c>
      <c r="L97" s="18" t="s">
        <v>230</v>
      </c>
      <c r="M97" s="18" t="s">
        <v>231</v>
      </c>
      <c r="N97" s="18" t="s">
        <v>243</v>
      </c>
      <c r="O97" s="18" t="s">
        <v>246</v>
      </c>
      <c r="P97" s="18" t="s">
        <v>234</v>
      </c>
    </row>
    <row r="98" spans="1:16" ht="45" x14ac:dyDescent="0.2">
      <c r="A98" s="2" t="s">
        <v>486</v>
      </c>
      <c r="B98" s="2" t="s">
        <v>487</v>
      </c>
      <c r="C98" s="2" t="s">
        <v>23</v>
      </c>
      <c r="D98" s="2" t="s">
        <v>228</v>
      </c>
      <c r="E98" s="4">
        <v>249.99</v>
      </c>
      <c r="F98" s="4">
        <v>4457.29</v>
      </c>
      <c r="G98" s="3">
        <v>21</v>
      </c>
      <c r="H98" s="6">
        <v>4.5</v>
      </c>
      <c r="I98" s="3">
        <v>145</v>
      </c>
      <c r="J98" s="17" t="str">
        <f>HYPERLINK("https://amazon.com/dp/B0F21RD15V","Amazon - B0F21RD15V")</f>
        <v>Amazon - B0F21RD15V</v>
      </c>
      <c r="K98" s="18" t="s">
        <v>229</v>
      </c>
      <c r="L98" s="18" t="s">
        <v>251</v>
      </c>
      <c r="M98" s="18" t="s">
        <v>242</v>
      </c>
      <c r="N98" s="18" t="s">
        <v>296</v>
      </c>
      <c r="O98" s="18" t="s">
        <v>246</v>
      </c>
      <c r="P98" s="18" t="s">
        <v>234</v>
      </c>
    </row>
    <row r="99" spans="1:16" ht="45" x14ac:dyDescent="0.2">
      <c r="A99" s="2" t="s">
        <v>488</v>
      </c>
      <c r="B99" s="2" t="s">
        <v>489</v>
      </c>
      <c r="C99" s="2" t="s">
        <v>13</v>
      </c>
      <c r="D99" s="2" t="s">
        <v>228</v>
      </c>
      <c r="E99" s="4">
        <v>73.989999999999995</v>
      </c>
      <c r="F99" s="4">
        <v>4432.22</v>
      </c>
      <c r="G99" s="3">
        <v>60</v>
      </c>
      <c r="H99" s="6">
        <v>4.2</v>
      </c>
      <c r="I99" s="3">
        <v>316</v>
      </c>
      <c r="J99" s="17" t="str">
        <f>HYPERLINK("https://amazon.com/dp/B0C2Z9ZK9F","Amazon - B0C2Z9ZK9F")</f>
        <v>Amazon - B0C2Z9ZK9F</v>
      </c>
      <c r="K99" s="18" t="s">
        <v>229</v>
      </c>
      <c r="L99" s="18" t="s">
        <v>230</v>
      </c>
      <c r="M99" s="18" t="s">
        <v>242</v>
      </c>
      <c r="N99" s="18" t="s">
        <v>271</v>
      </c>
      <c r="O99" s="18" t="s">
        <v>316</v>
      </c>
      <c r="P99" s="18" t="s">
        <v>305</v>
      </c>
    </row>
    <row r="100" spans="1:16" ht="45" x14ac:dyDescent="0.2">
      <c r="A100" s="2" t="s">
        <v>490</v>
      </c>
      <c r="B100" s="2" t="s">
        <v>491</v>
      </c>
      <c r="C100" s="2" t="s">
        <v>37</v>
      </c>
      <c r="D100" s="2" t="s">
        <v>228</v>
      </c>
      <c r="E100" s="4">
        <v>249</v>
      </c>
      <c r="F100" s="4">
        <v>4322.29</v>
      </c>
      <c r="G100" s="3">
        <v>17</v>
      </c>
      <c r="H100" s="6">
        <v>4.5</v>
      </c>
      <c r="I100" s="3">
        <v>43</v>
      </c>
      <c r="J100" s="17" t="str">
        <f>HYPERLINK("https://amazon.com/dp/B085L57J5W","Amazon - B085L57J5W")</f>
        <v>Amazon - B085L57J5W</v>
      </c>
      <c r="K100" s="18" t="s">
        <v>229</v>
      </c>
      <c r="L100" s="18" t="s">
        <v>251</v>
      </c>
      <c r="M100" s="18" t="s">
        <v>271</v>
      </c>
      <c r="N100" s="18" t="s">
        <v>271</v>
      </c>
      <c r="O100" s="18" t="s">
        <v>246</v>
      </c>
      <c r="P100" s="18" t="s">
        <v>271</v>
      </c>
    </row>
    <row r="101" spans="1:16" ht="45" x14ac:dyDescent="0.2">
      <c r="A101" s="2" t="s">
        <v>492</v>
      </c>
      <c r="B101" s="2" t="s">
        <v>493</v>
      </c>
      <c r="C101" s="2" t="s">
        <v>40</v>
      </c>
      <c r="D101" s="2" t="s">
        <v>228</v>
      </c>
      <c r="E101" s="4">
        <v>49.99</v>
      </c>
      <c r="F101" s="4">
        <v>4286.72</v>
      </c>
      <c r="G101" s="3">
        <v>84</v>
      </c>
      <c r="H101" s="6">
        <v>4.3</v>
      </c>
      <c r="I101" s="3">
        <v>3838</v>
      </c>
      <c r="J101" s="17" t="str">
        <f>HYPERLINK("https://amazon.com/dp/B07PBW52SF","Amazon - B07PBW52SF")</f>
        <v>Amazon - B07PBW52SF</v>
      </c>
      <c r="K101" s="18" t="s">
        <v>229</v>
      </c>
      <c r="L101" s="18" t="s">
        <v>230</v>
      </c>
      <c r="M101" s="18" t="s">
        <v>237</v>
      </c>
      <c r="N101" s="18" t="s">
        <v>243</v>
      </c>
      <c r="O101" s="18" t="s">
        <v>233</v>
      </c>
      <c r="P101" s="18" t="s">
        <v>351</v>
      </c>
    </row>
    <row r="102" spans="1:16" ht="45" x14ac:dyDescent="0.2">
      <c r="A102" s="2" t="s">
        <v>494</v>
      </c>
      <c r="B102" s="2" t="s">
        <v>495</v>
      </c>
      <c r="C102" s="2" t="s">
        <v>21</v>
      </c>
      <c r="D102" s="2" t="s">
        <v>228</v>
      </c>
      <c r="E102" s="4">
        <v>269.99</v>
      </c>
      <c r="F102" s="4">
        <v>4212.96</v>
      </c>
      <c r="G102" s="3">
        <v>16</v>
      </c>
      <c r="H102" s="6">
        <v>4.5</v>
      </c>
      <c r="I102" s="3">
        <v>33</v>
      </c>
      <c r="J102" s="17" t="str">
        <f>HYPERLINK("https://amazon.com/dp/B0F3X42K51","Amazon - B0F3X42K51")</f>
        <v>Amazon - B0F3X42K51</v>
      </c>
      <c r="K102" s="18" t="s">
        <v>229</v>
      </c>
      <c r="L102" s="18" t="s">
        <v>251</v>
      </c>
      <c r="M102" s="18" t="s">
        <v>242</v>
      </c>
      <c r="N102" s="18" t="s">
        <v>296</v>
      </c>
      <c r="O102" s="18" t="s">
        <v>233</v>
      </c>
      <c r="P102" s="18" t="s">
        <v>278</v>
      </c>
    </row>
    <row r="103" spans="1:16" ht="45" x14ac:dyDescent="0.2">
      <c r="A103" s="2" t="s">
        <v>496</v>
      </c>
      <c r="B103" s="2" t="s">
        <v>497</v>
      </c>
      <c r="C103" s="2" t="s">
        <v>13</v>
      </c>
      <c r="D103" s="2" t="s">
        <v>228</v>
      </c>
      <c r="E103" s="4">
        <v>39.9</v>
      </c>
      <c r="F103" s="4">
        <v>4178.0600000000004</v>
      </c>
      <c r="G103" s="3">
        <v>101</v>
      </c>
      <c r="H103" s="6">
        <v>4.4000000000000004</v>
      </c>
      <c r="I103" s="3">
        <v>250</v>
      </c>
      <c r="J103" s="17" t="str">
        <f>HYPERLINK("https://amazon.com/dp/B0DJGFL6B8","Amazon - B0DJGFL6B8")</f>
        <v>Amazon - B0DJGFL6B8</v>
      </c>
      <c r="K103" s="18" t="s">
        <v>229</v>
      </c>
      <c r="L103" s="18" t="s">
        <v>230</v>
      </c>
      <c r="M103" s="18" t="s">
        <v>237</v>
      </c>
      <c r="N103" s="18" t="s">
        <v>271</v>
      </c>
      <c r="O103" s="18" t="s">
        <v>246</v>
      </c>
      <c r="P103" s="18" t="s">
        <v>305</v>
      </c>
    </row>
    <row r="104" spans="1:16" ht="45" x14ac:dyDescent="0.2">
      <c r="A104" s="2" t="s">
        <v>375</v>
      </c>
      <c r="B104" s="2" t="s">
        <v>376</v>
      </c>
      <c r="C104" s="2" t="s">
        <v>45</v>
      </c>
      <c r="D104" s="2" t="s">
        <v>228</v>
      </c>
      <c r="E104" s="4">
        <v>23.99</v>
      </c>
      <c r="F104" s="4">
        <v>4107.04</v>
      </c>
      <c r="G104" s="3">
        <v>165</v>
      </c>
      <c r="H104" s="6">
        <v>4.5</v>
      </c>
      <c r="I104" s="3">
        <v>33</v>
      </c>
      <c r="J104" s="17" t="str">
        <f>HYPERLINK("https://amazon.com/dp/B0FHWCZ5RB","Amazon - B0FHWCZ5RB")</f>
        <v>Amazon - B0FHWCZ5RB</v>
      </c>
      <c r="K104" s="18" t="s">
        <v>286</v>
      </c>
      <c r="L104" s="18" t="s">
        <v>230</v>
      </c>
      <c r="M104" s="18" t="s">
        <v>237</v>
      </c>
      <c r="N104" s="18" t="s">
        <v>271</v>
      </c>
      <c r="O104" s="18" t="s">
        <v>233</v>
      </c>
      <c r="P104" s="18" t="s">
        <v>305</v>
      </c>
    </row>
    <row r="105" spans="1:16" ht="30" x14ac:dyDescent="0.2">
      <c r="A105" s="2" t="s">
        <v>498</v>
      </c>
      <c r="B105" s="2" t="s">
        <v>499</v>
      </c>
      <c r="C105" s="2" t="s">
        <v>25</v>
      </c>
      <c r="D105" s="2" t="s">
        <v>285</v>
      </c>
      <c r="E105" s="4">
        <v>235.8</v>
      </c>
      <c r="F105" s="4">
        <v>4053.15</v>
      </c>
      <c r="G105" s="3">
        <v>17</v>
      </c>
      <c r="H105" s="6">
        <v>3.9</v>
      </c>
      <c r="I105" s="3">
        <v>202</v>
      </c>
      <c r="J105" s="17" t="str">
        <f>HYPERLINK("https://amazon.com/dp/B00GY7C9ZW","Amazon - B00GY7C9ZW")</f>
        <v>Amazon - B00GY7C9ZW</v>
      </c>
      <c r="K105" s="18" t="s">
        <v>229</v>
      </c>
      <c r="L105" s="18" t="s">
        <v>230</v>
      </c>
      <c r="M105" s="18" t="s">
        <v>242</v>
      </c>
      <c r="N105" s="18" t="s">
        <v>238</v>
      </c>
      <c r="O105" s="18" t="s">
        <v>233</v>
      </c>
      <c r="P105" s="18" t="s">
        <v>234</v>
      </c>
    </row>
    <row r="106" spans="1:16" ht="45" x14ac:dyDescent="0.2">
      <c r="A106" s="2" t="s">
        <v>500</v>
      </c>
      <c r="B106" s="2" t="s">
        <v>501</v>
      </c>
      <c r="C106" s="2" t="s">
        <v>22</v>
      </c>
      <c r="D106" s="2" t="s">
        <v>228</v>
      </c>
      <c r="E106" s="4">
        <v>359.99</v>
      </c>
      <c r="F106" s="4">
        <v>3985.5</v>
      </c>
      <c r="G106" s="3">
        <v>10</v>
      </c>
      <c r="H106" s="6">
        <v>4.8</v>
      </c>
      <c r="I106" s="3">
        <v>9</v>
      </c>
      <c r="J106" s="17" t="str">
        <f>HYPERLINK("https://amazon.com/dp/B0FXLZZPF2","Amazon - B0FXLZZPF2")</f>
        <v>Amazon - B0FXLZZPF2</v>
      </c>
      <c r="K106" s="18" t="s">
        <v>229</v>
      </c>
      <c r="L106" s="18" t="s">
        <v>251</v>
      </c>
      <c r="M106" s="18" t="s">
        <v>242</v>
      </c>
      <c r="N106" s="18" t="s">
        <v>274</v>
      </c>
      <c r="O106" s="18" t="s">
        <v>233</v>
      </c>
      <c r="P106" s="18" t="s">
        <v>234</v>
      </c>
    </row>
    <row r="107" spans="1:16" x14ac:dyDescent="0.2">
      <c r="A107" s="2" t="s">
        <v>502</v>
      </c>
      <c r="B107" s="2" t="s">
        <v>503</v>
      </c>
      <c r="C107" s="2" t="s">
        <v>38</v>
      </c>
      <c r="D107" s="2" t="s">
        <v>228</v>
      </c>
      <c r="E107" s="4">
        <v>114.94</v>
      </c>
      <c r="F107" s="4">
        <v>3853.46</v>
      </c>
      <c r="G107" s="3">
        <v>38</v>
      </c>
      <c r="H107" s="6">
        <v>4.5</v>
      </c>
      <c r="I107" s="3">
        <v>328</v>
      </c>
      <c r="J107" s="17" t="str">
        <f>HYPERLINK("https://amazon.com/dp/B008H1EAOQ","Amazon - B008H1EAOQ")</f>
        <v>Amazon - B008H1EAOQ</v>
      </c>
      <c r="K107" s="18" t="s">
        <v>229</v>
      </c>
      <c r="L107" s="18" t="s">
        <v>230</v>
      </c>
      <c r="M107" s="18" t="s">
        <v>271</v>
      </c>
      <c r="N107" s="18" t="s">
        <v>271</v>
      </c>
      <c r="O107" s="18" t="s">
        <v>233</v>
      </c>
      <c r="P107" s="18" t="s">
        <v>259</v>
      </c>
    </row>
    <row r="108" spans="1:16" ht="45" x14ac:dyDescent="0.2">
      <c r="A108" s="2" t="s">
        <v>504</v>
      </c>
      <c r="B108" s="2" t="s">
        <v>505</v>
      </c>
      <c r="C108" s="2" t="s">
        <v>23</v>
      </c>
      <c r="D108" s="2" t="s">
        <v>228</v>
      </c>
      <c r="E108" s="4">
        <v>39.979999999999997</v>
      </c>
      <c r="F108" s="4">
        <v>3756.53</v>
      </c>
      <c r="G108" s="3">
        <v>94</v>
      </c>
      <c r="H108" s="6">
        <v>4.5</v>
      </c>
      <c r="I108" s="3">
        <v>158</v>
      </c>
      <c r="J108" s="17" t="str">
        <f>HYPERLINK("https://amazon.com/dp/B0FCFWRV19","Amazon - B0FCFWRV19")</f>
        <v>Amazon - B0FCFWRV19</v>
      </c>
      <c r="K108" s="18" t="s">
        <v>229</v>
      </c>
      <c r="L108" s="18" t="s">
        <v>230</v>
      </c>
      <c r="M108" s="18" t="s">
        <v>242</v>
      </c>
      <c r="N108" s="18" t="s">
        <v>271</v>
      </c>
      <c r="O108" s="18" t="s">
        <v>246</v>
      </c>
      <c r="P108" s="18" t="s">
        <v>305</v>
      </c>
    </row>
    <row r="109" spans="1:16" ht="45" x14ac:dyDescent="0.2">
      <c r="A109" s="2" t="s">
        <v>506</v>
      </c>
      <c r="B109" s="2" t="s">
        <v>507</v>
      </c>
      <c r="C109" s="2" t="s">
        <v>31</v>
      </c>
      <c r="D109" s="2" t="s">
        <v>228</v>
      </c>
      <c r="E109" s="4">
        <v>85.99</v>
      </c>
      <c r="F109" s="4">
        <v>3682.13</v>
      </c>
      <c r="G109" s="3">
        <v>39</v>
      </c>
      <c r="H109" s="6">
        <v>4.9000000000000004</v>
      </c>
      <c r="I109" s="3">
        <v>58</v>
      </c>
      <c r="J109" s="17" t="str">
        <f>HYPERLINK("https://amazon.com/dp/B0G5KYXKVW","Amazon - B0G5KYXKVW")</f>
        <v>Amazon - B0G5KYXKVW</v>
      </c>
      <c r="K109" s="18" t="s">
        <v>229</v>
      </c>
      <c r="L109" s="18" t="s">
        <v>230</v>
      </c>
      <c r="M109" s="18" t="s">
        <v>242</v>
      </c>
      <c r="N109" s="18" t="s">
        <v>253</v>
      </c>
      <c r="O109" s="18" t="s">
        <v>233</v>
      </c>
      <c r="P109" s="18" t="s">
        <v>278</v>
      </c>
    </row>
    <row r="110" spans="1:16" ht="45" x14ac:dyDescent="0.2">
      <c r="A110" s="2" t="s">
        <v>508</v>
      </c>
      <c r="B110" s="2" t="s">
        <v>509</v>
      </c>
      <c r="C110" s="2" t="s">
        <v>18</v>
      </c>
      <c r="D110" s="2" t="s">
        <v>228</v>
      </c>
      <c r="E110" s="4">
        <v>33.99</v>
      </c>
      <c r="F110" s="4">
        <v>3623.87</v>
      </c>
      <c r="G110" s="3">
        <v>107</v>
      </c>
      <c r="H110" s="6">
        <v>4.5</v>
      </c>
      <c r="I110" s="3">
        <v>2862</v>
      </c>
      <c r="J110" s="17" t="str">
        <f>HYPERLINK("https://amazon.com/dp/B0FCRFV5TX","Amazon - B0FCRFV5TX")</f>
        <v>Amazon - B0FCRFV5TX</v>
      </c>
      <c r="K110" s="18" t="s">
        <v>229</v>
      </c>
      <c r="L110" s="18" t="s">
        <v>230</v>
      </c>
      <c r="M110" s="18" t="s">
        <v>271</v>
      </c>
      <c r="N110" s="18" t="s">
        <v>271</v>
      </c>
      <c r="O110" s="18" t="s">
        <v>233</v>
      </c>
      <c r="P110" s="18" t="s">
        <v>271</v>
      </c>
    </row>
    <row r="111" spans="1:16" ht="45" x14ac:dyDescent="0.2">
      <c r="A111" s="2" t="s">
        <v>510</v>
      </c>
      <c r="B111" s="2" t="s">
        <v>511</v>
      </c>
      <c r="C111" s="2" t="s">
        <v>21</v>
      </c>
      <c r="D111" s="2" t="s">
        <v>228</v>
      </c>
      <c r="E111" s="4">
        <v>109.99</v>
      </c>
      <c r="F111" s="4">
        <v>3613.33</v>
      </c>
      <c r="G111" s="3">
        <v>33</v>
      </c>
      <c r="H111" s="6">
        <v>4.8</v>
      </c>
      <c r="I111" s="3">
        <v>34</v>
      </c>
      <c r="J111" s="17" t="str">
        <f>HYPERLINK("https://amazon.com/dp/B0FJL74Z8H","Amazon - B0FJL74Z8H")</f>
        <v>Amazon - B0FJL74Z8H</v>
      </c>
      <c r="K111" s="18" t="s">
        <v>229</v>
      </c>
      <c r="L111" s="18" t="s">
        <v>230</v>
      </c>
      <c r="M111" s="18" t="s">
        <v>242</v>
      </c>
      <c r="N111" s="18" t="s">
        <v>274</v>
      </c>
      <c r="O111" s="18" t="s">
        <v>233</v>
      </c>
      <c r="P111" s="18" t="s">
        <v>234</v>
      </c>
    </row>
    <row r="112" spans="1:16" ht="30" x14ac:dyDescent="0.2">
      <c r="A112" s="2" t="s">
        <v>512</v>
      </c>
      <c r="B112" s="2" t="s">
        <v>513</v>
      </c>
      <c r="C112" s="2" t="s">
        <v>8</v>
      </c>
      <c r="D112" s="2" t="s">
        <v>228</v>
      </c>
      <c r="E112" s="4">
        <v>79.989999999999995</v>
      </c>
      <c r="F112" s="4">
        <v>3471.43</v>
      </c>
      <c r="G112" s="3">
        <v>43</v>
      </c>
      <c r="H112" s="6">
        <v>4.7</v>
      </c>
      <c r="I112" s="3">
        <v>50</v>
      </c>
      <c r="J112" s="17" t="str">
        <f>HYPERLINK("https://amazon.com/dp/B09WMFTQYB","Amazon - B09WMFTQYB")</f>
        <v>Amazon - B09WMFTQYB</v>
      </c>
      <c r="K112" s="18" t="s">
        <v>229</v>
      </c>
      <c r="L112" s="18" t="s">
        <v>230</v>
      </c>
      <c r="M112" s="18" t="s">
        <v>271</v>
      </c>
      <c r="N112" s="18" t="s">
        <v>232</v>
      </c>
      <c r="O112" s="18" t="s">
        <v>316</v>
      </c>
      <c r="P112" s="18" t="s">
        <v>278</v>
      </c>
    </row>
    <row r="113" spans="1:16" ht="30" x14ac:dyDescent="0.2">
      <c r="A113" s="2" t="s">
        <v>514</v>
      </c>
      <c r="B113" s="2" t="s">
        <v>515</v>
      </c>
      <c r="C113" s="2" t="s">
        <v>11</v>
      </c>
      <c r="D113" s="2" t="s">
        <v>285</v>
      </c>
      <c r="E113" s="4">
        <v>125.99</v>
      </c>
      <c r="F113" s="4">
        <v>3463.82</v>
      </c>
      <c r="G113" s="3">
        <v>28</v>
      </c>
      <c r="H113" s="6">
        <v>4.3</v>
      </c>
      <c r="I113" s="3">
        <v>204</v>
      </c>
      <c r="J113" s="17" t="str">
        <f>HYPERLINK("https://amazon.com/dp/B0DT95GVP1","Amazon - B0DT95GVP1")</f>
        <v>Amazon - B0DT95GVP1</v>
      </c>
      <c r="K113" s="18" t="s">
        <v>286</v>
      </c>
      <c r="L113" s="18" t="s">
        <v>230</v>
      </c>
      <c r="M113" s="18" t="s">
        <v>287</v>
      </c>
      <c r="N113" s="18" t="s">
        <v>238</v>
      </c>
      <c r="O113" s="18" t="s">
        <v>233</v>
      </c>
      <c r="P113" s="18" t="s">
        <v>256</v>
      </c>
    </row>
    <row r="114" spans="1:16" ht="45" x14ac:dyDescent="0.2">
      <c r="A114" s="2" t="s">
        <v>516</v>
      </c>
      <c r="B114" s="2" t="s">
        <v>517</v>
      </c>
      <c r="C114" s="2" t="s">
        <v>11</v>
      </c>
      <c r="D114" s="2" t="s">
        <v>228</v>
      </c>
      <c r="E114" s="4">
        <v>94.99</v>
      </c>
      <c r="F114" s="4">
        <v>3409.88</v>
      </c>
      <c r="G114" s="3">
        <v>34</v>
      </c>
      <c r="H114" s="6">
        <v>4.5999999999999996</v>
      </c>
      <c r="I114" s="3">
        <v>144</v>
      </c>
      <c r="J114" s="17" t="str">
        <f>HYPERLINK("https://amazon.com/dp/B0D8SDT9HT","Amazon - B0D8SDT9HT")</f>
        <v>Amazon - B0D8SDT9HT</v>
      </c>
      <c r="K114" s="18" t="s">
        <v>229</v>
      </c>
      <c r="L114" s="18" t="s">
        <v>230</v>
      </c>
      <c r="M114" s="18" t="s">
        <v>242</v>
      </c>
      <c r="N114" s="18" t="s">
        <v>296</v>
      </c>
      <c r="O114" s="18" t="s">
        <v>233</v>
      </c>
      <c r="P114" s="18" t="s">
        <v>278</v>
      </c>
    </row>
    <row r="115" spans="1:16" ht="30" x14ac:dyDescent="0.2">
      <c r="A115" s="2" t="s">
        <v>518</v>
      </c>
      <c r="B115" s="2" t="s">
        <v>519</v>
      </c>
      <c r="C115" s="2" t="s">
        <v>13</v>
      </c>
      <c r="D115" s="2" t="s">
        <v>228</v>
      </c>
      <c r="E115" s="4">
        <v>489.9</v>
      </c>
      <c r="F115" s="4">
        <v>3380.05</v>
      </c>
      <c r="G115" s="3">
        <v>7</v>
      </c>
      <c r="H115" s="6">
        <v>3.3</v>
      </c>
      <c r="I115" s="3">
        <v>8</v>
      </c>
      <c r="J115" s="17" t="str">
        <f>HYPERLINK("https://amazon.com/dp/B0DNYTF8L4","Amazon - B0DNYTF8L4")</f>
        <v>Amazon - B0DNYTF8L4</v>
      </c>
      <c r="K115" s="18" t="s">
        <v>229</v>
      </c>
      <c r="L115" s="18" t="s">
        <v>230</v>
      </c>
      <c r="M115" s="18" t="s">
        <v>520</v>
      </c>
      <c r="N115" s="18" t="s">
        <v>271</v>
      </c>
      <c r="O115" s="18" t="s">
        <v>233</v>
      </c>
      <c r="P115" s="18" t="s">
        <v>521</v>
      </c>
    </row>
    <row r="116" spans="1:16" ht="45" x14ac:dyDescent="0.2">
      <c r="A116" s="2" t="s">
        <v>522</v>
      </c>
      <c r="B116" s="2" t="s">
        <v>523</v>
      </c>
      <c r="C116" s="2" t="s">
        <v>18</v>
      </c>
      <c r="D116" s="2" t="s">
        <v>228</v>
      </c>
      <c r="E116" s="4">
        <v>31.98</v>
      </c>
      <c r="F116" s="4">
        <v>3360.83</v>
      </c>
      <c r="G116" s="3">
        <v>105</v>
      </c>
      <c r="H116" s="6">
        <v>4.5</v>
      </c>
      <c r="I116" s="3">
        <v>2866</v>
      </c>
      <c r="J116" s="17" t="str">
        <f>HYPERLINK("https://amazon.com/dp/B0B8HKQFPD","Amazon - B0B8HKQFPD")</f>
        <v>Amazon - B0B8HKQFPD</v>
      </c>
      <c r="K116" s="18" t="s">
        <v>229</v>
      </c>
      <c r="L116" s="18" t="s">
        <v>230</v>
      </c>
      <c r="M116" s="18" t="s">
        <v>271</v>
      </c>
      <c r="N116" s="18" t="s">
        <v>271</v>
      </c>
      <c r="O116" s="18" t="s">
        <v>233</v>
      </c>
      <c r="P116" s="18" t="s">
        <v>271</v>
      </c>
    </row>
    <row r="117" spans="1:16" ht="45" x14ac:dyDescent="0.2">
      <c r="A117" s="2" t="s">
        <v>380</v>
      </c>
      <c r="B117" s="2" t="s">
        <v>381</v>
      </c>
      <c r="C117" s="2" t="s">
        <v>28</v>
      </c>
      <c r="D117" s="2" t="s">
        <v>228</v>
      </c>
      <c r="E117" s="4">
        <v>20.99</v>
      </c>
      <c r="F117" s="4">
        <v>3303.74</v>
      </c>
      <c r="G117" s="3">
        <v>158</v>
      </c>
      <c r="H117" s="6">
        <v>4</v>
      </c>
      <c r="I117" s="3">
        <v>334</v>
      </c>
      <c r="J117" s="17" t="str">
        <f>HYPERLINK("https://amazon.com/dp/B0F13SV3DP","Amazon - B0F13SV3DP")</f>
        <v>Amazon - B0F13SV3DP</v>
      </c>
      <c r="K117" s="18" t="s">
        <v>229</v>
      </c>
      <c r="L117" s="18" t="s">
        <v>230</v>
      </c>
      <c r="M117" s="18" t="s">
        <v>237</v>
      </c>
      <c r="N117" s="18" t="s">
        <v>271</v>
      </c>
      <c r="O117" s="18" t="s">
        <v>233</v>
      </c>
      <c r="P117" s="18" t="s">
        <v>379</v>
      </c>
    </row>
    <row r="118" spans="1:16" ht="30" x14ac:dyDescent="0.2">
      <c r="A118" s="2" t="s">
        <v>524</v>
      </c>
      <c r="B118" s="2" t="s">
        <v>525</v>
      </c>
      <c r="C118" s="2" t="s">
        <v>11</v>
      </c>
      <c r="D118" s="2" t="s">
        <v>228</v>
      </c>
      <c r="E118" s="4">
        <v>99.99</v>
      </c>
      <c r="F118" s="4">
        <v>3275.42</v>
      </c>
      <c r="G118" s="3">
        <v>30</v>
      </c>
      <c r="H118" s="6">
        <v>4.3</v>
      </c>
      <c r="I118" s="3">
        <v>67</v>
      </c>
      <c r="J118" s="17" t="str">
        <f>HYPERLINK("https://amazon.com/dp/B0G43L1BD9","Amazon - B0G43L1BD9")</f>
        <v>Amazon - B0G43L1BD9</v>
      </c>
      <c r="K118" s="18" t="s">
        <v>229</v>
      </c>
      <c r="L118" s="18" t="s">
        <v>230</v>
      </c>
      <c r="M118" s="18" t="s">
        <v>237</v>
      </c>
      <c r="N118" s="18" t="s">
        <v>296</v>
      </c>
      <c r="O118" s="18" t="s">
        <v>233</v>
      </c>
      <c r="P118" s="18" t="s">
        <v>297</v>
      </c>
    </row>
    <row r="119" spans="1:16" ht="30" x14ac:dyDescent="0.2">
      <c r="A119" s="2" t="s">
        <v>526</v>
      </c>
      <c r="B119" s="2" t="s">
        <v>527</v>
      </c>
      <c r="C119" s="2" t="s">
        <v>25</v>
      </c>
      <c r="D119" s="2" t="s">
        <v>285</v>
      </c>
      <c r="E119" s="4">
        <v>299.98</v>
      </c>
      <c r="F119" s="4">
        <v>3162.34</v>
      </c>
      <c r="G119" s="3">
        <v>11</v>
      </c>
      <c r="H119" s="6">
        <v>4.5</v>
      </c>
      <c r="I119" s="3">
        <v>9</v>
      </c>
      <c r="J119" s="17" t="str">
        <f>HYPERLINK("https://amazon.com/dp/B0CXR3J9ZS","Amazon - B0CXR3J9ZS")</f>
        <v>Amazon - B0CXR3J9ZS</v>
      </c>
      <c r="K119" s="18" t="s">
        <v>286</v>
      </c>
      <c r="L119" s="18" t="s">
        <v>230</v>
      </c>
      <c r="M119" s="18" t="s">
        <v>287</v>
      </c>
      <c r="N119" s="18" t="s">
        <v>271</v>
      </c>
      <c r="O119" s="18" t="s">
        <v>233</v>
      </c>
      <c r="P119" s="18" t="s">
        <v>234</v>
      </c>
    </row>
    <row r="120" spans="1:16" ht="45" x14ac:dyDescent="0.2">
      <c r="A120" s="2" t="s">
        <v>528</v>
      </c>
      <c r="B120" s="2" t="s">
        <v>529</v>
      </c>
      <c r="C120" s="2" t="s">
        <v>21</v>
      </c>
      <c r="D120" s="2" t="s">
        <v>228</v>
      </c>
      <c r="E120" s="4">
        <v>129.99</v>
      </c>
      <c r="F120" s="4">
        <v>3136.6</v>
      </c>
      <c r="G120" s="3">
        <v>24</v>
      </c>
      <c r="H120" s="6">
        <v>4.7</v>
      </c>
      <c r="I120" s="3">
        <v>26</v>
      </c>
      <c r="J120" s="17" t="str">
        <f>HYPERLINK("https://amazon.com/dp/B0FZSZV9DJ","Amazon - B0FZSZV9DJ")</f>
        <v>Amazon - B0FZSZV9DJ</v>
      </c>
      <c r="K120" s="18" t="s">
        <v>229</v>
      </c>
      <c r="L120" s="18" t="s">
        <v>230</v>
      </c>
      <c r="M120" s="18" t="s">
        <v>242</v>
      </c>
      <c r="N120" s="18" t="s">
        <v>274</v>
      </c>
      <c r="O120" s="18" t="s">
        <v>246</v>
      </c>
      <c r="P120" s="18" t="s">
        <v>234</v>
      </c>
    </row>
    <row r="121" spans="1:16" ht="30" x14ac:dyDescent="0.2">
      <c r="A121" s="2" t="s">
        <v>530</v>
      </c>
      <c r="B121" s="2" t="s">
        <v>531</v>
      </c>
      <c r="C121" s="2" t="s">
        <v>33</v>
      </c>
      <c r="D121" s="2" t="s">
        <v>228</v>
      </c>
      <c r="E121" s="4">
        <v>27.99</v>
      </c>
      <c r="F121" s="4">
        <v>3106.16</v>
      </c>
      <c r="G121" s="3">
        <v>114</v>
      </c>
      <c r="H121" s="6">
        <v>4.3</v>
      </c>
      <c r="I121" s="3">
        <v>16</v>
      </c>
      <c r="J121" s="17" t="str">
        <f>HYPERLINK("https://amazon.com/dp/B0F9959W84","Amazon - B0F9959W84")</f>
        <v>Amazon - B0F9959W84</v>
      </c>
      <c r="K121" s="18" t="s">
        <v>229</v>
      </c>
      <c r="L121" s="18" t="s">
        <v>230</v>
      </c>
      <c r="M121" s="18" t="s">
        <v>237</v>
      </c>
      <c r="N121" s="18" t="s">
        <v>271</v>
      </c>
      <c r="O121" s="18" t="s">
        <v>233</v>
      </c>
      <c r="P121" s="18" t="s">
        <v>532</v>
      </c>
    </row>
    <row r="122" spans="1:16" ht="45" x14ac:dyDescent="0.2">
      <c r="A122" s="2" t="s">
        <v>533</v>
      </c>
      <c r="B122" s="2" t="s">
        <v>534</v>
      </c>
      <c r="C122" s="2" t="s">
        <v>51</v>
      </c>
      <c r="D122" s="2" t="s">
        <v>228</v>
      </c>
      <c r="E122" s="4">
        <v>69.989999999999995</v>
      </c>
      <c r="F122" s="4">
        <v>3079.1</v>
      </c>
      <c r="G122" s="3">
        <v>44</v>
      </c>
      <c r="H122" s="6">
        <v>4.5</v>
      </c>
      <c r="I122" s="3">
        <v>221</v>
      </c>
      <c r="J122" s="17" t="str">
        <f>HYPERLINK("https://amazon.com/dp/B0DT98YB3X","Amazon - B0DT98YB3X")</f>
        <v>Amazon - B0DT98YB3X</v>
      </c>
      <c r="K122" s="18" t="s">
        <v>229</v>
      </c>
      <c r="L122" s="18" t="s">
        <v>230</v>
      </c>
      <c r="M122" s="18" t="s">
        <v>237</v>
      </c>
      <c r="N122" s="18" t="s">
        <v>232</v>
      </c>
      <c r="O122" s="18" t="s">
        <v>233</v>
      </c>
      <c r="P122" s="18" t="s">
        <v>239</v>
      </c>
    </row>
    <row r="123" spans="1:16" ht="45" x14ac:dyDescent="0.2">
      <c r="A123" s="2" t="s">
        <v>535</v>
      </c>
      <c r="B123" s="2" t="s">
        <v>536</v>
      </c>
      <c r="C123" s="2" t="s">
        <v>47</v>
      </c>
      <c r="D123" s="2" t="s">
        <v>228</v>
      </c>
      <c r="E123" s="4">
        <v>535</v>
      </c>
      <c r="F123" s="4">
        <v>3052.68</v>
      </c>
      <c r="G123" s="3">
        <v>6</v>
      </c>
      <c r="H123" s="6">
        <v>3.6</v>
      </c>
      <c r="I123" s="3">
        <v>12</v>
      </c>
      <c r="J123" s="17" t="str">
        <f>HYPERLINK("https://amazon.com/dp/B071S8J2X8","Amazon - B071S8J2X8")</f>
        <v>Amazon - B071S8J2X8</v>
      </c>
      <c r="K123" s="18" t="s">
        <v>229</v>
      </c>
      <c r="L123" s="18" t="s">
        <v>230</v>
      </c>
      <c r="M123" s="18" t="s">
        <v>271</v>
      </c>
      <c r="N123" s="18" t="s">
        <v>271</v>
      </c>
      <c r="O123" s="18" t="s">
        <v>233</v>
      </c>
      <c r="P123" s="18" t="s">
        <v>271</v>
      </c>
    </row>
    <row r="124" spans="1:16" ht="45" x14ac:dyDescent="0.2">
      <c r="A124" s="2" t="s">
        <v>537</v>
      </c>
      <c r="B124" s="2" t="s">
        <v>538</v>
      </c>
      <c r="C124" s="2" t="s">
        <v>12</v>
      </c>
      <c r="D124" s="2" t="s">
        <v>228</v>
      </c>
      <c r="E124" s="4">
        <v>26.43</v>
      </c>
      <c r="F124" s="4">
        <v>2984.37</v>
      </c>
      <c r="G124" s="3">
        <v>100</v>
      </c>
      <c r="H124" s="6">
        <v>4.5</v>
      </c>
      <c r="I124" s="3">
        <v>203</v>
      </c>
      <c r="J124" s="17" t="str">
        <f>HYPERLINK("https://amazon.com/dp/B0G1MGRCZ1","Amazon - B0G1MGRCZ1")</f>
        <v>Amazon - B0G1MGRCZ1</v>
      </c>
      <c r="K124" s="18" t="s">
        <v>229</v>
      </c>
      <c r="L124" s="18" t="s">
        <v>230</v>
      </c>
      <c r="M124" s="18" t="s">
        <v>237</v>
      </c>
      <c r="N124" s="18" t="s">
        <v>271</v>
      </c>
      <c r="O124" s="18" t="s">
        <v>233</v>
      </c>
      <c r="P124" s="18" t="s">
        <v>305</v>
      </c>
    </row>
    <row r="125" spans="1:16" ht="45" x14ac:dyDescent="0.2">
      <c r="A125" s="2" t="s">
        <v>539</v>
      </c>
      <c r="B125" s="2" t="s">
        <v>540</v>
      </c>
      <c r="C125" s="2" t="s">
        <v>52</v>
      </c>
      <c r="D125" s="2" t="s">
        <v>228</v>
      </c>
      <c r="E125" s="4">
        <v>27.54</v>
      </c>
      <c r="F125" s="4">
        <v>2786.27</v>
      </c>
      <c r="G125" s="3">
        <v>101</v>
      </c>
      <c r="H125" s="6">
        <v>4.3</v>
      </c>
      <c r="I125" s="3">
        <v>26</v>
      </c>
      <c r="J125" s="17" t="str">
        <f>HYPERLINK("https://amazon.com/dp/B0D8TBXFTJ","Amazon - B0D8TBXFTJ")</f>
        <v>Amazon - B0D8TBXFTJ</v>
      </c>
      <c r="K125" s="18" t="s">
        <v>229</v>
      </c>
      <c r="L125" s="18" t="s">
        <v>230</v>
      </c>
      <c r="M125" s="18" t="s">
        <v>242</v>
      </c>
      <c r="N125" s="18" t="s">
        <v>271</v>
      </c>
      <c r="O125" s="18" t="s">
        <v>233</v>
      </c>
      <c r="P125" s="18" t="s">
        <v>305</v>
      </c>
    </row>
    <row r="126" spans="1:16" ht="45" x14ac:dyDescent="0.2">
      <c r="A126" s="2" t="s">
        <v>541</v>
      </c>
      <c r="B126" s="2" t="s">
        <v>542</v>
      </c>
      <c r="C126" s="2" t="s">
        <v>39</v>
      </c>
      <c r="D126" s="2" t="s">
        <v>285</v>
      </c>
      <c r="E126" s="4">
        <v>125.99</v>
      </c>
      <c r="F126" s="4">
        <v>2489.0500000000002</v>
      </c>
      <c r="G126" s="3">
        <v>20</v>
      </c>
      <c r="H126" s="6">
        <v>4.5</v>
      </c>
      <c r="I126" s="3">
        <v>18</v>
      </c>
      <c r="J126" s="17" t="str">
        <f>HYPERLINK("https://amazon.com/dp/B0BTH4WYWX","Amazon - B0BTH4WYWX")</f>
        <v>Amazon - B0BTH4WYWX</v>
      </c>
      <c r="K126" s="18" t="s">
        <v>286</v>
      </c>
      <c r="L126" s="18" t="s">
        <v>230</v>
      </c>
      <c r="M126" s="18" t="s">
        <v>287</v>
      </c>
      <c r="N126" s="18" t="s">
        <v>274</v>
      </c>
      <c r="O126" s="18" t="s">
        <v>233</v>
      </c>
      <c r="P126" s="18" t="s">
        <v>543</v>
      </c>
    </row>
    <row r="127" spans="1:16" ht="30" x14ac:dyDescent="0.2">
      <c r="A127" s="2" t="s">
        <v>544</v>
      </c>
      <c r="B127" s="2" t="s">
        <v>545</v>
      </c>
      <c r="C127" s="2" t="s">
        <v>10</v>
      </c>
      <c r="D127" s="2" t="s">
        <v>228</v>
      </c>
      <c r="E127" s="4">
        <v>29.99</v>
      </c>
      <c r="F127" s="4">
        <v>2392.44</v>
      </c>
      <c r="G127" s="3">
        <v>80</v>
      </c>
      <c r="H127" s="6">
        <v>4.5999999999999996</v>
      </c>
      <c r="I127" s="3">
        <v>290</v>
      </c>
      <c r="J127" s="17" t="str">
        <f>HYPERLINK("https://amazon.com/dp/B0DD47VS7S","Amazon - B0DD47VS7S")</f>
        <v>Amazon - B0DD47VS7S</v>
      </c>
      <c r="K127" s="18" t="s">
        <v>229</v>
      </c>
      <c r="L127" s="18" t="s">
        <v>230</v>
      </c>
      <c r="M127" s="18" t="s">
        <v>242</v>
      </c>
      <c r="N127" s="18" t="s">
        <v>271</v>
      </c>
      <c r="O127" s="18" t="s">
        <v>246</v>
      </c>
      <c r="P127" s="18" t="s">
        <v>305</v>
      </c>
    </row>
    <row r="128" spans="1:16" ht="30" x14ac:dyDescent="0.2">
      <c r="A128" s="2" t="s">
        <v>546</v>
      </c>
      <c r="B128" s="2" t="s">
        <v>547</v>
      </c>
      <c r="C128" s="2" t="s">
        <v>53</v>
      </c>
      <c r="D128" s="2" t="s">
        <v>228</v>
      </c>
      <c r="E128" s="4">
        <v>228</v>
      </c>
      <c r="F128" s="4">
        <v>2364.5</v>
      </c>
      <c r="G128" s="3">
        <v>11</v>
      </c>
      <c r="H128" s="6">
        <v>4.2</v>
      </c>
      <c r="I128" s="3">
        <v>3</v>
      </c>
      <c r="J128" s="17" t="str">
        <f>HYPERLINK("https://amazon.com/dp/B0G34PXC7N","Amazon - B0G34PXC7N")</f>
        <v>Amazon - B0G34PXC7N</v>
      </c>
      <c r="K128" s="18" t="s">
        <v>229</v>
      </c>
      <c r="L128" s="18" t="s">
        <v>251</v>
      </c>
      <c r="M128" s="18" t="s">
        <v>242</v>
      </c>
      <c r="N128" s="18" t="s">
        <v>296</v>
      </c>
      <c r="O128" s="18" t="s">
        <v>233</v>
      </c>
      <c r="P128" s="18" t="s">
        <v>234</v>
      </c>
    </row>
    <row r="129" spans="1:16" ht="45" x14ac:dyDescent="0.2">
      <c r="A129" s="2" t="s">
        <v>548</v>
      </c>
      <c r="B129" s="2" t="s">
        <v>549</v>
      </c>
      <c r="C129" s="2" t="s">
        <v>55</v>
      </c>
      <c r="D129" s="2" t="s">
        <v>228</v>
      </c>
      <c r="E129" s="4">
        <v>26.99</v>
      </c>
      <c r="F129" s="4">
        <v>2297.12</v>
      </c>
      <c r="G129" s="3">
        <v>85</v>
      </c>
      <c r="H129" s="6">
        <v>4.4000000000000004</v>
      </c>
      <c r="I129" s="3">
        <v>693</v>
      </c>
      <c r="J129" s="17" t="str">
        <f>HYPERLINK("https://amazon.com/dp/B0DFGTYXD5","Amazon - B0DFGTYXD5")</f>
        <v>Amazon - B0DFGTYXD5</v>
      </c>
      <c r="K129" s="18" t="s">
        <v>229</v>
      </c>
      <c r="L129" s="18" t="s">
        <v>230</v>
      </c>
      <c r="M129" s="18" t="s">
        <v>242</v>
      </c>
      <c r="N129" s="18" t="s">
        <v>232</v>
      </c>
      <c r="O129" s="18" t="s">
        <v>246</v>
      </c>
      <c r="P129" s="18" t="s">
        <v>305</v>
      </c>
    </row>
    <row r="130" spans="1:16" ht="45" x14ac:dyDescent="0.2">
      <c r="A130" s="2" t="s">
        <v>550</v>
      </c>
      <c r="B130" s="2" t="s">
        <v>551</v>
      </c>
      <c r="C130" s="2" t="s">
        <v>56</v>
      </c>
      <c r="D130" s="2" t="s">
        <v>228</v>
      </c>
      <c r="E130" s="4">
        <v>59.98</v>
      </c>
      <c r="F130" s="4">
        <v>2291.08</v>
      </c>
      <c r="G130" s="3">
        <v>38</v>
      </c>
      <c r="H130" s="6">
        <v>4.0999999999999996</v>
      </c>
      <c r="I130" s="3">
        <v>27</v>
      </c>
      <c r="J130" s="17" t="str">
        <f>HYPERLINK("https://amazon.com/dp/B0FLXRVP6M","Amazon - B0FLXRVP6M")</f>
        <v>Amazon - B0FLXRVP6M</v>
      </c>
      <c r="K130" s="18" t="s">
        <v>229</v>
      </c>
      <c r="L130" s="18" t="s">
        <v>230</v>
      </c>
      <c r="M130" s="18" t="s">
        <v>271</v>
      </c>
      <c r="N130" s="18" t="s">
        <v>243</v>
      </c>
      <c r="O130" s="18" t="s">
        <v>233</v>
      </c>
      <c r="P130" s="18" t="s">
        <v>271</v>
      </c>
    </row>
    <row r="131" spans="1:16" x14ac:dyDescent="0.2">
      <c r="A131" s="2" t="s">
        <v>552</v>
      </c>
      <c r="B131" s="2" t="s">
        <v>553</v>
      </c>
      <c r="C131" s="2" t="s">
        <v>54</v>
      </c>
      <c r="D131" s="2" t="s">
        <v>228</v>
      </c>
      <c r="E131" s="4">
        <v>499.99</v>
      </c>
      <c r="F131" s="4">
        <v>2251.7199999999998</v>
      </c>
      <c r="G131" s="3">
        <v>4</v>
      </c>
      <c r="H131" s="6">
        <v>4.2</v>
      </c>
      <c r="I131" s="3">
        <v>66</v>
      </c>
      <c r="J131" s="17" t="str">
        <f>HYPERLINK("https://amazon.com/dp/B07SR2LHBT","Amazon - B07SR2LHBT")</f>
        <v>Amazon - B07SR2LHBT</v>
      </c>
      <c r="K131" s="18" t="s">
        <v>229</v>
      </c>
      <c r="L131" s="18" t="s">
        <v>230</v>
      </c>
      <c r="M131" s="18" t="s">
        <v>342</v>
      </c>
      <c r="N131" s="18" t="s">
        <v>271</v>
      </c>
      <c r="O131" s="18" t="s">
        <v>233</v>
      </c>
      <c r="P131" s="18" t="s">
        <v>521</v>
      </c>
    </row>
    <row r="132" spans="1:16" ht="30" x14ac:dyDescent="0.2">
      <c r="A132" s="2" t="s">
        <v>554</v>
      </c>
      <c r="B132" s="2" t="s">
        <v>555</v>
      </c>
      <c r="C132" s="2" t="s">
        <v>46</v>
      </c>
      <c r="D132" s="2" t="s">
        <v>228</v>
      </c>
      <c r="E132" s="4">
        <v>25.99</v>
      </c>
      <c r="F132" s="4">
        <v>2243.2399999999998</v>
      </c>
      <c r="G132" s="3">
        <v>86</v>
      </c>
      <c r="H132" s="6">
        <v>4.3</v>
      </c>
      <c r="I132" s="3">
        <v>152</v>
      </c>
      <c r="J132" s="17" t="str">
        <f>HYPERLINK("https://amazon.com/dp/B0D8W215CX","Amazon - B0D8W215CX")</f>
        <v>Amazon - B0D8W215CX</v>
      </c>
      <c r="K132" s="18" t="s">
        <v>229</v>
      </c>
      <c r="L132" s="18" t="s">
        <v>230</v>
      </c>
      <c r="M132" s="18" t="s">
        <v>271</v>
      </c>
      <c r="N132" s="18" t="s">
        <v>232</v>
      </c>
      <c r="O132" s="18" t="s">
        <v>233</v>
      </c>
      <c r="P132" s="18" t="s">
        <v>556</v>
      </c>
    </row>
    <row r="133" spans="1:16" ht="30" x14ac:dyDescent="0.2">
      <c r="A133" s="2" t="s">
        <v>557</v>
      </c>
      <c r="B133" s="2" t="s">
        <v>558</v>
      </c>
      <c r="C133" s="2" t="s">
        <v>25</v>
      </c>
      <c r="D133" s="2" t="s">
        <v>285</v>
      </c>
      <c r="E133" s="4">
        <v>299.98</v>
      </c>
      <c r="F133" s="4">
        <v>2220.4699999999998</v>
      </c>
      <c r="G133" s="3">
        <v>7</v>
      </c>
      <c r="H133" s="6">
        <v>4</v>
      </c>
      <c r="I133" s="3">
        <v>6</v>
      </c>
      <c r="J133" s="17" t="str">
        <f>HYPERLINK("https://amazon.com/dp/B09KFGS7WN","Amazon - B09KFGS7WN")</f>
        <v>Amazon - B09KFGS7WN</v>
      </c>
      <c r="K133" s="18" t="s">
        <v>286</v>
      </c>
      <c r="L133" s="18" t="s">
        <v>251</v>
      </c>
      <c r="M133" s="18" t="s">
        <v>287</v>
      </c>
      <c r="N133" s="18" t="s">
        <v>253</v>
      </c>
      <c r="O133" s="18" t="s">
        <v>233</v>
      </c>
      <c r="P133" s="18" t="s">
        <v>278</v>
      </c>
    </row>
    <row r="134" spans="1:16" ht="45" x14ac:dyDescent="0.2">
      <c r="A134" s="2" t="s">
        <v>559</v>
      </c>
      <c r="B134" s="2" t="s">
        <v>560</v>
      </c>
      <c r="C134" s="2" t="s">
        <v>18</v>
      </c>
      <c r="D134" s="2" t="s">
        <v>228</v>
      </c>
      <c r="E134" s="4">
        <v>39.979999999999997</v>
      </c>
      <c r="F134" s="4">
        <v>2138.61</v>
      </c>
      <c r="G134" s="3">
        <v>41</v>
      </c>
      <c r="H134" s="6">
        <v>4.4000000000000004</v>
      </c>
      <c r="I134" s="3">
        <v>171</v>
      </c>
      <c r="J134" s="17" t="str">
        <f>HYPERLINK("https://amazon.com/dp/B0CJC8KTBM","Amazon - B0CJC8KTBM")</f>
        <v>Amazon - B0CJC8KTBM</v>
      </c>
      <c r="K134" s="18" t="s">
        <v>229</v>
      </c>
      <c r="L134" s="18" t="s">
        <v>230</v>
      </c>
      <c r="M134" s="18" t="s">
        <v>271</v>
      </c>
      <c r="N134" s="18" t="s">
        <v>271</v>
      </c>
      <c r="O134" s="18" t="s">
        <v>246</v>
      </c>
      <c r="P134" s="18" t="s">
        <v>305</v>
      </c>
    </row>
    <row r="135" spans="1:16" ht="45" x14ac:dyDescent="0.2">
      <c r="A135" s="2" t="s">
        <v>561</v>
      </c>
      <c r="B135" s="2" t="s">
        <v>562</v>
      </c>
      <c r="C135" s="2" t="s">
        <v>50</v>
      </c>
      <c r="D135" s="2" t="s">
        <v>228</v>
      </c>
      <c r="E135" s="4">
        <v>478</v>
      </c>
      <c r="F135" s="4">
        <v>1968.74</v>
      </c>
      <c r="G135" s="3">
        <v>4</v>
      </c>
      <c r="H135" s="6">
        <v>2</v>
      </c>
      <c r="I135" s="3">
        <v>1</v>
      </c>
      <c r="J135" s="17" t="str">
        <f>HYPERLINK("https://amazon.com/dp/B0F2DXHV3Q","Amazon - B0F2DXHV3Q")</f>
        <v>Amazon - B0F2DXHV3Q</v>
      </c>
      <c r="K135" s="18" t="s">
        <v>229</v>
      </c>
      <c r="L135" s="18" t="s">
        <v>230</v>
      </c>
      <c r="M135" s="18" t="s">
        <v>242</v>
      </c>
      <c r="N135" s="18" t="s">
        <v>271</v>
      </c>
      <c r="O135" s="18" t="s">
        <v>233</v>
      </c>
      <c r="P135" s="18" t="s">
        <v>271</v>
      </c>
    </row>
    <row r="136" spans="1:16" ht="45" x14ac:dyDescent="0.2">
      <c r="A136" s="2" t="s">
        <v>563</v>
      </c>
      <c r="B136" s="2" t="s">
        <v>564</v>
      </c>
      <c r="C136" s="2" t="s">
        <v>25</v>
      </c>
      <c r="D136" s="2" t="s">
        <v>285</v>
      </c>
      <c r="E136" s="4">
        <v>899.98</v>
      </c>
      <c r="F136" s="4">
        <v>1962.64</v>
      </c>
      <c r="G136" s="3">
        <v>2</v>
      </c>
      <c r="H136" s="6">
        <v>0</v>
      </c>
      <c r="I136" s="3">
        <v>0</v>
      </c>
      <c r="J136" s="17" t="str">
        <f>HYPERLINK("https://amazon.com/dp/B0C7LWWYZ5","Amazon - B0C7LWWYZ5")</f>
        <v>Amazon - B0C7LWWYZ5</v>
      </c>
      <c r="K136" s="18" t="s">
        <v>286</v>
      </c>
      <c r="L136" s="18" t="s">
        <v>251</v>
      </c>
      <c r="M136" s="18" t="s">
        <v>287</v>
      </c>
      <c r="N136" s="18" t="s">
        <v>265</v>
      </c>
      <c r="O136" s="18" t="s">
        <v>233</v>
      </c>
      <c r="P136" s="18" t="s">
        <v>278</v>
      </c>
    </row>
    <row r="137" spans="1:16" ht="45" x14ac:dyDescent="0.2">
      <c r="A137" s="2" t="s">
        <v>565</v>
      </c>
      <c r="B137" s="2" t="s">
        <v>566</v>
      </c>
      <c r="C137" s="2" t="s">
        <v>8</v>
      </c>
      <c r="D137" s="2" t="s">
        <v>228</v>
      </c>
      <c r="E137" s="4">
        <v>149.99</v>
      </c>
      <c r="F137" s="4">
        <v>1949.85</v>
      </c>
      <c r="G137" s="3">
        <v>13</v>
      </c>
      <c r="H137" s="6">
        <v>4.7</v>
      </c>
      <c r="I137" s="3">
        <v>19</v>
      </c>
      <c r="J137" s="17" t="str">
        <f>HYPERLINK("https://amazon.com/dp/B0GKLTBHH3","Amazon - B0GKLTBHH3")</f>
        <v>Amazon - B0GKLTBHH3</v>
      </c>
      <c r="K137" s="18" t="s">
        <v>229</v>
      </c>
      <c r="L137" s="18" t="s">
        <v>230</v>
      </c>
      <c r="M137" s="18" t="s">
        <v>271</v>
      </c>
      <c r="N137" s="18" t="s">
        <v>274</v>
      </c>
      <c r="O137" s="18" t="s">
        <v>233</v>
      </c>
      <c r="P137" s="18" t="s">
        <v>256</v>
      </c>
    </row>
    <row r="138" spans="1:16" ht="45" x14ac:dyDescent="0.2">
      <c r="A138" s="2" t="s">
        <v>567</v>
      </c>
      <c r="B138" s="2" t="s">
        <v>568</v>
      </c>
      <c r="C138" s="2" t="s">
        <v>49</v>
      </c>
      <c r="D138" s="2" t="s">
        <v>228</v>
      </c>
      <c r="E138" s="4">
        <v>79.989999999999995</v>
      </c>
      <c r="F138" s="4">
        <v>1906.15</v>
      </c>
      <c r="G138" s="3">
        <v>24</v>
      </c>
      <c r="H138" s="6">
        <v>4</v>
      </c>
      <c r="I138" s="3">
        <v>36</v>
      </c>
      <c r="J138" s="17" t="str">
        <f>HYPERLINK("https://amazon.com/dp/B0FH6LPBYH","Amazon - B0FH6LPBYH")</f>
        <v>Amazon - B0FH6LPBYH</v>
      </c>
      <c r="K138" s="18" t="s">
        <v>229</v>
      </c>
      <c r="L138" s="18" t="s">
        <v>230</v>
      </c>
      <c r="M138" s="18" t="s">
        <v>242</v>
      </c>
      <c r="N138" s="18" t="s">
        <v>253</v>
      </c>
      <c r="O138" s="18" t="s">
        <v>233</v>
      </c>
      <c r="P138" s="18" t="s">
        <v>234</v>
      </c>
    </row>
    <row r="139" spans="1:16" ht="45" x14ac:dyDescent="0.2">
      <c r="A139" s="2" t="s">
        <v>569</v>
      </c>
      <c r="B139" s="2" t="s">
        <v>570</v>
      </c>
      <c r="C139" s="2" t="s">
        <v>33</v>
      </c>
      <c r="D139" s="2" t="s">
        <v>228</v>
      </c>
      <c r="E139" s="4">
        <v>29.99</v>
      </c>
      <c r="F139" s="4">
        <v>1899.96</v>
      </c>
      <c r="G139" s="3">
        <v>63</v>
      </c>
      <c r="H139" s="6">
        <v>4.2</v>
      </c>
      <c r="I139" s="3">
        <v>189</v>
      </c>
      <c r="J139" s="17" t="str">
        <f>HYPERLINK("https://amazon.com/dp/B0D8B5ZKFQ","Amazon - B0D8B5ZKFQ")</f>
        <v>Amazon - B0D8B5ZKFQ</v>
      </c>
      <c r="K139" s="18" t="s">
        <v>229</v>
      </c>
      <c r="L139" s="18" t="s">
        <v>230</v>
      </c>
      <c r="M139" s="18" t="s">
        <v>271</v>
      </c>
      <c r="N139" s="18" t="s">
        <v>271</v>
      </c>
      <c r="O139" s="18" t="s">
        <v>233</v>
      </c>
      <c r="P139" s="18" t="s">
        <v>305</v>
      </c>
    </row>
    <row r="140" spans="1:16" ht="45" x14ac:dyDescent="0.2">
      <c r="A140" s="2" t="s">
        <v>571</v>
      </c>
      <c r="B140" s="2" t="s">
        <v>572</v>
      </c>
      <c r="C140" s="2" t="s">
        <v>11</v>
      </c>
      <c r="D140" s="2" t="s">
        <v>228</v>
      </c>
      <c r="E140" s="4">
        <v>108</v>
      </c>
      <c r="F140" s="4">
        <v>1895.31</v>
      </c>
      <c r="G140" s="3">
        <v>17</v>
      </c>
      <c r="H140" s="6">
        <v>4.5</v>
      </c>
      <c r="I140" s="3">
        <v>8</v>
      </c>
      <c r="J140" s="17" t="str">
        <f>HYPERLINK("https://amazon.com/dp/B0FX4FQC6Y","Amazon - B0FX4FQC6Y")</f>
        <v>Amazon - B0FX4FQC6Y</v>
      </c>
      <c r="K140" s="18" t="s">
        <v>229</v>
      </c>
      <c r="L140" s="18" t="s">
        <v>230</v>
      </c>
      <c r="M140" s="18" t="s">
        <v>237</v>
      </c>
      <c r="N140" s="18" t="s">
        <v>296</v>
      </c>
      <c r="O140" s="18" t="s">
        <v>246</v>
      </c>
      <c r="P140" s="18" t="s">
        <v>234</v>
      </c>
    </row>
    <row r="141" spans="1:16" ht="45" x14ac:dyDescent="0.2">
      <c r="A141" s="2" t="s">
        <v>573</v>
      </c>
      <c r="B141" s="2" t="s">
        <v>574</v>
      </c>
      <c r="C141" s="2" t="s">
        <v>11</v>
      </c>
      <c r="D141" s="2" t="s">
        <v>285</v>
      </c>
      <c r="E141" s="4">
        <v>109.99</v>
      </c>
      <c r="F141" s="4">
        <v>1863.32</v>
      </c>
      <c r="G141" s="3">
        <v>17</v>
      </c>
      <c r="H141" s="6">
        <v>5</v>
      </c>
      <c r="I141" s="3">
        <v>3</v>
      </c>
      <c r="J141" s="17" t="str">
        <f>HYPERLINK("https://amazon.com/dp/B0F5W6HJF8","Amazon - B0F5W6HJF8")</f>
        <v>Amazon - B0F5W6HJF8</v>
      </c>
      <c r="K141" s="18" t="s">
        <v>286</v>
      </c>
      <c r="L141" s="18" t="s">
        <v>230</v>
      </c>
      <c r="M141" s="18" t="s">
        <v>287</v>
      </c>
      <c r="N141" s="18" t="s">
        <v>243</v>
      </c>
      <c r="O141" s="18" t="s">
        <v>233</v>
      </c>
      <c r="P141" s="18" t="s">
        <v>234</v>
      </c>
    </row>
    <row r="142" spans="1:16" ht="45" x14ac:dyDescent="0.2">
      <c r="A142" s="2" t="s">
        <v>575</v>
      </c>
      <c r="B142" s="2" t="s">
        <v>576</v>
      </c>
      <c r="C142" s="2" t="s">
        <v>44</v>
      </c>
      <c r="D142" s="2" t="s">
        <v>285</v>
      </c>
      <c r="E142" s="4">
        <v>69.959999999999994</v>
      </c>
      <c r="F142" s="4">
        <v>1852.42</v>
      </c>
      <c r="G142" s="3">
        <v>26</v>
      </c>
      <c r="H142" s="6">
        <v>5</v>
      </c>
      <c r="I142" s="3">
        <v>3</v>
      </c>
      <c r="J142" s="17" t="str">
        <f>HYPERLINK("https://amazon.com/dp/B0D2H2C95S","Amazon - B0D2H2C95S")</f>
        <v>Amazon - B0D2H2C95S</v>
      </c>
      <c r="K142" s="18" t="s">
        <v>286</v>
      </c>
      <c r="L142" s="18" t="s">
        <v>230</v>
      </c>
      <c r="M142" s="18" t="s">
        <v>287</v>
      </c>
      <c r="N142" s="18" t="s">
        <v>296</v>
      </c>
      <c r="O142" s="18" t="s">
        <v>233</v>
      </c>
      <c r="P142" s="18" t="s">
        <v>278</v>
      </c>
    </row>
    <row r="143" spans="1:16" ht="45" x14ac:dyDescent="0.2">
      <c r="A143" s="2" t="s">
        <v>577</v>
      </c>
      <c r="B143" s="2" t="s">
        <v>578</v>
      </c>
      <c r="C143" s="2" t="s">
        <v>48</v>
      </c>
      <c r="D143" s="2" t="s">
        <v>228</v>
      </c>
      <c r="E143" s="4">
        <v>129.99</v>
      </c>
      <c r="F143" s="4">
        <v>1832.39</v>
      </c>
      <c r="G143" s="3">
        <v>15</v>
      </c>
      <c r="H143" s="6">
        <v>5</v>
      </c>
      <c r="I143" s="3">
        <v>8</v>
      </c>
      <c r="J143" s="17" t="str">
        <f>HYPERLINK("https://amazon.com/dp/B0GKQFBN85","Amazon - B0GKQFBN85")</f>
        <v>Amazon - B0GKQFBN85</v>
      </c>
      <c r="K143" s="18" t="s">
        <v>229</v>
      </c>
      <c r="L143" s="18" t="s">
        <v>230</v>
      </c>
      <c r="M143" s="18" t="s">
        <v>242</v>
      </c>
      <c r="N143" s="18" t="s">
        <v>296</v>
      </c>
      <c r="O143" s="18" t="s">
        <v>233</v>
      </c>
      <c r="P143" s="18" t="s">
        <v>278</v>
      </c>
    </row>
    <row r="144" spans="1:16" ht="30" x14ac:dyDescent="0.2">
      <c r="A144" s="2" t="s">
        <v>579</v>
      </c>
      <c r="B144" s="2" t="s">
        <v>580</v>
      </c>
      <c r="C144" s="2" t="s">
        <v>8</v>
      </c>
      <c r="D144" s="2" t="s">
        <v>228</v>
      </c>
      <c r="E144" s="4">
        <v>59.99</v>
      </c>
      <c r="F144" s="4">
        <v>1805.67</v>
      </c>
      <c r="G144" s="3">
        <v>30</v>
      </c>
      <c r="H144" s="6">
        <v>4.5999999999999996</v>
      </c>
      <c r="I144" s="3">
        <v>11</v>
      </c>
      <c r="J144" s="17" t="str">
        <f>HYPERLINK("https://amazon.com/dp/B0BTNSJ4PZ","Amazon - B0BTNSJ4PZ")</f>
        <v>Amazon - B0BTNSJ4PZ</v>
      </c>
      <c r="K144" s="18" t="s">
        <v>229</v>
      </c>
      <c r="L144" s="18" t="s">
        <v>230</v>
      </c>
      <c r="M144" s="18" t="s">
        <v>271</v>
      </c>
      <c r="N144" s="18" t="s">
        <v>339</v>
      </c>
      <c r="O144" s="18" t="s">
        <v>246</v>
      </c>
      <c r="P144" s="18" t="s">
        <v>234</v>
      </c>
    </row>
    <row r="145" spans="1:16" ht="45" x14ac:dyDescent="0.2">
      <c r="A145" s="2" t="s">
        <v>581</v>
      </c>
      <c r="B145" s="2" t="s">
        <v>582</v>
      </c>
      <c r="C145" s="2" t="s">
        <v>44</v>
      </c>
      <c r="D145" s="2" t="s">
        <v>228</v>
      </c>
      <c r="E145" s="4">
        <v>308.99</v>
      </c>
      <c r="F145" s="4">
        <v>1775</v>
      </c>
      <c r="G145" s="3">
        <v>6</v>
      </c>
      <c r="H145" s="6">
        <v>4.0999999999999996</v>
      </c>
      <c r="I145" s="3">
        <v>38</v>
      </c>
      <c r="J145" s="17" t="str">
        <f>HYPERLINK("https://amazon.com/dp/B0F62RBVSF","Amazon - B0F62RBVSF")</f>
        <v>Amazon - B0F62RBVSF</v>
      </c>
      <c r="K145" s="18" t="s">
        <v>229</v>
      </c>
      <c r="L145" s="18" t="s">
        <v>251</v>
      </c>
      <c r="M145" s="18" t="s">
        <v>242</v>
      </c>
      <c r="N145" s="18" t="s">
        <v>296</v>
      </c>
      <c r="O145" s="18" t="s">
        <v>233</v>
      </c>
      <c r="P145" s="18" t="s">
        <v>278</v>
      </c>
    </row>
    <row r="146" spans="1:16" ht="45" x14ac:dyDescent="0.2">
      <c r="A146" s="2" t="s">
        <v>583</v>
      </c>
      <c r="B146" s="2" t="s">
        <v>584</v>
      </c>
      <c r="C146" s="2" t="s">
        <v>8</v>
      </c>
      <c r="D146" s="2" t="s">
        <v>228</v>
      </c>
      <c r="E146" s="4">
        <v>129.99</v>
      </c>
      <c r="F146" s="4">
        <v>1771.46</v>
      </c>
      <c r="G146" s="3">
        <v>14</v>
      </c>
      <c r="H146" s="6">
        <v>4.5999999999999996</v>
      </c>
      <c r="I146" s="3">
        <v>733</v>
      </c>
      <c r="J146" s="17" t="str">
        <f>HYPERLINK("https://amazon.com/dp/B08PTVBGBQ","Amazon - B08PTVBGBQ")</f>
        <v>Amazon - B08PTVBGBQ</v>
      </c>
      <c r="K146" s="18" t="s">
        <v>229</v>
      </c>
      <c r="L146" s="18" t="s">
        <v>230</v>
      </c>
      <c r="M146" s="18" t="s">
        <v>242</v>
      </c>
      <c r="N146" s="18" t="s">
        <v>339</v>
      </c>
      <c r="O146" s="18" t="s">
        <v>246</v>
      </c>
      <c r="P146" s="18" t="s">
        <v>305</v>
      </c>
    </row>
    <row r="147" spans="1:16" ht="30" x14ac:dyDescent="0.2">
      <c r="A147" s="2" t="s">
        <v>585</v>
      </c>
      <c r="B147" s="2" t="s">
        <v>586</v>
      </c>
      <c r="C147" s="2" t="s">
        <v>59</v>
      </c>
      <c r="D147" s="2" t="s">
        <v>228</v>
      </c>
      <c r="E147" s="4">
        <v>429</v>
      </c>
      <c r="F147" s="4">
        <v>1755.51</v>
      </c>
      <c r="G147" s="3">
        <v>4</v>
      </c>
      <c r="H147" s="6">
        <v>0</v>
      </c>
      <c r="I147" s="3">
        <v>0</v>
      </c>
      <c r="J147" s="17" t="str">
        <f>HYPERLINK("https://amazon.com/dp/B0D1CJ68KG","Amazon - B0D1CJ68KG")</f>
        <v>Amazon - B0D1CJ68KG</v>
      </c>
      <c r="K147" s="18" t="s">
        <v>229</v>
      </c>
      <c r="L147" s="18" t="s">
        <v>230</v>
      </c>
      <c r="M147" s="18" t="s">
        <v>271</v>
      </c>
      <c r="N147" s="18" t="s">
        <v>339</v>
      </c>
      <c r="O147" s="18" t="s">
        <v>233</v>
      </c>
      <c r="P147" s="18" t="s">
        <v>271</v>
      </c>
    </row>
    <row r="148" spans="1:16" ht="45" x14ac:dyDescent="0.2">
      <c r="A148" s="2" t="s">
        <v>392</v>
      </c>
      <c r="B148" s="2" t="s">
        <v>393</v>
      </c>
      <c r="C148" s="2" t="s">
        <v>60</v>
      </c>
      <c r="D148" s="2" t="s">
        <v>228</v>
      </c>
      <c r="E148" s="4">
        <v>14.99</v>
      </c>
      <c r="F148" s="4">
        <v>1753.73</v>
      </c>
      <c r="G148" s="3">
        <v>117</v>
      </c>
      <c r="H148" s="6">
        <v>4.9000000000000004</v>
      </c>
      <c r="I148" s="3">
        <v>28</v>
      </c>
      <c r="J148" s="17" t="str">
        <f>HYPERLINK("https://amazon.com/dp/B0F47SBC8N","Amazon - B0F47SBC8N")</f>
        <v>Amazon - B0F47SBC8N</v>
      </c>
      <c r="K148" s="18" t="s">
        <v>229</v>
      </c>
      <c r="L148" s="18" t="s">
        <v>230</v>
      </c>
      <c r="M148" s="18" t="s">
        <v>242</v>
      </c>
      <c r="N148" s="18" t="s">
        <v>271</v>
      </c>
      <c r="O148" s="18" t="s">
        <v>233</v>
      </c>
      <c r="P148" s="18" t="s">
        <v>271</v>
      </c>
    </row>
    <row r="149" spans="1:16" ht="45" x14ac:dyDescent="0.2">
      <c r="A149" s="2" t="s">
        <v>587</v>
      </c>
      <c r="B149" s="2" t="s">
        <v>588</v>
      </c>
      <c r="C149" s="2" t="s">
        <v>61</v>
      </c>
      <c r="D149" s="2" t="s">
        <v>285</v>
      </c>
      <c r="E149" s="4">
        <v>62.5</v>
      </c>
      <c r="F149" s="4">
        <v>1715.52</v>
      </c>
      <c r="G149" s="3">
        <v>28</v>
      </c>
      <c r="H149" s="6">
        <v>4.5999999999999996</v>
      </c>
      <c r="I149" s="3">
        <v>4</v>
      </c>
      <c r="J149" s="17" t="str">
        <f>HYPERLINK("https://amazon.com/dp/B0GLN5KH95","Amazon - B0GLN5KH95")</f>
        <v>Amazon - B0GLN5KH95</v>
      </c>
      <c r="K149" s="18" t="s">
        <v>286</v>
      </c>
      <c r="L149" s="18" t="s">
        <v>230</v>
      </c>
      <c r="M149" s="18" t="s">
        <v>287</v>
      </c>
      <c r="N149" s="18" t="s">
        <v>271</v>
      </c>
      <c r="O149" s="18" t="s">
        <v>233</v>
      </c>
      <c r="P149" s="18" t="s">
        <v>234</v>
      </c>
    </row>
    <row r="150" spans="1:16" ht="45" x14ac:dyDescent="0.2">
      <c r="A150" s="2" t="s">
        <v>589</v>
      </c>
      <c r="B150" s="2" t="s">
        <v>590</v>
      </c>
      <c r="C150" s="2" t="s">
        <v>25</v>
      </c>
      <c r="D150" s="2" t="s">
        <v>591</v>
      </c>
      <c r="E150" s="4">
        <v>899.98</v>
      </c>
      <c r="F150" s="4">
        <v>1642.64</v>
      </c>
      <c r="G150" s="3">
        <v>2</v>
      </c>
      <c r="H150" s="6">
        <v>0</v>
      </c>
      <c r="I150" s="3">
        <v>0</v>
      </c>
      <c r="J150" s="17" t="str">
        <f>HYPERLINK("https://amazon.com/dp/B09RQ4KMK2","Amazon - B09RQ4KMK2")</f>
        <v>Amazon - B09RQ4KMK2</v>
      </c>
      <c r="K150" s="18" t="s">
        <v>286</v>
      </c>
      <c r="L150" s="18" t="s">
        <v>230</v>
      </c>
      <c r="M150" s="18" t="s">
        <v>287</v>
      </c>
      <c r="N150" s="18" t="s">
        <v>265</v>
      </c>
      <c r="O150" s="18" t="s">
        <v>233</v>
      </c>
      <c r="P150" s="18" t="s">
        <v>234</v>
      </c>
    </row>
    <row r="151" spans="1:16" ht="45" x14ac:dyDescent="0.2">
      <c r="A151" s="2" t="s">
        <v>592</v>
      </c>
      <c r="B151" s="2" t="s">
        <v>593</v>
      </c>
      <c r="C151" s="2" t="s">
        <v>11</v>
      </c>
      <c r="D151" s="2" t="s">
        <v>228</v>
      </c>
      <c r="E151" s="4">
        <v>108.99</v>
      </c>
      <c r="F151" s="4">
        <v>1635.5</v>
      </c>
      <c r="G151" s="3">
        <v>15</v>
      </c>
      <c r="H151" s="6">
        <v>4.0999999999999996</v>
      </c>
      <c r="I151" s="3">
        <v>25</v>
      </c>
      <c r="J151" s="17" t="str">
        <f>HYPERLINK("https://amazon.com/dp/B0DXFBLWLJ","Amazon - B0DXFBLWLJ")</f>
        <v>Amazon - B0DXFBLWLJ</v>
      </c>
      <c r="K151" s="18" t="s">
        <v>229</v>
      </c>
      <c r="L151" s="18" t="s">
        <v>230</v>
      </c>
      <c r="M151" s="18" t="s">
        <v>271</v>
      </c>
      <c r="N151" s="18" t="s">
        <v>296</v>
      </c>
      <c r="O151" s="18" t="s">
        <v>233</v>
      </c>
      <c r="P151" s="18" t="s">
        <v>297</v>
      </c>
    </row>
    <row r="152" spans="1:16" ht="45" x14ac:dyDescent="0.2">
      <c r="A152" s="2" t="s">
        <v>594</v>
      </c>
      <c r="B152" s="2" t="s">
        <v>595</v>
      </c>
      <c r="C152" s="2" t="s">
        <v>46</v>
      </c>
      <c r="D152" s="2" t="s">
        <v>285</v>
      </c>
      <c r="E152" s="4">
        <v>99.99</v>
      </c>
      <c r="F152" s="4">
        <v>1612.97</v>
      </c>
      <c r="G152" s="3">
        <v>16</v>
      </c>
      <c r="H152" s="6">
        <v>5</v>
      </c>
      <c r="I152" s="3">
        <v>1</v>
      </c>
      <c r="J152" s="17" t="str">
        <f>HYPERLINK("https://amazon.com/dp/B0G3ZQDT5B","Amazon - B0G3ZQDT5B")</f>
        <v>Amazon - B0G3ZQDT5B</v>
      </c>
      <c r="K152" s="18" t="s">
        <v>286</v>
      </c>
      <c r="L152" s="18" t="s">
        <v>251</v>
      </c>
      <c r="M152" s="18" t="s">
        <v>287</v>
      </c>
      <c r="N152" s="18" t="s">
        <v>271</v>
      </c>
      <c r="O152" s="18" t="s">
        <v>233</v>
      </c>
      <c r="P152" s="18" t="s">
        <v>234</v>
      </c>
    </row>
    <row r="153" spans="1:16" ht="45" x14ac:dyDescent="0.2">
      <c r="A153" s="2" t="s">
        <v>596</v>
      </c>
      <c r="B153" s="2" t="s">
        <v>597</v>
      </c>
      <c r="C153" s="2" t="s">
        <v>57</v>
      </c>
      <c r="D153" s="2" t="s">
        <v>228</v>
      </c>
      <c r="E153" s="4">
        <v>26.99</v>
      </c>
      <c r="F153" s="4">
        <v>1599.2</v>
      </c>
      <c r="G153" s="3">
        <v>63</v>
      </c>
      <c r="H153" s="6">
        <v>4.4000000000000004</v>
      </c>
      <c r="I153" s="3">
        <v>14</v>
      </c>
      <c r="J153" s="17" t="str">
        <f>HYPERLINK("https://amazon.com/dp/B0G6XZF1YN","Amazon - B0G6XZF1YN")</f>
        <v>Amazon - B0G6XZF1YN</v>
      </c>
      <c r="K153" s="18" t="s">
        <v>229</v>
      </c>
      <c r="L153" s="18" t="s">
        <v>230</v>
      </c>
      <c r="M153" s="18" t="s">
        <v>237</v>
      </c>
      <c r="N153" s="18" t="s">
        <v>271</v>
      </c>
      <c r="O153" s="18" t="s">
        <v>233</v>
      </c>
      <c r="P153" s="18" t="s">
        <v>305</v>
      </c>
    </row>
    <row r="154" spans="1:16" ht="45" x14ac:dyDescent="0.2">
      <c r="A154" s="2" t="s">
        <v>598</v>
      </c>
      <c r="B154" s="2" t="s">
        <v>599</v>
      </c>
      <c r="C154" s="2" t="s">
        <v>22</v>
      </c>
      <c r="D154" s="2" t="s">
        <v>228</v>
      </c>
      <c r="E154" s="4">
        <v>419.99</v>
      </c>
      <c r="F154" s="4">
        <v>1592.19</v>
      </c>
      <c r="G154" s="3">
        <v>4</v>
      </c>
      <c r="H154" s="6">
        <v>4.8</v>
      </c>
      <c r="I154" s="3">
        <v>9</v>
      </c>
      <c r="J154" s="17" t="str">
        <f>HYPERLINK("https://amazon.com/dp/B0FXXB799G","Amazon - B0FXXB799G")</f>
        <v>Amazon - B0FXXB799G</v>
      </c>
      <c r="K154" s="18" t="s">
        <v>229</v>
      </c>
      <c r="L154" s="18" t="s">
        <v>251</v>
      </c>
      <c r="M154" s="18" t="s">
        <v>242</v>
      </c>
      <c r="N154" s="18" t="s">
        <v>265</v>
      </c>
      <c r="O154" s="18" t="s">
        <v>233</v>
      </c>
      <c r="P154" s="18" t="s">
        <v>600</v>
      </c>
    </row>
    <row r="155" spans="1:16" ht="45" x14ac:dyDescent="0.2">
      <c r="A155" s="2" t="s">
        <v>601</v>
      </c>
      <c r="B155" s="2" t="s">
        <v>602</v>
      </c>
      <c r="C155" s="2" t="s">
        <v>20</v>
      </c>
      <c r="D155" s="2" t="s">
        <v>228</v>
      </c>
      <c r="E155" s="4">
        <v>79.989999999999995</v>
      </c>
      <c r="F155" s="4">
        <v>1575.23</v>
      </c>
      <c r="G155" s="3">
        <v>20</v>
      </c>
      <c r="H155" s="6">
        <v>4.4000000000000004</v>
      </c>
      <c r="I155" s="3">
        <v>9</v>
      </c>
      <c r="J155" s="17" t="str">
        <f>HYPERLINK("https://amazon.com/dp/B0FR4KB3KL","Amazon - B0FR4KB3KL")</f>
        <v>Amazon - B0FR4KB3KL</v>
      </c>
      <c r="K155" s="18" t="s">
        <v>229</v>
      </c>
      <c r="L155" s="18" t="s">
        <v>230</v>
      </c>
      <c r="M155" s="18" t="s">
        <v>242</v>
      </c>
      <c r="N155" s="18" t="s">
        <v>243</v>
      </c>
      <c r="O155" s="18" t="s">
        <v>233</v>
      </c>
      <c r="P155" s="18" t="s">
        <v>259</v>
      </c>
    </row>
    <row r="156" spans="1:16" ht="30" x14ac:dyDescent="0.2">
      <c r="A156" s="2" t="s">
        <v>603</v>
      </c>
      <c r="B156" s="2" t="s">
        <v>604</v>
      </c>
      <c r="C156" s="2" t="s">
        <v>63</v>
      </c>
      <c r="D156" s="2" t="s">
        <v>228</v>
      </c>
      <c r="E156" s="4">
        <v>59.99</v>
      </c>
      <c r="F156" s="4">
        <v>1537.72</v>
      </c>
      <c r="G156" s="3">
        <v>22</v>
      </c>
      <c r="H156" s="6">
        <v>3.3</v>
      </c>
      <c r="I156" s="3">
        <v>23</v>
      </c>
      <c r="J156" s="17" t="str">
        <f>HYPERLINK("https://amazon.com/dp/B0F64LBZW5","Amazon - B0F64LBZW5")</f>
        <v>Amazon - B0F64LBZW5</v>
      </c>
      <c r="K156" s="18" t="s">
        <v>229</v>
      </c>
      <c r="L156" s="18" t="s">
        <v>230</v>
      </c>
      <c r="M156" s="18" t="s">
        <v>242</v>
      </c>
      <c r="N156" s="18" t="s">
        <v>296</v>
      </c>
      <c r="O156" s="18" t="s">
        <v>233</v>
      </c>
      <c r="P156" s="18" t="s">
        <v>234</v>
      </c>
    </row>
    <row r="157" spans="1:16" ht="30" x14ac:dyDescent="0.2">
      <c r="A157" s="2" t="s">
        <v>605</v>
      </c>
      <c r="B157" s="2" t="s">
        <v>606</v>
      </c>
      <c r="C157" s="2" t="s">
        <v>8</v>
      </c>
      <c r="D157" s="2" t="s">
        <v>228</v>
      </c>
      <c r="E157" s="4">
        <v>99.99</v>
      </c>
      <c r="F157" s="4">
        <v>1431.57</v>
      </c>
      <c r="G157" s="3">
        <v>14</v>
      </c>
      <c r="H157" s="6">
        <v>4.5999999999999996</v>
      </c>
      <c r="I157" s="3">
        <v>8</v>
      </c>
      <c r="J157" s="17" t="str">
        <f>HYPERLINK("https://amazon.com/dp/B09WMFVTWJ","Amazon - B09WMFVTWJ")</f>
        <v>Amazon - B09WMFVTWJ</v>
      </c>
      <c r="K157" s="18" t="s">
        <v>229</v>
      </c>
      <c r="L157" s="18" t="s">
        <v>230</v>
      </c>
      <c r="M157" s="18" t="s">
        <v>271</v>
      </c>
      <c r="N157" s="18" t="s">
        <v>232</v>
      </c>
      <c r="O157" s="18" t="s">
        <v>316</v>
      </c>
      <c r="P157" s="18" t="s">
        <v>305</v>
      </c>
    </row>
    <row r="158" spans="1:16" ht="45" x14ac:dyDescent="0.2">
      <c r="A158" s="2" t="s">
        <v>607</v>
      </c>
      <c r="B158" s="2" t="s">
        <v>608</v>
      </c>
      <c r="C158" s="2" t="s">
        <v>21</v>
      </c>
      <c r="D158" s="2" t="s">
        <v>228</v>
      </c>
      <c r="E158" s="4">
        <v>299.99</v>
      </c>
      <c r="F158" s="4">
        <v>1431.21</v>
      </c>
      <c r="G158" s="3">
        <v>5</v>
      </c>
      <c r="H158" s="6">
        <v>4.5</v>
      </c>
      <c r="I158" s="3">
        <v>33</v>
      </c>
      <c r="J158" s="17" t="str">
        <f>HYPERLINK("https://amazon.com/dp/B0F3X5MSMM","Amazon - B0F3X5MSMM")</f>
        <v>Amazon - B0F3X5MSMM</v>
      </c>
      <c r="K158" s="18" t="s">
        <v>229</v>
      </c>
      <c r="L158" s="18" t="s">
        <v>251</v>
      </c>
      <c r="M158" s="18" t="s">
        <v>242</v>
      </c>
      <c r="N158" s="18" t="s">
        <v>296</v>
      </c>
      <c r="O158" s="18" t="s">
        <v>233</v>
      </c>
      <c r="P158" s="18" t="s">
        <v>234</v>
      </c>
    </row>
    <row r="159" spans="1:16" ht="45" x14ac:dyDescent="0.2">
      <c r="A159" s="2" t="s">
        <v>609</v>
      </c>
      <c r="B159" s="2" t="s">
        <v>610</v>
      </c>
      <c r="C159" s="2" t="s">
        <v>15</v>
      </c>
      <c r="D159" s="2" t="s">
        <v>228</v>
      </c>
      <c r="E159" s="4">
        <v>49.99</v>
      </c>
      <c r="F159" s="4">
        <v>1419.23</v>
      </c>
      <c r="G159" s="3">
        <v>28</v>
      </c>
      <c r="H159" s="6">
        <v>4.7</v>
      </c>
      <c r="I159" s="3">
        <v>89</v>
      </c>
      <c r="J159" s="17" t="str">
        <f>HYPERLINK("https://amazon.com/dp/B0FMJ29TWN","Amazon - B0FMJ29TWN")</f>
        <v>Amazon - B0FMJ29TWN</v>
      </c>
      <c r="K159" s="18" t="s">
        <v>229</v>
      </c>
      <c r="L159" s="18" t="s">
        <v>230</v>
      </c>
      <c r="M159" s="18" t="s">
        <v>271</v>
      </c>
      <c r="N159" s="18" t="s">
        <v>271</v>
      </c>
      <c r="O159" s="18" t="s">
        <v>246</v>
      </c>
      <c r="P159" s="18" t="s">
        <v>305</v>
      </c>
    </row>
    <row r="160" spans="1:16" ht="30" x14ac:dyDescent="0.2">
      <c r="A160" s="2" t="s">
        <v>611</v>
      </c>
      <c r="B160" s="2" t="s">
        <v>612</v>
      </c>
      <c r="C160" s="2" t="s">
        <v>64</v>
      </c>
      <c r="D160" s="2" t="s">
        <v>285</v>
      </c>
      <c r="E160" s="4">
        <v>39</v>
      </c>
      <c r="F160" s="4">
        <v>1417.42</v>
      </c>
      <c r="G160" s="3">
        <v>34</v>
      </c>
      <c r="H160" s="6">
        <v>4.4000000000000004</v>
      </c>
      <c r="I160" s="3">
        <v>3</v>
      </c>
      <c r="J160" s="17" t="str">
        <f>HYPERLINK("https://amazon.com/dp/B0F9KTCD56","Amazon - B0F9KTCD56")</f>
        <v>Amazon - B0F9KTCD56</v>
      </c>
      <c r="K160" s="18" t="s">
        <v>286</v>
      </c>
      <c r="L160" s="18" t="s">
        <v>230</v>
      </c>
      <c r="M160" s="18" t="s">
        <v>287</v>
      </c>
      <c r="N160" s="18" t="s">
        <v>271</v>
      </c>
      <c r="O160" s="18" t="s">
        <v>233</v>
      </c>
      <c r="P160" s="18" t="s">
        <v>278</v>
      </c>
    </row>
    <row r="161" spans="1:16" ht="45" x14ac:dyDescent="0.2">
      <c r="A161" s="2" t="s">
        <v>613</v>
      </c>
      <c r="B161" s="2" t="s">
        <v>614</v>
      </c>
      <c r="C161" s="2" t="s">
        <v>39</v>
      </c>
      <c r="D161" s="2" t="s">
        <v>228</v>
      </c>
      <c r="E161" s="4">
        <v>145.99</v>
      </c>
      <c r="F161" s="4">
        <v>1413.73</v>
      </c>
      <c r="G161" s="3">
        <v>10</v>
      </c>
      <c r="H161" s="6">
        <v>4.5</v>
      </c>
      <c r="I161" s="3">
        <v>18</v>
      </c>
      <c r="J161" s="17" t="str">
        <f>HYPERLINK("https://amazon.com/dp/B0BTHFGGMW","Amazon - B0BTHFGGMW")</f>
        <v>Amazon - B0BTHFGGMW</v>
      </c>
      <c r="K161" s="18" t="s">
        <v>229</v>
      </c>
      <c r="L161" s="18" t="s">
        <v>230</v>
      </c>
      <c r="M161" s="18" t="s">
        <v>242</v>
      </c>
      <c r="N161" s="18" t="s">
        <v>243</v>
      </c>
      <c r="O161" s="18" t="s">
        <v>233</v>
      </c>
      <c r="P161" s="18" t="s">
        <v>543</v>
      </c>
    </row>
    <row r="162" spans="1:16" ht="45" x14ac:dyDescent="0.2">
      <c r="A162" s="2" t="s">
        <v>615</v>
      </c>
      <c r="B162" s="2" t="s">
        <v>616</v>
      </c>
      <c r="C162" s="2" t="s">
        <v>22</v>
      </c>
      <c r="D162" s="2" t="s">
        <v>228</v>
      </c>
      <c r="E162" s="4">
        <v>129.99</v>
      </c>
      <c r="F162" s="4">
        <v>1412.44</v>
      </c>
      <c r="G162" s="3">
        <v>11</v>
      </c>
      <c r="H162" s="6">
        <v>5</v>
      </c>
      <c r="I162" s="3">
        <v>20</v>
      </c>
      <c r="J162" s="17" t="str">
        <f>HYPERLINK("https://amazon.com/dp/B0FYLV8TND","Amazon - B0FYLV8TND")</f>
        <v>Amazon - B0FYLV8TND</v>
      </c>
      <c r="K162" s="18" t="s">
        <v>229</v>
      </c>
      <c r="L162" s="18" t="s">
        <v>230</v>
      </c>
      <c r="M162" s="18" t="s">
        <v>242</v>
      </c>
      <c r="N162" s="18" t="s">
        <v>296</v>
      </c>
      <c r="O162" s="18" t="s">
        <v>233</v>
      </c>
      <c r="P162" s="18" t="s">
        <v>234</v>
      </c>
    </row>
    <row r="163" spans="1:16" ht="45" x14ac:dyDescent="0.2">
      <c r="A163" s="2" t="s">
        <v>617</v>
      </c>
      <c r="B163" s="2" t="s">
        <v>618</v>
      </c>
      <c r="C163" s="2" t="s">
        <v>8</v>
      </c>
      <c r="D163" s="2" t="s">
        <v>228</v>
      </c>
      <c r="E163" s="4">
        <v>309.99</v>
      </c>
      <c r="F163" s="4">
        <v>1369.47</v>
      </c>
      <c r="G163" s="3">
        <v>4</v>
      </c>
      <c r="H163" s="6">
        <v>4.2</v>
      </c>
      <c r="I163" s="3">
        <v>45</v>
      </c>
      <c r="J163" s="17" t="str">
        <f>HYPERLINK("https://amazon.com/dp/B0D97DVVN3","Amazon - B0D97DVVN3")</f>
        <v>Amazon - B0D97DVVN3</v>
      </c>
      <c r="K163" s="18" t="s">
        <v>229</v>
      </c>
      <c r="L163" s="18" t="s">
        <v>230</v>
      </c>
      <c r="M163" s="18" t="s">
        <v>242</v>
      </c>
      <c r="N163" s="18" t="s">
        <v>253</v>
      </c>
      <c r="O163" s="18" t="s">
        <v>233</v>
      </c>
      <c r="P163" s="18" t="s">
        <v>234</v>
      </c>
    </row>
    <row r="164" spans="1:16" ht="45" x14ac:dyDescent="0.2">
      <c r="A164" s="2" t="s">
        <v>619</v>
      </c>
      <c r="B164" s="2" t="s">
        <v>620</v>
      </c>
      <c r="C164" s="2" t="s">
        <v>13</v>
      </c>
      <c r="D164" s="2" t="s">
        <v>228</v>
      </c>
      <c r="E164" s="4">
        <v>51.34</v>
      </c>
      <c r="F164" s="4">
        <v>1324.39</v>
      </c>
      <c r="G164" s="3">
        <v>22</v>
      </c>
      <c r="H164" s="6">
        <v>4.3</v>
      </c>
      <c r="I164" s="3">
        <v>305</v>
      </c>
      <c r="J164" s="17" t="str">
        <f>HYPERLINK("https://amazon.com/dp/B0DGTFVHF3","Amazon - B0DGTFVHF3")</f>
        <v>Amazon - B0DGTFVHF3</v>
      </c>
      <c r="K164" s="18" t="s">
        <v>229</v>
      </c>
      <c r="L164" s="18" t="s">
        <v>230</v>
      </c>
      <c r="M164" s="18" t="s">
        <v>242</v>
      </c>
      <c r="N164" s="18" t="s">
        <v>271</v>
      </c>
      <c r="O164" s="18" t="s">
        <v>316</v>
      </c>
      <c r="P164" s="18" t="s">
        <v>386</v>
      </c>
    </row>
    <row r="165" spans="1:16" ht="45" x14ac:dyDescent="0.2">
      <c r="A165" s="2" t="s">
        <v>621</v>
      </c>
      <c r="B165" s="2" t="s">
        <v>622</v>
      </c>
      <c r="C165" s="2" t="s">
        <v>8</v>
      </c>
      <c r="D165" s="2" t="s">
        <v>228</v>
      </c>
      <c r="E165" s="4">
        <v>329.99</v>
      </c>
      <c r="F165" s="4">
        <v>1321.35</v>
      </c>
      <c r="G165" s="3">
        <v>4</v>
      </c>
      <c r="H165" s="6">
        <v>4.5999999999999996</v>
      </c>
      <c r="I165" s="3">
        <v>19</v>
      </c>
      <c r="J165" s="17" t="str">
        <f>HYPERLINK("https://amazon.com/dp/B0DRNW1YY9","Amazon - B0DRNW1YY9")</f>
        <v>Amazon - B0DRNW1YY9</v>
      </c>
      <c r="K165" s="18" t="s">
        <v>229</v>
      </c>
      <c r="L165" s="18" t="s">
        <v>230</v>
      </c>
      <c r="M165" s="18" t="s">
        <v>252</v>
      </c>
      <c r="N165" s="18" t="s">
        <v>265</v>
      </c>
      <c r="O165" s="18" t="s">
        <v>233</v>
      </c>
      <c r="P165" s="18" t="s">
        <v>234</v>
      </c>
    </row>
    <row r="166" spans="1:16" ht="45" x14ac:dyDescent="0.2">
      <c r="A166" s="2" t="s">
        <v>623</v>
      </c>
      <c r="B166" s="2" t="s">
        <v>624</v>
      </c>
      <c r="C166" s="2" t="s">
        <v>49</v>
      </c>
      <c r="D166" s="2" t="s">
        <v>228</v>
      </c>
      <c r="E166" s="4">
        <v>159.99</v>
      </c>
      <c r="F166" s="4">
        <v>1318.04</v>
      </c>
      <c r="G166" s="3">
        <v>8</v>
      </c>
      <c r="H166" s="6">
        <v>4</v>
      </c>
      <c r="I166" s="3">
        <v>35</v>
      </c>
      <c r="J166" s="17" t="str">
        <f>HYPERLINK("https://amazon.com/dp/B0FH6P1X48","Amazon - B0FH6P1X48")</f>
        <v>Amazon - B0FH6P1X48</v>
      </c>
      <c r="K166" s="18" t="s">
        <v>229</v>
      </c>
      <c r="L166" s="18" t="s">
        <v>230</v>
      </c>
      <c r="M166" s="18" t="s">
        <v>242</v>
      </c>
      <c r="N166" s="18" t="s">
        <v>265</v>
      </c>
      <c r="O166" s="18" t="s">
        <v>233</v>
      </c>
      <c r="P166" s="18" t="s">
        <v>234</v>
      </c>
    </row>
    <row r="167" spans="1:16" x14ac:dyDescent="0.2">
      <c r="A167" s="2" t="s">
        <v>625</v>
      </c>
      <c r="B167" s="2" t="s">
        <v>626</v>
      </c>
      <c r="C167" s="2" t="s">
        <v>67</v>
      </c>
      <c r="D167" s="2" t="s">
        <v>228</v>
      </c>
      <c r="E167" s="4">
        <v>599</v>
      </c>
      <c r="F167" s="4">
        <v>1272.1300000000001</v>
      </c>
      <c r="G167" s="3">
        <v>2</v>
      </c>
      <c r="H167" s="6">
        <v>0</v>
      </c>
      <c r="I167" s="3">
        <v>0</v>
      </c>
      <c r="J167" s="17" t="str">
        <f>HYPERLINK("https://amazon.com/dp/B0C8161FYD","Amazon - B0C8161FYD")</f>
        <v>Amazon - B0C8161FYD</v>
      </c>
      <c r="K167" s="18" t="s">
        <v>229</v>
      </c>
      <c r="L167" s="18" t="s">
        <v>230</v>
      </c>
      <c r="M167" s="18" t="s">
        <v>271</v>
      </c>
      <c r="N167" s="18" t="s">
        <v>271</v>
      </c>
      <c r="O167" s="18" t="s">
        <v>233</v>
      </c>
      <c r="P167" s="18" t="s">
        <v>271</v>
      </c>
    </row>
    <row r="168" spans="1:16" ht="30" x14ac:dyDescent="0.2">
      <c r="A168" s="2" t="s">
        <v>627</v>
      </c>
      <c r="B168" s="2" t="s">
        <v>628</v>
      </c>
      <c r="C168" s="2" t="s">
        <v>27</v>
      </c>
      <c r="D168" s="2" t="s">
        <v>228</v>
      </c>
      <c r="E168" s="4">
        <v>89.99</v>
      </c>
      <c r="F168" s="4">
        <v>1269.5899999999999</v>
      </c>
      <c r="G168" s="3">
        <v>13</v>
      </c>
      <c r="H168" s="6">
        <v>5</v>
      </c>
      <c r="I168" s="3">
        <v>8</v>
      </c>
      <c r="J168" s="17" t="str">
        <f>HYPERLINK("https://amazon.com/dp/B0FKG3KVM7","Amazon - B0FKG3KVM7")</f>
        <v>Amazon - B0FKG3KVM7</v>
      </c>
      <c r="K168" s="18" t="s">
        <v>229</v>
      </c>
      <c r="L168" s="18" t="s">
        <v>230</v>
      </c>
      <c r="M168" s="18" t="s">
        <v>242</v>
      </c>
      <c r="N168" s="18" t="s">
        <v>253</v>
      </c>
      <c r="O168" s="18" t="s">
        <v>233</v>
      </c>
      <c r="P168" s="18" t="s">
        <v>271</v>
      </c>
    </row>
    <row r="169" spans="1:16" ht="30" x14ac:dyDescent="0.2">
      <c r="A169" s="2" t="s">
        <v>629</v>
      </c>
      <c r="B169" s="2" t="s">
        <v>630</v>
      </c>
      <c r="C169" s="2" t="s">
        <v>8</v>
      </c>
      <c r="D169" s="2" t="s">
        <v>228</v>
      </c>
      <c r="E169" s="4">
        <v>69.989999999999995</v>
      </c>
      <c r="F169" s="4">
        <v>1256.29</v>
      </c>
      <c r="G169" s="3">
        <v>18</v>
      </c>
      <c r="H169" s="6">
        <v>5</v>
      </c>
      <c r="I169" s="3">
        <v>4</v>
      </c>
      <c r="J169" s="17" t="str">
        <f>HYPERLINK("https://amazon.com/dp/B0DBHT4HVX","Amazon - B0DBHT4HVX")</f>
        <v>Amazon - B0DBHT4HVX</v>
      </c>
      <c r="K169" s="18" t="s">
        <v>229</v>
      </c>
      <c r="L169" s="18" t="s">
        <v>230</v>
      </c>
      <c r="M169" s="18" t="s">
        <v>271</v>
      </c>
      <c r="N169" s="18" t="s">
        <v>265</v>
      </c>
      <c r="O169" s="18" t="s">
        <v>233</v>
      </c>
      <c r="P169" s="18" t="s">
        <v>278</v>
      </c>
    </row>
    <row r="170" spans="1:16" ht="45" x14ac:dyDescent="0.2">
      <c r="A170" s="2" t="s">
        <v>631</v>
      </c>
      <c r="B170" s="2" t="s">
        <v>632</v>
      </c>
      <c r="C170" s="2" t="s">
        <v>10</v>
      </c>
      <c r="D170" s="2" t="s">
        <v>228</v>
      </c>
      <c r="E170" s="4">
        <v>49.99</v>
      </c>
      <c r="F170" s="4">
        <v>1255.24</v>
      </c>
      <c r="G170" s="3">
        <v>25</v>
      </c>
      <c r="H170" s="6">
        <v>4.4000000000000004</v>
      </c>
      <c r="I170" s="3">
        <v>4303</v>
      </c>
      <c r="J170" s="17" t="str">
        <f>HYPERLINK("https://amazon.com/dp/B095K8XHY2","Amazon - B095K8XHY2")</f>
        <v>Amazon - B095K8XHY2</v>
      </c>
      <c r="K170" s="18" t="s">
        <v>229</v>
      </c>
      <c r="L170" s="18" t="s">
        <v>230</v>
      </c>
      <c r="M170" s="18" t="s">
        <v>237</v>
      </c>
      <c r="N170" s="18" t="s">
        <v>243</v>
      </c>
      <c r="O170" s="18" t="s">
        <v>233</v>
      </c>
      <c r="P170" s="18" t="s">
        <v>305</v>
      </c>
    </row>
    <row r="171" spans="1:16" ht="45" x14ac:dyDescent="0.2">
      <c r="A171" s="2" t="s">
        <v>633</v>
      </c>
      <c r="B171" s="2" t="s">
        <v>634</v>
      </c>
      <c r="C171" s="2" t="s">
        <v>50</v>
      </c>
      <c r="D171" s="2" t="s">
        <v>228</v>
      </c>
      <c r="E171" s="4">
        <v>488</v>
      </c>
      <c r="F171" s="4">
        <v>1233.8800000000001</v>
      </c>
      <c r="G171" s="3">
        <v>3</v>
      </c>
      <c r="H171" s="6">
        <v>2</v>
      </c>
      <c r="I171" s="3">
        <v>1</v>
      </c>
      <c r="J171" s="17" t="str">
        <f>HYPERLINK("https://amazon.com/dp/B0F2F2X365","Amazon - B0F2F2X365")</f>
        <v>Amazon - B0F2F2X365</v>
      </c>
      <c r="K171" s="18" t="s">
        <v>229</v>
      </c>
      <c r="L171" s="18" t="s">
        <v>230</v>
      </c>
      <c r="M171" s="18" t="s">
        <v>242</v>
      </c>
      <c r="N171" s="18" t="s">
        <v>271</v>
      </c>
      <c r="O171" s="18" t="s">
        <v>233</v>
      </c>
      <c r="P171" s="18" t="s">
        <v>271</v>
      </c>
    </row>
    <row r="172" spans="1:16" ht="45" x14ac:dyDescent="0.2">
      <c r="A172" s="2" t="s">
        <v>635</v>
      </c>
      <c r="B172" s="2" t="s">
        <v>636</v>
      </c>
      <c r="C172" s="2" t="s">
        <v>11</v>
      </c>
      <c r="D172" s="2" t="s">
        <v>228</v>
      </c>
      <c r="E172" s="4">
        <v>145.99</v>
      </c>
      <c r="F172" s="4">
        <v>1233.5899999999999</v>
      </c>
      <c r="G172" s="3">
        <v>9</v>
      </c>
      <c r="H172" s="6">
        <v>4</v>
      </c>
      <c r="I172" s="3">
        <v>2</v>
      </c>
      <c r="J172" s="17" t="str">
        <f>HYPERLINK("https://amazon.com/dp/B0FHCQYXRP","Amazon - B0FHCQYXRP")</f>
        <v>Amazon - B0FHCQYXRP</v>
      </c>
      <c r="K172" s="18" t="s">
        <v>229</v>
      </c>
      <c r="L172" s="18" t="s">
        <v>230</v>
      </c>
      <c r="M172" s="18" t="s">
        <v>271</v>
      </c>
      <c r="N172" s="18" t="s">
        <v>238</v>
      </c>
      <c r="O172" s="18" t="s">
        <v>233</v>
      </c>
      <c r="P172" s="18" t="s">
        <v>256</v>
      </c>
    </row>
    <row r="173" spans="1:16" ht="45" x14ac:dyDescent="0.2">
      <c r="A173" s="2" t="s">
        <v>637</v>
      </c>
      <c r="B173" s="2" t="s">
        <v>638</v>
      </c>
      <c r="C173" s="2" t="s">
        <v>26</v>
      </c>
      <c r="D173" s="2" t="s">
        <v>228</v>
      </c>
      <c r="E173" s="4">
        <v>19.98</v>
      </c>
      <c r="F173" s="4">
        <v>1227.29</v>
      </c>
      <c r="G173" s="3">
        <v>60</v>
      </c>
      <c r="H173" s="6">
        <v>4.2</v>
      </c>
      <c r="I173" s="3">
        <v>54</v>
      </c>
      <c r="J173" s="17" t="str">
        <f>HYPERLINK("https://amazon.com/dp/B0DKHMFTVN","Amazon - B0DKHMFTVN")</f>
        <v>Amazon - B0DKHMFTVN</v>
      </c>
      <c r="K173" s="18" t="s">
        <v>229</v>
      </c>
      <c r="L173" s="18" t="s">
        <v>230</v>
      </c>
      <c r="M173" s="18" t="s">
        <v>237</v>
      </c>
      <c r="N173" s="18" t="s">
        <v>243</v>
      </c>
      <c r="O173" s="18" t="s">
        <v>233</v>
      </c>
      <c r="P173" s="18" t="s">
        <v>305</v>
      </c>
    </row>
    <row r="174" spans="1:16" ht="45" x14ac:dyDescent="0.2">
      <c r="A174" s="2" t="s">
        <v>639</v>
      </c>
      <c r="B174" s="2" t="s">
        <v>640</v>
      </c>
      <c r="C174" s="2" t="s">
        <v>69</v>
      </c>
      <c r="D174" s="2" t="s">
        <v>228</v>
      </c>
      <c r="E174" s="4">
        <v>33.99</v>
      </c>
      <c r="F174" s="4">
        <v>1190.3499999999999</v>
      </c>
      <c r="G174" s="3">
        <v>31</v>
      </c>
      <c r="H174" s="6">
        <v>4.5</v>
      </c>
      <c r="I174" s="3">
        <v>2</v>
      </c>
      <c r="J174" s="17" t="str">
        <f>HYPERLINK("https://amazon.com/dp/B0FMJD4CHD","Amazon - B0FMJD4CHD")</f>
        <v>Amazon - B0FMJD4CHD</v>
      </c>
      <c r="K174" s="18" t="s">
        <v>229</v>
      </c>
      <c r="L174" s="18" t="s">
        <v>230</v>
      </c>
      <c r="M174" s="18" t="s">
        <v>237</v>
      </c>
      <c r="N174" s="18" t="s">
        <v>271</v>
      </c>
      <c r="O174" s="18" t="s">
        <v>233</v>
      </c>
      <c r="P174" s="18" t="s">
        <v>351</v>
      </c>
    </row>
    <row r="175" spans="1:16" ht="30" x14ac:dyDescent="0.2">
      <c r="A175" s="2" t="s">
        <v>641</v>
      </c>
      <c r="B175" s="2" t="s">
        <v>642</v>
      </c>
      <c r="C175" s="2" t="s">
        <v>25</v>
      </c>
      <c r="D175" s="2" t="s">
        <v>228</v>
      </c>
      <c r="E175" s="4">
        <v>399.99</v>
      </c>
      <c r="F175" s="4">
        <v>1179.69</v>
      </c>
      <c r="G175" s="3">
        <v>3</v>
      </c>
      <c r="H175" s="6">
        <v>5</v>
      </c>
      <c r="I175" s="3">
        <v>1</v>
      </c>
      <c r="J175" s="17" t="str">
        <f>HYPERLINK("https://amazon.com/dp/B09917WMZM","Amazon - B09917WMZM")</f>
        <v>Amazon - B09917WMZM</v>
      </c>
      <c r="K175" s="18" t="s">
        <v>229</v>
      </c>
      <c r="L175" s="18" t="s">
        <v>230</v>
      </c>
      <c r="M175" s="18" t="s">
        <v>242</v>
      </c>
      <c r="N175" s="18" t="s">
        <v>271</v>
      </c>
      <c r="O175" s="18" t="s">
        <v>233</v>
      </c>
      <c r="P175" s="18" t="s">
        <v>271</v>
      </c>
    </row>
    <row r="176" spans="1:16" ht="45" x14ac:dyDescent="0.2">
      <c r="A176" s="2" t="s">
        <v>643</v>
      </c>
      <c r="B176" s="2" t="s">
        <v>644</v>
      </c>
      <c r="C176" s="2" t="s">
        <v>70</v>
      </c>
      <c r="D176" s="2" t="s">
        <v>228</v>
      </c>
      <c r="E176" s="4">
        <v>49.96</v>
      </c>
      <c r="F176" s="4">
        <v>1170.48</v>
      </c>
      <c r="G176" s="3">
        <v>25</v>
      </c>
      <c r="H176" s="6">
        <v>4.4000000000000004</v>
      </c>
      <c r="I176" s="3">
        <v>50</v>
      </c>
      <c r="J176" s="17" t="str">
        <f>HYPERLINK("https://amazon.com/dp/B0DXP6S228","Amazon - B0DXP6S228")</f>
        <v>Amazon - B0DXP6S228</v>
      </c>
      <c r="K176" s="18" t="s">
        <v>229</v>
      </c>
      <c r="L176" s="18" t="s">
        <v>230</v>
      </c>
      <c r="M176" s="18" t="s">
        <v>242</v>
      </c>
      <c r="N176" s="18" t="s">
        <v>271</v>
      </c>
      <c r="O176" s="18" t="s">
        <v>246</v>
      </c>
      <c r="P176" s="18" t="s">
        <v>305</v>
      </c>
    </row>
    <row r="177" spans="1:16" ht="30" x14ac:dyDescent="0.2">
      <c r="A177" s="2" t="s">
        <v>645</v>
      </c>
      <c r="B177" s="2" t="s">
        <v>646</v>
      </c>
      <c r="C177" s="2" t="s">
        <v>8</v>
      </c>
      <c r="D177" s="2" t="s">
        <v>228</v>
      </c>
      <c r="E177" s="4">
        <v>89.99</v>
      </c>
      <c r="F177" s="4">
        <v>1168.73</v>
      </c>
      <c r="G177" s="3">
        <v>13</v>
      </c>
      <c r="H177" s="6">
        <v>4.8</v>
      </c>
      <c r="I177" s="3">
        <v>9</v>
      </c>
      <c r="J177" s="17" t="str">
        <f>HYPERLINK("https://amazon.com/dp/B09WMH43L3","Amazon - B09WMH43L3")</f>
        <v>Amazon - B09WMH43L3</v>
      </c>
      <c r="K177" s="18" t="s">
        <v>229</v>
      </c>
      <c r="L177" s="18" t="s">
        <v>230</v>
      </c>
      <c r="M177" s="18" t="s">
        <v>271</v>
      </c>
      <c r="N177" s="18" t="s">
        <v>232</v>
      </c>
      <c r="O177" s="18" t="s">
        <v>316</v>
      </c>
      <c r="P177" s="18" t="s">
        <v>256</v>
      </c>
    </row>
    <row r="178" spans="1:16" ht="45" x14ac:dyDescent="0.2">
      <c r="A178" s="2" t="s">
        <v>647</v>
      </c>
      <c r="B178" s="2" t="s">
        <v>648</v>
      </c>
      <c r="C178" s="2" t="s">
        <v>58</v>
      </c>
      <c r="D178" s="2" t="s">
        <v>228</v>
      </c>
      <c r="E178" s="4">
        <v>99.99</v>
      </c>
      <c r="F178" s="4">
        <v>1166.24</v>
      </c>
      <c r="G178" s="3">
        <v>12</v>
      </c>
      <c r="H178" s="6">
        <v>4.4000000000000004</v>
      </c>
      <c r="I178" s="3">
        <v>122</v>
      </c>
      <c r="J178" s="17" t="str">
        <f>HYPERLINK("https://amazon.com/dp/B0FBX2NSHL","Amazon - B0FBX2NSHL")</f>
        <v>Amazon - B0FBX2NSHL</v>
      </c>
      <c r="K178" s="18" t="s">
        <v>286</v>
      </c>
      <c r="L178" s="18" t="s">
        <v>230</v>
      </c>
      <c r="M178" s="18" t="s">
        <v>287</v>
      </c>
      <c r="N178" s="18" t="s">
        <v>296</v>
      </c>
      <c r="O178" s="18" t="s">
        <v>233</v>
      </c>
      <c r="P178" s="18" t="s">
        <v>649</v>
      </c>
    </row>
    <row r="179" spans="1:16" ht="45" x14ac:dyDescent="0.2">
      <c r="A179" s="2" t="s">
        <v>650</v>
      </c>
      <c r="B179" s="2" t="s">
        <v>651</v>
      </c>
      <c r="C179" s="2" t="s">
        <v>29</v>
      </c>
      <c r="D179" s="2" t="s">
        <v>228</v>
      </c>
      <c r="E179" s="4">
        <v>43.99</v>
      </c>
      <c r="F179" s="4">
        <v>1158.92</v>
      </c>
      <c r="G179" s="3">
        <v>26</v>
      </c>
      <c r="H179" s="6">
        <v>4.2</v>
      </c>
      <c r="I179" s="3">
        <v>29</v>
      </c>
      <c r="J179" s="17" t="str">
        <f>HYPERLINK("https://amazon.com/dp/B0DDG3FMPV","Amazon - B0DDG3FMPV")</f>
        <v>Amazon - B0DDG3FMPV</v>
      </c>
      <c r="K179" s="18" t="s">
        <v>229</v>
      </c>
      <c r="L179" s="18" t="s">
        <v>230</v>
      </c>
      <c r="M179" s="18" t="s">
        <v>242</v>
      </c>
      <c r="N179" s="18" t="s">
        <v>271</v>
      </c>
      <c r="O179" s="18" t="s">
        <v>246</v>
      </c>
      <c r="P179" s="18" t="s">
        <v>305</v>
      </c>
    </row>
    <row r="180" spans="1:16" ht="45" x14ac:dyDescent="0.2">
      <c r="A180" s="2" t="s">
        <v>652</v>
      </c>
      <c r="B180" s="2" t="s">
        <v>653</v>
      </c>
      <c r="C180" s="2" t="s">
        <v>33</v>
      </c>
      <c r="D180" s="2" t="s">
        <v>228</v>
      </c>
      <c r="E180" s="4">
        <v>41.99</v>
      </c>
      <c r="F180" s="4">
        <v>1134.69</v>
      </c>
      <c r="G180" s="3">
        <v>27</v>
      </c>
      <c r="H180" s="6">
        <v>4.2</v>
      </c>
      <c r="I180" s="3">
        <v>189</v>
      </c>
      <c r="J180" s="17" t="str">
        <f>HYPERLINK("https://amazon.com/dp/B0DHCQF22J","Amazon - B0DHCQF22J")</f>
        <v>Amazon - B0DHCQF22J</v>
      </c>
      <c r="K180" s="18" t="s">
        <v>229</v>
      </c>
      <c r="L180" s="18" t="s">
        <v>230</v>
      </c>
      <c r="M180" s="18" t="s">
        <v>271</v>
      </c>
      <c r="N180" s="18" t="s">
        <v>271</v>
      </c>
      <c r="O180" s="18" t="s">
        <v>233</v>
      </c>
      <c r="P180" s="18" t="s">
        <v>654</v>
      </c>
    </row>
    <row r="181" spans="1:16" ht="45" x14ac:dyDescent="0.2">
      <c r="A181" s="2" t="s">
        <v>655</v>
      </c>
      <c r="B181" s="2" t="s">
        <v>656</v>
      </c>
      <c r="C181" s="2" t="s">
        <v>23</v>
      </c>
      <c r="D181" s="2" t="s">
        <v>228</v>
      </c>
      <c r="E181" s="4">
        <v>49.99</v>
      </c>
      <c r="F181" s="4">
        <v>1133.1199999999999</v>
      </c>
      <c r="G181" s="3">
        <v>30</v>
      </c>
      <c r="H181" s="6">
        <v>4.5999999999999996</v>
      </c>
      <c r="I181" s="3">
        <v>89</v>
      </c>
      <c r="J181" s="17" t="str">
        <f>HYPERLINK("https://amazon.com/dp/B0FF1WH9GJ","Amazon - B0FF1WH9GJ")</f>
        <v>Amazon - B0FF1WH9GJ</v>
      </c>
      <c r="K181" s="18" t="s">
        <v>229</v>
      </c>
      <c r="L181" s="18" t="s">
        <v>230</v>
      </c>
      <c r="M181" s="18" t="s">
        <v>242</v>
      </c>
      <c r="N181" s="18" t="s">
        <v>232</v>
      </c>
      <c r="O181" s="18" t="s">
        <v>246</v>
      </c>
      <c r="P181" s="18" t="s">
        <v>305</v>
      </c>
    </row>
    <row r="182" spans="1:16" ht="30" x14ac:dyDescent="0.2">
      <c r="A182" s="2" t="s">
        <v>657</v>
      </c>
      <c r="B182" s="2" t="s">
        <v>658</v>
      </c>
      <c r="C182" s="2" t="s">
        <v>25</v>
      </c>
      <c r="D182" s="2" t="s">
        <v>285</v>
      </c>
      <c r="E182" s="4">
        <v>599.98</v>
      </c>
      <c r="F182" s="4">
        <v>1112.23</v>
      </c>
      <c r="G182" s="3">
        <v>2</v>
      </c>
      <c r="H182" s="6">
        <v>5</v>
      </c>
      <c r="I182" s="3">
        <v>1</v>
      </c>
      <c r="J182" s="17" t="str">
        <f>HYPERLINK("https://amazon.com/dp/B0C7631F4R","Amazon - B0C7631F4R")</f>
        <v>Amazon - B0C7631F4R</v>
      </c>
      <c r="K182" s="18" t="s">
        <v>286</v>
      </c>
      <c r="L182" s="18" t="s">
        <v>251</v>
      </c>
      <c r="M182" s="18" t="s">
        <v>287</v>
      </c>
      <c r="N182" s="18" t="s">
        <v>253</v>
      </c>
      <c r="O182" s="18" t="s">
        <v>233</v>
      </c>
      <c r="P182" s="18" t="s">
        <v>234</v>
      </c>
    </row>
    <row r="183" spans="1:16" ht="45" x14ac:dyDescent="0.2">
      <c r="A183" s="2" t="s">
        <v>659</v>
      </c>
      <c r="B183" s="2" t="s">
        <v>660</v>
      </c>
      <c r="C183" s="2" t="s">
        <v>48</v>
      </c>
      <c r="D183" s="2" t="s">
        <v>285</v>
      </c>
      <c r="E183" s="4">
        <v>77.989999999999995</v>
      </c>
      <c r="F183" s="4">
        <v>1097.6500000000001</v>
      </c>
      <c r="G183" s="3">
        <v>14</v>
      </c>
      <c r="H183" s="6">
        <v>5</v>
      </c>
      <c r="I183" s="3">
        <v>2</v>
      </c>
      <c r="J183" s="17" t="str">
        <f>HYPERLINK("https://amazon.com/dp/B0GL4F1PJ6","Amazon - B0GL4F1PJ6")</f>
        <v>Amazon - B0GL4F1PJ6</v>
      </c>
      <c r="K183" s="18" t="s">
        <v>286</v>
      </c>
      <c r="L183" s="18" t="s">
        <v>230</v>
      </c>
      <c r="M183" s="18" t="s">
        <v>287</v>
      </c>
      <c r="N183" s="18" t="s">
        <v>253</v>
      </c>
      <c r="O183" s="18" t="s">
        <v>233</v>
      </c>
      <c r="P183" s="18" t="s">
        <v>278</v>
      </c>
    </row>
    <row r="184" spans="1:16" x14ac:dyDescent="0.2">
      <c r="A184" s="2" t="s">
        <v>661</v>
      </c>
      <c r="B184" s="2" t="s">
        <v>662</v>
      </c>
      <c r="C184" s="2" t="s">
        <v>38</v>
      </c>
      <c r="D184" s="2" t="s">
        <v>228</v>
      </c>
      <c r="E184" s="4">
        <v>260.99</v>
      </c>
      <c r="F184" s="4">
        <v>1066.19</v>
      </c>
      <c r="G184" s="3">
        <v>4</v>
      </c>
      <c r="H184" s="6">
        <v>4.0999999999999996</v>
      </c>
      <c r="I184" s="3">
        <v>98</v>
      </c>
      <c r="J184" s="17" t="str">
        <f>HYPERLINK("https://amazon.com/dp/B06XKDL1YR","Amazon - B06XKDL1YR")</f>
        <v>Amazon - B06XKDL1YR</v>
      </c>
      <c r="K184" s="18" t="s">
        <v>229</v>
      </c>
      <c r="L184" s="18" t="s">
        <v>230</v>
      </c>
      <c r="M184" s="18" t="s">
        <v>271</v>
      </c>
      <c r="N184" s="18" t="s">
        <v>271</v>
      </c>
      <c r="O184" s="18" t="s">
        <v>233</v>
      </c>
      <c r="P184" s="18" t="s">
        <v>543</v>
      </c>
    </row>
    <row r="185" spans="1:16" ht="30" x14ac:dyDescent="0.2">
      <c r="A185" s="2" t="s">
        <v>663</v>
      </c>
      <c r="B185" s="2" t="s">
        <v>664</v>
      </c>
      <c r="C185" s="2" t="s">
        <v>29</v>
      </c>
      <c r="D185" s="2" t="s">
        <v>228</v>
      </c>
      <c r="E185" s="4">
        <v>38.99</v>
      </c>
      <c r="F185" s="4">
        <v>1058.57</v>
      </c>
      <c r="G185" s="3">
        <v>30</v>
      </c>
      <c r="H185" s="6">
        <v>4</v>
      </c>
      <c r="I185" s="3">
        <v>58</v>
      </c>
      <c r="J185" s="17" t="str">
        <f>HYPERLINK("https://amazon.com/dp/B0D7RL6YN5","Amazon - B0D7RL6YN5")</f>
        <v>Amazon - B0D7RL6YN5</v>
      </c>
      <c r="K185" s="18" t="s">
        <v>229</v>
      </c>
      <c r="L185" s="18" t="s">
        <v>230</v>
      </c>
      <c r="M185" s="18" t="s">
        <v>237</v>
      </c>
      <c r="N185" s="18" t="s">
        <v>271</v>
      </c>
      <c r="O185" s="18" t="s">
        <v>233</v>
      </c>
      <c r="P185" s="18" t="s">
        <v>305</v>
      </c>
    </row>
    <row r="186" spans="1:16" ht="45" x14ac:dyDescent="0.2">
      <c r="A186" s="2" t="s">
        <v>665</v>
      </c>
      <c r="B186" s="2" t="s">
        <v>666</v>
      </c>
      <c r="C186" s="2" t="s">
        <v>25</v>
      </c>
      <c r="D186" s="2" t="s">
        <v>285</v>
      </c>
      <c r="E186" s="4">
        <v>599.98</v>
      </c>
      <c r="F186" s="4">
        <v>1033.24</v>
      </c>
      <c r="G186" s="3">
        <v>2</v>
      </c>
      <c r="H186" s="6">
        <v>5</v>
      </c>
      <c r="I186" s="3">
        <v>1</v>
      </c>
      <c r="J186" s="17" t="str">
        <f>HYPERLINK("https://amazon.com/dp/B0C76FCT81","Amazon - B0C76FCT81")</f>
        <v>Amazon - B0C76FCT81</v>
      </c>
      <c r="K186" s="18" t="s">
        <v>286</v>
      </c>
      <c r="L186" s="18" t="s">
        <v>251</v>
      </c>
      <c r="M186" s="18" t="s">
        <v>287</v>
      </c>
      <c r="N186" s="18" t="s">
        <v>253</v>
      </c>
      <c r="O186" s="18" t="s">
        <v>233</v>
      </c>
      <c r="P186" s="18" t="s">
        <v>234</v>
      </c>
    </row>
    <row r="187" spans="1:16" ht="30" x14ac:dyDescent="0.2">
      <c r="A187" s="2" t="s">
        <v>667</v>
      </c>
      <c r="B187" s="2" t="s">
        <v>668</v>
      </c>
      <c r="C187" s="2" t="s">
        <v>8</v>
      </c>
      <c r="D187" s="2" t="s">
        <v>228</v>
      </c>
      <c r="E187" s="4">
        <v>69.989999999999995</v>
      </c>
      <c r="F187" s="4">
        <v>1029.69</v>
      </c>
      <c r="G187" s="3">
        <v>15</v>
      </c>
      <c r="H187" s="6">
        <v>4.8</v>
      </c>
      <c r="I187" s="3">
        <v>6</v>
      </c>
      <c r="J187" s="17" t="str">
        <f>HYPERLINK("https://amazon.com/dp/B0DBHT7F23","Amazon - B0DBHT7F23")</f>
        <v>Amazon - B0DBHT7F23</v>
      </c>
      <c r="K187" s="18" t="s">
        <v>229</v>
      </c>
      <c r="L187" s="18" t="s">
        <v>230</v>
      </c>
      <c r="M187" s="18" t="s">
        <v>271</v>
      </c>
      <c r="N187" s="18" t="s">
        <v>232</v>
      </c>
      <c r="O187" s="18" t="s">
        <v>246</v>
      </c>
      <c r="P187" s="18" t="s">
        <v>278</v>
      </c>
    </row>
    <row r="188" spans="1:16" ht="45" x14ac:dyDescent="0.2">
      <c r="A188" s="2" t="s">
        <v>669</v>
      </c>
      <c r="B188" s="2" t="s">
        <v>670</v>
      </c>
      <c r="C188" s="2" t="s">
        <v>23</v>
      </c>
      <c r="D188" s="2" t="s">
        <v>228</v>
      </c>
      <c r="E188" s="4">
        <v>89.99</v>
      </c>
      <c r="F188" s="4">
        <v>1021.32</v>
      </c>
      <c r="G188" s="3">
        <v>11</v>
      </c>
      <c r="H188" s="6">
        <v>4.4000000000000004</v>
      </c>
      <c r="I188" s="3">
        <v>230</v>
      </c>
      <c r="J188" s="17" t="str">
        <f>HYPERLINK("https://amazon.com/dp/B0F5PNMVD9","Amazon - B0F5PNMVD9")</f>
        <v>Amazon - B0F5PNMVD9</v>
      </c>
      <c r="K188" s="18" t="s">
        <v>229</v>
      </c>
      <c r="L188" s="18" t="s">
        <v>230</v>
      </c>
      <c r="M188" s="18" t="s">
        <v>242</v>
      </c>
      <c r="N188" s="18" t="s">
        <v>296</v>
      </c>
      <c r="O188" s="18" t="s">
        <v>233</v>
      </c>
      <c r="P188" s="18" t="s">
        <v>234</v>
      </c>
    </row>
    <row r="189" spans="1:16" ht="45" x14ac:dyDescent="0.2">
      <c r="A189" s="2" t="s">
        <v>671</v>
      </c>
      <c r="B189" s="2" t="s">
        <v>672</v>
      </c>
      <c r="C189" s="2" t="s">
        <v>12</v>
      </c>
      <c r="D189" s="2" t="s">
        <v>228</v>
      </c>
      <c r="E189" s="4">
        <v>99.99</v>
      </c>
      <c r="F189" s="4">
        <v>1014.46</v>
      </c>
      <c r="G189" s="3">
        <v>10</v>
      </c>
      <c r="H189" s="6">
        <v>4.7</v>
      </c>
      <c r="I189" s="3">
        <v>22</v>
      </c>
      <c r="J189" s="17" t="str">
        <f>HYPERLINK("https://amazon.com/dp/B0CHH8NY8G","Amazon - B0CHH8NY8G")</f>
        <v>Amazon - B0CHH8NY8G</v>
      </c>
      <c r="K189" s="18" t="s">
        <v>229</v>
      </c>
      <c r="L189" s="18" t="s">
        <v>230</v>
      </c>
      <c r="M189" s="18" t="s">
        <v>252</v>
      </c>
      <c r="N189" s="18" t="s">
        <v>271</v>
      </c>
      <c r="O189" s="18" t="s">
        <v>246</v>
      </c>
      <c r="P189" s="18" t="s">
        <v>305</v>
      </c>
    </row>
    <row r="190" spans="1:16" ht="45" x14ac:dyDescent="0.2">
      <c r="A190" s="2" t="s">
        <v>673</v>
      </c>
      <c r="B190" s="2" t="s">
        <v>674</v>
      </c>
      <c r="C190" s="2" t="s">
        <v>66</v>
      </c>
      <c r="D190" s="2" t="s">
        <v>228</v>
      </c>
      <c r="E190" s="4">
        <v>91.59</v>
      </c>
      <c r="F190" s="4">
        <v>1013.69</v>
      </c>
      <c r="G190" s="3">
        <v>15</v>
      </c>
      <c r="H190" s="6">
        <v>3.9</v>
      </c>
      <c r="I190" s="3">
        <v>52</v>
      </c>
      <c r="J190" s="17" t="str">
        <f>HYPERLINK("https://amazon.com/dp/B0D4PP5W9S","Amazon - B0D4PP5W9S")</f>
        <v>Amazon - B0D4PP5W9S</v>
      </c>
      <c r="K190" s="18" t="s">
        <v>229</v>
      </c>
      <c r="L190" s="18" t="s">
        <v>230</v>
      </c>
      <c r="M190" s="18" t="s">
        <v>242</v>
      </c>
      <c r="N190" s="18" t="s">
        <v>271</v>
      </c>
      <c r="O190" s="18" t="s">
        <v>316</v>
      </c>
      <c r="P190" s="18" t="s">
        <v>654</v>
      </c>
    </row>
    <row r="191" spans="1:16" ht="45" x14ac:dyDescent="0.2">
      <c r="A191" s="2" t="s">
        <v>675</v>
      </c>
      <c r="B191" s="2" t="s">
        <v>676</v>
      </c>
      <c r="C191" s="2" t="s">
        <v>20</v>
      </c>
      <c r="D191" s="2" t="s">
        <v>228</v>
      </c>
      <c r="E191" s="4">
        <v>89.99</v>
      </c>
      <c r="F191" s="4">
        <v>1010.43</v>
      </c>
      <c r="G191" s="3">
        <v>11</v>
      </c>
      <c r="H191" s="6">
        <v>4.4000000000000004</v>
      </c>
      <c r="I191" s="3">
        <v>35</v>
      </c>
      <c r="J191" s="17" t="str">
        <f>HYPERLINK("https://amazon.com/dp/B0FCF1CC7D","Amazon - B0FCF1CC7D")</f>
        <v>Amazon - B0FCF1CC7D</v>
      </c>
      <c r="K191" s="18" t="s">
        <v>229</v>
      </c>
      <c r="L191" s="18" t="s">
        <v>230</v>
      </c>
      <c r="M191" s="18" t="s">
        <v>242</v>
      </c>
      <c r="N191" s="18" t="s">
        <v>274</v>
      </c>
      <c r="O191" s="18" t="s">
        <v>246</v>
      </c>
      <c r="P191" s="18" t="s">
        <v>275</v>
      </c>
    </row>
    <row r="192" spans="1:16" ht="45" x14ac:dyDescent="0.2">
      <c r="A192" s="2" t="s">
        <v>677</v>
      </c>
      <c r="B192" s="2" t="s">
        <v>678</v>
      </c>
      <c r="C192" s="2" t="s">
        <v>25</v>
      </c>
      <c r="D192" s="2" t="s">
        <v>591</v>
      </c>
      <c r="E192" s="4">
        <v>899.98</v>
      </c>
      <c r="F192" s="4">
        <v>972.56</v>
      </c>
      <c r="G192" s="3">
        <v>1</v>
      </c>
      <c r="H192" s="6">
        <v>5</v>
      </c>
      <c r="I192" s="3">
        <v>8</v>
      </c>
      <c r="J192" s="17" t="str">
        <f>HYPERLINK("https://amazon.com/dp/B0885RH9PV","Amazon - B0885RH9PV")</f>
        <v>Amazon - B0885RH9PV</v>
      </c>
      <c r="K192" s="18" t="s">
        <v>286</v>
      </c>
      <c r="L192" s="18" t="s">
        <v>230</v>
      </c>
      <c r="M192" s="18" t="s">
        <v>231</v>
      </c>
      <c r="N192" s="18" t="s">
        <v>243</v>
      </c>
      <c r="O192" s="18" t="s">
        <v>233</v>
      </c>
      <c r="P192" s="18" t="s">
        <v>278</v>
      </c>
    </row>
    <row r="193" spans="1:16" ht="45" x14ac:dyDescent="0.2">
      <c r="A193" s="2" t="s">
        <v>679</v>
      </c>
      <c r="B193" s="2" t="s">
        <v>680</v>
      </c>
      <c r="C193" s="2" t="s">
        <v>62</v>
      </c>
      <c r="D193" s="2" t="s">
        <v>228</v>
      </c>
      <c r="E193" s="4">
        <v>69.989999999999995</v>
      </c>
      <c r="F193" s="4">
        <v>966.95</v>
      </c>
      <c r="G193" s="3">
        <v>14</v>
      </c>
      <c r="H193" s="6">
        <v>4.2</v>
      </c>
      <c r="I193" s="3">
        <v>162</v>
      </c>
      <c r="J193" s="17" t="str">
        <f>HYPERLINK("https://amazon.com/dp/B08DV62166","Amazon - B08DV62166")</f>
        <v>Amazon - B08DV62166</v>
      </c>
      <c r="K193" s="18" t="s">
        <v>229</v>
      </c>
      <c r="L193" s="18" t="s">
        <v>230</v>
      </c>
      <c r="M193" s="18" t="s">
        <v>271</v>
      </c>
      <c r="N193" s="18" t="s">
        <v>243</v>
      </c>
      <c r="O193" s="18" t="s">
        <v>233</v>
      </c>
      <c r="P193" s="18" t="s">
        <v>297</v>
      </c>
    </row>
    <row r="194" spans="1:16" ht="30" x14ac:dyDescent="0.2">
      <c r="A194" s="2" t="s">
        <v>681</v>
      </c>
      <c r="B194" s="2" t="s">
        <v>682</v>
      </c>
      <c r="C194" s="2" t="s">
        <v>15</v>
      </c>
      <c r="D194" s="2" t="s">
        <v>228</v>
      </c>
      <c r="E194" s="4">
        <v>28</v>
      </c>
      <c r="F194" s="4">
        <v>947.83</v>
      </c>
      <c r="G194" s="3">
        <v>24</v>
      </c>
      <c r="H194" s="6">
        <v>4.5999999999999996</v>
      </c>
      <c r="I194" s="3">
        <v>524</v>
      </c>
      <c r="J194" s="17" t="str">
        <f>HYPERLINK("https://amazon.com/dp/B091L6L1GV","Amazon - B091L6L1GV")</f>
        <v>Amazon - B091L6L1GV</v>
      </c>
      <c r="K194" s="18" t="s">
        <v>229</v>
      </c>
      <c r="L194" s="18" t="s">
        <v>230</v>
      </c>
      <c r="M194" s="18" t="s">
        <v>237</v>
      </c>
      <c r="N194" s="18" t="s">
        <v>271</v>
      </c>
      <c r="O194" s="18" t="s">
        <v>246</v>
      </c>
      <c r="P194" s="18" t="s">
        <v>305</v>
      </c>
    </row>
    <row r="195" spans="1:16" ht="45" x14ac:dyDescent="0.2">
      <c r="A195" s="2" t="s">
        <v>683</v>
      </c>
      <c r="B195" s="2" t="s">
        <v>684</v>
      </c>
      <c r="C195" s="2" t="s">
        <v>58</v>
      </c>
      <c r="D195" s="2" t="s">
        <v>228</v>
      </c>
      <c r="E195" s="4">
        <v>99.99</v>
      </c>
      <c r="F195" s="4">
        <v>932.63</v>
      </c>
      <c r="G195" s="3">
        <v>8</v>
      </c>
      <c r="H195" s="6">
        <v>4.5</v>
      </c>
      <c r="I195" s="3">
        <v>28</v>
      </c>
      <c r="J195" s="17" t="str">
        <f>HYPERLINK("https://amazon.com/dp/B0FNN7VV63","Amazon - B0FNN7VV63")</f>
        <v>Amazon - B0FNN7VV63</v>
      </c>
      <c r="K195" s="18" t="s">
        <v>229</v>
      </c>
      <c r="L195" s="18" t="s">
        <v>230</v>
      </c>
      <c r="M195" s="18" t="s">
        <v>242</v>
      </c>
      <c r="N195" s="18" t="s">
        <v>243</v>
      </c>
      <c r="O195" s="18" t="s">
        <v>233</v>
      </c>
      <c r="P195" s="18" t="s">
        <v>239</v>
      </c>
    </row>
    <row r="196" spans="1:16" ht="30" x14ac:dyDescent="0.2">
      <c r="A196" s="2" t="s">
        <v>685</v>
      </c>
      <c r="B196" s="2" t="s">
        <v>686</v>
      </c>
      <c r="C196" s="2" t="s">
        <v>25</v>
      </c>
      <c r="D196" s="2" t="s">
        <v>285</v>
      </c>
      <c r="E196" s="4">
        <v>399.95</v>
      </c>
      <c r="F196" s="4">
        <v>911.97</v>
      </c>
      <c r="G196" s="3">
        <v>2</v>
      </c>
      <c r="H196" s="6">
        <v>4</v>
      </c>
      <c r="I196" s="3">
        <v>26</v>
      </c>
      <c r="J196" s="17" t="str">
        <f>HYPERLINK("https://amazon.com/dp/B072DS7LQN","Amazon - B072DS7LQN")</f>
        <v>Amazon - B072DS7LQN</v>
      </c>
      <c r="K196" s="18" t="s">
        <v>229</v>
      </c>
      <c r="L196" s="18" t="s">
        <v>230</v>
      </c>
      <c r="M196" s="18" t="s">
        <v>242</v>
      </c>
      <c r="N196" s="18" t="s">
        <v>238</v>
      </c>
      <c r="O196" s="18" t="s">
        <v>233</v>
      </c>
      <c r="P196" s="18" t="s">
        <v>234</v>
      </c>
    </row>
    <row r="197" spans="1:16" ht="30" x14ac:dyDescent="0.2">
      <c r="A197" s="2" t="s">
        <v>687</v>
      </c>
      <c r="B197" s="2" t="s">
        <v>688</v>
      </c>
      <c r="C197" s="2" t="s">
        <v>25</v>
      </c>
      <c r="D197" s="2" t="s">
        <v>591</v>
      </c>
      <c r="E197" s="4">
        <v>799.98</v>
      </c>
      <c r="F197" s="4">
        <v>893.8</v>
      </c>
      <c r="G197" s="3">
        <v>1</v>
      </c>
      <c r="H197" s="6">
        <v>0</v>
      </c>
      <c r="I197" s="3">
        <v>0</v>
      </c>
      <c r="J197" s="17" t="str">
        <f>HYPERLINK("https://amazon.com/dp/B09QBTJB5Z","Amazon - B09QBTJB5Z")</f>
        <v>Amazon - B09QBTJB5Z</v>
      </c>
      <c r="K197" s="18" t="s">
        <v>286</v>
      </c>
      <c r="L197" s="18" t="s">
        <v>230</v>
      </c>
      <c r="M197" s="18" t="s">
        <v>287</v>
      </c>
      <c r="N197" s="18" t="s">
        <v>253</v>
      </c>
      <c r="O197" s="18" t="s">
        <v>233</v>
      </c>
      <c r="P197" s="18" t="s">
        <v>278</v>
      </c>
    </row>
    <row r="198" spans="1:16" ht="30" x14ac:dyDescent="0.2">
      <c r="A198" s="2" t="s">
        <v>689</v>
      </c>
      <c r="B198" s="2" t="s">
        <v>690</v>
      </c>
      <c r="C198" s="2" t="s">
        <v>73</v>
      </c>
      <c r="D198" s="2" t="s">
        <v>228</v>
      </c>
      <c r="E198" s="4">
        <v>135</v>
      </c>
      <c r="F198" s="4">
        <v>893.79</v>
      </c>
      <c r="G198" s="3">
        <v>7</v>
      </c>
      <c r="H198" s="6">
        <v>3.5</v>
      </c>
      <c r="I198" s="3">
        <v>14</v>
      </c>
      <c r="J198" s="17" t="str">
        <f>HYPERLINK("https://amazon.com/dp/B08Z9THK1B","Amazon - B08Z9THK1B")</f>
        <v>Amazon - B08Z9THK1B</v>
      </c>
      <c r="K198" s="18" t="s">
        <v>229</v>
      </c>
      <c r="L198" s="18" t="s">
        <v>230</v>
      </c>
      <c r="M198" s="18" t="s">
        <v>691</v>
      </c>
      <c r="N198" s="18" t="s">
        <v>271</v>
      </c>
      <c r="O198" s="18" t="s">
        <v>233</v>
      </c>
      <c r="P198" s="18" t="s">
        <v>271</v>
      </c>
    </row>
    <row r="199" spans="1:16" ht="45" x14ac:dyDescent="0.2">
      <c r="A199" s="2" t="s">
        <v>692</v>
      </c>
      <c r="B199" s="2" t="s">
        <v>693</v>
      </c>
      <c r="C199" s="2" t="s">
        <v>11</v>
      </c>
      <c r="D199" s="2" t="s">
        <v>285</v>
      </c>
      <c r="E199" s="4">
        <v>69.989999999999995</v>
      </c>
      <c r="F199" s="4">
        <v>850.15</v>
      </c>
      <c r="G199" s="3">
        <v>12</v>
      </c>
      <c r="H199" s="6">
        <v>4</v>
      </c>
      <c r="I199" s="3">
        <v>31</v>
      </c>
      <c r="J199" s="17" t="str">
        <f>HYPERLINK("https://amazon.com/dp/B0FN38759M","Amazon - B0FN38759M")</f>
        <v>Amazon - B0FN38759M</v>
      </c>
      <c r="K199" s="18" t="s">
        <v>286</v>
      </c>
      <c r="L199" s="18" t="s">
        <v>230</v>
      </c>
      <c r="M199" s="18" t="s">
        <v>287</v>
      </c>
      <c r="N199" s="18" t="s">
        <v>296</v>
      </c>
      <c r="O199" s="18" t="s">
        <v>233</v>
      </c>
      <c r="P199" s="18" t="s">
        <v>234</v>
      </c>
    </row>
    <row r="200" spans="1:16" ht="30" x14ac:dyDescent="0.2">
      <c r="A200" s="2" t="s">
        <v>694</v>
      </c>
      <c r="B200" s="2" t="s">
        <v>695</v>
      </c>
      <c r="C200" s="2" t="s">
        <v>75</v>
      </c>
      <c r="D200" s="2" t="s">
        <v>228</v>
      </c>
      <c r="E200" s="4">
        <v>70.7</v>
      </c>
      <c r="F200" s="4">
        <v>842.1</v>
      </c>
      <c r="G200" s="3">
        <v>12</v>
      </c>
      <c r="H200" s="6">
        <v>4.5</v>
      </c>
      <c r="I200" s="3">
        <v>67</v>
      </c>
      <c r="J200" s="17" t="str">
        <f>HYPERLINK("https://amazon.com/dp/B0FC5K4J6L","Amazon - B0FC5K4J6L")</f>
        <v>Amazon - B0FC5K4J6L</v>
      </c>
      <c r="K200" s="18" t="s">
        <v>229</v>
      </c>
      <c r="L200" s="18" t="s">
        <v>230</v>
      </c>
      <c r="M200" s="18" t="s">
        <v>242</v>
      </c>
      <c r="N200" s="18" t="s">
        <v>271</v>
      </c>
      <c r="O200" s="18" t="s">
        <v>233</v>
      </c>
      <c r="P200" s="18" t="s">
        <v>259</v>
      </c>
    </row>
    <row r="201" spans="1:16" ht="30" x14ac:dyDescent="0.2">
      <c r="A201" s="2" t="s">
        <v>696</v>
      </c>
      <c r="B201" s="2" t="s">
        <v>697</v>
      </c>
      <c r="C201" s="2" t="s">
        <v>8</v>
      </c>
      <c r="D201" s="2" t="s">
        <v>228</v>
      </c>
      <c r="E201" s="4">
        <v>79.989999999999995</v>
      </c>
      <c r="F201" s="4">
        <v>838.12</v>
      </c>
      <c r="G201" s="3">
        <v>10</v>
      </c>
      <c r="H201" s="6">
        <v>4.5</v>
      </c>
      <c r="I201" s="3">
        <v>6</v>
      </c>
      <c r="J201" s="17" t="str">
        <f>HYPERLINK("https://amazon.com/dp/B08QC2X5VL","Amazon - B08QC2X5VL")</f>
        <v>Amazon - B08QC2X5VL</v>
      </c>
      <c r="K201" s="18" t="s">
        <v>229</v>
      </c>
      <c r="L201" s="18" t="s">
        <v>230</v>
      </c>
      <c r="M201" s="18" t="s">
        <v>271</v>
      </c>
      <c r="N201" s="18" t="s">
        <v>232</v>
      </c>
      <c r="O201" s="18" t="s">
        <v>246</v>
      </c>
      <c r="P201" s="18" t="s">
        <v>256</v>
      </c>
    </row>
    <row r="202" spans="1:16" ht="45" x14ac:dyDescent="0.2">
      <c r="A202" s="2" t="s">
        <v>698</v>
      </c>
      <c r="B202" s="2" t="s">
        <v>699</v>
      </c>
      <c r="C202" s="2" t="s">
        <v>39</v>
      </c>
      <c r="D202" s="2" t="s">
        <v>228</v>
      </c>
      <c r="E202" s="4">
        <v>169.99</v>
      </c>
      <c r="F202" s="4">
        <v>833.92</v>
      </c>
      <c r="G202" s="3">
        <v>5</v>
      </c>
      <c r="H202" s="6">
        <v>4.5</v>
      </c>
      <c r="I202" s="3">
        <v>18</v>
      </c>
      <c r="J202" s="17" t="str">
        <f>HYPERLINK("https://amazon.com/dp/B0FSS5Q37H","Amazon - B0FSS5Q37H")</f>
        <v>Amazon - B0FSS5Q37H</v>
      </c>
      <c r="K202" s="18" t="s">
        <v>229</v>
      </c>
      <c r="L202" s="18" t="s">
        <v>230</v>
      </c>
      <c r="M202" s="18" t="s">
        <v>237</v>
      </c>
      <c r="N202" s="18" t="s">
        <v>274</v>
      </c>
      <c r="O202" s="18" t="s">
        <v>246</v>
      </c>
      <c r="P202" s="18" t="s">
        <v>543</v>
      </c>
    </row>
    <row r="203" spans="1:16" ht="45" x14ac:dyDescent="0.2">
      <c r="A203" s="2" t="s">
        <v>700</v>
      </c>
      <c r="B203" s="2" t="s">
        <v>701</v>
      </c>
      <c r="C203" s="2" t="s">
        <v>76</v>
      </c>
      <c r="D203" s="2" t="s">
        <v>228</v>
      </c>
      <c r="E203" s="4">
        <v>478</v>
      </c>
      <c r="F203" s="4">
        <v>823.72</v>
      </c>
      <c r="G203" s="3">
        <v>2</v>
      </c>
      <c r="H203" s="6">
        <v>0</v>
      </c>
      <c r="I203" s="3">
        <v>0</v>
      </c>
      <c r="J203" s="17" t="str">
        <f>HYPERLINK("https://amazon.com/dp/B0F2H52LH5","Amazon - B0F2H52LH5")</f>
        <v>Amazon - B0F2H52LH5</v>
      </c>
      <c r="K203" s="18" t="s">
        <v>229</v>
      </c>
      <c r="L203" s="18" t="s">
        <v>230</v>
      </c>
      <c r="M203" s="18" t="s">
        <v>242</v>
      </c>
      <c r="N203" s="18" t="s">
        <v>271</v>
      </c>
      <c r="O203" s="18" t="s">
        <v>233</v>
      </c>
      <c r="P203" s="18" t="s">
        <v>271</v>
      </c>
    </row>
    <row r="204" spans="1:16" ht="45" x14ac:dyDescent="0.2">
      <c r="A204" s="2" t="s">
        <v>702</v>
      </c>
      <c r="B204" s="2" t="s">
        <v>703</v>
      </c>
      <c r="C204" s="2" t="s">
        <v>72</v>
      </c>
      <c r="D204" s="2" t="s">
        <v>228</v>
      </c>
      <c r="E204" s="4">
        <v>29.99</v>
      </c>
      <c r="F204" s="4">
        <v>823.2</v>
      </c>
      <c r="G204" s="3">
        <v>24</v>
      </c>
      <c r="H204" s="6">
        <v>4.4000000000000004</v>
      </c>
      <c r="I204" s="3">
        <v>206</v>
      </c>
      <c r="J204" s="17" t="str">
        <f>HYPERLINK("https://amazon.com/dp/B0CR4CKCQ3","Amazon - B0CR4CKCQ3")</f>
        <v>Amazon - B0CR4CKCQ3</v>
      </c>
      <c r="K204" s="18" t="s">
        <v>229</v>
      </c>
      <c r="L204" s="18" t="s">
        <v>230</v>
      </c>
      <c r="M204" s="18" t="s">
        <v>237</v>
      </c>
      <c r="N204" s="18" t="s">
        <v>271</v>
      </c>
      <c r="O204" s="18" t="s">
        <v>246</v>
      </c>
      <c r="P204" s="18" t="s">
        <v>305</v>
      </c>
    </row>
    <row r="205" spans="1:16" ht="45" x14ac:dyDescent="0.2">
      <c r="A205" s="2" t="s">
        <v>704</v>
      </c>
      <c r="B205" s="2" t="s">
        <v>705</v>
      </c>
      <c r="C205" s="2" t="s">
        <v>47</v>
      </c>
      <c r="D205" s="2" t="s">
        <v>228</v>
      </c>
      <c r="E205" s="4">
        <v>535</v>
      </c>
      <c r="F205" s="4">
        <v>823</v>
      </c>
      <c r="G205" s="3">
        <v>2</v>
      </c>
      <c r="H205" s="6">
        <v>5</v>
      </c>
      <c r="I205" s="3">
        <v>3</v>
      </c>
      <c r="J205" s="17" t="str">
        <f>HYPERLINK("https://amazon.com/dp/B071ZHXRZZ","Amazon - B071ZHXRZZ")</f>
        <v>Amazon - B071ZHXRZZ</v>
      </c>
      <c r="K205" s="18" t="s">
        <v>229</v>
      </c>
      <c r="L205" s="18" t="s">
        <v>230</v>
      </c>
      <c r="M205" s="18" t="s">
        <v>706</v>
      </c>
      <c r="N205" s="18" t="s">
        <v>271</v>
      </c>
      <c r="O205" s="18" t="s">
        <v>233</v>
      </c>
      <c r="P205" s="18" t="s">
        <v>271</v>
      </c>
    </row>
    <row r="206" spans="1:16" ht="45" x14ac:dyDescent="0.2">
      <c r="A206" s="2" t="s">
        <v>707</v>
      </c>
      <c r="B206" s="2" t="s">
        <v>708</v>
      </c>
      <c r="C206" s="2" t="s">
        <v>78</v>
      </c>
      <c r="D206" s="2" t="s">
        <v>228</v>
      </c>
      <c r="E206" s="4">
        <v>43.99</v>
      </c>
      <c r="F206" s="4">
        <v>793.51</v>
      </c>
      <c r="G206" s="3">
        <v>12</v>
      </c>
      <c r="H206" s="6">
        <v>3.7</v>
      </c>
      <c r="I206" s="3">
        <v>66</v>
      </c>
      <c r="J206" s="17" t="str">
        <f>HYPERLINK("https://amazon.com/dp/B0CRGX2SGZ","Amazon - B0CRGX2SGZ")</f>
        <v>Amazon - B0CRGX2SGZ</v>
      </c>
      <c r="K206" s="18" t="s">
        <v>229</v>
      </c>
      <c r="L206" s="18" t="s">
        <v>230</v>
      </c>
      <c r="M206" s="18" t="s">
        <v>242</v>
      </c>
      <c r="N206" s="18" t="s">
        <v>238</v>
      </c>
      <c r="O206" s="18" t="s">
        <v>233</v>
      </c>
      <c r="P206" s="18" t="s">
        <v>305</v>
      </c>
    </row>
    <row r="207" spans="1:16" ht="45" x14ac:dyDescent="0.2">
      <c r="A207" s="2" t="s">
        <v>709</v>
      </c>
      <c r="B207" s="2" t="s">
        <v>710</v>
      </c>
      <c r="C207" s="2" t="s">
        <v>79</v>
      </c>
      <c r="D207" s="2" t="s">
        <v>228</v>
      </c>
      <c r="E207" s="4">
        <v>129</v>
      </c>
      <c r="F207" s="4">
        <v>782.76</v>
      </c>
      <c r="G207" s="3">
        <v>8</v>
      </c>
      <c r="H207" s="6">
        <v>4.7</v>
      </c>
      <c r="I207" s="3">
        <v>9</v>
      </c>
      <c r="J207" s="17" t="str">
        <f>HYPERLINK("https://amazon.com/dp/B0FL7HMLTG","Amazon - B0FL7HMLTG")</f>
        <v>Amazon - B0FL7HMLTG</v>
      </c>
      <c r="K207" s="18" t="s">
        <v>229</v>
      </c>
      <c r="L207" s="18" t="s">
        <v>230</v>
      </c>
      <c r="M207" s="18" t="s">
        <v>242</v>
      </c>
      <c r="N207" s="18" t="s">
        <v>253</v>
      </c>
      <c r="O207" s="18" t="s">
        <v>233</v>
      </c>
      <c r="P207" s="18" t="s">
        <v>297</v>
      </c>
    </row>
    <row r="208" spans="1:16" ht="30" x14ac:dyDescent="0.2">
      <c r="A208" s="2" t="s">
        <v>711</v>
      </c>
      <c r="B208" s="2" t="s">
        <v>712</v>
      </c>
      <c r="C208" s="2" t="s">
        <v>26</v>
      </c>
      <c r="D208" s="2" t="s">
        <v>228</v>
      </c>
      <c r="E208" s="4">
        <v>24.99</v>
      </c>
      <c r="F208" s="4">
        <v>779.58</v>
      </c>
      <c r="G208" s="3">
        <v>29</v>
      </c>
      <c r="H208" s="6">
        <v>4.2</v>
      </c>
      <c r="I208" s="3">
        <v>55</v>
      </c>
      <c r="J208" s="17" t="str">
        <f>HYPERLINK("https://amazon.com/dp/B0DK91NK8Q","Amazon - B0DK91NK8Q")</f>
        <v>Amazon - B0DK91NK8Q</v>
      </c>
      <c r="K208" s="18" t="s">
        <v>229</v>
      </c>
      <c r="L208" s="18" t="s">
        <v>230</v>
      </c>
      <c r="M208" s="18" t="s">
        <v>231</v>
      </c>
      <c r="N208" s="18" t="s">
        <v>243</v>
      </c>
      <c r="O208" s="18" t="s">
        <v>246</v>
      </c>
      <c r="P208" s="18" t="s">
        <v>305</v>
      </c>
    </row>
    <row r="209" spans="1:16" ht="30" x14ac:dyDescent="0.2">
      <c r="A209" s="2" t="s">
        <v>713</v>
      </c>
      <c r="B209" s="2" t="s">
        <v>714</v>
      </c>
      <c r="C209" s="2" t="s">
        <v>71</v>
      </c>
      <c r="D209" s="2" t="s">
        <v>228</v>
      </c>
      <c r="E209" s="4">
        <v>223.12</v>
      </c>
      <c r="F209" s="4">
        <v>775.66</v>
      </c>
      <c r="G209" s="3">
        <v>3</v>
      </c>
      <c r="H209" s="6">
        <v>4.2</v>
      </c>
      <c r="I209" s="3">
        <v>50</v>
      </c>
      <c r="J209" s="17" t="str">
        <f>HYPERLINK("https://amazon.com/dp/B076CNDVFL","Amazon - B076CNDVFL")</f>
        <v>Amazon - B076CNDVFL</v>
      </c>
      <c r="K209" s="18" t="s">
        <v>229</v>
      </c>
      <c r="L209" s="18" t="s">
        <v>230</v>
      </c>
      <c r="M209" s="18" t="s">
        <v>271</v>
      </c>
      <c r="N209" s="18" t="s">
        <v>271</v>
      </c>
      <c r="O209" s="18" t="s">
        <v>233</v>
      </c>
      <c r="P209" s="18" t="s">
        <v>271</v>
      </c>
    </row>
    <row r="210" spans="1:16" ht="45" x14ac:dyDescent="0.2">
      <c r="A210" s="2" t="s">
        <v>715</v>
      </c>
      <c r="B210" s="2" t="s">
        <v>716</v>
      </c>
      <c r="C210" s="2" t="s">
        <v>80</v>
      </c>
      <c r="D210" s="2" t="s">
        <v>228</v>
      </c>
      <c r="E210" s="4">
        <v>103.9</v>
      </c>
      <c r="F210" s="4">
        <v>760.32</v>
      </c>
      <c r="G210" s="3">
        <v>7</v>
      </c>
      <c r="H210" s="6">
        <v>4.2</v>
      </c>
      <c r="I210" s="3">
        <v>7</v>
      </c>
      <c r="J210" s="17" t="str">
        <f>HYPERLINK("https://amazon.com/dp/B0DJSSV6X9","Amazon - B0DJSSV6X9")</f>
        <v>Amazon - B0DJSSV6X9</v>
      </c>
      <c r="K210" s="18" t="s">
        <v>229</v>
      </c>
      <c r="L210" s="18" t="s">
        <v>230</v>
      </c>
      <c r="M210" s="18" t="s">
        <v>242</v>
      </c>
      <c r="N210" s="18" t="s">
        <v>274</v>
      </c>
      <c r="O210" s="18" t="s">
        <v>233</v>
      </c>
      <c r="P210" s="18" t="s">
        <v>256</v>
      </c>
    </row>
    <row r="211" spans="1:16" ht="30" x14ac:dyDescent="0.2">
      <c r="A211" s="2" t="s">
        <v>717</v>
      </c>
      <c r="B211" s="2" t="s">
        <v>718</v>
      </c>
      <c r="C211" s="2" t="s">
        <v>35</v>
      </c>
      <c r="D211" s="2" t="s">
        <v>228</v>
      </c>
      <c r="E211" s="4">
        <v>179.99</v>
      </c>
      <c r="F211" s="4">
        <v>751.88</v>
      </c>
      <c r="G211" s="3">
        <v>4</v>
      </c>
      <c r="H211" s="6">
        <v>4</v>
      </c>
      <c r="I211" s="3">
        <v>21</v>
      </c>
      <c r="J211" s="17" t="str">
        <f>HYPERLINK("https://amazon.com/dp/B08HH9899J","Amazon - B08HH9899J")</f>
        <v>Amazon - B08HH9899J</v>
      </c>
      <c r="K211" s="18" t="s">
        <v>229</v>
      </c>
      <c r="L211" s="18" t="s">
        <v>230</v>
      </c>
      <c r="M211" s="18" t="s">
        <v>271</v>
      </c>
      <c r="N211" s="18" t="s">
        <v>271</v>
      </c>
      <c r="O211" s="18" t="s">
        <v>233</v>
      </c>
      <c r="P211" s="18" t="s">
        <v>271</v>
      </c>
    </row>
    <row r="212" spans="1:16" ht="45" x14ac:dyDescent="0.2">
      <c r="A212" s="2" t="s">
        <v>719</v>
      </c>
      <c r="B212" s="2" t="s">
        <v>720</v>
      </c>
      <c r="C212" s="2" t="s">
        <v>81</v>
      </c>
      <c r="D212" s="2" t="s">
        <v>228</v>
      </c>
      <c r="E212" s="4">
        <v>95.88</v>
      </c>
      <c r="F212" s="4">
        <v>706.11</v>
      </c>
      <c r="G212" s="3">
        <v>7</v>
      </c>
      <c r="H212" s="6">
        <v>5</v>
      </c>
      <c r="I212" s="3">
        <v>5</v>
      </c>
      <c r="J212" s="17" t="str">
        <f>HYPERLINK("https://amazon.com/dp/B0FPF369GV","Amazon - B0FPF369GV")</f>
        <v>Amazon - B0FPF369GV</v>
      </c>
      <c r="K212" s="18" t="s">
        <v>229</v>
      </c>
      <c r="L212" s="18" t="s">
        <v>230</v>
      </c>
      <c r="M212" s="18" t="s">
        <v>242</v>
      </c>
      <c r="N212" s="18" t="s">
        <v>253</v>
      </c>
      <c r="O212" s="18" t="s">
        <v>233</v>
      </c>
      <c r="P212" s="18" t="s">
        <v>234</v>
      </c>
    </row>
    <row r="213" spans="1:16" ht="30" x14ac:dyDescent="0.2">
      <c r="A213" s="2" t="s">
        <v>721</v>
      </c>
      <c r="B213" s="2" t="s">
        <v>722</v>
      </c>
      <c r="C213" s="2" t="s">
        <v>68</v>
      </c>
      <c r="D213" s="2" t="s">
        <v>228</v>
      </c>
      <c r="E213" s="4">
        <v>28.99</v>
      </c>
      <c r="F213" s="4">
        <v>677.19</v>
      </c>
      <c r="G213" s="3">
        <v>23</v>
      </c>
      <c r="H213" s="6">
        <v>4.7</v>
      </c>
      <c r="I213" s="3">
        <v>35</v>
      </c>
      <c r="J213" s="17" t="str">
        <f>HYPERLINK("https://amazon.com/dp/B0FR9KWW83","Amazon - B0FR9KWW83")</f>
        <v>Amazon - B0FR9KWW83</v>
      </c>
      <c r="K213" s="18" t="s">
        <v>229</v>
      </c>
      <c r="L213" s="18" t="s">
        <v>230</v>
      </c>
      <c r="M213" s="18" t="s">
        <v>237</v>
      </c>
      <c r="N213" s="18" t="s">
        <v>243</v>
      </c>
      <c r="O213" s="18" t="s">
        <v>233</v>
      </c>
      <c r="P213" s="18" t="s">
        <v>297</v>
      </c>
    </row>
    <row r="214" spans="1:16" ht="45" x14ac:dyDescent="0.2">
      <c r="A214" s="2" t="s">
        <v>723</v>
      </c>
      <c r="B214" s="2" t="s">
        <v>724</v>
      </c>
      <c r="C214" s="2" t="s">
        <v>44</v>
      </c>
      <c r="D214" s="2" t="s">
        <v>228</v>
      </c>
      <c r="E214" s="4">
        <v>69.98</v>
      </c>
      <c r="F214" s="4">
        <v>669.6</v>
      </c>
      <c r="G214" s="3">
        <v>10</v>
      </c>
      <c r="H214" s="6">
        <v>4.4000000000000004</v>
      </c>
      <c r="I214" s="3">
        <v>117</v>
      </c>
      <c r="J214" s="17" t="str">
        <f>HYPERLINK("https://amazon.com/dp/B0D2H6N6KD","Amazon - B0D2H6N6KD")</f>
        <v>Amazon - B0D2H6N6KD</v>
      </c>
      <c r="K214" s="18" t="s">
        <v>229</v>
      </c>
      <c r="L214" s="18" t="s">
        <v>230</v>
      </c>
      <c r="M214" s="18" t="s">
        <v>242</v>
      </c>
      <c r="N214" s="18" t="s">
        <v>296</v>
      </c>
      <c r="O214" s="18" t="s">
        <v>233</v>
      </c>
      <c r="P214" s="18" t="s">
        <v>234</v>
      </c>
    </row>
    <row r="215" spans="1:16" ht="45" x14ac:dyDescent="0.2">
      <c r="A215" s="2" t="s">
        <v>725</v>
      </c>
      <c r="B215" s="2" t="s">
        <v>726</v>
      </c>
      <c r="C215" s="2" t="s">
        <v>11</v>
      </c>
      <c r="D215" s="2" t="s">
        <v>228</v>
      </c>
      <c r="E215" s="4">
        <v>139.99</v>
      </c>
      <c r="F215" s="4">
        <v>656.49</v>
      </c>
      <c r="G215" s="3">
        <v>5</v>
      </c>
      <c r="H215" s="6">
        <v>4.7</v>
      </c>
      <c r="I215" s="3">
        <v>107</v>
      </c>
      <c r="J215" s="17" t="str">
        <f>HYPERLINK("https://amazon.com/dp/B0FJLQJ18V","Amazon - B0FJLQJ18V")</f>
        <v>Amazon - B0FJLQJ18V</v>
      </c>
      <c r="K215" s="18" t="s">
        <v>229</v>
      </c>
      <c r="L215" s="18" t="s">
        <v>230</v>
      </c>
      <c r="M215" s="18" t="s">
        <v>242</v>
      </c>
      <c r="N215" s="18" t="s">
        <v>262</v>
      </c>
      <c r="O215" s="18" t="s">
        <v>246</v>
      </c>
      <c r="P215" s="18" t="s">
        <v>234</v>
      </c>
    </row>
    <row r="216" spans="1:16" ht="30" x14ac:dyDescent="0.2">
      <c r="A216" s="2" t="s">
        <v>727</v>
      </c>
      <c r="B216" s="2" t="s">
        <v>728</v>
      </c>
      <c r="C216" s="2" t="s">
        <v>62</v>
      </c>
      <c r="D216" s="2" t="s">
        <v>228</v>
      </c>
      <c r="E216" s="4">
        <v>79.989999999999995</v>
      </c>
      <c r="F216" s="4">
        <v>634.12</v>
      </c>
      <c r="G216" s="3">
        <v>8</v>
      </c>
      <c r="H216" s="6">
        <v>4.2</v>
      </c>
      <c r="I216" s="3">
        <v>162</v>
      </c>
      <c r="J216" s="17" t="str">
        <f>HYPERLINK("https://amazon.com/dp/B0CPDLCW1B","Amazon - B0CPDLCW1B")</f>
        <v>Amazon - B0CPDLCW1B</v>
      </c>
      <c r="K216" s="18" t="s">
        <v>229</v>
      </c>
      <c r="L216" s="18" t="s">
        <v>230</v>
      </c>
      <c r="M216" s="18" t="s">
        <v>271</v>
      </c>
      <c r="N216" s="18" t="s">
        <v>243</v>
      </c>
      <c r="O216" s="18" t="s">
        <v>246</v>
      </c>
      <c r="P216" s="18" t="s">
        <v>297</v>
      </c>
    </row>
    <row r="217" spans="1:16" ht="45" x14ac:dyDescent="0.2">
      <c r="A217" s="2" t="s">
        <v>729</v>
      </c>
      <c r="B217" s="2" t="s">
        <v>730</v>
      </c>
      <c r="C217" s="2" t="s">
        <v>57</v>
      </c>
      <c r="D217" s="2" t="s">
        <v>228</v>
      </c>
      <c r="E217" s="4">
        <v>29.99</v>
      </c>
      <c r="F217" s="4">
        <v>611.01</v>
      </c>
      <c r="G217" s="3">
        <v>20</v>
      </c>
      <c r="H217" s="6">
        <v>4.5999999999999996</v>
      </c>
      <c r="I217" s="3">
        <v>20</v>
      </c>
      <c r="J217" s="17" t="str">
        <f>HYPERLINK("https://amazon.com/dp/B0G6XZS5YP","Amazon - B0G6XZS5YP")</f>
        <v>Amazon - B0G6XZS5YP</v>
      </c>
      <c r="K217" s="18" t="s">
        <v>229</v>
      </c>
      <c r="L217" s="18" t="s">
        <v>230</v>
      </c>
      <c r="M217" s="18" t="s">
        <v>237</v>
      </c>
      <c r="N217" s="18" t="s">
        <v>271</v>
      </c>
      <c r="O217" s="18" t="s">
        <v>246</v>
      </c>
      <c r="P217" s="18" t="s">
        <v>305</v>
      </c>
    </row>
    <row r="218" spans="1:16" ht="30" x14ac:dyDescent="0.2">
      <c r="A218" s="2" t="s">
        <v>731</v>
      </c>
      <c r="B218" s="2" t="s">
        <v>732</v>
      </c>
      <c r="C218" s="2" t="s">
        <v>25</v>
      </c>
      <c r="D218" s="2" t="s">
        <v>591</v>
      </c>
      <c r="E218" s="4">
        <v>299.98</v>
      </c>
      <c r="F218" s="4">
        <v>582.95000000000005</v>
      </c>
      <c r="G218" s="3">
        <v>2</v>
      </c>
      <c r="H218" s="6">
        <v>0</v>
      </c>
      <c r="I218" s="3">
        <v>0</v>
      </c>
      <c r="J218" s="17" t="str">
        <f>HYPERLINK("https://amazon.com/dp/B0C7S32LYT","Amazon - B0C7S32LYT")</f>
        <v>Amazon - B0C7S32LYT</v>
      </c>
      <c r="K218" s="18" t="s">
        <v>286</v>
      </c>
      <c r="L218" s="18" t="s">
        <v>230</v>
      </c>
      <c r="M218" s="18" t="s">
        <v>242</v>
      </c>
      <c r="N218" s="18" t="s">
        <v>274</v>
      </c>
      <c r="O218" s="18" t="s">
        <v>233</v>
      </c>
      <c r="P218" s="18" t="s">
        <v>278</v>
      </c>
    </row>
    <row r="219" spans="1:16" ht="30" x14ac:dyDescent="0.2">
      <c r="A219" s="2" t="s">
        <v>733</v>
      </c>
      <c r="B219" s="2" t="s">
        <v>734</v>
      </c>
      <c r="C219" s="2" t="s">
        <v>25</v>
      </c>
      <c r="D219" s="2" t="s">
        <v>285</v>
      </c>
      <c r="E219" s="4">
        <v>399.98</v>
      </c>
      <c r="F219" s="4">
        <v>575.22</v>
      </c>
      <c r="G219" s="3">
        <v>1</v>
      </c>
      <c r="H219" s="6">
        <v>4</v>
      </c>
      <c r="I219" s="3">
        <v>6</v>
      </c>
      <c r="J219" s="17" t="str">
        <f>HYPERLINK("https://amazon.com/dp/B0GJ6YM2NJ","Amazon - B0GJ6YM2NJ")</f>
        <v>Amazon - B0GJ6YM2NJ</v>
      </c>
      <c r="K219" s="18" t="s">
        <v>286</v>
      </c>
      <c r="L219" s="18" t="s">
        <v>251</v>
      </c>
      <c r="M219" s="18" t="s">
        <v>287</v>
      </c>
      <c r="N219" s="18" t="s">
        <v>265</v>
      </c>
      <c r="O219" s="18" t="s">
        <v>233</v>
      </c>
      <c r="P219" s="18" t="s">
        <v>278</v>
      </c>
    </row>
    <row r="220" spans="1:16" ht="30" x14ac:dyDescent="0.2">
      <c r="A220" s="2" t="s">
        <v>735</v>
      </c>
      <c r="B220" s="2" t="s">
        <v>736</v>
      </c>
      <c r="C220" s="2" t="s">
        <v>8</v>
      </c>
      <c r="D220" s="2" t="s">
        <v>228</v>
      </c>
      <c r="E220" s="4">
        <v>54.99</v>
      </c>
      <c r="F220" s="4">
        <v>572.17999999999995</v>
      </c>
      <c r="G220" s="3">
        <v>10</v>
      </c>
      <c r="H220" s="6">
        <v>5</v>
      </c>
      <c r="I220" s="3">
        <v>1</v>
      </c>
      <c r="J220" s="17" t="str">
        <f>HYPERLINK("https://amazon.com/dp/B0DBHXHWVG","Amazon - B0DBHXHWVG")</f>
        <v>Amazon - B0DBHXHWVG</v>
      </c>
      <c r="K220" s="18" t="s">
        <v>229</v>
      </c>
      <c r="L220" s="18" t="s">
        <v>230</v>
      </c>
      <c r="M220" s="18" t="s">
        <v>271</v>
      </c>
      <c r="N220" s="18" t="s">
        <v>232</v>
      </c>
      <c r="O220" s="18" t="s">
        <v>246</v>
      </c>
      <c r="P220" s="18" t="s">
        <v>256</v>
      </c>
    </row>
    <row r="221" spans="1:16" ht="45" x14ac:dyDescent="0.2">
      <c r="A221" s="2" t="s">
        <v>737</v>
      </c>
      <c r="B221" s="2" t="s">
        <v>738</v>
      </c>
      <c r="C221" s="2" t="s">
        <v>37</v>
      </c>
      <c r="D221" s="2" t="s">
        <v>228</v>
      </c>
      <c r="E221" s="4">
        <v>49</v>
      </c>
      <c r="F221" s="4">
        <v>572.17999999999995</v>
      </c>
      <c r="G221" s="3">
        <v>12</v>
      </c>
      <c r="H221" s="6">
        <v>4.7</v>
      </c>
      <c r="I221" s="3">
        <v>51</v>
      </c>
      <c r="J221" s="17" t="str">
        <f>HYPERLINK("https://amazon.com/dp/B0B31HCHNB","Amazon - B0B31HCHNB")</f>
        <v>Amazon - B0B31HCHNB</v>
      </c>
      <c r="K221" s="18" t="s">
        <v>229</v>
      </c>
      <c r="L221" s="18" t="s">
        <v>230</v>
      </c>
      <c r="M221" s="18" t="s">
        <v>271</v>
      </c>
      <c r="N221" s="18" t="s">
        <v>271</v>
      </c>
      <c r="O221" s="18" t="s">
        <v>233</v>
      </c>
      <c r="P221" s="18" t="s">
        <v>271</v>
      </c>
    </row>
    <row r="222" spans="1:16" ht="45" x14ac:dyDescent="0.2">
      <c r="A222" s="2" t="s">
        <v>739</v>
      </c>
      <c r="B222" s="2" t="s">
        <v>740</v>
      </c>
      <c r="C222" s="2" t="s">
        <v>82</v>
      </c>
      <c r="D222" s="2" t="s">
        <v>228</v>
      </c>
      <c r="E222" s="4">
        <v>84.99</v>
      </c>
      <c r="F222" s="4">
        <v>528.09</v>
      </c>
      <c r="G222" s="3">
        <v>6</v>
      </c>
      <c r="H222" s="6">
        <v>5</v>
      </c>
      <c r="I222" s="3">
        <v>1</v>
      </c>
      <c r="J222" s="17" t="str">
        <f>HYPERLINK("https://amazon.com/dp/B0FQ4ZS2ZK","Amazon - B0FQ4ZS2ZK")</f>
        <v>Amazon - B0FQ4ZS2ZK</v>
      </c>
      <c r="K222" s="18" t="s">
        <v>229</v>
      </c>
      <c r="L222" s="18" t="s">
        <v>230</v>
      </c>
      <c r="M222" s="18" t="s">
        <v>237</v>
      </c>
      <c r="N222" s="18" t="s">
        <v>271</v>
      </c>
      <c r="O222" s="18" t="s">
        <v>233</v>
      </c>
      <c r="P222" s="18" t="s">
        <v>278</v>
      </c>
    </row>
    <row r="223" spans="1:16" ht="45" x14ac:dyDescent="0.2">
      <c r="A223" s="2" t="s">
        <v>741</v>
      </c>
      <c r="B223" s="2" t="s">
        <v>742</v>
      </c>
      <c r="C223" s="2" t="s">
        <v>77</v>
      </c>
      <c r="D223" s="2" t="s">
        <v>228</v>
      </c>
      <c r="E223" s="4">
        <v>75.89</v>
      </c>
      <c r="F223" s="4">
        <v>524.25</v>
      </c>
      <c r="G223" s="3">
        <v>9</v>
      </c>
      <c r="H223" s="6">
        <v>3.7</v>
      </c>
      <c r="I223" s="3">
        <v>5</v>
      </c>
      <c r="J223" s="17" t="str">
        <f>HYPERLINK("https://amazon.com/dp/B0F8V51XJ7","Amazon - B0F8V51XJ7")</f>
        <v>Amazon - B0F8V51XJ7</v>
      </c>
      <c r="K223" s="18" t="s">
        <v>229</v>
      </c>
      <c r="L223" s="18" t="s">
        <v>230</v>
      </c>
      <c r="M223" s="18" t="s">
        <v>242</v>
      </c>
      <c r="N223" s="18" t="s">
        <v>296</v>
      </c>
      <c r="O223" s="18" t="s">
        <v>233</v>
      </c>
      <c r="P223" s="18" t="s">
        <v>234</v>
      </c>
    </row>
    <row r="224" spans="1:16" ht="45" x14ac:dyDescent="0.2">
      <c r="A224" s="2" t="s">
        <v>743</v>
      </c>
      <c r="B224" s="2" t="s">
        <v>744</v>
      </c>
      <c r="C224" s="2" t="s">
        <v>37</v>
      </c>
      <c r="D224" s="2" t="s">
        <v>228</v>
      </c>
      <c r="E224" s="4">
        <v>49</v>
      </c>
      <c r="F224" s="4">
        <v>519.30999999999995</v>
      </c>
      <c r="G224" s="3">
        <v>11</v>
      </c>
      <c r="H224" s="6">
        <v>4.8</v>
      </c>
      <c r="I224" s="3">
        <v>15</v>
      </c>
      <c r="J224" s="17" t="str">
        <f>HYPERLINK("https://amazon.com/dp/B0BLTX4VFJ","Amazon - B0BLTX4VFJ")</f>
        <v>Amazon - B0BLTX4VFJ</v>
      </c>
      <c r="K224" s="18" t="s">
        <v>229</v>
      </c>
      <c r="L224" s="18" t="s">
        <v>230</v>
      </c>
      <c r="M224" s="18" t="s">
        <v>271</v>
      </c>
      <c r="N224" s="18" t="s">
        <v>271</v>
      </c>
      <c r="O224" s="18" t="s">
        <v>233</v>
      </c>
      <c r="P224" s="18" t="s">
        <v>271</v>
      </c>
    </row>
    <row r="225" spans="1:16" ht="45" x14ac:dyDescent="0.2">
      <c r="A225" s="2" t="s">
        <v>745</v>
      </c>
      <c r="B225" s="2" t="s">
        <v>746</v>
      </c>
      <c r="C225" s="2" t="s">
        <v>83</v>
      </c>
      <c r="D225" s="2" t="s">
        <v>228</v>
      </c>
      <c r="E225" s="4">
        <v>234.15</v>
      </c>
      <c r="F225" s="4">
        <v>505.42</v>
      </c>
      <c r="G225" s="3">
        <v>2</v>
      </c>
      <c r="H225" s="6">
        <v>1</v>
      </c>
      <c r="I225" s="3">
        <v>1</v>
      </c>
      <c r="J225" s="17" t="str">
        <f>HYPERLINK("https://amazon.com/dp/B0CG6RLXW6","Amazon - B0CG6RLXW6")</f>
        <v>Amazon - B0CG6RLXW6</v>
      </c>
      <c r="K225" s="18" t="s">
        <v>229</v>
      </c>
      <c r="L225" s="18" t="s">
        <v>230</v>
      </c>
      <c r="M225" s="18" t="s">
        <v>271</v>
      </c>
      <c r="N225" s="18" t="s">
        <v>271</v>
      </c>
      <c r="O225" s="18" t="s">
        <v>233</v>
      </c>
      <c r="P225" s="18" t="s">
        <v>271</v>
      </c>
    </row>
    <row r="226" spans="1:16" ht="45" x14ac:dyDescent="0.2">
      <c r="A226" s="2" t="s">
        <v>747</v>
      </c>
      <c r="B226" s="2" t="s">
        <v>748</v>
      </c>
      <c r="C226" s="2" t="s">
        <v>40</v>
      </c>
      <c r="D226" s="2" t="s">
        <v>228</v>
      </c>
      <c r="E226" s="4">
        <v>63.99</v>
      </c>
      <c r="F226" s="4">
        <v>503.63</v>
      </c>
      <c r="G226" s="3">
        <v>7</v>
      </c>
      <c r="H226" s="6">
        <v>4.3</v>
      </c>
      <c r="I226" s="3">
        <v>3838</v>
      </c>
      <c r="J226" s="17" t="str">
        <f>HYPERLINK("https://amazon.com/dp/B07SXR6TF6","Amazon - B07SXR6TF6")</f>
        <v>Amazon - B07SXR6TF6</v>
      </c>
      <c r="K226" s="18" t="s">
        <v>229</v>
      </c>
      <c r="L226" s="18" t="s">
        <v>230</v>
      </c>
      <c r="M226" s="18" t="s">
        <v>237</v>
      </c>
      <c r="N226" s="18" t="s">
        <v>265</v>
      </c>
      <c r="O226" s="18" t="s">
        <v>233</v>
      </c>
      <c r="P226" s="18" t="s">
        <v>234</v>
      </c>
    </row>
    <row r="227" spans="1:16" ht="45" x14ac:dyDescent="0.2">
      <c r="A227" s="2" t="s">
        <v>749</v>
      </c>
      <c r="B227" s="2" t="s">
        <v>750</v>
      </c>
      <c r="C227" s="2" t="s">
        <v>84</v>
      </c>
      <c r="D227" s="2" t="s">
        <v>228</v>
      </c>
      <c r="E227" s="4">
        <v>19.989999999999998</v>
      </c>
      <c r="F227" s="4">
        <v>500.65</v>
      </c>
      <c r="G227" s="3">
        <v>25</v>
      </c>
      <c r="H227" s="6">
        <v>4.4000000000000004</v>
      </c>
      <c r="I227" s="3">
        <v>31</v>
      </c>
      <c r="J227" s="17" t="str">
        <f>HYPERLINK("https://amazon.com/dp/B0D2Z14P81","Amazon - B0D2Z14P81")</f>
        <v>Amazon - B0D2Z14P81</v>
      </c>
      <c r="K227" s="18" t="s">
        <v>229</v>
      </c>
      <c r="L227" s="18" t="s">
        <v>230</v>
      </c>
      <c r="M227" s="18" t="s">
        <v>271</v>
      </c>
      <c r="N227" s="18" t="s">
        <v>271</v>
      </c>
      <c r="O227" s="18" t="s">
        <v>233</v>
      </c>
      <c r="P227" s="18" t="s">
        <v>305</v>
      </c>
    </row>
    <row r="228" spans="1:16" ht="30" x14ac:dyDescent="0.2">
      <c r="A228" s="2" t="s">
        <v>751</v>
      </c>
      <c r="B228" s="2" t="s">
        <v>752</v>
      </c>
      <c r="C228" s="2" t="s">
        <v>26</v>
      </c>
      <c r="D228" s="2" t="s">
        <v>228</v>
      </c>
      <c r="E228" s="4">
        <v>29.99</v>
      </c>
      <c r="F228" s="4">
        <v>500.64</v>
      </c>
      <c r="G228" s="3">
        <v>16</v>
      </c>
      <c r="H228" s="6">
        <v>4.2</v>
      </c>
      <c r="I228" s="3">
        <v>55</v>
      </c>
      <c r="J228" s="17" t="str">
        <f>HYPERLINK("https://amazon.com/dp/B0G8HPL9XB","Amazon - B0G8HPL9XB")</f>
        <v>Amazon - B0G8HPL9XB</v>
      </c>
      <c r="K228" s="18" t="s">
        <v>229</v>
      </c>
      <c r="L228" s="18" t="s">
        <v>230</v>
      </c>
      <c r="M228" s="18" t="s">
        <v>242</v>
      </c>
      <c r="N228" s="18" t="s">
        <v>271</v>
      </c>
      <c r="O228" s="18" t="s">
        <v>246</v>
      </c>
      <c r="P228" s="18" t="s">
        <v>305</v>
      </c>
    </row>
    <row r="229" spans="1:16" ht="45" x14ac:dyDescent="0.2">
      <c r="A229" s="2" t="s">
        <v>753</v>
      </c>
      <c r="B229" s="2" t="s">
        <v>754</v>
      </c>
      <c r="C229" s="2" t="s">
        <v>74</v>
      </c>
      <c r="D229" s="2" t="s">
        <v>228</v>
      </c>
      <c r="E229" s="4">
        <v>75.989999999999995</v>
      </c>
      <c r="F229" s="4">
        <v>500.63</v>
      </c>
      <c r="G229" s="3">
        <v>7</v>
      </c>
      <c r="H229" s="6">
        <v>4.3</v>
      </c>
      <c r="I229" s="3">
        <v>67</v>
      </c>
      <c r="J229" s="17" t="str">
        <f>HYPERLINK("https://amazon.com/dp/B0D2R7QG47","Amazon - B0D2R7QG47")</f>
        <v>Amazon - B0D2R7QG47</v>
      </c>
      <c r="K229" s="18" t="s">
        <v>229</v>
      </c>
      <c r="L229" s="18" t="s">
        <v>230</v>
      </c>
      <c r="M229" s="18" t="s">
        <v>242</v>
      </c>
      <c r="N229" s="18" t="s">
        <v>271</v>
      </c>
      <c r="O229" s="18" t="s">
        <v>233</v>
      </c>
      <c r="P229" s="18" t="s">
        <v>278</v>
      </c>
    </row>
    <row r="230" spans="1:16" ht="45" x14ac:dyDescent="0.2">
      <c r="A230" s="2" t="s">
        <v>755</v>
      </c>
      <c r="B230" s="2" t="s">
        <v>756</v>
      </c>
      <c r="C230" s="2" t="s">
        <v>11</v>
      </c>
      <c r="D230" s="2" t="s">
        <v>228</v>
      </c>
      <c r="E230" s="4">
        <v>299.99</v>
      </c>
      <c r="F230" s="4">
        <v>460.44</v>
      </c>
      <c r="G230" s="3">
        <v>2</v>
      </c>
      <c r="H230" s="6">
        <v>4.4000000000000004</v>
      </c>
      <c r="I230" s="3">
        <v>41</v>
      </c>
      <c r="J230" s="17" t="str">
        <f>HYPERLINK("https://amazon.com/dp/B0F8BN91TL","Amazon - B0F8BN91TL")</f>
        <v>Amazon - B0F8BN91TL</v>
      </c>
      <c r="K230" s="18" t="s">
        <v>229</v>
      </c>
      <c r="L230" s="18" t="s">
        <v>251</v>
      </c>
      <c r="M230" s="18" t="s">
        <v>242</v>
      </c>
      <c r="N230" s="18" t="s">
        <v>296</v>
      </c>
      <c r="O230" s="18" t="s">
        <v>233</v>
      </c>
      <c r="P230" s="18" t="s">
        <v>234</v>
      </c>
    </row>
    <row r="231" spans="1:16" ht="45" x14ac:dyDescent="0.2">
      <c r="A231" s="2" t="s">
        <v>757</v>
      </c>
      <c r="B231" s="2" t="s">
        <v>758</v>
      </c>
      <c r="C231" s="2" t="s">
        <v>33</v>
      </c>
      <c r="D231" s="2" t="s">
        <v>228</v>
      </c>
      <c r="E231" s="4">
        <v>39.99</v>
      </c>
      <c r="F231" s="4">
        <v>455.83</v>
      </c>
      <c r="G231" s="3">
        <v>10</v>
      </c>
      <c r="H231" s="6">
        <v>4.3</v>
      </c>
      <c r="I231" s="3">
        <v>16</v>
      </c>
      <c r="J231" s="17" t="str">
        <f>HYPERLINK("https://amazon.com/dp/B0F9F5ZNK2","Amazon - B0F9F5ZNK2")</f>
        <v>Amazon - B0F9F5ZNK2</v>
      </c>
      <c r="K231" s="18" t="s">
        <v>229</v>
      </c>
      <c r="L231" s="18" t="s">
        <v>230</v>
      </c>
      <c r="M231" s="18" t="s">
        <v>237</v>
      </c>
      <c r="N231" s="18" t="s">
        <v>271</v>
      </c>
      <c r="O231" s="18" t="s">
        <v>246</v>
      </c>
      <c r="P231" s="18" t="s">
        <v>305</v>
      </c>
    </row>
    <row r="232" spans="1:16" ht="45" x14ac:dyDescent="0.2">
      <c r="A232" s="2" t="s">
        <v>759</v>
      </c>
      <c r="B232" s="2" t="s">
        <v>760</v>
      </c>
      <c r="C232" s="2" t="s">
        <v>87</v>
      </c>
      <c r="D232" s="2" t="s">
        <v>228</v>
      </c>
      <c r="E232" s="4">
        <v>29.9</v>
      </c>
      <c r="F232" s="4">
        <v>442.11</v>
      </c>
      <c r="G232" s="3">
        <v>15</v>
      </c>
      <c r="H232" s="6">
        <v>4.4000000000000004</v>
      </c>
      <c r="I232" s="3">
        <v>56</v>
      </c>
      <c r="J232" s="17" t="str">
        <f>HYPERLINK("https://amazon.com/dp/B0D17T3N3P","Amazon - B0D17T3N3P")</f>
        <v>Amazon - B0D17T3N3P</v>
      </c>
      <c r="K232" s="18" t="s">
        <v>229</v>
      </c>
      <c r="L232" s="18" t="s">
        <v>230</v>
      </c>
      <c r="M232" s="18" t="s">
        <v>237</v>
      </c>
      <c r="N232" s="18" t="s">
        <v>271</v>
      </c>
      <c r="O232" s="18" t="s">
        <v>233</v>
      </c>
      <c r="P232" s="18" t="s">
        <v>305</v>
      </c>
    </row>
    <row r="233" spans="1:16" ht="45" x14ac:dyDescent="0.2">
      <c r="A233" s="2" t="s">
        <v>761</v>
      </c>
      <c r="B233" s="2" t="s">
        <v>762</v>
      </c>
      <c r="C233" s="2" t="s">
        <v>26</v>
      </c>
      <c r="D233" s="2" t="s">
        <v>228</v>
      </c>
      <c r="E233" s="4">
        <v>29.99</v>
      </c>
      <c r="F233" s="4">
        <v>438.05</v>
      </c>
      <c r="G233" s="3">
        <v>15</v>
      </c>
      <c r="H233" s="6">
        <v>4.4000000000000004</v>
      </c>
      <c r="I233" s="3">
        <v>115</v>
      </c>
      <c r="J233" s="17" t="str">
        <f>HYPERLINK("https://amazon.com/dp/B0FGK4X6X2","Amazon - B0FGK4X6X2")</f>
        <v>Amazon - B0FGK4X6X2</v>
      </c>
      <c r="K233" s="18" t="s">
        <v>229</v>
      </c>
      <c r="L233" s="18" t="s">
        <v>230</v>
      </c>
      <c r="M233" s="18" t="s">
        <v>237</v>
      </c>
      <c r="N233" s="18" t="s">
        <v>271</v>
      </c>
      <c r="O233" s="18" t="s">
        <v>233</v>
      </c>
      <c r="P233" s="18" t="s">
        <v>305</v>
      </c>
    </row>
    <row r="234" spans="1:16" ht="30" x14ac:dyDescent="0.2">
      <c r="A234" s="2" t="s">
        <v>763</v>
      </c>
      <c r="B234" s="2" t="s">
        <v>764</v>
      </c>
      <c r="C234" s="2" t="s">
        <v>86</v>
      </c>
      <c r="D234" s="2" t="s">
        <v>228</v>
      </c>
      <c r="E234" s="4">
        <v>119.99</v>
      </c>
      <c r="F234" s="4">
        <v>431.98</v>
      </c>
      <c r="G234" s="3">
        <v>4</v>
      </c>
      <c r="H234" s="6">
        <v>0</v>
      </c>
      <c r="I234" s="3">
        <v>0</v>
      </c>
      <c r="J234" s="17" t="str">
        <f>HYPERLINK("https://amazon.com/dp/B0CZNQKW3L","Amazon - B0CZNQKW3L")</f>
        <v>Amazon - B0CZNQKW3L</v>
      </c>
      <c r="K234" s="18" t="s">
        <v>229</v>
      </c>
      <c r="L234" s="18" t="s">
        <v>230</v>
      </c>
      <c r="M234" s="18" t="s">
        <v>231</v>
      </c>
      <c r="N234" s="18" t="s">
        <v>238</v>
      </c>
      <c r="O234" s="18" t="s">
        <v>233</v>
      </c>
      <c r="P234" s="18" t="s">
        <v>271</v>
      </c>
    </row>
    <row r="235" spans="1:16" ht="30" x14ac:dyDescent="0.2">
      <c r="A235" s="2" t="s">
        <v>765</v>
      </c>
      <c r="B235" s="2" t="s">
        <v>766</v>
      </c>
      <c r="C235" s="2" t="s">
        <v>48</v>
      </c>
      <c r="D235" s="2" t="s">
        <v>228</v>
      </c>
      <c r="E235" s="4">
        <v>130.99</v>
      </c>
      <c r="F235" s="4">
        <v>421.64</v>
      </c>
      <c r="G235" s="3">
        <v>4</v>
      </c>
      <c r="H235" s="6">
        <v>5</v>
      </c>
      <c r="I235" s="3">
        <v>4</v>
      </c>
      <c r="J235" s="17" t="str">
        <f>HYPERLINK("https://amazon.com/dp/B0GMTRXT21","Amazon - B0GMTRXT21")</f>
        <v>Amazon - B0GMTRXT21</v>
      </c>
      <c r="K235" s="18" t="s">
        <v>229</v>
      </c>
      <c r="L235" s="18" t="s">
        <v>230</v>
      </c>
      <c r="M235" s="18" t="s">
        <v>242</v>
      </c>
      <c r="N235" s="18" t="s">
        <v>271</v>
      </c>
      <c r="O235" s="18" t="s">
        <v>246</v>
      </c>
      <c r="P235" s="18" t="s">
        <v>271</v>
      </c>
    </row>
    <row r="236" spans="1:16" ht="30" x14ac:dyDescent="0.2">
      <c r="A236" s="2" t="s">
        <v>767</v>
      </c>
      <c r="B236" s="2" t="s">
        <v>768</v>
      </c>
      <c r="C236" s="2" t="s">
        <v>68</v>
      </c>
      <c r="D236" s="2" t="s">
        <v>228</v>
      </c>
      <c r="E236" s="4">
        <v>43.99</v>
      </c>
      <c r="F236" s="4">
        <v>385.3</v>
      </c>
      <c r="G236" s="3">
        <v>8</v>
      </c>
      <c r="H236" s="6">
        <v>4.4000000000000004</v>
      </c>
      <c r="I236" s="3">
        <v>104</v>
      </c>
      <c r="J236" s="17" t="str">
        <f>HYPERLINK("https://amazon.com/dp/B0DSZNLHLW","Amazon - B0DSZNLHLW")</f>
        <v>Amazon - B0DSZNLHLW</v>
      </c>
      <c r="K236" s="18" t="s">
        <v>229</v>
      </c>
      <c r="L236" s="18" t="s">
        <v>230</v>
      </c>
      <c r="M236" s="18" t="s">
        <v>237</v>
      </c>
      <c r="N236" s="18" t="s">
        <v>243</v>
      </c>
      <c r="O236" s="18" t="s">
        <v>233</v>
      </c>
      <c r="P236" s="18" t="s">
        <v>305</v>
      </c>
    </row>
    <row r="237" spans="1:16" x14ac:dyDescent="0.2">
      <c r="A237" s="2" t="s">
        <v>769</v>
      </c>
      <c r="B237" s="2" t="s">
        <v>770</v>
      </c>
      <c r="C237" s="2" t="s">
        <v>89</v>
      </c>
      <c r="D237" s="2" t="s">
        <v>228</v>
      </c>
      <c r="E237" s="4">
        <v>259.99</v>
      </c>
      <c r="F237" s="4">
        <v>358.46</v>
      </c>
      <c r="G237" s="3">
        <v>1</v>
      </c>
      <c r="H237" s="6">
        <v>3.4</v>
      </c>
      <c r="I237" s="3">
        <v>3</v>
      </c>
      <c r="J237" s="17" t="str">
        <f>HYPERLINK("https://amazon.com/dp/B0CRB2C49G","Amazon - B0CRB2C49G")</f>
        <v>Amazon - B0CRB2C49G</v>
      </c>
      <c r="K237" s="18" t="s">
        <v>229</v>
      </c>
      <c r="L237" s="18" t="s">
        <v>230</v>
      </c>
      <c r="M237" s="18" t="s">
        <v>271</v>
      </c>
      <c r="N237" s="18" t="s">
        <v>271</v>
      </c>
      <c r="O237" s="18" t="s">
        <v>233</v>
      </c>
      <c r="P237" s="18" t="s">
        <v>259</v>
      </c>
    </row>
    <row r="238" spans="1:16" ht="45" x14ac:dyDescent="0.2">
      <c r="A238" s="2" t="s">
        <v>771</v>
      </c>
      <c r="B238" s="2" t="s">
        <v>772</v>
      </c>
      <c r="C238" s="2" t="s">
        <v>74</v>
      </c>
      <c r="D238" s="2" t="s">
        <v>228</v>
      </c>
      <c r="E238" s="4">
        <v>85.99</v>
      </c>
      <c r="F238" s="4">
        <v>352.82</v>
      </c>
      <c r="G238" s="3">
        <v>4</v>
      </c>
      <c r="H238" s="6">
        <v>4.3</v>
      </c>
      <c r="I238" s="3">
        <v>67</v>
      </c>
      <c r="J238" s="17" t="str">
        <f>HYPERLINK("https://amazon.com/dp/B0DSHGG8VW","Amazon - B0DSHGG8VW")</f>
        <v>Amazon - B0DSHGG8VW</v>
      </c>
      <c r="K238" s="18" t="s">
        <v>229</v>
      </c>
      <c r="L238" s="18" t="s">
        <v>230</v>
      </c>
      <c r="M238" s="18" t="s">
        <v>242</v>
      </c>
      <c r="N238" s="18" t="s">
        <v>238</v>
      </c>
      <c r="O238" s="18" t="s">
        <v>233</v>
      </c>
      <c r="P238" s="18" t="s">
        <v>239</v>
      </c>
    </row>
    <row r="239" spans="1:16" ht="45" x14ac:dyDescent="0.2">
      <c r="A239" s="2" t="s">
        <v>773</v>
      </c>
      <c r="B239" s="2" t="s">
        <v>774</v>
      </c>
      <c r="C239" s="2" t="s">
        <v>25</v>
      </c>
      <c r="D239" s="2" t="s">
        <v>285</v>
      </c>
      <c r="E239" s="4">
        <v>299.98</v>
      </c>
      <c r="F239" s="4">
        <v>351.69</v>
      </c>
      <c r="G239" s="3">
        <v>1</v>
      </c>
      <c r="H239" s="6">
        <v>0</v>
      </c>
      <c r="I239" s="3">
        <v>0</v>
      </c>
      <c r="J239" s="17" t="str">
        <f>HYPERLINK("https://amazon.com/dp/B09WGRSRFQ","Amazon - B09WGRSRFQ")</f>
        <v>Amazon - B09WGRSRFQ</v>
      </c>
      <c r="K239" s="18" t="s">
        <v>286</v>
      </c>
      <c r="L239" s="18" t="s">
        <v>230</v>
      </c>
      <c r="M239" s="18" t="s">
        <v>287</v>
      </c>
      <c r="N239" s="18" t="s">
        <v>253</v>
      </c>
      <c r="O239" s="18" t="s">
        <v>233</v>
      </c>
      <c r="P239" s="18" t="s">
        <v>543</v>
      </c>
    </row>
    <row r="240" spans="1:16" ht="30" x14ac:dyDescent="0.2">
      <c r="A240" s="2" t="s">
        <v>775</v>
      </c>
      <c r="B240" s="2" t="s">
        <v>776</v>
      </c>
      <c r="C240" s="2" t="s">
        <v>90</v>
      </c>
      <c r="D240" s="2" t="s">
        <v>228</v>
      </c>
      <c r="E240" s="4">
        <v>9.99</v>
      </c>
      <c r="F240" s="4">
        <v>347.1</v>
      </c>
      <c r="G240" s="3">
        <v>35</v>
      </c>
      <c r="H240" s="6">
        <v>4.4000000000000004</v>
      </c>
      <c r="I240" s="3">
        <v>27</v>
      </c>
      <c r="J240" s="17" t="str">
        <f>HYPERLINK("https://amazon.com/dp/B0DBDJ3FK2","Amazon - B0DBDJ3FK2")</f>
        <v>Amazon - B0DBDJ3FK2</v>
      </c>
      <c r="K240" s="18" t="s">
        <v>229</v>
      </c>
      <c r="L240" s="18" t="s">
        <v>230</v>
      </c>
      <c r="M240" s="18" t="s">
        <v>271</v>
      </c>
      <c r="N240" s="18" t="s">
        <v>271</v>
      </c>
      <c r="O240" s="18" t="s">
        <v>233</v>
      </c>
      <c r="P240" s="18" t="s">
        <v>271</v>
      </c>
    </row>
    <row r="241" spans="1:16" ht="45" x14ac:dyDescent="0.2">
      <c r="A241" s="2" t="s">
        <v>777</v>
      </c>
      <c r="B241" s="2" t="s">
        <v>778</v>
      </c>
      <c r="C241" s="2" t="s">
        <v>28</v>
      </c>
      <c r="D241" s="2" t="s">
        <v>228</v>
      </c>
      <c r="E241" s="4">
        <v>34.99</v>
      </c>
      <c r="F241" s="4">
        <v>338.28</v>
      </c>
      <c r="G241" s="3">
        <v>10</v>
      </c>
      <c r="H241" s="6">
        <v>4.5999999999999996</v>
      </c>
      <c r="I241" s="3">
        <v>83</v>
      </c>
      <c r="J241" s="17" t="str">
        <f>HYPERLINK("https://amazon.com/dp/B0GGQM678V","Amazon - B0GGQM678V")</f>
        <v>Amazon - B0GGQM678V</v>
      </c>
      <c r="K241" s="18" t="s">
        <v>229</v>
      </c>
      <c r="L241" s="18" t="s">
        <v>230</v>
      </c>
      <c r="M241" s="18" t="s">
        <v>237</v>
      </c>
      <c r="N241" s="18" t="s">
        <v>271</v>
      </c>
      <c r="O241" s="18" t="s">
        <v>246</v>
      </c>
      <c r="P241" s="18" t="s">
        <v>305</v>
      </c>
    </row>
    <row r="242" spans="1:16" ht="30" x14ac:dyDescent="0.2">
      <c r="A242" s="2" t="s">
        <v>779</v>
      </c>
      <c r="B242" s="2" t="s">
        <v>780</v>
      </c>
      <c r="C242" s="2" t="s">
        <v>25</v>
      </c>
      <c r="D242" s="2" t="s">
        <v>285</v>
      </c>
      <c r="E242" s="4">
        <v>299.98</v>
      </c>
      <c r="F242" s="4">
        <v>328.26</v>
      </c>
      <c r="G242" s="3">
        <v>1</v>
      </c>
      <c r="H242" s="6">
        <v>0</v>
      </c>
      <c r="I242" s="3">
        <v>0</v>
      </c>
      <c r="J242" s="17" t="str">
        <f>HYPERLINK("https://amazon.com/dp/B0DJWQD2QZ","Amazon - B0DJWQD2QZ")</f>
        <v>Amazon - B0DJWQD2QZ</v>
      </c>
      <c r="K242" s="18" t="s">
        <v>286</v>
      </c>
      <c r="L242" s="18" t="s">
        <v>230</v>
      </c>
      <c r="M242" s="18" t="s">
        <v>287</v>
      </c>
      <c r="N242" s="18" t="s">
        <v>253</v>
      </c>
      <c r="O242" s="18" t="s">
        <v>233</v>
      </c>
      <c r="P242" s="18" t="s">
        <v>781</v>
      </c>
    </row>
    <row r="243" spans="1:16" ht="30" x14ac:dyDescent="0.2">
      <c r="A243" s="2" t="s">
        <v>782</v>
      </c>
      <c r="B243" s="2" t="s">
        <v>783</v>
      </c>
      <c r="C243" s="2" t="s">
        <v>71</v>
      </c>
      <c r="D243" s="2" t="s">
        <v>228</v>
      </c>
      <c r="E243" s="4">
        <v>237.95</v>
      </c>
      <c r="F243" s="4">
        <v>328.26</v>
      </c>
      <c r="G243" s="3">
        <v>1</v>
      </c>
      <c r="H243" s="6">
        <v>4.3</v>
      </c>
      <c r="I243" s="3">
        <v>7</v>
      </c>
      <c r="J243" s="17" t="str">
        <f>HYPERLINK("https://amazon.com/dp/B076CH47TD","Amazon - B076CH47TD")</f>
        <v>Amazon - B076CH47TD</v>
      </c>
      <c r="K243" s="18" t="s">
        <v>229</v>
      </c>
      <c r="L243" s="18" t="s">
        <v>230</v>
      </c>
      <c r="M243" s="18" t="s">
        <v>271</v>
      </c>
      <c r="N243" s="18" t="s">
        <v>271</v>
      </c>
      <c r="O243" s="18" t="s">
        <v>233</v>
      </c>
      <c r="P243" s="18" t="s">
        <v>271</v>
      </c>
    </row>
    <row r="244" spans="1:16" ht="30" x14ac:dyDescent="0.2">
      <c r="A244" s="2" t="s">
        <v>784</v>
      </c>
      <c r="B244" s="2" t="s">
        <v>785</v>
      </c>
      <c r="C244" s="2" t="s">
        <v>8</v>
      </c>
      <c r="D244" s="2" t="s">
        <v>228</v>
      </c>
      <c r="E244" s="4">
        <v>69.989999999999995</v>
      </c>
      <c r="F244" s="4">
        <v>318.74</v>
      </c>
      <c r="G244" s="3">
        <v>5</v>
      </c>
      <c r="H244" s="6">
        <v>4.5</v>
      </c>
      <c r="I244" s="3">
        <v>4</v>
      </c>
      <c r="J244" s="17" t="str">
        <f>HYPERLINK("https://amazon.com/dp/B08QCZQMJ4","Amazon - B08QCZQMJ4")</f>
        <v>Amazon - B08QCZQMJ4</v>
      </c>
      <c r="K244" s="18" t="s">
        <v>229</v>
      </c>
      <c r="L244" s="18" t="s">
        <v>230</v>
      </c>
      <c r="M244" s="18" t="s">
        <v>271</v>
      </c>
      <c r="N244" s="18" t="s">
        <v>243</v>
      </c>
      <c r="O244" s="18" t="s">
        <v>233</v>
      </c>
      <c r="P244" s="18" t="s">
        <v>256</v>
      </c>
    </row>
    <row r="245" spans="1:16" x14ac:dyDescent="0.2">
      <c r="A245" s="2" t="s">
        <v>786</v>
      </c>
      <c r="B245" s="2" t="s">
        <v>787</v>
      </c>
      <c r="C245" s="2" t="s">
        <v>35</v>
      </c>
      <c r="D245" s="2" t="s">
        <v>228</v>
      </c>
      <c r="E245" s="4">
        <v>289.99</v>
      </c>
      <c r="F245" s="4">
        <v>317.27</v>
      </c>
      <c r="G245" s="3">
        <v>1</v>
      </c>
      <c r="H245" s="6">
        <v>0</v>
      </c>
      <c r="I245" s="3">
        <v>0</v>
      </c>
      <c r="J245" s="17" t="str">
        <f>HYPERLINK("https://amazon.com/dp/B0FV8GH1PT","Amazon - B0FV8GH1PT")</f>
        <v>Amazon - B0FV8GH1PT</v>
      </c>
      <c r="K245" s="18" t="s">
        <v>229</v>
      </c>
      <c r="L245" s="18" t="s">
        <v>230</v>
      </c>
      <c r="M245" s="18" t="s">
        <v>271</v>
      </c>
      <c r="N245" s="18" t="s">
        <v>271</v>
      </c>
      <c r="O245" s="18" t="s">
        <v>233</v>
      </c>
      <c r="P245" s="18" t="s">
        <v>271</v>
      </c>
    </row>
    <row r="246" spans="1:16" ht="30" x14ac:dyDescent="0.2">
      <c r="A246" s="2" t="s">
        <v>788</v>
      </c>
      <c r="B246" s="2" t="s">
        <v>789</v>
      </c>
      <c r="C246" s="2" t="s">
        <v>91</v>
      </c>
      <c r="D246" s="2" t="s">
        <v>228</v>
      </c>
      <c r="E246" s="4">
        <v>189.99</v>
      </c>
      <c r="F246" s="4">
        <v>317.14999999999998</v>
      </c>
      <c r="G246" s="3">
        <v>2</v>
      </c>
      <c r="H246" s="6">
        <v>3.8</v>
      </c>
      <c r="I246" s="3">
        <v>4</v>
      </c>
      <c r="J246" s="17" t="str">
        <f>HYPERLINK("https://amazon.com/dp/B00Z19DRNC","Amazon - B00Z19DRNC")</f>
        <v>Amazon - B00Z19DRNC</v>
      </c>
      <c r="K246" s="18" t="s">
        <v>229</v>
      </c>
      <c r="L246" s="18" t="s">
        <v>230</v>
      </c>
      <c r="M246" s="18" t="s">
        <v>271</v>
      </c>
      <c r="N246" s="18" t="s">
        <v>232</v>
      </c>
      <c r="O246" s="18" t="s">
        <v>233</v>
      </c>
      <c r="P246" s="18" t="s">
        <v>278</v>
      </c>
    </row>
    <row r="247" spans="1:16" ht="45" x14ac:dyDescent="0.2">
      <c r="A247" s="2" t="s">
        <v>790</v>
      </c>
      <c r="B247" s="2" t="s">
        <v>791</v>
      </c>
      <c r="C247" s="2" t="s">
        <v>33</v>
      </c>
      <c r="D247" s="2" t="s">
        <v>228</v>
      </c>
      <c r="E247" s="4">
        <v>51.43</v>
      </c>
      <c r="F247" s="4">
        <v>313.83999999999997</v>
      </c>
      <c r="G247" s="3">
        <v>6</v>
      </c>
      <c r="H247" s="6">
        <v>4.3</v>
      </c>
      <c r="I247" s="3">
        <v>16</v>
      </c>
      <c r="J247" s="17" t="str">
        <f>HYPERLINK("https://amazon.com/dp/B0FM3D358Z","Amazon - B0FM3D358Z")</f>
        <v>Amazon - B0FM3D358Z</v>
      </c>
      <c r="K247" s="18" t="s">
        <v>229</v>
      </c>
      <c r="L247" s="18" t="s">
        <v>230</v>
      </c>
      <c r="M247" s="18" t="s">
        <v>237</v>
      </c>
      <c r="N247" s="18" t="s">
        <v>271</v>
      </c>
      <c r="O247" s="18" t="s">
        <v>246</v>
      </c>
      <c r="P247" s="18" t="s">
        <v>321</v>
      </c>
    </row>
    <row r="248" spans="1:16" ht="45" x14ac:dyDescent="0.2">
      <c r="A248" s="2" t="s">
        <v>792</v>
      </c>
      <c r="B248" s="2" t="s">
        <v>793</v>
      </c>
      <c r="C248" s="2" t="s">
        <v>92</v>
      </c>
      <c r="D248" s="2" t="s">
        <v>228</v>
      </c>
      <c r="E248" s="4">
        <v>329.99</v>
      </c>
      <c r="F248" s="4">
        <v>311.52999999999997</v>
      </c>
      <c r="G248" s="3">
        <v>1</v>
      </c>
      <c r="H248" s="6">
        <v>0</v>
      </c>
      <c r="I248" s="3">
        <v>0</v>
      </c>
      <c r="J248" s="17" t="str">
        <f>HYPERLINK("https://amazon.com/dp/B098FVNLN4","Amazon - B098FVNLN4")</f>
        <v>Amazon - B098FVNLN4</v>
      </c>
      <c r="K248" s="18" t="s">
        <v>229</v>
      </c>
      <c r="L248" s="18" t="s">
        <v>230</v>
      </c>
      <c r="M248" s="18" t="s">
        <v>242</v>
      </c>
      <c r="N248" s="18" t="s">
        <v>265</v>
      </c>
      <c r="O248" s="18" t="s">
        <v>233</v>
      </c>
      <c r="P248" s="18" t="s">
        <v>271</v>
      </c>
    </row>
    <row r="249" spans="1:16" ht="45" x14ac:dyDescent="0.2">
      <c r="A249" s="2" t="s">
        <v>794</v>
      </c>
      <c r="B249" s="2" t="s">
        <v>795</v>
      </c>
      <c r="C249" s="2" t="s">
        <v>33</v>
      </c>
      <c r="D249" s="2" t="s">
        <v>228</v>
      </c>
      <c r="E249" s="4">
        <v>69.989999999999995</v>
      </c>
      <c r="F249" s="4">
        <v>310.88</v>
      </c>
      <c r="G249" s="3">
        <v>5</v>
      </c>
      <c r="H249" s="6">
        <v>4.3</v>
      </c>
      <c r="I249" s="3">
        <v>16</v>
      </c>
      <c r="J249" s="17" t="str">
        <f>HYPERLINK("https://amazon.com/dp/B0FCMCJD8F","Amazon - B0FCMCJD8F")</f>
        <v>Amazon - B0FCMCJD8F</v>
      </c>
      <c r="K249" s="18" t="s">
        <v>229</v>
      </c>
      <c r="L249" s="18" t="s">
        <v>230</v>
      </c>
      <c r="M249" s="18" t="s">
        <v>242</v>
      </c>
      <c r="N249" s="18" t="s">
        <v>271</v>
      </c>
      <c r="O249" s="18" t="s">
        <v>316</v>
      </c>
      <c r="P249" s="18" t="s">
        <v>305</v>
      </c>
    </row>
    <row r="250" spans="1:16" ht="45" x14ac:dyDescent="0.2">
      <c r="A250" s="2" t="s">
        <v>796</v>
      </c>
      <c r="B250" s="2" t="s">
        <v>797</v>
      </c>
      <c r="C250" s="2" t="s">
        <v>39</v>
      </c>
      <c r="D250" s="2" t="s">
        <v>228</v>
      </c>
      <c r="E250" s="4">
        <v>145.99</v>
      </c>
      <c r="F250" s="4">
        <v>303.94</v>
      </c>
      <c r="G250" s="3">
        <v>2</v>
      </c>
      <c r="H250" s="6">
        <v>4</v>
      </c>
      <c r="I250" s="3">
        <v>3</v>
      </c>
      <c r="J250" s="17" t="str">
        <f>HYPERLINK("https://amazon.com/dp/B0GGSTXTKR","Amazon - B0GGSTXTKR")</f>
        <v>Amazon - B0GGSTXTKR</v>
      </c>
      <c r="K250" s="18" t="s">
        <v>229</v>
      </c>
      <c r="L250" s="18" t="s">
        <v>230</v>
      </c>
      <c r="M250" s="18" t="s">
        <v>237</v>
      </c>
      <c r="N250" s="18" t="s">
        <v>296</v>
      </c>
      <c r="O250" s="18" t="s">
        <v>233</v>
      </c>
      <c r="P250" s="18" t="s">
        <v>271</v>
      </c>
    </row>
    <row r="251" spans="1:16" ht="30" x14ac:dyDescent="0.2">
      <c r="A251" s="2" t="s">
        <v>798</v>
      </c>
      <c r="B251" s="2" t="s">
        <v>799</v>
      </c>
      <c r="C251" s="2" t="s">
        <v>38</v>
      </c>
      <c r="D251" s="2" t="s">
        <v>228</v>
      </c>
      <c r="E251" s="4">
        <v>156.02000000000001</v>
      </c>
      <c r="F251" s="4">
        <v>303.60000000000002</v>
      </c>
      <c r="G251" s="3">
        <v>2</v>
      </c>
      <c r="H251" s="6">
        <v>4.2</v>
      </c>
      <c r="I251" s="3">
        <v>28</v>
      </c>
      <c r="J251" s="17" t="str">
        <f>HYPERLINK("https://amazon.com/dp/B003IFRITU","Amazon - B003IFRITU")</f>
        <v>Amazon - B003IFRITU</v>
      </c>
      <c r="K251" s="18" t="s">
        <v>229</v>
      </c>
      <c r="L251" s="18" t="s">
        <v>230</v>
      </c>
      <c r="M251" s="18" t="s">
        <v>271</v>
      </c>
      <c r="N251" s="18" t="s">
        <v>271</v>
      </c>
      <c r="O251" s="18" t="s">
        <v>233</v>
      </c>
      <c r="P251" s="18" t="s">
        <v>271</v>
      </c>
    </row>
    <row r="252" spans="1:16" ht="30" x14ac:dyDescent="0.2">
      <c r="A252" s="2" t="s">
        <v>800</v>
      </c>
      <c r="B252" s="2" t="s">
        <v>801</v>
      </c>
      <c r="C252" s="2" t="s">
        <v>93</v>
      </c>
      <c r="D252" s="2" t="s">
        <v>228</v>
      </c>
      <c r="E252" s="4">
        <v>480</v>
      </c>
      <c r="F252" s="4">
        <v>298.26</v>
      </c>
      <c r="G252" s="3">
        <v>1</v>
      </c>
      <c r="H252" s="6">
        <v>4</v>
      </c>
      <c r="I252" s="3">
        <v>1</v>
      </c>
      <c r="J252" s="17" t="str">
        <f>HYPERLINK("https://amazon.com/dp/B09Y1R7MG7","Amazon - B09Y1R7MG7")</f>
        <v>Amazon - B09Y1R7MG7</v>
      </c>
      <c r="K252" s="18" t="s">
        <v>229</v>
      </c>
      <c r="L252" s="18" t="s">
        <v>230</v>
      </c>
      <c r="M252" s="18" t="s">
        <v>271</v>
      </c>
      <c r="N252" s="18" t="s">
        <v>802</v>
      </c>
      <c r="O252" s="18" t="s">
        <v>233</v>
      </c>
      <c r="P252" s="18" t="s">
        <v>271</v>
      </c>
    </row>
    <row r="253" spans="1:16" ht="45" x14ac:dyDescent="0.2">
      <c r="A253" s="2" t="s">
        <v>803</v>
      </c>
      <c r="B253" s="2" t="s">
        <v>804</v>
      </c>
      <c r="C253" s="2" t="s">
        <v>94</v>
      </c>
      <c r="D253" s="2" t="s">
        <v>228</v>
      </c>
      <c r="E253" s="4">
        <v>112.99</v>
      </c>
      <c r="F253" s="4">
        <v>290.44</v>
      </c>
      <c r="G253" s="3">
        <v>3</v>
      </c>
      <c r="H253" s="6">
        <v>0</v>
      </c>
      <c r="I253" s="3">
        <v>0</v>
      </c>
      <c r="J253" s="17" t="str">
        <f>HYPERLINK("https://amazon.com/dp/B0FY1FZNR6","Amazon - B0FY1FZNR6")</f>
        <v>Amazon - B0FY1FZNR6</v>
      </c>
      <c r="K253" s="18" t="s">
        <v>229</v>
      </c>
      <c r="L253" s="18" t="s">
        <v>230</v>
      </c>
      <c r="M253" s="18" t="s">
        <v>242</v>
      </c>
      <c r="N253" s="18" t="s">
        <v>265</v>
      </c>
      <c r="O253" s="18" t="s">
        <v>233</v>
      </c>
      <c r="P253" s="18" t="s">
        <v>234</v>
      </c>
    </row>
    <row r="254" spans="1:16" ht="45" x14ac:dyDescent="0.2">
      <c r="A254" s="2" t="s">
        <v>805</v>
      </c>
      <c r="B254" s="2" t="s">
        <v>806</v>
      </c>
      <c r="C254" s="2" t="s">
        <v>66</v>
      </c>
      <c r="D254" s="2" t="s">
        <v>228</v>
      </c>
      <c r="E254" s="4">
        <v>89.99</v>
      </c>
      <c r="F254" s="4">
        <v>281.14</v>
      </c>
      <c r="G254" s="3">
        <v>3</v>
      </c>
      <c r="H254" s="6">
        <v>4.5999999999999996</v>
      </c>
      <c r="I254" s="3">
        <v>15</v>
      </c>
      <c r="J254" s="17" t="str">
        <f>HYPERLINK("https://amazon.com/dp/B0F6BG1FT7","Amazon - B0F6BG1FT7")</f>
        <v>Amazon - B0F6BG1FT7</v>
      </c>
      <c r="K254" s="18" t="s">
        <v>229</v>
      </c>
      <c r="L254" s="18" t="s">
        <v>230</v>
      </c>
      <c r="M254" s="18" t="s">
        <v>242</v>
      </c>
      <c r="N254" s="18" t="s">
        <v>271</v>
      </c>
      <c r="O254" s="18" t="s">
        <v>233</v>
      </c>
      <c r="P254" s="18" t="s">
        <v>234</v>
      </c>
    </row>
    <row r="255" spans="1:16" ht="45" x14ac:dyDescent="0.2">
      <c r="A255" s="2" t="s">
        <v>807</v>
      </c>
      <c r="B255" s="2" t="s">
        <v>808</v>
      </c>
      <c r="C255" s="2" t="s">
        <v>95</v>
      </c>
      <c r="D255" s="2" t="s">
        <v>228</v>
      </c>
      <c r="E255" s="4">
        <v>94.49</v>
      </c>
      <c r="F255" s="4">
        <v>278.08</v>
      </c>
      <c r="G255" s="3">
        <v>2</v>
      </c>
      <c r="H255" s="6">
        <v>5</v>
      </c>
      <c r="I255" s="3">
        <v>1</v>
      </c>
      <c r="J255" s="17" t="str">
        <f>HYPERLINK("https://amazon.com/dp/B0CLR1L4N7","Amazon - B0CLR1L4N7")</f>
        <v>Amazon - B0CLR1L4N7</v>
      </c>
      <c r="K255" s="18" t="s">
        <v>229</v>
      </c>
      <c r="L255" s="18" t="s">
        <v>230</v>
      </c>
      <c r="M255" s="18" t="s">
        <v>242</v>
      </c>
      <c r="N255" s="18" t="s">
        <v>274</v>
      </c>
      <c r="O255" s="18" t="s">
        <v>233</v>
      </c>
      <c r="P255" s="18" t="s">
        <v>234</v>
      </c>
    </row>
    <row r="256" spans="1:16" ht="45" x14ac:dyDescent="0.2">
      <c r="A256" s="2" t="s">
        <v>809</v>
      </c>
      <c r="B256" s="2" t="s">
        <v>810</v>
      </c>
      <c r="C256" s="2" t="s">
        <v>96</v>
      </c>
      <c r="D256" s="2" t="s">
        <v>228</v>
      </c>
      <c r="E256" s="4">
        <v>59.99</v>
      </c>
      <c r="F256" s="4">
        <v>271.97000000000003</v>
      </c>
      <c r="G256" s="3">
        <v>5</v>
      </c>
      <c r="H256" s="6">
        <v>4.8</v>
      </c>
      <c r="I256" s="3">
        <v>39</v>
      </c>
      <c r="J256" s="17" t="str">
        <f>HYPERLINK("https://amazon.com/dp/B0DYDPG8WK","Amazon - B0DYDPG8WK")</f>
        <v>Amazon - B0DYDPG8WK</v>
      </c>
      <c r="K256" s="18" t="s">
        <v>229</v>
      </c>
      <c r="L256" s="18" t="s">
        <v>230</v>
      </c>
      <c r="M256" s="18" t="s">
        <v>242</v>
      </c>
      <c r="N256" s="18" t="s">
        <v>271</v>
      </c>
      <c r="O256" s="18" t="s">
        <v>246</v>
      </c>
      <c r="P256" s="18" t="s">
        <v>305</v>
      </c>
    </row>
    <row r="257" spans="1:16" ht="45" x14ac:dyDescent="0.2">
      <c r="A257" s="2" t="s">
        <v>811</v>
      </c>
      <c r="B257" s="2" t="s">
        <v>812</v>
      </c>
      <c r="C257" s="2" t="s">
        <v>77</v>
      </c>
      <c r="D257" s="2" t="s">
        <v>228</v>
      </c>
      <c r="E257" s="4">
        <v>78.8</v>
      </c>
      <c r="F257" s="4">
        <v>271.19</v>
      </c>
      <c r="G257" s="3">
        <v>3</v>
      </c>
      <c r="H257" s="6">
        <v>4.4000000000000004</v>
      </c>
      <c r="I257" s="3">
        <v>9</v>
      </c>
      <c r="J257" s="17" t="str">
        <f>HYPERLINK("https://amazon.com/dp/B0DK6RFMLT","Amazon - B0DK6RFMLT")</f>
        <v>Amazon - B0DK6RFMLT</v>
      </c>
      <c r="K257" s="18" t="s">
        <v>229</v>
      </c>
      <c r="L257" s="18" t="s">
        <v>230</v>
      </c>
      <c r="M257" s="18" t="s">
        <v>242</v>
      </c>
      <c r="N257" s="18" t="s">
        <v>253</v>
      </c>
      <c r="O257" s="18" t="s">
        <v>233</v>
      </c>
      <c r="P257" s="18" t="s">
        <v>278</v>
      </c>
    </row>
    <row r="258" spans="1:16" x14ac:dyDescent="0.2">
      <c r="A258" s="2" t="s">
        <v>813</v>
      </c>
      <c r="B258" s="2" t="s">
        <v>814</v>
      </c>
      <c r="C258" s="2" t="s">
        <v>65</v>
      </c>
      <c r="D258" s="2" t="s">
        <v>228</v>
      </c>
      <c r="E258" s="4">
        <v>549.99</v>
      </c>
      <c r="F258" s="4">
        <v>270.89</v>
      </c>
      <c r="G258" s="3">
        <v>1</v>
      </c>
      <c r="H258" s="6">
        <v>3.6</v>
      </c>
      <c r="I258" s="3">
        <v>7</v>
      </c>
      <c r="J258" s="17" t="str">
        <f>HYPERLINK("https://amazon.com/dp/B0DKR2SJ3B","Amazon - B0DKR2SJ3B")</f>
        <v>Amazon - B0DKR2SJ3B</v>
      </c>
      <c r="K258" s="18" t="s">
        <v>229</v>
      </c>
      <c r="L258" s="18" t="s">
        <v>230</v>
      </c>
      <c r="M258" s="18" t="s">
        <v>271</v>
      </c>
      <c r="N258" s="18" t="s">
        <v>271</v>
      </c>
      <c r="O258" s="18" t="s">
        <v>246</v>
      </c>
      <c r="P258" s="18" t="s">
        <v>271</v>
      </c>
    </row>
    <row r="259" spans="1:16" ht="45" x14ac:dyDescent="0.2">
      <c r="A259" s="2" t="s">
        <v>815</v>
      </c>
      <c r="B259" s="2" t="s">
        <v>816</v>
      </c>
      <c r="C259" s="2" t="s">
        <v>33</v>
      </c>
      <c r="D259" s="2" t="s">
        <v>228</v>
      </c>
      <c r="E259" s="4">
        <v>89.99</v>
      </c>
      <c r="F259" s="4">
        <v>261.64999999999998</v>
      </c>
      <c r="G259" s="3">
        <v>3</v>
      </c>
      <c r="H259" s="6">
        <v>4.3</v>
      </c>
      <c r="I259" s="3">
        <v>16</v>
      </c>
      <c r="J259" s="17" t="str">
        <f>HYPERLINK("https://amazon.com/dp/B0FCMDKKZC","Amazon - B0FCMDKKZC")</f>
        <v>Amazon - B0FCMDKKZC</v>
      </c>
      <c r="K259" s="18" t="s">
        <v>229</v>
      </c>
      <c r="L259" s="18" t="s">
        <v>230</v>
      </c>
      <c r="M259" s="18" t="s">
        <v>242</v>
      </c>
      <c r="N259" s="18" t="s">
        <v>271</v>
      </c>
      <c r="O259" s="18" t="s">
        <v>316</v>
      </c>
      <c r="P259" s="18" t="s">
        <v>654</v>
      </c>
    </row>
    <row r="260" spans="1:16" ht="45" x14ac:dyDescent="0.2">
      <c r="A260" s="2" t="s">
        <v>817</v>
      </c>
      <c r="B260" s="2" t="s">
        <v>818</v>
      </c>
      <c r="C260" s="2" t="s">
        <v>97</v>
      </c>
      <c r="D260" s="2" t="s">
        <v>228</v>
      </c>
      <c r="E260" s="4">
        <v>17.989999999999998</v>
      </c>
      <c r="F260" s="4">
        <v>260.74</v>
      </c>
      <c r="G260" s="3">
        <v>14</v>
      </c>
      <c r="H260" s="6">
        <v>4.4000000000000004</v>
      </c>
      <c r="I260" s="3">
        <v>16</v>
      </c>
      <c r="J260" s="17" t="str">
        <f>HYPERLINK("https://amazon.com/dp/B0DSV7NH64","Amazon - B0DSV7NH64")</f>
        <v>Amazon - B0DSV7NH64</v>
      </c>
      <c r="K260" s="18" t="s">
        <v>229</v>
      </c>
      <c r="L260" s="18" t="s">
        <v>230</v>
      </c>
      <c r="M260" s="18" t="s">
        <v>237</v>
      </c>
      <c r="N260" s="18" t="s">
        <v>271</v>
      </c>
      <c r="O260" s="18" t="s">
        <v>233</v>
      </c>
      <c r="P260" s="18" t="s">
        <v>297</v>
      </c>
    </row>
    <row r="261" spans="1:16" ht="45" x14ac:dyDescent="0.2">
      <c r="A261" s="2" t="s">
        <v>819</v>
      </c>
      <c r="B261" s="2" t="s">
        <v>820</v>
      </c>
      <c r="C261" s="2" t="s">
        <v>55</v>
      </c>
      <c r="D261" s="2" t="s">
        <v>228</v>
      </c>
      <c r="E261" s="4">
        <v>39.99</v>
      </c>
      <c r="F261" s="4">
        <v>260.12</v>
      </c>
      <c r="G261" s="3">
        <v>7</v>
      </c>
      <c r="H261" s="6">
        <v>4.4000000000000004</v>
      </c>
      <c r="I261" s="3">
        <v>683</v>
      </c>
      <c r="J261" s="17" t="str">
        <f>HYPERLINK("https://amazon.com/dp/B0FHK1Z8WD","Amazon - B0FHK1Z8WD")</f>
        <v>Amazon - B0FHK1Z8WD</v>
      </c>
      <c r="K261" s="18" t="s">
        <v>229</v>
      </c>
      <c r="L261" s="18" t="s">
        <v>230</v>
      </c>
      <c r="M261" s="18" t="s">
        <v>237</v>
      </c>
      <c r="N261" s="18" t="s">
        <v>232</v>
      </c>
      <c r="O261" s="18" t="s">
        <v>246</v>
      </c>
      <c r="P261" s="18" t="s">
        <v>305</v>
      </c>
    </row>
    <row r="262" spans="1:16" ht="30" x14ac:dyDescent="0.2">
      <c r="A262" s="2" t="s">
        <v>821</v>
      </c>
      <c r="B262" s="2" t="s">
        <v>822</v>
      </c>
      <c r="C262" s="2" t="s">
        <v>72</v>
      </c>
      <c r="D262" s="2" t="s">
        <v>228</v>
      </c>
      <c r="E262" s="4">
        <v>29.99</v>
      </c>
      <c r="F262" s="4">
        <v>255.66</v>
      </c>
      <c r="G262" s="3">
        <v>9</v>
      </c>
      <c r="H262" s="6">
        <v>4.5</v>
      </c>
      <c r="I262" s="3">
        <v>3</v>
      </c>
      <c r="J262" s="17" t="str">
        <f>HYPERLINK("https://amazon.com/dp/B0DMVH4B71","Amazon - B0DMVH4B71")</f>
        <v>Amazon - B0DMVH4B71</v>
      </c>
      <c r="K262" s="18" t="s">
        <v>229</v>
      </c>
      <c r="L262" s="18" t="s">
        <v>230</v>
      </c>
      <c r="M262" s="18" t="s">
        <v>237</v>
      </c>
      <c r="N262" s="18" t="s">
        <v>271</v>
      </c>
      <c r="O262" s="18" t="s">
        <v>233</v>
      </c>
      <c r="P262" s="18" t="s">
        <v>271</v>
      </c>
    </row>
    <row r="263" spans="1:16" ht="30" x14ac:dyDescent="0.2">
      <c r="A263" s="2" t="s">
        <v>823</v>
      </c>
      <c r="B263" s="2" t="s">
        <v>824</v>
      </c>
      <c r="C263" s="2" t="s">
        <v>8</v>
      </c>
      <c r="D263" s="2" t="s">
        <v>228</v>
      </c>
      <c r="E263" s="4">
        <v>79.989999999999995</v>
      </c>
      <c r="F263" s="4">
        <v>252.68</v>
      </c>
      <c r="G263" s="3">
        <v>3</v>
      </c>
      <c r="H263" s="6">
        <v>4.7</v>
      </c>
      <c r="I263" s="3">
        <v>9</v>
      </c>
      <c r="J263" s="17" t="str">
        <f>HYPERLINK("https://amazon.com/dp/B09P4WNYBB","Amazon - B09P4WNYBB")</f>
        <v>Amazon - B09P4WNYBB</v>
      </c>
      <c r="K263" s="18" t="s">
        <v>229</v>
      </c>
      <c r="L263" s="18" t="s">
        <v>230</v>
      </c>
      <c r="M263" s="18" t="s">
        <v>271</v>
      </c>
      <c r="N263" s="18" t="s">
        <v>232</v>
      </c>
      <c r="O263" s="18" t="s">
        <v>316</v>
      </c>
      <c r="P263" s="18" t="s">
        <v>305</v>
      </c>
    </row>
    <row r="264" spans="1:16" ht="45" x14ac:dyDescent="0.2">
      <c r="A264" s="2" t="s">
        <v>825</v>
      </c>
      <c r="B264" s="2" t="s">
        <v>826</v>
      </c>
      <c r="C264" s="2" t="s">
        <v>10</v>
      </c>
      <c r="D264" s="2" t="s">
        <v>228</v>
      </c>
      <c r="E264" s="4">
        <v>14.99</v>
      </c>
      <c r="F264" s="4">
        <v>247.62</v>
      </c>
      <c r="G264" s="3">
        <v>15</v>
      </c>
      <c r="H264" s="6">
        <v>4.3</v>
      </c>
      <c r="I264" s="3">
        <v>150</v>
      </c>
      <c r="J264" s="17" t="str">
        <f>HYPERLINK("https://amazon.com/dp/B09KBSMWJ3","Amazon - B09KBSMWJ3")</f>
        <v>Amazon - B09KBSMWJ3</v>
      </c>
      <c r="K264" s="18" t="s">
        <v>229</v>
      </c>
      <c r="L264" s="18" t="s">
        <v>230</v>
      </c>
      <c r="M264" s="18" t="s">
        <v>271</v>
      </c>
      <c r="N264" s="18" t="s">
        <v>232</v>
      </c>
      <c r="O264" s="18" t="s">
        <v>246</v>
      </c>
      <c r="P264" s="18" t="s">
        <v>271</v>
      </c>
    </row>
    <row r="265" spans="1:16" ht="45" x14ac:dyDescent="0.2">
      <c r="A265" s="2" t="s">
        <v>827</v>
      </c>
      <c r="B265" s="2" t="s">
        <v>828</v>
      </c>
      <c r="C265" s="2" t="s">
        <v>85</v>
      </c>
      <c r="D265" s="2" t="s">
        <v>228</v>
      </c>
      <c r="E265" s="4">
        <v>26</v>
      </c>
      <c r="F265" s="4">
        <v>239.11</v>
      </c>
      <c r="G265" s="3">
        <v>14</v>
      </c>
      <c r="H265" s="6">
        <v>4</v>
      </c>
      <c r="I265" s="3">
        <v>40</v>
      </c>
      <c r="J265" s="17" t="str">
        <f>HYPERLINK("https://amazon.com/dp/B0F4QQK5BN","Amazon - B0F4QQK5BN")</f>
        <v>Amazon - B0F4QQK5BN</v>
      </c>
      <c r="K265" s="18" t="s">
        <v>229</v>
      </c>
      <c r="L265" s="18" t="s">
        <v>230</v>
      </c>
      <c r="M265" s="18" t="s">
        <v>271</v>
      </c>
      <c r="N265" s="18" t="s">
        <v>271</v>
      </c>
      <c r="O265" s="18" t="s">
        <v>246</v>
      </c>
      <c r="P265" s="18" t="s">
        <v>278</v>
      </c>
    </row>
    <row r="266" spans="1:16" ht="45" x14ac:dyDescent="0.2">
      <c r="A266" s="2" t="s">
        <v>829</v>
      </c>
      <c r="B266" s="2" t="s">
        <v>830</v>
      </c>
      <c r="C266" s="2" t="s">
        <v>44</v>
      </c>
      <c r="D266" s="2" t="s">
        <v>285</v>
      </c>
      <c r="E266" s="4">
        <v>109.99</v>
      </c>
      <c r="F266" s="4">
        <v>228.71</v>
      </c>
      <c r="G266" s="3">
        <v>2</v>
      </c>
      <c r="H266" s="6">
        <v>5</v>
      </c>
      <c r="I266" s="3">
        <v>6</v>
      </c>
      <c r="J266" s="17" t="str">
        <f>HYPERLINK("https://amazon.com/dp/B0FB3815Z5","Amazon - B0FB3815Z5")</f>
        <v>Amazon - B0FB3815Z5</v>
      </c>
      <c r="K266" s="18" t="s">
        <v>286</v>
      </c>
      <c r="L266" s="18" t="s">
        <v>230</v>
      </c>
      <c r="M266" s="18" t="s">
        <v>287</v>
      </c>
      <c r="N266" s="18" t="s">
        <v>238</v>
      </c>
      <c r="O266" s="18" t="s">
        <v>233</v>
      </c>
      <c r="P266" s="18" t="s">
        <v>278</v>
      </c>
    </row>
    <row r="267" spans="1:16" ht="30" x14ac:dyDescent="0.2">
      <c r="A267" s="2" t="s">
        <v>831</v>
      </c>
      <c r="B267" s="2" t="s">
        <v>832</v>
      </c>
      <c r="C267" s="2" t="s">
        <v>100</v>
      </c>
      <c r="D267" s="2" t="s">
        <v>228</v>
      </c>
      <c r="E267" s="4">
        <v>200</v>
      </c>
      <c r="F267" s="4">
        <v>225.76</v>
      </c>
      <c r="G267" s="3">
        <v>1</v>
      </c>
      <c r="H267" s="6">
        <v>0</v>
      </c>
      <c r="I267" s="3">
        <v>0</v>
      </c>
      <c r="J267" s="17" t="str">
        <f>HYPERLINK("https://amazon.com/dp/B0CPSJGH42","Amazon - B0CPSJGH42")</f>
        <v>Amazon - B0CPSJGH42</v>
      </c>
      <c r="K267" s="18" t="s">
        <v>229</v>
      </c>
      <c r="L267" s="18" t="s">
        <v>230</v>
      </c>
      <c r="M267" s="18" t="s">
        <v>271</v>
      </c>
      <c r="N267" s="18" t="s">
        <v>271</v>
      </c>
      <c r="O267" s="18" t="s">
        <v>233</v>
      </c>
      <c r="P267" s="18" t="s">
        <v>271</v>
      </c>
    </row>
    <row r="268" spans="1:16" ht="30" x14ac:dyDescent="0.2">
      <c r="A268" s="2" t="s">
        <v>833</v>
      </c>
      <c r="B268" s="2" t="s">
        <v>834</v>
      </c>
      <c r="C268" s="2" t="s">
        <v>53</v>
      </c>
      <c r="D268" s="2" t="s">
        <v>228</v>
      </c>
      <c r="E268" s="4">
        <v>74.45</v>
      </c>
      <c r="F268" s="4">
        <v>219.63</v>
      </c>
      <c r="G268" s="3">
        <v>3</v>
      </c>
      <c r="H268" s="6">
        <v>0</v>
      </c>
      <c r="I268" s="3">
        <v>0</v>
      </c>
      <c r="J268" s="17" t="str">
        <f>HYPERLINK("https://amazon.com/dp/B0GHMGTBDF","Amazon - B0GHMGTBDF")</f>
        <v>Amazon - B0GHMGTBDF</v>
      </c>
      <c r="K268" s="18" t="s">
        <v>229</v>
      </c>
      <c r="L268" s="18" t="s">
        <v>230</v>
      </c>
      <c r="M268" s="18" t="s">
        <v>271</v>
      </c>
      <c r="N268" s="18" t="s">
        <v>296</v>
      </c>
      <c r="O268" s="18" t="s">
        <v>233</v>
      </c>
      <c r="P268" s="18" t="s">
        <v>271</v>
      </c>
    </row>
    <row r="269" spans="1:16" ht="45" x14ac:dyDescent="0.2">
      <c r="A269" s="2" t="s">
        <v>835</v>
      </c>
      <c r="B269" s="2" t="s">
        <v>836</v>
      </c>
      <c r="C269" s="2" t="s">
        <v>101</v>
      </c>
      <c r="D269" s="2" t="s">
        <v>228</v>
      </c>
      <c r="E269" s="4">
        <v>109.99</v>
      </c>
      <c r="F269" s="4">
        <v>218.99</v>
      </c>
      <c r="G269" s="3">
        <v>2</v>
      </c>
      <c r="H269" s="6">
        <v>4.3</v>
      </c>
      <c r="I269" s="3">
        <v>45</v>
      </c>
      <c r="J269" s="17" t="str">
        <f>HYPERLINK("https://amazon.com/dp/B0DTNVS1MY","Amazon - B0DTNVS1MY")</f>
        <v>Amazon - B0DTNVS1MY</v>
      </c>
      <c r="K269" s="18" t="s">
        <v>229</v>
      </c>
      <c r="L269" s="18" t="s">
        <v>230</v>
      </c>
      <c r="M269" s="18" t="s">
        <v>242</v>
      </c>
      <c r="N269" s="18" t="s">
        <v>253</v>
      </c>
      <c r="O269" s="18" t="s">
        <v>233</v>
      </c>
      <c r="P269" s="18" t="s">
        <v>297</v>
      </c>
    </row>
    <row r="270" spans="1:16" ht="30" x14ac:dyDescent="0.2">
      <c r="A270" s="2" t="s">
        <v>837</v>
      </c>
      <c r="B270" s="2" t="s">
        <v>838</v>
      </c>
      <c r="C270" s="2" t="s">
        <v>88</v>
      </c>
      <c r="D270" s="2" t="s">
        <v>228</v>
      </c>
      <c r="E270" s="4">
        <v>382</v>
      </c>
      <c r="F270" s="4">
        <v>216.51</v>
      </c>
      <c r="G270" s="3">
        <v>1</v>
      </c>
      <c r="H270" s="6">
        <v>5</v>
      </c>
      <c r="I270" s="3">
        <v>3</v>
      </c>
      <c r="J270" s="17" t="str">
        <f>HYPERLINK("https://amazon.com/dp/B0DHZQCZM4","Amazon - B0DHZQCZM4")</f>
        <v>Amazon - B0DHZQCZM4</v>
      </c>
      <c r="K270" s="18" t="s">
        <v>229</v>
      </c>
      <c r="L270" s="18" t="s">
        <v>230</v>
      </c>
      <c r="M270" s="18" t="s">
        <v>271</v>
      </c>
      <c r="N270" s="18" t="s">
        <v>271</v>
      </c>
      <c r="O270" s="18" t="s">
        <v>233</v>
      </c>
      <c r="P270" s="18" t="s">
        <v>271</v>
      </c>
    </row>
    <row r="271" spans="1:16" ht="30" x14ac:dyDescent="0.2">
      <c r="A271" s="2" t="s">
        <v>839</v>
      </c>
      <c r="B271" s="2" t="s">
        <v>840</v>
      </c>
      <c r="C271" s="2" t="s">
        <v>54</v>
      </c>
      <c r="D271" s="2" t="s">
        <v>228</v>
      </c>
      <c r="E271" s="4">
        <v>60</v>
      </c>
      <c r="F271" s="4">
        <v>215.5</v>
      </c>
      <c r="G271" s="3">
        <v>4</v>
      </c>
      <c r="H271" s="6">
        <v>5</v>
      </c>
      <c r="I271" s="3">
        <v>3</v>
      </c>
      <c r="J271" s="17" t="str">
        <f>HYPERLINK("https://amazon.com/dp/B07P4CWV7V","Amazon - B07P4CWV7V")</f>
        <v>Amazon - B07P4CWV7V</v>
      </c>
      <c r="K271" s="18" t="s">
        <v>229</v>
      </c>
      <c r="L271" s="18" t="s">
        <v>230</v>
      </c>
      <c r="M271" s="18" t="s">
        <v>271</v>
      </c>
      <c r="N271" s="18" t="s">
        <v>271</v>
      </c>
      <c r="O271" s="18" t="s">
        <v>233</v>
      </c>
      <c r="P271" s="18" t="s">
        <v>271</v>
      </c>
    </row>
    <row r="272" spans="1:16" ht="30" x14ac:dyDescent="0.2">
      <c r="A272" s="2" t="s">
        <v>841</v>
      </c>
      <c r="B272" s="2" t="s">
        <v>842</v>
      </c>
      <c r="C272" s="2" t="s">
        <v>30</v>
      </c>
      <c r="D272" s="2" t="s">
        <v>228</v>
      </c>
      <c r="E272" s="4">
        <v>68.510000000000005</v>
      </c>
      <c r="F272" s="4">
        <v>215.17</v>
      </c>
      <c r="G272" s="3">
        <v>3</v>
      </c>
      <c r="H272" s="6">
        <v>3.8</v>
      </c>
      <c r="I272" s="3">
        <v>7</v>
      </c>
      <c r="J272" s="17" t="str">
        <f>HYPERLINK("https://amazon.com/dp/B0DCGT58W8","Amazon - B0DCGT58W8")</f>
        <v>Amazon - B0DCGT58W8</v>
      </c>
      <c r="K272" s="18" t="s">
        <v>229</v>
      </c>
      <c r="L272" s="18" t="s">
        <v>230</v>
      </c>
      <c r="M272" s="18" t="s">
        <v>271</v>
      </c>
      <c r="N272" s="18" t="s">
        <v>243</v>
      </c>
      <c r="O272" s="18" t="s">
        <v>233</v>
      </c>
      <c r="P272" s="18" t="s">
        <v>271</v>
      </c>
    </row>
    <row r="273" spans="1:16" ht="30" x14ac:dyDescent="0.2">
      <c r="A273" s="2" t="s">
        <v>843</v>
      </c>
      <c r="B273" s="2" t="s">
        <v>844</v>
      </c>
      <c r="C273" s="2" t="s">
        <v>105</v>
      </c>
      <c r="D273" s="2" t="s">
        <v>228</v>
      </c>
      <c r="E273" s="4">
        <v>169.99</v>
      </c>
      <c r="F273" s="4">
        <v>194.51</v>
      </c>
      <c r="G273" s="3">
        <v>1</v>
      </c>
      <c r="H273" s="6">
        <v>0</v>
      </c>
      <c r="I273" s="3">
        <v>0</v>
      </c>
      <c r="J273" s="17" t="str">
        <f>HYPERLINK("https://amazon.com/dp/B08DK2GV9S","Amazon - B08DK2GV9S")</f>
        <v>Amazon - B08DK2GV9S</v>
      </c>
      <c r="K273" s="18" t="s">
        <v>229</v>
      </c>
      <c r="L273" s="18" t="s">
        <v>230</v>
      </c>
      <c r="M273" s="18" t="s">
        <v>706</v>
      </c>
      <c r="N273" s="18" t="s">
        <v>265</v>
      </c>
      <c r="O273" s="18" t="s">
        <v>233</v>
      </c>
      <c r="P273" s="18" t="s">
        <v>278</v>
      </c>
    </row>
    <row r="274" spans="1:16" ht="45" x14ac:dyDescent="0.2">
      <c r="A274" s="2" t="s">
        <v>845</v>
      </c>
      <c r="B274" s="2" t="s">
        <v>846</v>
      </c>
      <c r="C274" s="2" t="s">
        <v>106</v>
      </c>
      <c r="D274" s="2" t="s">
        <v>228</v>
      </c>
      <c r="E274" s="4">
        <v>123</v>
      </c>
      <c r="F274" s="4">
        <v>194.44</v>
      </c>
      <c r="G274" s="3">
        <v>2</v>
      </c>
      <c r="H274" s="6">
        <v>5</v>
      </c>
      <c r="I274" s="3">
        <v>8</v>
      </c>
      <c r="J274" s="17" t="str">
        <f>HYPERLINK("https://amazon.com/dp/B0DCNTRGM6","Amazon - B0DCNTRGM6")</f>
        <v>Amazon - B0DCNTRGM6</v>
      </c>
      <c r="K274" s="18" t="s">
        <v>229</v>
      </c>
      <c r="L274" s="18" t="s">
        <v>230</v>
      </c>
      <c r="M274" s="18" t="s">
        <v>242</v>
      </c>
      <c r="N274" s="18" t="s">
        <v>271</v>
      </c>
      <c r="O274" s="18" t="s">
        <v>233</v>
      </c>
      <c r="P274" s="18" t="s">
        <v>234</v>
      </c>
    </row>
    <row r="275" spans="1:16" ht="30" x14ac:dyDescent="0.2">
      <c r="A275" s="2" t="s">
        <v>847</v>
      </c>
      <c r="B275" s="2" t="s">
        <v>848</v>
      </c>
      <c r="C275" s="2" t="s">
        <v>88</v>
      </c>
      <c r="D275" s="2" t="s">
        <v>228</v>
      </c>
      <c r="E275" s="4">
        <v>68</v>
      </c>
      <c r="F275" s="4">
        <v>174.15</v>
      </c>
      <c r="G275" s="3">
        <v>3</v>
      </c>
      <c r="H275" s="6">
        <v>5</v>
      </c>
      <c r="I275" s="3">
        <v>3</v>
      </c>
      <c r="J275" s="17" t="str">
        <f>HYPERLINK("https://amazon.com/dp/B0DHZPH6NN","Amazon - B0DHZPH6NN")</f>
        <v>Amazon - B0DHZPH6NN</v>
      </c>
      <c r="K275" s="18" t="s">
        <v>229</v>
      </c>
      <c r="L275" s="18" t="s">
        <v>230</v>
      </c>
      <c r="M275" s="18" t="s">
        <v>271</v>
      </c>
      <c r="N275" s="18" t="s">
        <v>271</v>
      </c>
      <c r="O275" s="18" t="s">
        <v>233</v>
      </c>
      <c r="P275" s="18" t="s">
        <v>271</v>
      </c>
    </row>
    <row r="276" spans="1:16" ht="30" x14ac:dyDescent="0.2">
      <c r="A276" s="2" t="s">
        <v>849</v>
      </c>
      <c r="B276" s="2" t="s">
        <v>850</v>
      </c>
      <c r="C276" s="2" t="s">
        <v>104</v>
      </c>
      <c r="D276" s="2" t="s">
        <v>228</v>
      </c>
      <c r="E276" s="4">
        <v>10</v>
      </c>
      <c r="F276" s="4">
        <v>151.9</v>
      </c>
      <c r="G276" s="3">
        <v>15</v>
      </c>
      <c r="H276" s="6">
        <v>4</v>
      </c>
      <c r="I276" s="3">
        <v>537</v>
      </c>
      <c r="J276" s="17" t="str">
        <f>HYPERLINK("https://amazon.com/dp/B00CBKFJ9Y","Amazon - B00CBKFJ9Y")</f>
        <v>Amazon - B00CBKFJ9Y</v>
      </c>
      <c r="K276" s="18" t="s">
        <v>229</v>
      </c>
      <c r="L276" s="18" t="s">
        <v>230</v>
      </c>
      <c r="M276" s="18" t="s">
        <v>271</v>
      </c>
      <c r="N276" s="18" t="s">
        <v>271</v>
      </c>
      <c r="O276" s="18" t="s">
        <v>233</v>
      </c>
      <c r="P276" s="18" t="s">
        <v>271</v>
      </c>
    </row>
    <row r="277" spans="1:16" ht="30" x14ac:dyDescent="0.2">
      <c r="A277" s="2" t="s">
        <v>851</v>
      </c>
      <c r="B277" s="2" t="s">
        <v>852</v>
      </c>
      <c r="C277" s="2" t="s">
        <v>68</v>
      </c>
      <c r="D277" s="2" t="s">
        <v>228</v>
      </c>
      <c r="E277" s="4">
        <v>50.99</v>
      </c>
      <c r="F277" s="4">
        <v>150.49</v>
      </c>
      <c r="G277" s="3">
        <v>3</v>
      </c>
      <c r="H277" s="6">
        <v>4.4000000000000004</v>
      </c>
      <c r="I277" s="3">
        <v>104</v>
      </c>
      <c r="J277" s="17" t="str">
        <f>HYPERLINK("https://amazon.com/dp/B0DSZT4GNC","Amazon - B0DSZT4GNC")</f>
        <v>Amazon - B0DSZT4GNC</v>
      </c>
      <c r="K277" s="18" t="s">
        <v>229</v>
      </c>
      <c r="L277" s="18" t="s">
        <v>230</v>
      </c>
      <c r="M277" s="18" t="s">
        <v>237</v>
      </c>
      <c r="N277" s="18" t="s">
        <v>243</v>
      </c>
      <c r="O277" s="18" t="s">
        <v>233</v>
      </c>
      <c r="P277" s="18" t="s">
        <v>321</v>
      </c>
    </row>
    <row r="278" spans="1:16" x14ac:dyDescent="0.2">
      <c r="A278" s="2" t="s">
        <v>853</v>
      </c>
      <c r="B278" s="2" t="s">
        <v>854</v>
      </c>
      <c r="C278" s="2" t="s">
        <v>102</v>
      </c>
      <c r="D278" s="2" t="s">
        <v>228</v>
      </c>
      <c r="E278" s="4">
        <v>61.48</v>
      </c>
      <c r="F278" s="4">
        <v>148.63</v>
      </c>
      <c r="G278" s="3">
        <v>2</v>
      </c>
      <c r="H278" s="6">
        <v>5</v>
      </c>
      <c r="I278" s="3">
        <v>2</v>
      </c>
      <c r="J278" s="17" t="str">
        <f>HYPERLINK("https://amazon.com/dp/B0B8332C5S","Amazon - B0B8332C5S")</f>
        <v>Amazon - B0B8332C5S</v>
      </c>
      <c r="K278" s="18" t="s">
        <v>229</v>
      </c>
      <c r="L278" s="18" t="s">
        <v>230</v>
      </c>
      <c r="M278" s="18" t="s">
        <v>270</v>
      </c>
      <c r="N278" s="18" t="s">
        <v>271</v>
      </c>
      <c r="O278" s="18" t="s">
        <v>233</v>
      </c>
      <c r="P278" s="18" t="s">
        <v>271</v>
      </c>
    </row>
    <row r="279" spans="1:16" ht="45" x14ac:dyDescent="0.2">
      <c r="A279" s="2" t="s">
        <v>855</v>
      </c>
      <c r="B279" s="2" t="s">
        <v>856</v>
      </c>
      <c r="C279" s="2" t="s">
        <v>98</v>
      </c>
      <c r="D279" s="2" t="s">
        <v>228</v>
      </c>
      <c r="E279" s="4">
        <v>169.99</v>
      </c>
      <c r="F279" s="4">
        <v>146.5</v>
      </c>
      <c r="G279" s="3">
        <v>1</v>
      </c>
      <c r="H279" s="6">
        <v>4.5</v>
      </c>
      <c r="I279" s="3">
        <v>31</v>
      </c>
      <c r="J279" s="17" t="str">
        <f>HYPERLINK("https://amazon.com/dp/B0D4CLNVT3","Amazon - B0D4CLNVT3")</f>
        <v>Amazon - B0D4CLNVT3</v>
      </c>
      <c r="K279" s="18" t="s">
        <v>229</v>
      </c>
      <c r="L279" s="18" t="s">
        <v>230</v>
      </c>
      <c r="M279" s="18" t="s">
        <v>242</v>
      </c>
      <c r="N279" s="18" t="s">
        <v>253</v>
      </c>
      <c r="O279" s="18" t="s">
        <v>246</v>
      </c>
      <c r="P279" s="18" t="s">
        <v>234</v>
      </c>
    </row>
    <row r="280" spans="1:16" ht="45" x14ac:dyDescent="0.2">
      <c r="A280" s="2" t="s">
        <v>857</v>
      </c>
      <c r="B280" s="2" t="s">
        <v>858</v>
      </c>
      <c r="C280" s="2" t="s">
        <v>23</v>
      </c>
      <c r="D280" s="2" t="s">
        <v>228</v>
      </c>
      <c r="E280" s="4">
        <v>25.99</v>
      </c>
      <c r="F280" s="4">
        <v>144.31</v>
      </c>
      <c r="G280" s="3">
        <v>5</v>
      </c>
      <c r="H280" s="6">
        <v>5</v>
      </c>
      <c r="I280" s="3">
        <v>10</v>
      </c>
      <c r="J280" s="17" t="str">
        <f>HYPERLINK("https://amazon.com/dp/B0GHWJ3S2S","Amazon - B0GHWJ3S2S")</f>
        <v>Amazon - B0GHWJ3S2S</v>
      </c>
      <c r="K280" s="18" t="s">
        <v>229</v>
      </c>
      <c r="L280" s="18" t="s">
        <v>230</v>
      </c>
      <c r="M280" s="18" t="s">
        <v>237</v>
      </c>
      <c r="N280" s="18" t="s">
        <v>232</v>
      </c>
      <c r="O280" s="18" t="s">
        <v>233</v>
      </c>
      <c r="P280" s="18" t="s">
        <v>305</v>
      </c>
    </row>
    <row r="281" spans="1:16" x14ac:dyDescent="0.2">
      <c r="A281" s="2" t="s">
        <v>859</v>
      </c>
      <c r="B281" s="2" t="s">
        <v>860</v>
      </c>
      <c r="C281" s="2" t="s">
        <v>65</v>
      </c>
      <c r="D281" s="2" t="s">
        <v>228</v>
      </c>
      <c r="E281" s="4">
        <v>165.86</v>
      </c>
      <c r="F281" s="4">
        <v>142.56</v>
      </c>
      <c r="G281" s="3">
        <v>1</v>
      </c>
      <c r="H281" s="6">
        <v>3.6</v>
      </c>
      <c r="I281" s="3">
        <v>6</v>
      </c>
      <c r="J281" s="17" t="str">
        <f>HYPERLINK("https://amazon.com/dp/B0DKQPKJFC","Amazon - B0DKQPKJFC")</f>
        <v>Amazon - B0DKQPKJFC</v>
      </c>
      <c r="K281" s="18" t="s">
        <v>229</v>
      </c>
      <c r="L281" s="18" t="s">
        <v>230</v>
      </c>
      <c r="M281" s="18" t="s">
        <v>271</v>
      </c>
      <c r="N281" s="18" t="s">
        <v>271</v>
      </c>
      <c r="O281" s="18" t="s">
        <v>233</v>
      </c>
      <c r="P281" s="18" t="s">
        <v>379</v>
      </c>
    </row>
    <row r="282" spans="1:16" ht="45" x14ac:dyDescent="0.2">
      <c r="A282" s="2" t="s">
        <v>861</v>
      </c>
      <c r="B282" s="2" t="s">
        <v>862</v>
      </c>
      <c r="C282" s="2" t="s">
        <v>107</v>
      </c>
      <c r="D282" s="2" t="s">
        <v>228</v>
      </c>
      <c r="E282" s="4">
        <v>59.99</v>
      </c>
      <c r="F282" s="4">
        <v>141.69</v>
      </c>
      <c r="G282" s="3">
        <v>2</v>
      </c>
      <c r="H282" s="6">
        <v>4.8</v>
      </c>
      <c r="I282" s="3">
        <v>11</v>
      </c>
      <c r="J282" s="17" t="str">
        <f>HYPERLINK("https://amazon.com/dp/B0FZGNG588","Amazon - B0FZGNG588")</f>
        <v>Amazon - B0FZGNG588</v>
      </c>
      <c r="K282" s="18" t="s">
        <v>229</v>
      </c>
      <c r="L282" s="18" t="s">
        <v>230</v>
      </c>
      <c r="M282" s="18" t="s">
        <v>242</v>
      </c>
      <c r="N282" s="18" t="s">
        <v>271</v>
      </c>
      <c r="O282" s="18" t="s">
        <v>246</v>
      </c>
      <c r="P282" s="18" t="s">
        <v>305</v>
      </c>
    </row>
    <row r="283" spans="1:16" ht="45" x14ac:dyDescent="0.2">
      <c r="A283" s="2" t="s">
        <v>863</v>
      </c>
      <c r="B283" s="2" t="s">
        <v>864</v>
      </c>
      <c r="C283" s="2" t="s">
        <v>63</v>
      </c>
      <c r="D283" s="2" t="s">
        <v>228</v>
      </c>
      <c r="E283" s="4">
        <v>249.99</v>
      </c>
      <c r="F283" s="4">
        <v>141.03</v>
      </c>
      <c r="G283" s="3">
        <v>1</v>
      </c>
      <c r="H283" s="6">
        <v>3.7</v>
      </c>
      <c r="I283" s="3">
        <v>3</v>
      </c>
      <c r="J283" s="17" t="str">
        <f>HYPERLINK("https://amazon.com/dp/B0F4VZKFMV","Amazon - B0F4VZKFMV")</f>
        <v>Amazon - B0F4VZKFMV</v>
      </c>
      <c r="K283" s="18" t="s">
        <v>229</v>
      </c>
      <c r="L283" s="18" t="s">
        <v>251</v>
      </c>
      <c r="M283" s="18" t="s">
        <v>242</v>
      </c>
      <c r="N283" s="18" t="s">
        <v>296</v>
      </c>
      <c r="O283" s="18" t="s">
        <v>233</v>
      </c>
      <c r="P283" s="18" t="s">
        <v>234</v>
      </c>
    </row>
    <row r="284" spans="1:16" ht="30" x14ac:dyDescent="0.2">
      <c r="A284" s="2" t="s">
        <v>865</v>
      </c>
      <c r="B284" s="2" t="s">
        <v>866</v>
      </c>
      <c r="C284" s="2" t="s">
        <v>65</v>
      </c>
      <c r="D284" s="2" t="s">
        <v>228</v>
      </c>
      <c r="E284" s="4">
        <v>256.60000000000002</v>
      </c>
      <c r="F284" s="4">
        <v>138.34</v>
      </c>
      <c r="G284" s="3">
        <v>1</v>
      </c>
      <c r="H284" s="6">
        <v>3.6</v>
      </c>
      <c r="I284" s="3">
        <v>6</v>
      </c>
      <c r="J284" s="17" t="str">
        <f>HYPERLINK("https://amazon.com/dp/B09TBMGC5B","Amazon - B09TBMGC5B")</f>
        <v>Amazon - B09TBMGC5B</v>
      </c>
      <c r="K284" s="18" t="s">
        <v>229</v>
      </c>
      <c r="L284" s="18" t="s">
        <v>230</v>
      </c>
      <c r="M284" s="18" t="s">
        <v>242</v>
      </c>
      <c r="N284" s="18" t="s">
        <v>339</v>
      </c>
      <c r="O284" s="18" t="s">
        <v>246</v>
      </c>
      <c r="P284" s="18" t="s">
        <v>271</v>
      </c>
    </row>
    <row r="285" spans="1:16" ht="30" x14ac:dyDescent="0.2">
      <c r="A285" s="2" t="s">
        <v>867</v>
      </c>
      <c r="B285" s="2" t="s">
        <v>868</v>
      </c>
      <c r="C285" s="2" t="s">
        <v>109</v>
      </c>
      <c r="D285" s="2" t="s">
        <v>228</v>
      </c>
      <c r="E285" s="4">
        <v>21.99</v>
      </c>
      <c r="F285" s="4">
        <v>135.72</v>
      </c>
      <c r="G285" s="3">
        <v>6</v>
      </c>
      <c r="H285" s="6">
        <v>4</v>
      </c>
      <c r="I285" s="3">
        <v>1</v>
      </c>
      <c r="J285" s="17" t="str">
        <f>HYPERLINK("https://amazon.com/dp/B0FDR3H2YQ","Amazon - B0FDR3H2YQ")</f>
        <v>Amazon - B0FDR3H2YQ</v>
      </c>
      <c r="K285" s="18" t="s">
        <v>229</v>
      </c>
      <c r="L285" s="18" t="s">
        <v>230</v>
      </c>
      <c r="M285" s="18" t="s">
        <v>237</v>
      </c>
      <c r="N285" s="18" t="s">
        <v>232</v>
      </c>
      <c r="O285" s="18" t="s">
        <v>233</v>
      </c>
      <c r="P285" s="18" t="s">
        <v>305</v>
      </c>
    </row>
    <row r="286" spans="1:16" ht="30" x14ac:dyDescent="0.2">
      <c r="A286" s="2" t="s">
        <v>869</v>
      </c>
      <c r="B286" s="2" t="s">
        <v>870</v>
      </c>
      <c r="C286" s="2" t="s">
        <v>65</v>
      </c>
      <c r="D286" s="2" t="s">
        <v>228</v>
      </c>
      <c r="E286" s="4">
        <v>144.07</v>
      </c>
      <c r="F286" s="4">
        <v>132.38</v>
      </c>
      <c r="G286" s="3">
        <v>1</v>
      </c>
      <c r="H286" s="6">
        <v>3.6</v>
      </c>
      <c r="I286" s="3">
        <v>6</v>
      </c>
      <c r="J286" s="17" t="str">
        <f>HYPERLINK("https://amazon.com/dp/B09TBK4QZG","Amazon - B09TBK4QZG")</f>
        <v>Amazon - B09TBK4QZG</v>
      </c>
      <c r="K286" s="18" t="s">
        <v>229</v>
      </c>
      <c r="L286" s="18" t="s">
        <v>230</v>
      </c>
      <c r="M286" s="18" t="s">
        <v>242</v>
      </c>
      <c r="N286" s="18" t="s">
        <v>243</v>
      </c>
      <c r="O286" s="18" t="s">
        <v>233</v>
      </c>
      <c r="P286" s="18" t="s">
        <v>271</v>
      </c>
    </row>
    <row r="287" spans="1:16" ht="30" x14ac:dyDescent="0.2">
      <c r="A287" s="2" t="s">
        <v>871</v>
      </c>
      <c r="B287" s="2" t="s">
        <v>872</v>
      </c>
      <c r="C287" s="2" t="s">
        <v>110</v>
      </c>
      <c r="D287" s="2" t="s">
        <v>228</v>
      </c>
      <c r="E287" s="4">
        <v>182</v>
      </c>
      <c r="F287" s="4">
        <v>132.38</v>
      </c>
      <c r="G287" s="3">
        <v>1</v>
      </c>
      <c r="H287" s="6">
        <v>0</v>
      </c>
      <c r="I287" s="3">
        <v>0</v>
      </c>
      <c r="J287" s="17" t="str">
        <f>HYPERLINK("https://amazon.com/dp/B0FCG5JRN9","Amazon - B0FCG5JRN9")</f>
        <v>Amazon - B0FCG5JRN9</v>
      </c>
      <c r="K287" s="18" t="s">
        <v>229</v>
      </c>
      <c r="L287" s="18" t="s">
        <v>230</v>
      </c>
      <c r="M287" s="18" t="s">
        <v>242</v>
      </c>
      <c r="N287" s="18" t="s">
        <v>271</v>
      </c>
      <c r="O287" s="18" t="s">
        <v>233</v>
      </c>
      <c r="P287" s="18" t="s">
        <v>278</v>
      </c>
    </row>
    <row r="288" spans="1:16" ht="45" x14ac:dyDescent="0.2">
      <c r="A288" s="2" t="s">
        <v>873</v>
      </c>
      <c r="B288" s="2" t="s">
        <v>874</v>
      </c>
      <c r="C288" s="2" t="s">
        <v>111</v>
      </c>
      <c r="D288" s="2" t="s">
        <v>228</v>
      </c>
      <c r="E288" s="4">
        <v>25.99</v>
      </c>
      <c r="F288" s="4">
        <v>132.37</v>
      </c>
      <c r="G288" s="3">
        <v>5</v>
      </c>
      <c r="H288" s="6">
        <v>4.3</v>
      </c>
      <c r="I288" s="3">
        <v>82</v>
      </c>
      <c r="J288" s="17" t="str">
        <f>HYPERLINK("https://amazon.com/dp/B0DPHCYQDF","Amazon - B0DPHCYQDF")</f>
        <v>Amazon - B0DPHCYQDF</v>
      </c>
      <c r="K288" s="18" t="s">
        <v>229</v>
      </c>
      <c r="L288" s="18" t="s">
        <v>230</v>
      </c>
      <c r="M288" s="18" t="s">
        <v>237</v>
      </c>
      <c r="N288" s="18" t="s">
        <v>271</v>
      </c>
      <c r="O288" s="18" t="s">
        <v>246</v>
      </c>
      <c r="P288" s="18" t="s">
        <v>305</v>
      </c>
    </row>
    <row r="289" spans="1:16" ht="30" x14ac:dyDescent="0.2">
      <c r="A289" s="2" t="s">
        <v>875</v>
      </c>
      <c r="B289" s="2" t="s">
        <v>876</v>
      </c>
      <c r="C289" s="2" t="s">
        <v>40</v>
      </c>
      <c r="D289" s="2" t="s">
        <v>228</v>
      </c>
      <c r="E289" s="4">
        <v>119.99</v>
      </c>
      <c r="F289" s="4">
        <v>127.83</v>
      </c>
      <c r="G289" s="3">
        <v>1</v>
      </c>
      <c r="H289" s="6">
        <v>4</v>
      </c>
      <c r="I289" s="3">
        <v>29</v>
      </c>
      <c r="J289" s="17" t="str">
        <f>HYPERLINK("https://amazon.com/dp/B0CKSLNNM3","Amazon - B0CKSLNNM3")</f>
        <v>Amazon - B0CKSLNNM3</v>
      </c>
      <c r="K289" s="18" t="s">
        <v>229</v>
      </c>
      <c r="L289" s="18" t="s">
        <v>230</v>
      </c>
      <c r="M289" s="18" t="s">
        <v>242</v>
      </c>
      <c r="N289" s="18" t="s">
        <v>271</v>
      </c>
      <c r="O289" s="18" t="s">
        <v>246</v>
      </c>
      <c r="P289" s="18" t="s">
        <v>234</v>
      </c>
    </row>
    <row r="290" spans="1:16" x14ac:dyDescent="0.2">
      <c r="A290" s="2" t="s">
        <v>877</v>
      </c>
      <c r="B290" s="2" t="s">
        <v>878</v>
      </c>
      <c r="C290" s="2" t="s">
        <v>65</v>
      </c>
      <c r="D290" s="2" t="s">
        <v>228</v>
      </c>
      <c r="E290" s="4">
        <v>71.06</v>
      </c>
      <c r="F290" s="4">
        <v>124.82</v>
      </c>
      <c r="G290" s="3">
        <v>1</v>
      </c>
      <c r="H290" s="6">
        <v>3.6</v>
      </c>
      <c r="I290" s="3">
        <v>6</v>
      </c>
      <c r="J290" s="17" t="str">
        <f>HYPERLINK("https://amazon.com/dp/B0BQWZCGFY","Amazon - B0BQWZCGFY")</f>
        <v>Amazon - B0BQWZCGFY</v>
      </c>
      <c r="K290" s="18" t="s">
        <v>229</v>
      </c>
      <c r="L290" s="18" t="s">
        <v>230</v>
      </c>
      <c r="M290" s="18" t="s">
        <v>271</v>
      </c>
      <c r="N290" s="18" t="s">
        <v>271</v>
      </c>
      <c r="O290" s="18" t="s">
        <v>233</v>
      </c>
      <c r="P290" s="18" t="s">
        <v>297</v>
      </c>
    </row>
    <row r="291" spans="1:16" ht="45" x14ac:dyDescent="0.2">
      <c r="A291" s="2" t="s">
        <v>879</v>
      </c>
      <c r="B291" s="2" t="s">
        <v>880</v>
      </c>
      <c r="C291" s="2" t="s">
        <v>112</v>
      </c>
      <c r="D291" s="2" t="s">
        <v>228</v>
      </c>
      <c r="E291" s="4">
        <v>43.99</v>
      </c>
      <c r="F291" s="4">
        <v>122.79</v>
      </c>
      <c r="G291" s="3">
        <v>3</v>
      </c>
      <c r="H291" s="6">
        <v>5</v>
      </c>
      <c r="I291" s="3">
        <v>13</v>
      </c>
      <c r="J291" s="17" t="str">
        <f>HYPERLINK("https://amazon.com/dp/B0FF4X5J9S","Amazon - B0FF4X5J9S")</f>
        <v>Amazon - B0FF4X5J9S</v>
      </c>
      <c r="K291" s="18" t="s">
        <v>229</v>
      </c>
      <c r="L291" s="18" t="s">
        <v>230</v>
      </c>
      <c r="M291" s="18" t="s">
        <v>237</v>
      </c>
      <c r="N291" s="18" t="s">
        <v>271</v>
      </c>
      <c r="O291" s="18" t="s">
        <v>246</v>
      </c>
      <c r="P291" s="18" t="s">
        <v>305</v>
      </c>
    </row>
    <row r="292" spans="1:16" ht="30" x14ac:dyDescent="0.2">
      <c r="A292" s="2" t="s">
        <v>881</v>
      </c>
      <c r="B292" s="2" t="s">
        <v>882</v>
      </c>
      <c r="C292" s="2" t="s">
        <v>65</v>
      </c>
      <c r="D292" s="2" t="s">
        <v>228</v>
      </c>
      <c r="E292" s="4">
        <v>94.5</v>
      </c>
      <c r="F292" s="4">
        <v>121.65</v>
      </c>
      <c r="G292" s="3">
        <v>1</v>
      </c>
      <c r="H292" s="6">
        <v>3.6</v>
      </c>
      <c r="I292" s="3">
        <v>6</v>
      </c>
      <c r="J292" s="17" t="str">
        <f>HYPERLINK("https://amazon.com/dp/B0B47D3T1D","Amazon - B0B47D3T1D")</f>
        <v>Amazon - B0B47D3T1D</v>
      </c>
      <c r="K292" s="18" t="s">
        <v>229</v>
      </c>
      <c r="L292" s="18" t="s">
        <v>230</v>
      </c>
      <c r="M292" s="18" t="s">
        <v>691</v>
      </c>
      <c r="N292" s="18" t="s">
        <v>243</v>
      </c>
      <c r="O292" s="18" t="s">
        <v>233</v>
      </c>
      <c r="P292" s="18" t="s">
        <v>297</v>
      </c>
    </row>
    <row r="293" spans="1:16" x14ac:dyDescent="0.2">
      <c r="A293" s="2" t="s">
        <v>883</v>
      </c>
      <c r="B293" s="2" t="s">
        <v>884</v>
      </c>
      <c r="C293" s="2" t="s">
        <v>65</v>
      </c>
      <c r="D293" s="2" t="s">
        <v>228</v>
      </c>
      <c r="E293" s="4">
        <v>85.71</v>
      </c>
      <c r="F293" s="4">
        <v>119.94</v>
      </c>
      <c r="G293" s="3">
        <v>1</v>
      </c>
      <c r="H293" s="6">
        <v>3.6</v>
      </c>
      <c r="I293" s="3">
        <v>7</v>
      </c>
      <c r="J293" s="17" t="str">
        <f>HYPERLINK("https://amazon.com/dp/B09TBLMGMB","Amazon - B09TBLMGMB")</f>
        <v>Amazon - B09TBLMGMB</v>
      </c>
      <c r="K293" s="18" t="s">
        <v>229</v>
      </c>
      <c r="L293" s="18" t="s">
        <v>230</v>
      </c>
      <c r="M293" s="18" t="s">
        <v>271</v>
      </c>
      <c r="N293" s="18" t="s">
        <v>271</v>
      </c>
      <c r="O293" s="18" t="s">
        <v>233</v>
      </c>
      <c r="P293" s="18" t="s">
        <v>305</v>
      </c>
    </row>
    <row r="294" spans="1:16" ht="45" x14ac:dyDescent="0.2">
      <c r="A294" s="2" t="s">
        <v>885</v>
      </c>
      <c r="B294" s="2" t="s">
        <v>886</v>
      </c>
      <c r="C294" s="2" t="s">
        <v>85</v>
      </c>
      <c r="D294" s="2" t="s">
        <v>228</v>
      </c>
      <c r="E294" s="4">
        <v>28</v>
      </c>
      <c r="F294" s="4">
        <v>119.59</v>
      </c>
      <c r="G294" s="3">
        <v>6</v>
      </c>
      <c r="H294" s="6">
        <v>4</v>
      </c>
      <c r="I294" s="3">
        <v>40</v>
      </c>
      <c r="J294" s="17" t="str">
        <f>HYPERLINK("https://amazon.com/dp/B0F4QQLWK5","Amazon - B0F4QQLWK5")</f>
        <v>Amazon - B0F4QQLWK5</v>
      </c>
      <c r="K294" s="18" t="s">
        <v>229</v>
      </c>
      <c r="L294" s="18" t="s">
        <v>230</v>
      </c>
      <c r="M294" s="18" t="s">
        <v>271</v>
      </c>
      <c r="N294" s="18" t="s">
        <v>271</v>
      </c>
      <c r="O294" s="18" t="s">
        <v>246</v>
      </c>
      <c r="P294" s="18" t="s">
        <v>324</v>
      </c>
    </row>
    <row r="295" spans="1:16" ht="30" x14ac:dyDescent="0.2">
      <c r="A295" s="2" t="s">
        <v>887</v>
      </c>
      <c r="B295" s="2" t="s">
        <v>888</v>
      </c>
      <c r="C295" s="2" t="s">
        <v>99</v>
      </c>
      <c r="D295" s="2" t="s">
        <v>228</v>
      </c>
      <c r="E295" s="4">
        <v>69.489999999999995</v>
      </c>
      <c r="F295" s="4">
        <v>115.66</v>
      </c>
      <c r="G295" s="3">
        <v>2</v>
      </c>
      <c r="H295" s="6">
        <v>0</v>
      </c>
      <c r="I295" s="3">
        <v>0</v>
      </c>
      <c r="J295" s="17" t="str">
        <f>HYPERLINK("https://amazon.com/dp/B0BZSFK2HC","Amazon - B0BZSFK2HC")</f>
        <v>Amazon - B0BZSFK2HC</v>
      </c>
      <c r="K295" s="18" t="s">
        <v>229</v>
      </c>
      <c r="L295" s="18" t="s">
        <v>230</v>
      </c>
      <c r="M295" s="18" t="s">
        <v>237</v>
      </c>
      <c r="N295" s="18" t="s">
        <v>232</v>
      </c>
      <c r="O295" s="18" t="s">
        <v>233</v>
      </c>
      <c r="P295" s="18" t="s">
        <v>889</v>
      </c>
    </row>
    <row r="296" spans="1:16" ht="45" x14ac:dyDescent="0.2">
      <c r="A296" s="2" t="s">
        <v>890</v>
      </c>
      <c r="B296" s="2" t="s">
        <v>891</v>
      </c>
      <c r="C296" s="2" t="s">
        <v>85</v>
      </c>
      <c r="D296" s="2" t="s">
        <v>228</v>
      </c>
      <c r="E296" s="4">
        <v>19.5</v>
      </c>
      <c r="F296" s="4">
        <v>111.42</v>
      </c>
      <c r="G296" s="3">
        <v>5</v>
      </c>
      <c r="H296" s="6">
        <v>4</v>
      </c>
      <c r="I296" s="3">
        <v>40</v>
      </c>
      <c r="J296" s="17" t="str">
        <f>HYPERLINK("https://amazon.com/dp/B0F4QR3BF1","Amazon - B0F4QR3BF1")</f>
        <v>Amazon - B0F4QR3BF1</v>
      </c>
      <c r="K296" s="18" t="s">
        <v>229</v>
      </c>
      <c r="L296" s="18" t="s">
        <v>230</v>
      </c>
      <c r="M296" s="18" t="s">
        <v>271</v>
      </c>
      <c r="N296" s="18" t="s">
        <v>271</v>
      </c>
      <c r="O296" s="18" t="s">
        <v>246</v>
      </c>
      <c r="P296" s="18" t="s">
        <v>305</v>
      </c>
    </row>
    <row r="297" spans="1:16" x14ac:dyDescent="0.2">
      <c r="A297" s="2" t="s">
        <v>892</v>
      </c>
      <c r="B297" s="2" t="s">
        <v>893</v>
      </c>
      <c r="C297" s="2" t="s">
        <v>65</v>
      </c>
      <c r="D297" s="2" t="s">
        <v>228</v>
      </c>
      <c r="E297" s="4">
        <v>109.72</v>
      </c>
      <c r="F297" s="4">
        <v>110.34</v>
      </c>
      <c r="G297" s="3">
        <v>1</v>
      </c>
      <c r="H297" s="6">
        <v>3.6</v>
      </c>
      <c r="I297" s="3">
        <v>6</v>
      </c>
      <c r="J297" s="17" t="str">
        <f>HYPERLINK("https://amazon.com/dp/B0D9WVH12B","Amazon - B0D9WVH12B")</f>
        <v>Amazon - B0D9WVH12B</v>
      </c>
      <c r="K297" s="18" t="s">
        <v>229</v>
      </c>
      <c r="L297" s="18" t="s">
        <v>230</v>
      </c>
      <c r="M297" s="18" t="s">
        <v>271</v>
      </c>
      <c r="N297" s="18" t="s">
        <v>271</v>
      </c>
      <c r="O297" s="18" t="s">
        <v>233</v>
      </c>
      <c r="P297" s="18" t="s">
        <v>379</v>
      </c>
    </row>
    <row r="298" spans="1:16" ht="30" x14ac:dyDescent="0.2">
      <c r="A298" s="2" t="s">
        <v>894</v>
      </c>
      <c r="B298" s="2" t="s">
        <v>895</v>
      </c>
      <c r="C298" s="2" t="s">
        <v>54</v>
      </c>
      <c r="D298" s="2" t="s">
        <v>228</v>
      </c>
      <c r="E298" s="4">
        <v>99</v>
      </c>
      <c r="F298" s="4">
        <v>108.58</v>
      </c>
      <c r="G298" s="3">
        <v>1</v>
      </c>
      <c r="H298" s="6">
        <v>5</v>
      </c>
      <c r="I298" s="3">
        <v>1</v>
      </c>
      <c r="J298" s="17" t="str">
        <f>HYPERLINK("https://amazon.com/dp/B07P2K31M6","Amazon - B07P2K31M6")</f>
        <v>Amazon - B07P2K31M6</v>
      </c>
      <c r="K298" s="18" t="s">
        <v>229</v>
      </c>
      <c r="L298" s="18" t="s">
        <v>230</v>
      </c>
      <c r="M298" s="18" t="s">
        <v>271</v>
      </c>
      <c r="N298" s="18" t="s">
        <v>271</v>
      </c>
      <c r="O298" s="18" t="s">
        <v>233</v>
      </c>
      <c r="P298" s="18" t="s">
        <v>271</v>
      </c>
    </row>
    <row r="299" spans="1:16" x14ac:dyDescent="0.2">
      <c r="A299" s="2" t="s">
        <v>896</v>
      </c>
      <c r="B299" s="2" t="s">
        <v>897</v>
      </c>
      <c r="C299" s="2" t="s">
        <v>65</v>
      </c>
      <c r="D299" s="2" t="s">
        <v>228</v>
      </c>
      <c r="E299" s="4">
        <v>49.99</v>
      </c>
      <c r="F299" s="4">
        <v>107.94</v>
      </c>
      <c r="G299" s="3">
        <v>2</v>
      </c>
      <c r="H299" s="6">
        <v>3.6</v>
      </c>
      <c r="I299" s="3">
        <v>7</v>
      </c>
      <c r="J299" s="17" t="str">
        <f>HYPERLINK("https://amazon.com/dp/B0B47ZH5C1","Amazon - B0B47ZH5C1")</f>
        <v>Amazon - B0B47ZH5C1</v>
      </c>
      <c r="K299" s="18" t="s">
        <v>229</v>
      </c>
      <c r="L299" s="18" t="s">
        <v>230</v>
      </c>
      <c r="M299" s="18" t="s">
        <v>271</v>
      </c>
      <c r="N299" s="18" t="s">
        <v>271</v>
      </c>
      <c r="O299" s="18" t="s">
        <v>233</v>
      </c>
      <c r="P299" s="18" t="s">
        <v>297</v>
      </c>
    </row>
    <row r="300" spans="1:16" ht="30" x14ac:dyDescent="0.2">
      <c r="A300" s="2" t="s">
        <v>898</v>
      </c>
      <c r="B300" s="2" t="s">
        <v>899</v>
      </c>
      <c r="C300" s="2" t="s">
        <v>62</v>
      </c>
      <c r="D300" s="2" t="s">
        <v>228</v>
      </c>
      <c r="E300" s="4">
        <v>69.989999999999995</v>
      </c>
      <c r="F300" s="4">
        <v>107.65</v>
      </c>
      <c r="G300" s="3">
        <v>2</v>
      </c>
      <c r="H300" s="6">
        <v>4.5999999999999996</v>
      </c>
      <c r="I300" s="3">
        <v>3</v>
      </c>
      <c r="J300" s="17" t="str">
        <f>HYPERLINK("https://amazon.com/dp/B0DJT7SPXW","Amazon - B0DJT7SPXW")</f>
        <v>Amazon - B0DJT7SPXW</v>
      </c>
      <c r="K300" s="18" t="s">
        <v>229</v>
      </c>
      <c r="L300" s="18" t="s">
        <v>230</v>
      </c>
      <c r="M300" s="18" t="s">
        <v>691</v>
      </c>
      <c r="N300" s="18" t="s">
        <v>271</v>
      </c>
      <c r="O300" s="18" t="s">
        <v>233</v>
      </c>
      <c r="P300" s="18" t="s">
        <v>271</v>
      </c>
    </row>
    <row r="301" spans="1:16" ht="30" x14ac:dyDescent="0.2">
      <c r="A301" s="2" t="s">
        <v>900</v>
      </c>
      <c r="B301" s="2" t="s">
        <v>901</v>
      </c>
      <c r="C301" s="2" t="s">
        <v>114</v>
      </c>
      <c r="D301" s="2" t="s">
        <v>228</v>
      </c>
      <c r="E301" s="4">
        <v>48.99</v>
      </c>
      <c r="F301" s="4">
        <v>106.04</v>
      </c>
      <c r="G301" s="3">
        <v>2</v>
      </c>
      <c r="H301" s="6">
        <v>4.3</v>
      </c>
      <c r="I301" s="3">
        <v>20</v>
      </c>
      <c r="J301" s="17" t="str">
        <f>HYPERLINK("https://amazon.com/dp/B0DB1NNBGK","Amazon - B0DB1NNBGK")</f>
        <v>Amazon - B0DB1NNBGK</v>
      </c>
      <c r="K301" s="18" t="s">
        <v>229</v>
      </c>
      <c r="L301" s="18" t="s">
        <v>230</v>
      </c>
      <c r="M301" s="18" t="s">
        <v>242</v>
      </c>
      <c r="N301" s="18" t="s">
        <v>271</v>
      </c>
      <c r="O301" s="18" t="s">
        <v>246</v>
      </c>
      <c r="P301" s="18" t="s">
        <v>305</v>
      </c>
    </row>
    <row r="302" spans="1:16" ht="30" x14ac:dyDescent="0.2">
      <c r="A302" s="2" t="s">
        <v>902</v>
      </c>
      <c r="B302" s="2" t="s">
        <v>903</v>
      </c>
      <c r="C302" s="2" t="s">
        <v>103</v>
      </c>
      <c r="D302" s="2" t="s">
        <v>228</v>
      </c>
      <c r="E302" s="4">
        <v>12.59</v>
      </c>
      <c r="F302" s="4">
        <v>100.5</v>
      </c>
      <c r="G302" s="3">
        <v>9</v>
      </c>
      <c r="H302" s="6">
        <v>3.5</v>
      </c>
      <c r="I302" s="3">
        <v>18</v>
      </c>
      <c r="J302" s="17" t="str">
        <f>HYPERLINK("https://amazon.com/dp/B0D9K3J5W8","Amazon - B0D9K3J5W8")</f>
        <v>Amazon - B0D9K3J5W8</v>
      </c>
      <c r="K302" s="18" t="s">
        <v>229</v>
      </c>
      <c r="L302" s="18" t="s">
        <v>230</v>
      </c>
      <c r="M302" s="18" t="s">
        <v>271</v>
      </c>
      <c r="N302" s="18" t="s">
        <v>271</v>
      </c>
      <c r="O302" s="18" t="s">
        <v>233</v>
      </c>
      <c r="P302" s="18" t="s">
        <v>278</v>
      </c>
    </row>
    <row r="303" spans="1:16" ht="45" x14ac:dyDescent="0.2">
      <c r="A303" s="2" t="s">
        <v>904</v>
      </c>
      <c r="B303" s="2" t="s">
        <v>905</v>
      </c>
      <c r="C303" s="2" t="s">
        <v>98</v>
      </c>
      <c r="D303" s="2" t="s">
        <v>228</v>
      </c>
      <c r="E303" s="4">
        <v>104.48</v>
      </c>
      <c r="F303" s="4">
        <v>99.71</v>
      </c>
      <c r="G303" s="3">
        <v>1</v>
      </c>
      <c r="H303" s="6">
        <v>4.7</v>
      </c>
      <c r="I303" s="3">
        <v>3</v>
      </c>
      <c r="J303" s="17" t="str">
        <f>HYPERLINK("https://amazon.com/dp/B0D1CLV28L","Amazon - B0D1CLV28L")</f>
        <v>Amazon - B0D1CLV28L</v>
      </c>
      <c r="K303" s="18" t="s">
        <v>229</v>
      </c>
      <c r="L303" s="18" t="s">
        <v>230</v>
      </c>
      <c r="M303" s="18" t="s">
        <v>242</v>
      </c>
      <c r="N303" s="18" t="s">
        <v>271</v>
      </c>
      <c r="O303" s="18" t="s">
        <v>246</v>
      </c>
      <c r="P303" s="18" t="s">
        <v>305</v>
      </c>
    </row>
    <row r="304" spans="1:16" x14ac:dyDescent="0.2">
      <c r="A304" s="2" t="s">
        <v>906</v>
      </c>
      <c r="B304" s="2" t="s">
        <v>907</v>
      </c>
      <c r="C304" s="2" t="s">
        <v>115</v>
      </c>
      <c r="D304" s="2" t="s">
        <v>228</v>
      </c>
      <c r="E304" s="4">
        <v>45</v>
      </c>
      <c r="F304" s="4">
        <v>95.41</v>
      </c>
      <c r="G304" s="3">
        <v>2</v>
      </c>
      <c r="H304" s="6">
        <v>3.7</v>
      </c>
      <c r="I304" s="3">
        <v>20</v>
      </c>
      <c r="J304" s="17" t="str">
        <f>HYPERLINK("https://amazon.com/dp/B0CR3HNJFP","Amazon - B0CR3HNJFP")</f>
        <v>Amazon - B0CR3HNJFP</v>
      </c>
      <c r="K304" s="18" t="s">
        <v>229</v>
      </c>
      <c r="L304" s="18" t="s">
        <v>230</v>
      </c>
      <c r="M304" s="18" t="s">
        <v>271</v>
      </c>
      <c r="N304" s="18" t="s">
        <v>271</v>
      </c>
      <c r="O304" s="18" t="s">
        <v>233</v>
      </c>
      <c r="P304" s="18" t="s">
        <v>271</v>
      </c>
    </row>
    <row r="305" spans="1:16" ht="45" x14ac:dyDescent="0.2">
      <c r="A305" s="2" t="s">
        <v>908</v>
      </c>
      <c r="B305" s="2" t="s">
        <v>909</v>
      </c>
      <c r="C305" s="2" t="s">
        <v>28</v>
      </c>
      <c r="D305" s="2" t="s">
        <v>228</v>
      </c>
      <c r="E305" s="4">
        <v>37.89</v>
      </c>
      <c r="F305" s="4">
        <v>91.96</v>
      </c>
      <c r="G305" s="3">
        <v>2</v>
      </c>
      <c r="H305" s="6">
        <v>4.5999999999999996</v>
      </c>
      <c r="I305" s="3">
        <v>85</v>
      </c>
      <c r="J305" s="17" t="str">
        <f>HYPERLINK("https://amazon.com/dp/B0F54F5S7T","Amazon - B0F54F5S7T")</f>
        <v>Amazon - B0F54F5S7T</v>
      </c>
      <c r="K305" s="18" t="s">
        <v>229</v>
      </c>
      <c r="L305" s="18" t="s">
        <v>230</v>
      </c>
      <c r="M305" s="18" t="s">
        <v>242</v>
      </c>
      <c r="N305" s="18" t="s">
        <v>271</v>
      </c>
      <c r="O305" s="18" t="s">
        <v>233</v>
      </c>
      <c r="P305" s="18" t="s">
        <v>305</v>
      </c>
    </row>
    <row r="306" spans="1:16" ht="45" x14ac:dyDescent="0.2">
      <c r="A306" s="2" t="s">
        <v>910</v>
      </c>
      <c r="B306" s="2" t="s">
        <v>911</v>
      </c>
      <c r="C306" s="2" t="s">
        <v>108</v>
      </c>
      <c r="D306" s="2" t="s">
        <v>228</v>
      </c>
      <c r="E306" s="4">
        <v>89.9</v>
      </c>
      <c r="F306" s="4">
        <v>91.96</v>
      </c>
      <c r="G306" s="3">
        <v>1</v>
      </c>
      <c r="H306" s="6">
        <v>5</v>
      </c>
      <c r="I306" s="3">
        <v>2</v>
      </c>
      <c r="J306" s="17" t="str">
        <f>HYPERLINK("https://amazon.com/dp/B0DTDY464M","Amazon - B0DTDY464M")</f>
        <v>Amazon - B0DTDY464M</v>
      </c>
      <c r="K306" s="18" t="s">
        <v>229</v>
      </c>
      <c r="L306" s="18" t="s">
        <v>230</v>
      </c>
      <c r="M306" s="18" t="s">
        <v>242</v>
      </c>
      <c r="N306" s="18" t="s">
        <v>274</v>
      </c>
      <c r="O306" s="18" t="s">
        <v>233</v>
      </c>
      <c r="P306" s="18" t="s">
        <v>278</v>
      </c>
    </row>
    <row r="307" spans="1:16" ht="45" x14ac:dyDescent="0.2">
      <c r="A307" s="2" t="s">
        <v>912</v>
      </c>
      <c r="B307" s="2" t="s">
        <v>913</v>
      </c>
      <c r="C307" s="2" t="s">
        <v>116</v>
      </c>
      <c r="D307" s="2" t="s">
        <v>285</v>
      </c>
      <c r="E307" s="4">
        <v>69.989999999999995</v>
      </c>
      <c r="F307" s="4">
        <v>90.58</v>
      </c>
      <c r="G307" s="3">
        <v>1</v>
      </c>
      <c r="H307" s="6">
        <v>4.4000000000000004</v>
      </c>
      <c r="I307" s="3">
        <v>29</v>
      </c>
      <c r="J307" s="17" t="str">
        <f>HYPERLINK("https://amazon.com/dp/B0DDWXDS9W","Amazon - B0DDWXDS9W")</f>
        <v>Amazon - B0DDWXDS9W</v>
      </c>
      <c r="K307" s="18" t="s">
        <v>286</v>
      </c>
      <c r="L307" s="18" t="s">
        <v>230</v>
      </c>
      <c r="M307" s="18" t="s">
        <v>287</v>
      </c>
      <c r="N307" s="18" t="s">
        <v>232</v>
      </c>
      <c r="O307" s="18" t="s">
        <v>233</v>
      </c>
      <c r="P307" s="18" t="s">
        <v>278</v>
      </c>
    </row>
    <row r="308" spans="1:16" ht="30" x14ac:dyDescent="0.2">
      <c r="A308" s="2" t="s">
        <v>914</v>
      </c>
      <c r="B308" s="2" t="s">
        <v>915</v>
      </c>
      <c r="C308" s="2" t="s">
        <v>8</v>
      </c>
      <c r="D308" s="2" t="s">
        <v>228</v>
      </c>
      <c r="E308" s="4">
        <v>89.99</v>
      </c>
      <c r="F308" s="4">
        <v>89.99</v>
      </c>
      <c r="G308" s="3">
        <v>1</v>
      </c>
      <c r="H308" s="6">
        <v>4</v>
      </c>
      <c r="I308" s="3">
        <v>2</v>
      </c>
      <c r="J308" s="17" t="str">
        <f>HYPERLINK("https://amazon.com/dp/B08QCCLCKW","Amazon - B08QCCLCKW")</f>
        <v>Amazon - B08QCCLCKW</v>
      </c>
      <c r="K308" s="18" t="s">
        <v>229</v>
      </c>
      <c r="L308" s="18" t="s">
        <v>230</v>
      </c>
      <c r="M308" s="18" t="s">
        <v>271</v>
      </c>
      <c r="N308" s="18" t="s">
        <v>232</v>
      </c>
      <c r="O308" s="18" t="s">
        <v>246</v>
      </c>
      <c r="P308" s="18" t="s">
        <v>305</v>
      </c>
    </row>
    <row r="309" spans="1:16" ht="30" x14ac:dyDescent="0.2">
      <c r="A309" s="2" t="s">
        <v>916</v>
      </c>
      <c r="B309" s="2" t="s">
        <v>917</v>
      </c>
      <c r="C309" s="2" t="s">
        <v>113</v>
      </c>
      <c r="D309" s="2" t="s">
        <v>228</v>
      </c>
      <c r="E309" s="4">
        <v>58.84</v>
      </c>
      <c r="F309" s="4">
        <v>86.99</v>
      </c>
      <c r="G309" s="3">
        <v>1</v>
      </c>
      <c r="H309" s="6">
        <v>5</v>
      </c>
      <c r="I309" s="3">
        <v>1</v>
      </c>
      <c r="J309" s="17" t="str">
        <f>HYPERLINK("https://amazon.com/dp/B099WYM3FD","Amazon - B099WYM3FD")</f>
        <v>Amazon - B099WYM3FD</v>
      </c>
      <c r="K309" s="18" t="s">
        <v>229</v>
      </c>
      <c r="L309" s="18" t="s">
        <v>230</v>
      </c>
      <c r="M309" s="18" t="s">
        <v>242</v>
      </c>
      <c r="N309" s="18" t="s">
        <v>271</v>
      </c>
      <c r="O309" s="18" t="s">
        <v>233</v>
      </c>
      <c r="P309" s="18" t="s">
        <v>271</v>
      </c>
    </row>
    <row r="310" spans="1:16" ht="30" x14ac:dyDescent="0.2">
      <c r="A310" s="2" t="s">
        <v>918</v>
      </c>
      <c r="B310" s="2" t="s">
        <v>919</v>
      </c>
      <c r="C310" s="2" t="s">
        <v>65</v>
      </c>
      <c r="D310" s="2" t="s">
        <v>228</v>
      </c>
      <c r="E310" s="4">
        <v>51.68</v>
      </c>
      <c r="F310" s="4">
        <v>80.2</v>
      </c>
      <c r="G310" s="3">
        <v>2</v>
      </c>
      <c r="H310" s="6">
        <v>3.6</v>
      </c>
      <c r="I310" s="3">
        <v>6</v>
      </c>
      <c r="J310" s="17" t="str">
        <f>HYPERLINK("https://amazon.com/dp/B0D4C8Q2XR","Amazon - B0D4C8Q2XR")</f>
        <v>Amazon - B0D4C8Q2XR</v>
      </c>
      <c r="K310" s="18" t="s">
        <v>229</v>
      </c>
      <c r="L310" s="18" t="s">
        <v>230</v>
      </c>
      <c r="M310" s="18" t="s">
        <v>271</v>
      </c>
      <c r="N310" s="18" t="s">
        <v>232</v>
      </c>
      <c r="O310" s="18" t="s">
        <v>233</v>
      </c>
      <c r="P310" s="18" t="s">
        <v>379</v>
      </c>
    </row>
    <row r="311" spans="1:16" ht="45" x14ac:dyDescent="0.2">
      <c r="A311" s="2" t="s">
        <v>920</v>
      </c>
      <c r="B311" s="2" t="s">
        <v>921</v>
      </c>
      <c r="C311" s="2" t="s">
        <v>118</v>
      </c>
      <c r="D311" s="2" t="s">
        <v>228</v>
      </c>
      <c r="E311" s="4">
        <v>79.98</v>
      </c>
      <c r="F311" s="4">
        <v>79.97</v>
      </c>
      <c r="G311" s="3">
        <v>1</v>
      </c>
      <c r="H311" s="6">
        <v>0</v>
      </c>
      <c r="I311" s="3">
        <v>0</v>
      </c>
      <c r="J311" s="17" t="str">
        <f>HYPERLINK("https://amazon.com/dp/B0GLF9912L","Amazon - B0GLF9912L")</f>
        <v>Amazon - B0GLF9912L</v>
      </c>
      <c r="K311" s="18" t="s">
        <v>229</v>
      </c>
      <c r="L311" s="18" t="s">
        <v>230</v>
      </c>
      <c r="M311" s="18" t="s">
        <v>342</v>
      </c>
      <c r="N311" s="18" t="s">
        <v>271</v>
      </c>
      <c r="O311" s="18" t="s">
        <v>233</v>
      </c>
      <c r="P311" s="18" t="s">
        <v>271</v>
      </c>
    </row>
    <row r="312" spans="1:16" ht="30" x14ac:dyDescent="0.2">
      <c r="A312" s="2" t="s">
        <v>922</v>
      </c>
      <c r="B312" s="2" t="s">
        <v>923</v>
      </c>
      <c r="C312" s="2" t="s">
        <v>99</v>
      </c>
      <c r="D312" s="2" t="s">
        <v>228</v>
      </c>
      <c r="E312" s="4">
        <v>70.489999999999995</v>
      </c>
      <c r="F312" s="4">
        <v>79.569999999999993</v>
      </c>
      <c r="G312" s="3">
        <v>1</v>
      </c>
      <c r="H312" s="6">
        <v>0</v>
      </c>
      <c r="I312" s="3">
        <v>0</v>
      </c>
      <c r="J312" s="17" t="str">
        <f>HYPERLINK("https://amazon.com/dp/B0BZSG8VL8","Amazon - B0BZSG8VL8")</f>
        <v>Amazon - B0BZSG8VL8</v>
      </c>
      <c r="K312" s="18" t="s">
        <v>229</v>
      </c>
      <c r="L312" s="18" t="s">
        <v>230</v>
      </c>
      <c r="M312" s="18" t="s">
        <v>237</v>
      </c>
      <c r="N312" s="18" t="s">
        <v>232</v>
      </c>
      <c r="O312" s="18" t="s">
        <v>233</v>
      </c>
      <c r="P312" s="18" t="s">
        <v>297</v>
      </c>
    </row>
    <row r="313" spans="1:16" ht="30" x14ac:dyDescent="0.2">
      <c r="A313" s="2" t="s">
        <v>924</v>
      </c>
      <c r="B313" s="2" t="s">
        <v>925</v>
      </c>
      <c r="C313" s="2" t="s">
        <v>102</v>
      </c>
      <c r="D313" s="2" t="s">
        <v>228</v>
      </c>
      <c r="E313" s="4">
        <v>67.03</v>
      </c>
      <c r="F313" s="4">
        <v>67.19</v>
      </c>
      <c r="G313" s="3">
        <v>1</v>
      </c>
      <c r="H313" s="6">
        <v>5</v>
      </c>
      <c r="I313" s="3">
        <v>2</v>
      </c>
      <c r="J313" s="17" t="str">
        <f>HYPERLINK("https://amazon.com/dp/B08L8FTY8G","Amazon - B08L8FTY8G")</f>
        <v>Amazon - B08L8FTY8G</v>
      </c>
      <c r="K313" s="18" t="s">
        <v>229</v>
      </c>
      <c r="L313" s="18" t="s">
        <v>230</v>
      </c>
      <c r="M313" s="18" t="s">
        <v>270</v>
      </c>
      <c r="N313" s="18" t="s">
        <v>271</v>
      </c>
      <c r="O313" s="18" t="s">
        <v>233</v>
      </c>
      <c r="P313" s="18" t="s">
        <v>271</v>
      </c>
    </row>
    <row r="314" spans="1:16" ht="30" x14ac:dyDescent="0.2">
      <c r="A314" s="2" t="s">
        <v>926</v>
      </c>
      <c r="B314" s="2" t="s">
        <v>927</v>
      </c>
      <c r="C314" s="2" t="s">
        <v>119</v>
      </c>
      <c r="D314" s="2" t="s">
        <v>228</v>
      </c>
      <c r="E314" s="4">
        <v>9.1</v>
      </c>
      <c r="F314" s="4">
        <v>67.02</v>
      </c>
      <c r="G314" s="3">
        <v>6</v>
      </c>
      <c r="H314" s="6">
        <v>0</v>
      </c>
      <c r="I314" s="3">
        <v>0</v>
      </c>
      <c r="J314" s="17" t="str">
        <f>HYPERLINK("https://amazon.com/dp/B0G26V2RDN","Amazon - B0G26V2RDN")</f>
        <v>Amazon - B0G26V2RDN</v>
      </c>
      <c r="K314" s="18" t="s">
        <v>229</v>
      </c>
      <c r="L314" s="18" t="s">
        <v>251</v>
      </c>
      <c r="M314" s="18" t="s">
        <v>271</v>
      </c>
      <c r="N314" s="18" t="s">
        <v>271</v>
      </c>
      <c r="O314" s="18" t="s">
        <v>233</v>
      </c>
      <c r="P314" s="18" t="s">
        <v>271</v>
      </c>
    </row>
    <row r="315" spans="1:16" ht="45" x14ac:dyDescent="0.2">
      <c r="A315" s="2" t="s">
        <v>928</v>
      </c>
      <c r="B315" s="2" t="s">
        <v>929</v>
      </c>
      <c r="C315" s="2" t="s">
        <v>120</v>
      </c>
      <c r="D315" s="2" t="s">
        <v>228</v>
      </c>
      <c r="E315" s="4">
        <v>29.69</v>
      </c>
      <c r="F315" s="4">
        <v>63.68</v>
      </c>
      <c r="G315" s="3">
        <v>2</v>
      </c>
      <c r="H315" s="6">
        <v>3.9</v>
      </c>
      <c r="I315" s="3">
        <v>33</v>
      </c>
      <c r="J315" s="17" t="str">
        <f>HYPERLINK("https://amazon.com/dp/B0DCZFWVH8","Amazon - B0DCZFWVH8")</f>
        <v>Amazon - B0DCZFWVH8</v>
      </c>
      <c r="K315" s="18" t="s">
        <v>229</v>
      </c>
      <c r="L315" s="18" t="s">
        <v>230</v>
      </c>
      <c r="M315" s="18" t="s">
        <v>237</v>
      </c>
      <c r="N315" s="18" t="s">
        <v>232</v>
      </c>
      <c r="O315" s="18" t="s">
        <v>233</v>
      </c>
      <c r="P315" s="18" t="s">
        <v>305</v>
      </c>
    </row>
    <row r="316" spans="1:16" ht="30" x14ac:dyDescent="0.2">
      <c r="A316" s="2" t="s">
        <v>930</v>
      </c>
      <c r="B316" s="2" t="s">
        <v>931</v>
      </c>
      <c r="C316" s="2" t="s">
        <v>121</v>
      </c>
      <c r="D316" s="2" t="s">
        <v>228</v>
      </c>
      <c r="E316" s="4">
        <v>9</v>
      </c>
      <c r="F316" s="4">
        <v>60.82</v>
      </c>
      <c r="G316" s="3">
        <v>7</v>
      </c>
      <c r="H316" s="6">
        <v>0</v>
      </c>
      <c r="I316" s="3">
        <v>0</v>
      </c>
      <c r="J316" s="17" t="str">
        <f>HYPERLINK("https://amazon.com/dp/B0DQFQD48H","Amazon - B0DQFQD48H")</f>
        <v>Amazon - B0DQFQD48H</v>
      </c>
      <c r="K316" s="18" t="s">
        <v>229</v>
      </c>
      <c r="L316" s="18" t="s">
        <v>230</v>
      </c>
      <c r="M316" s="18" t="s">
        <v>271</v>
      </c>
      <c r="N316" s="18" t="s">
        <v>271</v>
      </c>
      <c r="O316" s="18" t="s">
        <v>233</v>
      </c>
      <c r="P316" s="18" t="s">
        <v>271</v>
      </c>
    </row>
    <row r="317" spans="1:16" ht="30" x14ac:dyDescent="0.2">
      <c r="A317" s="2" t="s">
        <v>932</v>
      </c>
      <c r="B317" s="2" t="s">
        <v>933</v>
      </c>
      <c r="C317" s="2" t="s">
        <v>8</v>
      </c>
      <c r="D317" s="2" t="s">
        <v>228</v>
      </c>
      <c r="E317" s="4">
        <v>59.99</v>
      </c>
      <c r="F317" s="4">
        <v>60.73</v>
      </c>
      <c r="G317" s="3">
        <v>1</v>
      </c>
      <c r="H317" s="6">
        <v>4.8</v>
      </c>
      <c r="I317" s="3">
        <v>18</v>
      </c>
      <c r="J317" s="17" t="str">
        <f>HYPERLINK("https://amazon.com/dp/B08QCP8YFM","Amazon - B08QCP8YFM")</f>
        <v>Amazon - B08QCP8YFM</v>
      </c>
      <c r="K317" s="18" t="s">
        <v>229</v>
      </c>
      <c r="L317" s="18" t="s">
        <v>230</v>
      </c>
      <c r="M317" s="18" t="s">
        <v>271</v>
      </c>
      <c r="N317" s="18" t="s">
        <v>243</v>
      </c>
      <c r="O317" s="18" t="s">
        <v>233</v>
      </c>
      <c r="P317" s="18" t="s">
        <v>278</v>
      </c>
    </row>
    <row r="318" spans="1:16" ht="30" x14ac:dyDescent="0.2">
      <c r="A318" s="2" t="s">
        <v>934</v>
      </c>
      <c r="B318" s="2" t="s">
        <v>935</v>
      </c>
      <c r="C318" s="2" t="s">
        <v>103</v>
      </c>
      <c r="D318" s="2" t="s">
        <v>228</v>
      </c>
      <c r="E318" s="4">
        <v>12.99</v>
      </c>
      <c r="F318" s="4">
        <v>57.6</v>
      </c>
      <c r="G318" s="3">
        <v>4</v>
      </c>
      <c r="H318" s="6">
        <v>3.5</v>
      </c>
      <c r="I318" s="3">
        <v>17</v>
      </c>
      <c r="J318" s="17" t="str">
        <f>HYPERLINK("https://amazon.com/dp/B0D9K3BNRY","Amazon - B0D9K3BNRY")</f>
        <v>Amazon - B0D9K3BNRY</v>
      </c>
      <c r="K318" s="18" t="s">
        <v>229</v>
      </c>
      <c r="L318" s="18" t="s">
        <v>230</v>
      </c>
      <c r="M318" s="18" t="s">
        <v>271</v>
      </c>
      <c r="N318" s="18" t="s">
        <v>271</v>
      </c>
      <c r="O318" s="18" t="s">
        <v>233</v>
      </c>
      <c r="P318" s="18" t="s">
        <v>271</v>
      </c>
    </row>
    <row r="319" spans="1:16" ht="30" x14ac:dyDescent="0.2">
      <c r="A319" s="2" t="s">
        <v>936</v>
      </c>
      <c r="B319" s="2" t="s">
        <v>937</v>
      </c>
      <c r="C319" s="2" t="s">
        <v>122</v>
      </c>
      <c r="D319" s="2" t="s">
        <v>228</v>
      </c>
      <c r="E319" s="4">
        <v>12.42</v>
      </c>
      <c r="F319" s="4">
        <v>56.65</v>
      </c>
      <c r="G319" s="3">
        <v>4</v>
      </c>
      <c r="H319" s="6">
        <v>0</v>
      </c>
      <c r="I319" s="3">
        <v>0</v>
      </c>
      <c r="J319" s="17" t="str">
        <f>HYPERLINK("https://amazon.com/dp/B0DLLMJM11","Amazon - B0DLLMJM11")</f>
        <v>Amazon - B0DLLMJM11</v>
      </c>
      <c r="K319" s="18" t="s">
        <v>229</v>
      </c>
      <c r="L319" s="18" t="s">
        <v>230</v>
      </c>
      <c r="M319" s="18" t="s">
        <v>271</v>
      </c>
      <c r="N319" s="18" t="s">
        <v>271</v>
      </c>
      <c r="O319" s="18" t="s">
        <v>233</v>
      </c>
      <c r="P319" s="18" t="s">
        <v>297</v>
      </c>
    </row>
    <row r="320" spans="1:16" ht="30" x14ac:dyDescent="0.2">
      <c r="A320" s="2" t="s">
        <v>938</v>
      </c>
      <c r="B320" s="2" t="s">
        <v>935</v>
      </c>
      <c r="C320" s="2" t="s">
        <v>103</v>
      </c>
      <c r="D320" s="2" t="s">
        <v>228</v>
      </c>
      <c r="E320" s="4">
        <v>14.59</v>
      </c>
      <c r="F320" s="4">
        <v>54.89</v>
      </c>
      <c r="G320" s="3">
        <v>4</v>
      </c>
      <c r="H320" s="6">
        <v>3.5</v>
      </c>
      <c r="I320" s="3">
        <v>17</v>
      </c>
      <c r="J320" s="17" t="str">
        <f>HYPERLINK("https://amazon.com/dp/B0D9JZP3YH","Amazon - B0D9JZP3YH")</f>
        <v>Amazon - B0D9JZP3YH</v>
      </c>
      <c r="K320" s="18" t="s">
        <v>229</v>
      </c>
      <c r="L320" s="18" t="s">
        <v>230</v>
      </c>
      <c r="M320" s="18" t="s">
        <v>271</v>
      </c>
      <c r="N320" s="18" t="s">
        <v>271</v>
      </c>
      <c r="O320" s="18" t="s">
        <v>233</v>
      </c>
      <c r="P320" s="18" t="s">
        <v>271</v>
      </c>
    </row>
    <row r="321" spans="1:16" x14ac:dyDescent="0.2">
      <c r="A321" s="2" t="s">
        <v>939</v>
      </c>
      <c r="B321" s="2" t="s">
        <v>940</v>
      </c>
      <c r="C321" s="2" t="s">
        <v>30</v>
      </c>
      <c r="D321" s="2" t="s">
        <v>228</v>
      </c>
      <c r="E321" s="4">
        <v>26.74</v>
      </c>
      <c r="F321" s="4">
        <v>54.59</v>
      </c>
      <c r="G321" s="3">
        <v>2</v>
      </c>
      <c r="H321" s="6">
        <v>5</v>
      </c>
      <c r="I321" s="3">
        <v>4</v>
      </c>
      <c r="J321" s="17" t="str">
        <f>HYPERLINK("https://amazon.com/dp/B00J9RZQGS","Amazon - B00J9RZQGS")</f>
        <v>Amazon - B00J9RZQGS</v>
      </c>
      <c r="K321" s="18" t="s">
        <v>229</v>
      </c>
      <c r="L321" s="18" t="s">
        <v>230</v>
      </c>
      <c r="M321" s="18" t="s">
        <v>271</v>
      </c>
      <c r="N321" s="18" t="s">
        <v>941</v>
      </c>
      <c r="O321" s="18" t="s">
        <v>233</v>
      </c>
      <c r="P321" s="18" t="s">
        <v>278</v>
      </c>
    </row>
    <row r="322" spans="1:16" ht="45" x14ac:dyDescent="0.2">
      <c r="A322" s="2" t="s">
        <v>942</v>
      </c>
      <c r="B322" s="2" t="s">
        <v>943</v>
      </c>
      <c r="C322" s="2" t="s">
        <v>123</v>
      </c>
      <c r="D322" s="2" t="s">
        <v>228</v>
      </c>
      <c r="E322" s="4">
        <v>11.9</v>
      </c>
      <c r="F322" s="4">
        <v>52.07</v>
      </c>
      <c r="G322" s="3">
        <v>4</v>
      </c>
      <c r="H322" s="6">
        <v>3.6</v>
      </c>
      <c r="I322" s="3">
        <v>157</v>
      </c>
      <c r="J322" s="17" t="str">
        <f>HYPERLINK("https://amazon.com/dp/B07846C89X","Amazon - B07846C89X")</f>
        <v>Amazon - B07846C89X</v>
      </c>
      <c r="K322" s="18" t="s">
        <v>229</v>
      </c>
      <c r="L322" s="18" t="s">
        <v>230</v>
      </c>
      <c r="M322" s="18" t="s">
        <v>271</v>
      </c>
      <c r="N322" s="18" t="s">
        <v>271</v>
      </c>
      <c r="O322" s="18" t="s">
        <v>233</v>
      </c>
      <c r="P322" s="18" t="s">
        <v>271</v>
      </c>
    </row>
    <row r="323" spans="1:16" ht="30" x14ac:dyDescent="0.2">
      <c r="A323" s="2" t="s">
        <v>944</v>
      </c>
      <c r="B323" s="2" t="s">
        <v>945</v>
      </c>
      <c r="C323" s="2" t="s">
        <v>104</v>
      </c>
      <c r="D323" s="2" t="s">
        <v>228</v>
      </c>
      <c r="E323" s="4">
        <v>19.989999999999998</v>
      </c>
      <c r="F323" s="4">
        <v>51.15</v>
      </c>
      <c r="G323" s="3">
        <v>3</v>
      </c>
      <c r="H323" s="6">
        <v>3.8</v>
      </c>
      <c r="I323" s="3">
        <v>57</v>
      </c>
      <c r="J323" s="17" t="str">
        <f>HYPERLINK("https://amazon.com/dp/B00CBKFJVM","Amazon - B00CBKFJVM")</f>
        <v>Amazon - B00CBKFJVM</v>
      </c>
      <c r="K323" s="18" t="s">
        <v>229</v>
      </c>
      <c r="L323" s="18" t="s">
        <v>230</v>
      </c>
      <c r="M323" s="18" t="s">
        <v>271</v>
      </c>
      <c r="N323" s="18" t="s">
        <v>271</v>
      </c>
      <c r="O323" s="18" t="s">
        <v>233</v>
      </c>
      <c r="P323" s="18" t="s">
        <v>271</v>
      </c>
    </row>
    <row r="324" spans="1:16" ht="45" x14ac:dyDescent="0.2">
      <c r="A324" s="2" t="s">
        <v>946</v>
      </c>
      <c r="B324" s="2" t="s">
        <v>947</v>
      </c>
      <c r="C324" s="2" t="s">
        <v>108</v>
      </c>
      <c r="D324" s="2" t="s">
        <v>228</v>
      </c>
      <c r="E324" s="4">
        <v>35.799999999999997</v>
      </c>
      <c r="F324" s="4">
        <v>46.97</v>
      </c>
      <c r="G324" s="3">
        <v>1</v>
      </c>
      <c r="H324" s="6">
        <v>5</v>
      </c>
      <c r="I324" s="3">
        <v>1</v>
      </c>
      <c r="J324" s="17" t="str">
        <f>HYPERLINK("https://amazon.com/dp/B0F9KZTNX4","Amazon - B0F9KZTNX4")</f>
        <v>Amazon - B0F9KZTNX4</v>
      </c>
      <c r="K324" s="18" t="s">
        <v>229</v>
      </c>
      <c r="L324" s="18" t="s">
        <v>230</v>
      </c>
      <c r="M324" s="18" t="s">
        <v>237</v>
      </c>
      <c r="N324" s="18" t="s">
        <v>271</v>
      </c>
      <c r="O324" s="18" t="s">
        <v>246</v>
      </c>
      <c r="P324" s="18" t="s">
        <v>305</v>
      </c>
    </row>
    <row r="325" spans="1:16" ht="30" x14ac:dyDescent="0.2">
      <c r="A325" s="2" t="s">
        <v>948</v>
      </c>
      <c r="B325" s="2" t="s">
        <v>949</v>
      </c>
      <c r="C325" s="2" t="s">
        <v>99</v>
      </c>
      <c r="D325" s="2" t="s">
        <v>228</v>
      </c>
      <c r="E325" s="4">
        <v>75.290000000000006</v>
      </c>
      <c r="F325" s="4">
        <v>46.65</v>
      </c>
      <c r="G325" s="3">
        <v>1</v>
      </c>
      <c r="H325" s="6">
        <v>0</v>
      </c>
      <c r="I325" s="3">
        <v>0</v>
      </c>
      <c r="J325" s="17" t="str">
        <f>HYPERLINK("https://amazon.com/dp/B0BZSCJBW8","Amazon - B0BZSCJBW8")</f>
        <v>Amazon - B0BZSCJBW8</v>
      </c>
      <c r="K325" s="18" t="s">
        <v>229</v>
      </c>
      <c r="L325" s="18" t="s">
        <v>230</v>
      </c>
      <c r="M325" s="18" t="s">
        <v>237</v>
      </c>
      <c r="N325" s="18" t="s">
        <v>232</v>
      </c>
      <c r="O325" s="18" t="s">
        <v>233</v>
      </c>
      <c r="P325" s="18" t="s">
        <v>305</v>
      </c>
    </row>
    <row r="326" spans="1:16" ht="30" x14ac:dyDescent="0.2">
      <c r="A326" s="2" t="s">
        <v>950</v>
      </c>
      <c r="B326" s="2" t="s">
        <v>951</v>
      </c>
      <c r="C326" s="2" t="s">
        <v>117</v>
      </c>
      <c r="D326" s="2" t="s">
        <v>228</v>
      </c>
      <c r="E326" s="4">
        <v>19.07</v>
      </c>
      <c r="F326" s="4">
        <v>45.47</v>
      </c>
      <c r="G326" s="3">
        <v>2</v>
      </c>
      <c r="H326" s="6">
        <v>3</v>
      </c>
      <c r="I326" s="3">
        <v>2</v>
      </c>
      <c r="J326" s="17" t="str">
        <f>HYPERLINK("https://amazon.com/dp/B0CMY35BTX","Amazon - B0CMY35BTX")</f>
        <v>Amazon - B0CMY35BTX</v>
      </c>
      <c r="K326" s="18" t="s">
        <v>229</v>
      </c>
      <c r="L326" s="18" t="s">
        <v>230</v>
      </c>
      <c r="M326" s="18" t="s">
        <v>691</v>
      </c>
      <c r="N326" s="18" t="s">
        <v>265</v>
      </c>
      <c r="O326" s="18" t="s">
        <v>233</v>
      </c>
      <c r="P326" s="18" t="s">
        <v>278</v>
      </c>
    </row>
    <row r="327" spans="1:16" ht="45" x14ac:dyDescent="0.2">
      <c r="A327" s="2" t="s">
        <v>952</v>
      </c>
      <c r="B327" s="2" t="s">
        <v>953</v>
      </c>
      <c r="C327" s="2" t="s">
        <v>125</v>
      </c>
      <c r="D327" s="2" t="s">
        <v>228</v>
      </c>
      <c r="E327" s="4">
        <v>40.99</v>
      </c>
      <c r="F327" s="4">
        <v>45.43</v>
      </c>
      <c r="G327" s="3">
        <v>1</v>
      </c>
      <c r="H327" s="6">
        <v>4.4000000000000004</v>
      </c>
      <c r="I327" s="3">
        <v>1554</v>
      </c>
      <c r="J327" s="17" t="str">
        <f>HYPERLINK("https://amazon.com/dp/B0C7TXY5G8","Amazon - B0C7TXY5G8")</f>
        <v>Amazon - B0C7TXY5G8</v>
      </c>
      <c r="K327" s="18" t="s">
        <v>229</v>
      </c>
      <c r="L327" s="18" t="s">
        <v>230</v>
      </c>
      <c r="M327" s="18" t="s">
        <v>242</v>
      </c>
      <c r="N327" s="18" t="s">
        <v>271</v>
      </c>
      <c r="O327" s="18" t="s">
        <v>233</v>
      </c>
      <c r="P327" s="18" t="s">
        <v>305</v>
      </c>
    </row>
    <row r="328" spans="1:16" ht="45" x14ac:dyDescent="0.2">
      <c r="A328" s="2" t="s">
        <v>954</v>
      </c>
      <c r="B328" s="2" t="s">
        <v>955</v>
      </c>
      <c r="C328" s="2" t="s">
        <v>126</v>
      </c>
      <c r="D328" s="2" t="s">
        <v>228</v>
      </c>
      <c r="E328" s="4">
        <v>29.99</v>
      </c>
      <c r="F328" s="4">
        <v>40.33</v>
      </c>
      <c r="G328" s="3">
        <v>1</v>
      </c>
      <c r="H328" s="6">
        <v>4.4000000000000004</v>
      </c>
      <c r="I328" s="3">
        <v>32</v>
      </c>
      <c r="J328" s="17" t="str">
        <f>HYPERLINK("https://amazon.com/dp/B0DLGLR6JK","Amazon - B0DLGLR6JK")</f>
        <v>Amazon - B0DLGLR6JK</v>
      </c>
      <c r="K328" s="18" t="s">
        <v>229</v>
      </c>
      <c r="L328" s="18" t="s">
        <v>230</v>
      </c>
      <c r="M328" s="18" t="s">
        <v>237</v>
      </c>
      <c r="N328" s="18" t="s">
        <v>271</v>
      </c>
      <c r="O328" s="18" t="s">
        <v>233</v>
      </c>
      <c r="P328" s="18" t="s">
        <v>305</v>
      </c>
    </row>
    <row r="329" spans="1:16" ht="30" x14ac:dyDescent="0.2">
      <c r="A329" s="2" t="s">
        <v>956</v>
      </c>
      <c r="B329" s="2" t="s">
        <v>957</v>
      </c>
      <c r="C329" s="2" t="s">
        <v>127</v>
      </c>
      <c r="D329" s="2" t="s">
        <v>228</v>
      </c>
      <c r="E329" s="4">
        <v>24.68</v>
      </c>
      <c r="F329" s="4">
        <v>39.44</v>
      </c>
      <c r="G329" s="3">
        <v>2</v>
      </c>
      <c r="H329" s="6">
        <v>4.5</v>
      </c>
      <c r="I329" s="3">
        <v>103</v>
      </c>
      <c r="J329" s="17" t="str">
        <f>HYPERLINK("https://amazon.com/dp/B073FFTKFR","Amazon - B073FFTKFR")</f>
        <v>Amazon - B073FFTKFR</v>
      </c>
      <c r="K329" s="18" t="s">
        <v>229</v>
      </c>
      <c r="L329" s="18" t="s">
        <v>230</v>
      </c>
      <c r="M329" s="18" t="s">
        <v>271</v>
      </c>
      <c r="N329" s="18" t="s">
        <v>271</v>
      </c>
      <c r="O329" s="18" t="s">
        <v>233</v>
      </c>
      <c r="P329" s="18" t="s">
        <v>271</v>
      </c>
    </row>
    <row r="330" spans="1:16" ht="45" x14ac:dyDescent="0.2">
      <c r="A330" s="2" t="s">
        <v>958</v>
      </c>
      <c r="B330" s="2" t="s">
        <v>959</v>
      </c>
      <c r="C330" s="2" t="s">
        <v>117</v>
      </c>
      <c r="D330" s="2" t="s">
        <v>591</v>
      </c>
      <c r="E330" s="4">
        <v>40.72</v>
      </c>
      <c r="F330" s="4">
        <v>37.92</v>
      </c>
      <c r="G330" s="3">
        <v>1</v>
      </c>
      <c r="H330" s="6">
        <v>3</v>
      </c>
      <c r="I330" s="3">
        <v>2</v>
      </c>
      <c r="J330" s="17" t="str">
        <f>HYPERLINK("https://amazon.com/dp/B0CX9JJ17F","Amazon - B0CX9JJ17F")</f>
        <v>Amazon - B0CX9JJ17F</v>
      </c>
      <c r="K330" s="18" t="s">
        <v>286</v>
      </c>
      <c r="L330" s="18" t="s">
        <v>230</v>
      </c>
      <c r="M330" s="18" t="s">
        <v>287</v>
      </c>
      <c r="N330" s="18" t="s">
        <v>271</v>
      </c>
      <c r="O330" s="18" t="s">
        <v>233</v>
      </c>
      <c r="P330" s="18" t="s">
        <v>271</v>
      </c>
    </row>
    <row r="331" spans="1:16" ht="30" x14ac:dyDescent="0.2">
      <c r="A331" s="2" t="s">
        <v>960</v>
      </c>
      <c r="B331" s="2" t="s">
        <v>961</v>
      </c>
      <c r="C331" s="2" t="s">
        <v>128</v>
      </c>
      <c r="D331" s="2" t="s">
        <v>228</v>
      </c>
      <c r="E331" s="4">
        <v>33.33</v>
      </c>
      <c r="F331" s="4">
        <v>34.340000000000003</v>
      </c>
      <c r="G331" s="3">
        <v>1</v>
      </c>
      <c r="H331" s="6">
        <v>3.5</v>
      </c>
      <c r="I331" s="3">
        <v>3</v>
      </c>
      <c r="J331" s="17" t="str">
        <f>HYPERLINK("https://amazon.com/dp/B096K242BL","Amazon - B096K242BL")</f>
        <v>Amazon - B096K242BL</v>
      </c>
      <c r="K331" s="18" t="s">
        <v>229</v>
      </c>
      <c r="L331" s="18" t="s">
        <v>230</v>
      </c>
      <c r="M331" s="18" t="s">
        <v>271</v>
      </c>
      <c r="N331" s="18" t="s">
        <v>271</v>
      </c>
      <c r="O331" s="18" t="s">
        <v>233</v>
      </c>
      <c r="P331" s="18" t="s">
        <v>386</v>
      </c>
    </row>
    <row r="332" spans="1:16" ht="30" x14ac:dyDescent="0.2">
      <c r="A332" s="2" t="s">
        <v>962</v>
      </c>
      <c r="B332" s="2" t="s">
        <v>963</v>
      </c>
      <c r="C332" s="2" t="s">
        <v>124</v>
      </c>
      <c r="D332" s="2" t="s">
        <v>228</v>
      </c>
      <c r="E332" s="4">
        <v>16.989999999999998</v>
      </c>
      <c r="F332" s="4">
        <v>33.72</v>
      </c>
      <c r="G332" s="3">
        <v>2</v>
      </c>
      <c r="H332" s="6">
        <v>0</v>
      </c>
      <c r="I332" s="3">
        <v>0</v>
      </c>
      <c r="J332" s="17" t="str">
        <f>HYPERLINK("https://amazon.com/dp/B0DGPWCCYB","Amazon - B0DGPWCCYB")</f>
        <v>Amazon - B0DGPWCCYB</v>
      </c>
      <c r="K332" s="18" t="s">
        <v>229</v>
      </c>
      <c r="L332" s="18" t="s">
        <v>230</v>
      </c>
      <c r="M332" s="18" t="s">
        <v>271</v>
      </c>
      <c r="N332" s="18" t="s">
        <v>271</v>
      </c>
      <c r="O332" s="18" t="s">
        <v>233</v>
      </c>
      <c r="P332" s="18" t="s">
        <v>271</v>
      </c>
    </row>
    <row r="333" spans="1:16" ht="30" x14ac:dyDescent="0.2">
      <c r="A333" s="2" t="s">
        <v>964</v>
      </c>
      <c r="B333" s="2" t="s">
        <v>965</v>
      </c>
      <c r="C333" s="2" t="s">
        <v>129</v>
      </c>
      <c r="D333" s="2" t="s">
        <v>228</v>
      </c>
      <c r="E333" s="4">
        <v>31.95</v>
      </c>
      <c r="F333" s="4">
        <v>33.67</v>
      </c>
      <c r="G333" s="3">
        <v>1</v>
      </c>
      <c r="H333" s="6">
        <v>0</v>
      </c>
      <c r="I333" s="3">
        <v>0</v>
      </c>
      <c r="J333" s="17" t="str">
        <f>HYPERLINK("https://amazon.com/dp/B0DRQHQ48D","Amazon - B0DRQHQ48D")</f>
        <v>Amazon - B0DRQHQ48D</v>
      </c>
      <c r="K333" s="18" t="s">
        <v>229</v>
      </c>
      <c r="L333" s="18" t="s">
        <v>230</v>
      </c>
      <c r="M333" s="18" t="s">
        <v>242</v>
      </c>
      <c r="N333" s="18" t="s">
        <v>271</v>
      </c>
      <c r="O333" s="18" t="s">
        <v>233</v>
      </c>
      <c r="P333" s="18" t="s">
        <v>271</v>
      </c>
    </row>
    <row r="334" spans="1:16" ht="30" x14ac:dyDescent="0.2">
      <c r="A334" s="2" t="s">
        <v>966</v>
      </c>
      <c r="B334" s="2" t="s">
        <v>967</v>
      </c>
      <c r="C334" s="2" t="s">
        <v>130</v>
      </c>
      <c r="D334" s="2" t="s">
        <v>228</v>
      </c>
      <c r="E334" s="4">
        <v>27.39</v>
      </c>
      <c r="F334" s="4">
        <v>29.78</v>
      </c>
      <c r="G334" s="3">
        <v>1</v>
      </c>
      <c r="H334" s="6">
        <v>3.8</v>
      </c>
      <c r="I334" s="3">
        <v>3</v>
      </c>
      <c r="J334" s="17" t="str">
        <f>HYPERLINK("https://amazon.com/dp/B0DDXLLQD4","Amazon - B0DDXLLQD4")</f>
        <v>Amazon - B0DDXLLQD4</v>
      </c>
      <c r="K334" s="18" t="s">
        <v>229</v>
      </c>
      <c r="L334" s="18" t="s">
        <v>230</v>
      </c>
      <c r="M334" s="18" t="s">
        <v>242</v>
      </c>
      <c r="N334" s="18" t="s">
        <v>271</v>
      </c>
      <c r="O334" s="18" t="s">
        <v>233</v>
      </c>
      <c r="P334" s="18" t="s">
        <v>305</v>
      </c>
    </row>
    <row r="335" spans="1:16" ht="30" x14ac:dyDescent="0.2">
      <c r="A335" s="2" t="s">
        <v>968</v>
      </c>
      <c r="B335" s="2" t="s">
        <v>969</v>
      </c>
      <c r="C335" s="2" t="s">
        <v>91</v>
      </c>
      <c r="D335" s="2" t="s">
        <v>228</v>
      </c>
      <c r="E335" s="4">
        <v>10.41</v>
      </c>
      <c r="F335" s="4">
        <v>28.09</v>
      </c>
      <c r="G335" s="3">
        <v>2</v>
      </c>
      <c r="H335" s="6">
        <v>4.5</v>
      </c>
      <c r="I335" s="3">
        <v>17</v>
      </c>
      <c r="J335" s="17" t="str">
        <f>HYPERLINK("https://amazon.com/dp/B003YHA006","Amazon - B003YHA006")</f>
        <v>Amazon - B003YHA006</v>
      </c>
      <c r="K335" s="18" t="s">
        <v>229</v>
      </c>
      <c r="L335" s="18" t="s">
        <v>230</v>
      </c>
      <c r="M335" s="18" t="s">
        <v>271</v>
      </c>
      <c r="N335" s="18" t="s">
        <v>271</v>
      </c>
      <c r="O335" s="18" t="s">
        <v>233</v>
      </c>
      <c r="P335" s="18" t="s">
        <v>271</v>
      </c>
    </row>
    <row r="336" spans="1:16" ht="30" x14ac:dyDescent="0.2">
      <c r="A336" s="2" t="s">
        <v>970</v>
      </c>
      <c r="B336" s="2" t="s">
        <v>971</v>
      </c>
      <c r="C336" s="2" t="s">
        <v>113</v>
      </c>
      <c r="D336" s="2" t="s">
        <v>228</v>
      </c>
      <c r="E336" s="4">
        <v>19.18</v>
      </c>
      <c r="F336" s="4">
        <v>27.91</v>
      </c>
      <c r="G336" s="3">
        <v>1</v>
      </c>
      <c r="H336" s="6">
        <v>0</v>
      </c>
      <c r="I336" s="3">
        <v>0</v>
      </c>
      <c r="J336" s="17" t="str">
        <f>HYPERLINK("https://amazon.com/dp/B0CJ7CLRD1","Amazon - B0CJ7CLRD1")</f>
        <v>Amazon - B0CJ7CLRD1</v>
      </c>
      <c r="K336" s="18" t="s">
        <v>229</v>
      </c>
      <c r="L336" s="18" t="s">
        <v>230</v>
      </c>
      <c r="M336" s="18" t="s">
        <v>271</v>
      </c>
      <c r="N336" s="18" t="s">
        <v>271</v>
      </c>
      <c r="O336" s="18" t="s">
        <v>233</v>
      </c>
      <c r="P336" s="18" t="s">
        <v>271</v>
      </c>
    </row>
    <row r="337" spans="1:16" ht="30" x14ac:dyDescent="0.2">
      <c r="A337" s="2" t="s">
        <v>972</v>
      </c>
      <c r="B337" s="2" t="s">
        <v>973</v>
      </c>
      <c r="C337" s="2" t="s">
        <v>46</v>
      </c>
      <c r="D337" s="2" t="s">
        <v>228</v>
      </c>
      <c r="E337" s="4">
        <v>21.99</v>
      </c>
      <c r="F337" s="4">
        <v>26.04</v>
      </c>
      <c r="G337" s="3">
        <v>1</v>
      </c>
      <c r="H337" s="6">
        <v>3.7</v>
      </c>
      <c r="I337" s="3">
        <v>33</v>
      </c>
      <c r="J337" s="17" t="str">
        <f>HYPERLINK("https://amazon.com/dp/B0CYPT6GYX","Amazon - B0CYPT6GYX")</f>
        <v>Amazon - B0CYPT6GYX</v>
      </c>
      <c r="K337" s="18" t="s">
        <v>229</v>
      </c>
      <c r="L337" s="18" t="s">
        <v>230</v>
      </c>
      <c r="M337" s="18" t="s">
        <v>271</v>
      </c>
      <c r="N337" s="18" t="s">
        <v>271</v>
      </c>
      <c r="O337" s="18" t="s">
        <v>233</v>
      </c>
      <c r="P337" s="18" t="s">
        <v>305</v>
      </c>
    </row>
    <row r="338" spans="1:16" ht="45" x14ac:dyDescent="0.2">
      <c r="A338" s="2" t="s">
        <v>974</v>
      </c>
      <c r="B338" s="2" t="s">
        <v>975</v>
      </c>
      <c r="C338" s="2" t="s">
        <v>131</v>
      </c>
      <c r="D338" s="2" t="s">
        <v>228</v>
      </c>
      <c r="E338" s="4">
        <v>9.39</v>
      </c>
      <c r="F338" s="4">
        <v>25.82</v>
      </c>
      <c r="G338" s="3">
        <v>3</v>
      </c>
      <c r="H338" s="6">
        <v>5</v>
      </c>
      <c r="I338" s="3">
        <v>1</v>
      </c>
      <c r="J338" s="17" t="str">
        <f>HYPERLINK("https://amazon.com/dp/B0F212TN9N","Amazon - B0F212TN9N")</f>
        <v>Amazon - B0F212TN9N</v>
      </c>
      <c r="K338" s="18" t="s">
        <v>229</v>
      </c>
      <c r="L338" s="18" t="s">
        <v>230</v>
      </c>
      <c r="M338" s="18" t="s">
        <v>271</v>
      </c>
      <c r="N338" s="18" t="s">
        <v>232</v>
      </c>
      <c r="O338" s="18" t="s">
        <v>246</v>
      </c>
      <c r="P338" s="18" t="s">
        <v>271</v>
      </c>
    </row>
    <row r="339" spans="1:16" ht="30" x14ac:dyDescent="0.2">
      <c r="A339" s="2" t="s">
        <v>976</v>
      </c>
      <c r="B339" s="2" t="s">
        <v>977</v>
      </c>
      <c r="C339" s="2" t="s">
        <v>86</v>
      </c>
      <c r="D339" s="2" t="s">
        <v>228</v>
      </c>
      <c r="E339" s="4">
        <v>39.99</v>
      </c>
      <c r="F339" s="4">
        <v>20.2</v>
      </c>
      <c r="G339" s="3">
        <v>1</v>
      </c>
      <c r="H339" s="6">
        <v>4.5</v>
      </c>
      <c r="I339" s="3">
        <v>34</v>
      </c>
      <c r="J339" s="17" t="str">
        <f>HYPERLINK("https://amazon.com/dp/B0D1N9HZWX","Amazon - B0D1N9HZWX")</f>
        <v>Amazon - B0D1N9HZWX</v>
      </c>
      <c r="K339" s="18" t="s">
        <v>229</v>
      </c>
      <c r="L339" s="18" t="s">
        <v>230</v>
      </c>
      <c r="M339" s="18" t="s">
        <v>271</v>
      </c>
      <c r="N339" s="18" t="s">
        <v>271</v>
      </c>
      <c r="O339" s="18" t="s">
        <v>316</v>
      </c>
      <c r="P339" s="18" t="s">
        <v>305</v>
      </c>
    </row>
    <row r="340" spans="1:16" ht="30" x14ac:dyDescent="0.2">
      <c r="A340" s="2" t="s">
        <v>978</v>
      </c>
      <c r="B340" s="2" t="s">
        <v>979</v>
      </c>
      <c r="C340" s="2" t="s">
        <v>133</v>
      </c>
      <c r="D340" s="2" t="s">
        <v>228</v>
      </c>
      <c r="E340" s="4">
        <v>9.99</v>
      </c>
      <c r="F340" s="4">
        <v>17.78</v>
      </c>
      <c r="G340" s="3">
        <v>2</v>
      </c>
      <c r="H340" s="6">
        <v>0</v>
      </c>
      <c r="I340" s="3">
        <v>0</v>
      </c>
      <c r="J340" s="17" t="str">
        <f>HYPERLINK("https://amazon.com/dp/B0DN1BBTTB","Amazon - B0DN1BBTTB")</f>
        <v>Amazon - B0DN1BBTTB</v>
      </c>
      <c r="K340" s="18" t="s">
        <v>229</v>
      </c>
      <c r="L340" s="18" t="s">
        <v>230</v>
      </c>
      <c r="M340" s="18" t="s">
        <v>271</v>
      </c>
      <c r="N340" s="18" t="s">
        <v>271</v>
      </c>
      <c r="O340" s="18" t="s">
        <v>233</v>
      </c>
      <c r="P340" s="18" t="s">
        <v>271</v>
      </c>
    </row>
    <row r="341" spans="1:16" x14ac:dyDescent="0.2">
      <c r="A341" s="2" t="s">
        <v>980</v>
      </c>
      <c r="B341" s="2" t="s">
        <v>981</v>
      </c>
      <c r="C341" s="2" t="s">
        <v>134</v>
      </c>
      <c r="D341" s="2" t="s">
        <v>228</v>
      </c>
      <c r="E341" s="4">
        <v>9.4</v>
      </c>
      <c r="F341" s="4">
        <v>16.27</v>
      </c>
      <c r="G341" s="3">
        <v>2</v>
      </c>
      <c r="H341" s="6">
        <v>5</v>
      </c>
      <c r="I341" s="3">
        <v>1</v>
      </c>
      <c r="J341" s="17" t="str">
        <f>HYPERLINK("https://amazon.com/dp/B08X1HQSNG","Amazon - B08X1HQSNG")</f>
        <v>Amazon - B08X1HQSNG</v>
      </c>
      <c r="K341" s="18" t="s">
        <v>229</v>
      </c>
      <c r="L341" s="18" t="s">
        <v>230</v>
      </c>
      <c r="M341" s="18" t="s">
        <v>271</v>
      </c>
      <c r="N341" s="18" t="s">
        <v>271</v>
      </c>
      <c r="O341" s="18" t="s">
        <v>233</v>
      </c>
      <c r="P341" s="18" t="s">
        <v>271</v>
      </c>
    </row>
    <row r="342" spans="1:16" ht="30" x14ac:dyDescent="0.2">
      <c r="A342" s="2" t="s">
        <v>982</v>
      </c>
      <c r="B342" s="2" t="s">
        <v>963</v>
      </c>
      <c r="C342" s="2" t="s">
        <v>124</v>
      </c>
      <c r="D342" s="2" t="s">
        <v>228</v>
      </c>
      <c r="E342" s="4">
        <v>17.989999999999998</v>
      </c>
      <c r="F342" s="4">
        <v>13.48</v>
      </c>
      <c r="G342" s="3">
        <v>1</v>
      </c>
      <c r="H342" s="6">
        <v>0</v>
      </c>
      <c r="I342" s="3">
        <v>0</v>
      </c>
      <c r="J342" s="17" t="str">
        <f>HYPERLINK("https://amazon.com/dp/B0DGPXTZJQ","Amazon - B0DGPXTZJQ")</f>
        <v>Amazon - B0DGPXTZJQ</v>
      </c>
      <c r="K342" s="18" t="s">
        <v>229</v>
      </c>
      <c r="L342" s="18" t="s">
        <v>230</v>
      </c>
      <c r="M342" s="18" t="s">
        <v>271</v>
      </c>
      <c r="N342" s="18" t="s">
        <v>271</v>
      </c>
      <c r="O342" s="18" t="s">
        <v>233</v>
      </c>
      <c r="P342" s="18" t="s">
        <v>271</v>
      </c>
    </row>
    <row r="343" spans="1:16" x14ac:dyDescent="0.2">
      <c r="A343" s="2" t="s">
        <v>983</v>
      </c>
      <c r="B343" s="2" t="s">
        <v>984</v>
      </c>
      <c r="C343" s="2" t="s">
        <v>135</v>
      </c>
      <c r="D343" s="2" t="s">
        <v>228</v>
      </c>
      <c r="E343" s="4">
        <v>9.09</v>
      </c>
      <c r="F343" s="4">
        <v>12.37</v>
      </c>
      <c r="G343" s="3">
        <v>1</v>
      </c>
      <c r="H343" s="6">
        <v>0</v>
      </c>
      <c r="I343" s="3">
        <v>0</v>
      </c>
      <c r="J343" s="17" t="str">
        <f>HYPERLINK("https://amazon.com/dp/B08ZS1S4K8","Amazon - B08ZS1S4K8")</f>
        <v>Amazon - B08ZS1S4K8</v>
      </c>
      <c r="K343" s="18" t="s">
        <v>229</v>
      </c>
      <c r="L343" s="18" t="s">
        <v>230</v>
      </c>
      <c r="M343" s="18" t="s">
        <v>271</v>
      </c>
      <c r="N343" s="18" t="s">
        <v>271</v>
      </c>
      <c r="O343" s="18" t="s">
        <v>233</v>
      </c>
      <c r="P343" s="18" t="s">
        <v>271</v>
      </c>
    </row>
    <row r="344" spans="1:16" ht="30" x14ac:dyDescent="0.2">
      <c r="A344" s="2" t="s">
        <v>985</v>
      </c>
      <c r="B344" s="2" t="s">
        <v>986</v>
      </c>
      <c r="C344" s="2" t="s">
        <v>132</v>
      </c>
      <c r="D344" s="2" t="s">
        <v>228</v>
      </c>
      <c r="E344" s="4">
        <v>18.91</v>
      </c>
      <c r="F344" s="4">
        <v>10.69</v>
      </c>
      <c r="G344" s="3">
        <v>1</v>
      </c>
      <c r="H344" s="6">
        <v>0</v>
      </c>
      <c r="I344" s="3">
        <v>0</v>
      </c>
      <c r="J344" s="17" t="str">
        <f>HYPERLINK("https://amazon.com/dp/B0F27HZ5JF","Amazon - B0F27HZ5JF")</f>
        <v>Amazon - B0F27HZ5JF</v>
      </c>
      <c r="K344" s="18" t="s">
        <v>229</v>
      </c>
      <c r="L344" s="18" t="s">
        <v>230</v>
      </c>
      <c r="M344" s="18" t="s">
        <v>271</v>
      </c>
      <c r="N344" s="18" t="s">
        <v>271</v>
      </c>
      <c r="O344" s="18" t="s">
        <v>233</v>
      </c>
      <c r="P344" s="18" t="s">
        <v>271</v>
      </c>
    </row>
    <row r="345" spans="1:16" ht="30" x14ac:dyDescent="0.2">
      <c r="A345" s="2" t="s">
        <v>987</v>
      </c>
      <c r="B345" s="2" t="s">
        <v>986</v>
      </c>
      <c r="C345" s="2" t="s">
        <v>132</v>
      </c>
      <c r="D345" s="2" t="s">
        <v>228</v>
      </c>
      <c r="E345" s="4">
        <v>8.43</v>
      </c>
      <c r="F345" s="4">
        <v>7.56</v>
      </c>
      <c r="G345" s="3">
        <v>1</v>
      </c>
      <c r="H345" s="6">
        <v>0</v>
      </c>
      <c r="I345" s="3">
        <v>0</v>
      </c>
      <c r="J345" s="17" t="str">
        <f>HYPERLINK("https://amazon.com/dp/B0F27JTJZQ","Amazon - B0F27JTJZQ")</f>
        <v>Amazon - B0F27JTJZQ</v>
      </c>
      <c r="K345" s="18" t="s">
        <v>229</v>
      </c>
      <c r="L345" s="18" t="s">
        <v>230</v>
      </c>
      <c r="M345" s="18" t="s">
        <v>271</v>
      </c>
      <c r="N345" s="18" t="s">
        <v>271</v>
      </c>
      <c r="O345" s="18" t="s">
        <v>233</v>
      </c>
      <c r="P345" s="18" t="s">
        <v>271</v>
      </c>
    </row>
    <row r="346" spans="1:16" ht="30" x14ac:dyDescent="0.2">
      <c r="A346" s="2" t="s">
        <v>988</v>
      </c>
      <c r="B346" s="2" t="s">
        <v>989</v>
      </c>
      <c r="C346" s="2" t="s">
        <v>136</v>
      </c>
      <c r="D346" s="2" t="s">
        <v>228</v>
      </c>
      <c r="E346" s="4">
        <v>7.99</v>
      </c>
      <c r="F346" s="4">
        <v>5.91</v>
      </c>
      <c r="G346" s="3">
        <v>1</v>
      </c>
      <c r="H346" s="6">
        <v>0</v>
      </c>
      <c r="I346" s="3">
        <v>0</v>
      </c>
      <c r="J346" s="17" t="str">
        <f>HYPERLINK("https://amazon.com/dp/B0GG9LFJPJ","Amazon - B0GG9LFJPJ")</f>
        <v>Amazon - B0GG9LFJPJ</v>
      </c>
      <c r="K346" s="18" t="s">
        <v>229</v>
      </c>
      <c r="L346" s="18" t="s">
        <v>230</v>
      </c>
      <c r="M346" s="18" t="s">
        <v>271</v>
      </c>
      <c r="N346" s="18" t="s">
        <v>271</v>
      </c>
      <c r="O346" s="18" t="s">
        <v>233</v>
      </c>
      <c r="P346" s="18" t="s">
        <v>271</v>
      </c>
    </row>
    <row r="347" spans="1:16" ht="45" x14ac:dyDescent="0.2">
      <c r="A347" s="2" t="s">
        <v>990</v>
      </c>
      <c r="B347" s="2" t="s">
        <v>991</v>
      </c>
      <c r="C347" s="2" t="s">
        <v>137</v>
      </c>
      <c r="D347" s="2" t="s">
        <v>228</v>
      </c>
      <c r="E347" s="4">
        <v>9.65</v>
      </c>
      <c r="F347" s="4">
        <v>5.0999999999999996</v>
      </c>
      <c r="G347" s="3">
        <v>1</v>
      </c>
      <c r="H347" s="6">
        <v>0</v>
      </c>
      <c r="I347" s="3">
        <v>0</v>
      </c>
      <c r="J347" s="17" t="str">
        <f>HYPERLINK("https://amazon.com/dp/B0GLQ5LGC9","Amazon - B0GLQ5LGC9")</f>
        <v>Amazon - B0GLQ5LGC9</v>
      </c>
      <c r="K347" s="18" t="s">
        <v>229</v>
      </c>
      <c r="L347" s="18" t="s">
        <v>230</v>
      </c>
      <c r="M347" s="18" t="s">
        <v>271</v>
      </c>
      <c r="N347" s="18" t="s">
        <v>271</v>
      </c>
      <c r="O347" s="18" t="s">
        <v>233</v>
      </c>
      <c r="P347" s="18" t="s">
        <v>278</v>
      </c>
    </row>
    <row r="348" spans="1:16" ht="45" x14ac:dyDescent="0.2">
      <c r="A348" s="2" t="s">
        <v>992</v>
      </c>
      <c r="B348" s="2" t="s">
        <v>993</v>
      </c>
      <c r="C348" s="2" t="s">
        <v>87</v>
      </c>
      <c r="D348" s="2" t="s">
        <v>228</v>
      </c>
      <c r="E348" s="4">
        <v>17.5</v>
      </c>
      <c r="F348" s="18"/>
      <c r="G348" s="3">
        <v>0</v>
      </c>
      <c r="H348" s="6">
        <v>0</v>
      </c>
      <c r="I348" s="3">
        <v>0</v>
      </c>
      <c r="J348" s="17" t="str">
        <f>HYPERLINK("https://amazon.com/dp/B0F98KMM3C","Amazon - B0F98KMM3C")</f>
        <v>Amazon - B0F98KMM3C</v>
      </c>
      <c r="K348" s="18" t="s">
        <v>286</v>
      </c>
      <c r="L348" s="18" t="s">
        <v>230</v>
      </c>
      <c r="M348" s="18" t="s">
        <v>237</v>
      </c>
      <c r="N348" s="18" t="s">
        <v>271</v>
      </c>
      <c r="O348" s="18" t="s">
        <v>233</v>
      </c>
      <c r="P348" s="18" t="s">
        <v>305</v>
      </c>
    </row>
    <row r="349" spans="1:16" ht="45" x14ac:dyDescent="0.2">
      <c r="A349" s="2" t="s">
        <v>994</v>
      </c>
      <c r="B349" s="2" t="s">
        <v>995</v>
      </c>
      <c r="C349" s="2" t="s">
        <v>55</v>
      </c>
      <c r="D349" s="2" t="s">
        <v>228</v>
      </c>
      <c r="E349" s="4">
        <v>26.99</v>
      </c>
      <c r="F349" s="18"/>
      <c r="G349" s="3">
        <v>0</v>
      </c>
      <c r="H349" s="6">
        <v>4.4000000000000004</v>
      </c>
      <c r="I349" s="3">
        <v>693</v>
      </c>
      <c r="J349" s="17" t="str">
        <f>HYPERLINK("https://amazon.com/dp/B0CL2CQXP2","Amazon - B0CL2CQXP2")</f>
        <v>Amazon - B0CL2CQXP2</v>
      </c>
      <c r="K349" s="18" t="s">
        <v>229</v>
      </c>
      <c r="L349" s="18" t="s">
        <v>230</v>
      </c>
      <c r="M349" s="18" t="s">
        <v>242</v>
      </c>
      <c r="N349" s="18" t="s">
        <v>271</v>
      </c>
      <c r="O349" s="18" t="s">
        <v>233</v>
      </c>
      <c r="P349" s="18" t="s">
        <v>305</v>
      </c>
    </row>
    <row r="350" spans="1:16" ht="45" x14ac:dyDescent="0.2">
      <c r="A350" s="2" t="s">
        <v>996</v>
      </c>
      <c r="B350" s="2" t="s">
        <v>997</v>
      </c>
      <c r="C350" s="2" t="s">
        <v>11</v>
      </c>
      <c r="D350" s="2" t="s">
        <v>228</v>
      </c>
      <c r="E350" s="4">
        <v>149.99</v>
      </c>
      <c r="F350" s="18"/>
      <c r="G350" s="3">
        <v>0</v>
      </c>
      <c r="H350" s="6">
        <v>4.5999999999999996</v>
      </c>
      <c r="I350" s="3">
        <v>65</v>
      </c>
      <c r="J350" s="17" t="str">
        <f>HYPERLINK("https://amazon.com/dp/B0GJRH8578","Amazon - B0GJRH8578")</f>
        <v>Amazon - B0GJRH8578</v>
      </c>
      <c r="K350" s="18" t="s">
        <v>229</v>
      </c>
      <c r="L350" s="18" t="s">
        <v>230</v>
      </c>
      <c r="M350" s="18" t="s">
        <v>242</v>
      </c>
      <c r="N350" s="18" t="s">
        <v>238</v>
      </c>
      <c r="O350" s="18" t="s">
        <v>233</v>
      </c>
      <c r="P350" s="18" t="s">
        <v>256</v>
      </c>
    </row>
    <row r="351" spans="1:16" ht="45" x14ac:dyDescent="0.2">
      <c r="A351" s="2" t="s">
        <v>998</v>
      </c>
      <c r="B351" s="2" t="s">
        <v>999</v>
      </c>
      <c r="C351" s="2" t="s">
        <v>79</v>
      </c>
      <c r="D351" s="2" t="s">
        <v>228</v>
      </c>
      <c r="E351" s="4">
        <v>149.99</v>
      </c>
      <c r="F351" s="18"/>
      <c r="G351" s="3">
        <v>0</v>
      </c>
      <c r="H351" s="6">
        <v>4.7</v>
      </c>
      <c r="I351" s="3">
        <v>9</v>
      </c>
      <c r="J351" s="17" t="str">
        <f>HYPERLINK("https://amazon.com/dp/B0G4L9PP65","Amazon - B0G4L9PP65")</f>
        <v>Amazon - B0G4L9PP65</v>
      </c>
      <c r="K351" s="18" t="s">
        <v>229</v>
      </c>
      <c r="L351" s="18" t="s">
        <v>230</v>
      </c>
      <c r="M351" s="18" t="s">
        <v>242</v>
      </c>
      <c r="N351" s="18" t="s">
        <v>265</v>
      </c>
      <c r="O351" s="18" t="s">
        <v>233</v>
      </c>
      <c r="P351" s="18" t="s">
        <v>297</v>
      </c>
    </row>
    <row r="352" spans="1:16" ht="45" x14ac:dyDescent="0.2">
      <c r="A352" s="2" t="s">
        <v>1000</v>
      </c>
      <c r="B352" s="2" t="s">
        <v>1001</v>
      </c>
      <c r="C352" s="2" t="s">
        <v>12</v>
      </c>
      <c r="D352" s="2" t="s">
        <v>228</v>
      </c>
      <c r="E352" s="4">
        <v>94.99</v>
      </c>
      <c r="F352" s="18"/>
      <c r="G352" s="3">
        <v>0</v>
      </c>
      <c r="H352" s="6">
        <v>4.7</v>
      </c>
      <c r="I352" s="3">
        <v>22</v>
      </c>
      <c r="J352" s="17" t="str">
        <f>HYPERLINK("https://amazon.com/dp/B0CJ939D78","Amazon - B0CJ939D78")</f>
        <v>Amazon - B0CJ939D78</v>
      </c>
      <c r="K352" s="18" t="s">
        <v>229</v>
      </c>
      <c r="L352" s="18" t="s">
        <v>230</v>
      </c>
      <c r="M352" s="18" t="s">
        <v>252</v>
      </c>
      <c r="N352" s="18" t="s">
        <v>271</v>
      </c>
      <c r="O352" s="18" t="s">
        <v>246</v>
      </c>
      <c r="P352" s="18" t="s">
        <v>256</v>
      </c>
    </row>
    <row r="353" spans="1:16" ht="45" x14ac:dyDescent="0.2">
      <c r="A353" s="2" t="s">
        <v>1002</v>
      </c>
      <c r="B353" s="2" t="s">
        <v>1003</v>
      </c>
      <c r="C353" s="2" t="s">
        <v>170</v>
      </c>
      <c r="D353" s="2" t="s">
        <v>228</v>
      </c>
      <c r="E353" s="4">
        <v>79.989999999999995</v>
      </c>
      <c r="F353" s="18"/>
      <c r="G353" s="3">
        <v>0</v>
      </c>
      <c r="H353" s="6">
        <v>0</v>
      </c>
      <c r="I353" s="3">
        <v>0</v>
      </c>
      <c r="J353" s="17" t="str">
        <f>HYPERLINK("https://amazon.com/dp/B0GK8W9JSV","Amazon - B0GK8W9JSV")</f>
        <v>Amazon - B0GK8W9JSV</v>
      </c>
      <c r="K353" s="18" t="s">
        <v>229</v>
      </c>
      <c r="L353" s="18" t="s">
        <v>230</v>
      </c>
      <c r="M353" s="18" t="s">
        <v>242</v>
      </c>
      <c r="N353" s="18" t="s">
        <v>232</v>
      </c>
      <c r="O353" s="18" t="s">
        <v>233</v>
      </c>
      <c r="P353" s="18" t="s">
        <v>234</v>
      </c>
    </row>
    <row r="354" spans="1:16" x14ac:dyDescent="0.2">
      <c r="A354" s="2" t="s">
        <v>1004</v>
      </c>
      <c r="B354" s="2" t="s">
        <v>1005</v>
      </c>
      <c r="C354" s="2" t="s">
        <v>65</v>
      </c>
      <c r="D354" s="2" t="s">
        <v>228</v>
      </c>
      <c r="E354" s="4">
        <v>116.98</v>
      </c>
      <c r="F354" s="18"/>
      <c r="G354" s="3">
        <v>0</v>
      </c>
      <c r="H354" s="6">
        <v>0</v>
      </c>
      <c r="I354" s="3">
        <v>0</v>
      </c>
      <c r="J354" s="17" t="str">
        <f>HYPERLINK("https://amazon.com/dp/B09TBR5PZW","Amazon - B09TBR5PZW")</f>
        <v>Amazon - B09TBR5PZW</v>
      </c>
      <c r="K354" s="18" t="s">
        <v>229</v>
      </c>
      <c r="L354" s="18" t="s">
        <v>230</v>
      </c>
      <c r="M354" s="18" t="s">
        <v>271</v>
      </c>
      <c r="N354" s="18" t="s">
        <v>271</v>
      </c>
      <c r="O354" s="18" t="s">
        <v>233</v>
      </c>
      <c r="P354" s="18" t="s">
        <v>305</v>
      </c>
    </row>
    <row r="355" spans="1:16" x14ac:dyDescent="0.2">
      <c r="A355" s="2" t="s">
        <v>1006</v>
      </c>
      <c r="B355" s="2" t="s">
        <v>1007</v>
      </c>
      <c r="C355" s="2" t="s">
        <v>65</v>
      </c>
      <c r="D355" s="2" t="s">
        <v>228</v>
      </c>
      <c r="E355" s="4">
        <v>495.14</v>
      </c>
      <c r="F355" s="18"/>
      <c r="G355" s="3">
        <v>0</v>
      </c>
      <c r="H355" s="6">
        <v>3.6</v>
      </c>
      <c r="I355" s="3">
        <v>6</v>
      </c>
      <c r="J355" s="17" t="str">
        <f>HYPERLINK("https://amazon.com/dp/B0DKR99QBW","Amazon - B0DKR99QBW")</f>
        <v>Amazon - B0DKR99QBW</v>
      </c>
      <c r="K355" s="18" t="s">
        <v>229</v>
      </c>
      <c r="L355" s="18" t="s">
        <v>230</v>
      </c>
      <c r="M355" s="18" t="s">
        <v>242</v>
      </c>
      <c r="N355" s="18" t="s">
        <v>271</v>
      </c>
      <c r="O355" s="18" t="s">
        <v>233</v>
      </c>
      <c r="P355" s="18" t="s">
        <v>234</v>
      </c>
    </row>
    <row r="356" spans="1:16" ht="45" x14ac:dyDescent="0.2">
      <c r="A356" s="2" t="s">
        <v>1008</v>
      </c>
      <c r="B356" s="2" t="s">
        <v>1009</v>
      </c>
      <c r="C356" s="2" t="s">
        <v>25</v>
      </c>
      <c r="D356" s="2" t="s">
        <v>285</v>
      </c>
      <c r="E356" s="4">
        <v>899.98</v>
      </c>
      <c r="F356" s="18"/>
      <c r="G356" s="3">
        <v>0</v>
      </c>
      <c r="H356" s="6">
        <v>5</v>
      </c>
      <c r="I356" s="3">
        <v>1</v>
      </c>
      <c r="J356" s="17" t="str">
        <f>HYPERLINK("https://amazon.com/dp/B0C762VM9D","Amazon - B0C762VM9D")</f>
        <v>Amazon - B0C762VM9D</v>
      </c>
      <c r="K356" s="18" t="s">
        <v>286</v>
      </c>
      <c r="L356" s="18" t="s">
        <v>251</v>
      </c>
      <c r="M356" s="18" t="s">
        <v>287</v>
      </c>
      <c r="N356" s="18" t="s">
        <v>253</v>
      </c>
      <c r="O356" s="18" t="s">
        <v>233</v>
      </c>
      <c r="P356" s="18" t="s">
        <v>234</v>
      </c>
    </row>
    <row r="357" spans="1:16" ht="45" x14ac:dyDescent="0.2">
      <c r="A357" s="2" t="s">
        <v>1010</v>
      </c>
      <c r="B357" s="2" t="s">
        <v>1011</v>
      </c>
      <c r="C357" s="2" t="s">
        <v>118</v>
      </c>
      <c r="D357" s="2" t="s">
        <v>228</v>
      </c>
      <c r="E357" s="4">
        <v>38.979999999999997</v>
      </c>
      <c r="F357" s="18"/>
      <c r="G357" s="3">
        <v>0</v>
      </c>
      <c r="H357" s="6">
        <v>4.5</v>
      </c>
      <c r="I357" s="3">
        <v>4</v>
      </c>
      <c r="J357" s="17" t="str">
        <f>HYPERLINK("https://amazon.com/dp/B0GK66FSZF","Amazon - B0GK66FSZF")</f>
        <v>Amazon - B0GK66FSZF</v>
      </c>
      <c r="K357" s="18" t="s">
        <v>229</v>
      </c>
      <c r="L357" s="18" t="s">
        <v>230</v>
      </c>
      <c r="M357" s="18" t="s">
        <v>342</v>
      </c>
      <c r="N357" s="18" t="s">
        <v>271</v>
      </c>
      <c r="O357" s="18" t="s">
        <v>233</v>
      </c>
      <c r="P357" s="18" t="s">
        <v>278</v>
      </c>
    </row>
    <row r="358" spans="1:16" ht="45" x14ac:dyDescent="0.2">
      <c r="A358" s="2" t="s">
        <v>1012</v>
      </c>
      <c r="B358" s="2" t="s">
        <v>1013</v>
      </c>
      <c r="C358" s="2" t="s">
        <v>75</v>
      </c>
      <c r="D358" s="2" t="s">
        <v>228</v>
      </c>
      <c r="E358" s="4">
        <v>208</v>
      </c>
      <c r="F358" s="18"/>
      <c r="G358" s="3">
        <v>0</v>
      </c>
      <c r="H358" s="6">
        <v>0</v>
      </c>
      <c r="I358" s="3">
        <v>0</v>
      </c>
      <c r="J358" s="17" t="str">
        <f>HYPERLINK("https://amazon.com/dp/B0G239JCXJ","Amazon - B0G239JCXJ")</f>
        <v>Amazon - B0G239JCXJ</v>
      </c>
      <c r="K358" s="18" t="s">
        <v>229</v>
      </c>
      <c r="L358" s="18" t="s">
        <v>251</v>
      </c>
      <c r="M358" s="18" t="s">
        <v>242</v>
      </c>
      <c r="N358" s="18" t="s">
        <v>296</v>
      </c>
      <c r="O358" s="18" t="s">
        <v>233</v>
      </c>
      <c r="P358" s="18" t="s">
        <v>259</v>
      </c>
    </row>
    <row r="359" spans="1:16" ht="30" x14ac:dyDescent="0.2">
      <c r="A359" s="2" t="s">
        <v>1014</v>
      </c>
      <c r="B359" s="2" t="s">
        <v>1015</v>
      </c>
      <c r="C359" s="2" t="s">
        <v>65</v>
      </c>
      <c r="D359" s="2" t="s">
        <v>228</v>
      </c>
      <c r="E359" s="4">
        <v>716.59</v>
      </c>
      <c r="F359" s="18"/>
      <c r="G359" s="3">
        <v>0</v>
      </c>
      <c r="H359" s="6">
        <v>3.6</v>
      </c>
      <c r="I359" s="3">
        <v>6</v>
      </c>
      <c r="J359" s="17" t="str">
        <f>HYPERLINK("https://amazon.com/dp/B09GC5Z4GD","Amazon - B09GC5Z4GD")</f>
        <v>Amazon - B09GC5Z4GD</v>
      </c>
      <c r="K359" s="18" t="s">
        <v>229</v>
      </c>
      <c r="L359" s="18" t="s">
        <v>230</v>
      </c>
      <c r="M359" s="18" t="s">
        <v>706</v>
      </c>
      <c r="N359" s="18" t="s">
        <v>253</v>
      </c>
      <c r="O359" s="18" t="s">
        <v>233</v>
      </c>
      <c r="P359" s="18" t="s">
        <v>234</v>
      </c>
    </row>
    <row r="360" spans="1:16" ht="30" x14ac:dyDescent="0.2">
      <c r="A360" s="2" t="s">
        <v>1016</v>
      </c>
      <c r="B360" s="2" t="s">
        <v>1017</v>
      </c>
      <c r="C360" s="2" t="s">
        <v>195</v>
      </c>
      <c r="D360" s="2" t="s">
        <v>228</v>
      </c>
      <c r="E360" s="4">
        <v>10.49</v>
      </c>
      <c r="F360" s="18"/>
      <c r="G360" s="3">
        <v>0</v>
      </c>
      <c r="H360" s="6">
        <v>0</v>
      </c>
      <c r="I360" s="3">
        <v>0</v>
      </c>
      <c r="J360" s="17" t="str">
        <f>HYPERLINK("https://amazon.com/dp/B0DSL994B3","Amazon - B0DSL994B3")</f>
        <v>Amazon - B0DSL994B3</v>
      </c>
      <c r="K360" s="18" t="s">
        <v>229</v>
      </c>
      <c r="L360" s="18" t="s">
        <v>230</v>
      </c>
      <c r="M360" s="18" t="s">
        <v>271</v>
      </c>
      <c r="N360" s="18" t="s">
        <v>271</v>
      </c>
      <c r="O360" s="18" t="s">
        <v>233</v>
      </c>
      <c r="P360" s="18" t="s">
        <v>271</v>
      </c>
    </row>
    <row r="361" spans="1:16" ht="45" x14ac:dyDescent="0.2">
      <c r="A361" s="2" t="s">
        <v>1018</v>
      </c>
      <c r="B361" s="2" t="s">
        <v>1019</v>
      </c>
      <c r="C361" s="2" t="s">
        <v>12</v>
      </c>
      <c r="D361" s="2" t="s">
        <v>228</v>
      </c>
      <c r="E361" s="4">
        <v>69.989999999999995</v>
      </c>
      <c r="F361" s="18"/>
      <c r="G361" s="3">
        <v>0</v>
      </c>
      <c r="H361" s="6">
        <v>0</v>
      </c>
      <c r="I361" s="3">
        <v>0</v>
      </c>
      <c r="J361" s="17" t="str">
        <f>HYPERLINK("https://amazon.com/dp/B0GLHF64SG","Amazon - B0GLHF64SG")</f>
        <v>Amazon - B0GLHF64SG</v>
      </c>
      <c r="K361" s="18" t="s">
        <v>229</v>
      </c>
      <c r="L361" s="18" t="s">
        <v>230</v>
      </c>
      <c r="M361" s="18" t="s">
        <v>271</v>
      </c>
      <c r="N361" s="18" t="s">
        <v>243</v>
      </c>
      <c r="O361" s="18" t="s">
        <v>233</v>
      </c>
      <c r="P361" s="18" t="s">
        <v>234</v>
      </c>
    </row>
    <row r="362" spans="1:16" ht="45" x14ac:dyDescent="0.2">
      <c r="A362" s="2" t="s">
        <v>1020</v>
      </c>
      <c r="B362" s="2" t="s">
        <v>1021</v>
      </c>
      <c r="C362" s="2" t="s">
        <v>170</v>
      </c>
      <c r="D362" s="2" t="s">
        <v>228</v>
      </c>
      <c r="E362" s="4">
        <v>114.99</v>
      </c>
      <c r="F362" s="18"/>
      <c r="G362" s="3">
        <v>0</v>
      </c>
      <c r="H362" s="6">
        <v>0</v>
      </c>
      <c r="I362" s="3">
        <v>0</v>
      </c>
      <c r="J362" s="17" t="str">
        <f>HYPERLINK("https://amazon.com/dp/B0GK8HGMLP","Amazon - B0GK8HGMLP")</f>
        <v>Amazon - B0GK8HGMLP</v>
      </c>
      <c r="K362" s="18" t="s">
        <v>229</v>
      </c>
      <c r="L362" s="18" t="s">
        <v>230</v>
      </c>
      <c r="M362" s="18" t="s">
        <v>242</v>
      </c>
      <c r="N362" s="18" t="s">
        <v>232</v>
      </c>
      <c r="O362" s="18" t="s">
        <v>246</v>
      </c>
      <c r="P362" s="18" t="s">
        <v>234</v>
      </c>
    </row>
    <row r="363" spans="1:16" x14ac:dyDescent="0.2">
      <c r="A363" s="2" t="s">
        <v>1022</v>
      </c>
      <c r="B363" s="2" t="s">
        <v>1023</v>
      </c>
      <c r="C363" s="2" t="s">
        <v>176</v>
      </c>
      <c r="D363" s="2" t="s">
        <v>228</v>
      </c>
      <c r="E363" s="4">
        <v>333.31</v>
      </c>
      <c r="F363" s="18"/>
      <c r="G363" s="3">
        <v>0</v>
      </c>
      <c r="H363" s="6">
        <v>0</v>
      </c>
      <c r="I363" s="3">
        <v>0</v>
      </c>
      <c r="J363" s="17" t="str">
        <f>HYPERLINK("https://amazon.com/dp/B0F1LS9SDZ","Amazon - B0F1LS9SDZ")</f>
        <v>Amazon - B0F1LS9SDZ</v>
      </c>
      <c r="K363" s="18" t="s">
        <v>229</v>
      </c>
      <c r="L363" s="18" t="s">
        <v>230</v>
      </c>
      <c r="M363" s="18" t="s">
        <v>271</v>
      </c>
      <c r="N363" s="18" t="s">
        <v>271</v>
      </c>
      <c r="O363" s="18" t="s">
        <v>233</v>
      </c>
      <c r="P363" s="18" t="s">
        <v>271</v>
      </c>
    </row>
    <row r="364" spans="1:16" ht="45" x14ac:dyDescent="0.2">
      <c r="A364" s="2" t="s">
        <v>1024</v>
      </c>
      <c r="B364" s="2" t="s">
        <v>1025</v>
      </c>
      <c r="C364" s="2" t="s">
        <v>23</v>
      </c>
      <c r="D364" s="2" t="s">
        <v>228</v>
      </c>
      <c r="E364" s="4">
        <v>39.99</v>
      </c>
      <c r="F364" s="18"/>
      <c r="G364" s="3">
        <v>0</v>
      </c>
      <c r="H364" s="6">
        <v>0</v>
      </c>
      <c r="I364" s="3">
        <v>0</v>
      </c>
      <c r="J364" s="17" t="str">
        <f>HYPERLINK("https://amazon.com/dp/B0GHXZPW62","Amazon - B0GHXZPW62")</f>
        <v>Amazon - B0GHXZPW62</v>
      </c>
      <c r="K364" s="18" t="s">
        <v>229</v>
      </c>
      <c r="L364" s="18" t="s">
        <v>230</v>
      </c>
      <c r="M364" s="18" t="s">
        <v>242</v>
      </c>
      <c r="N364" s="18" t="s">
        <v>271</v>
      </c>
      <c r="O364" s="18" t="s">
        <v>233</v>
      </c>
      <c r="P364" s="18" t="s">
        <v>305</v>
      </c>
    </row>
    <row r="365" spans="1:16" ht="30" x14ac:dyDescent="0.2">
      <c r="A365" s="2" t="s">
        <v>1026</v>
      </c>
      <c r="B365" s="2" t="s">
        <v>1027</v>
      </c>
      <c r="C365" s="2" t="s">
        <v>37</v>
      </c>
      <c r="D365" s="2" t="s">
        <v>228</v>
      </c>
      <c r="E365" s="4">
        <v>49</v>
      </c>
      <c r="F365" s="18"/>
      <c r="G365" s="3">
        <v>0</v>
      </c>
      <c r="H365" s="6">
        <v>4.5999999999999996</v>
      </c>
      <c r="I365" s="3">
        <v>57</v>
      </c>
      <c r="J365" s="17" t="str">
        <f>HYPERLINK("https://amazon.com/dp/B089Q4DBPT","Amazon - B089Q4DBPT")</f>
        <v>Amazon - B089Q4DBPT</v>
      </c>
      <c r="K365" s="18" t="s">
        <v>229</v>
      </c>
      <c r="L365" s="18" t="s">
        <v>230</v>
      </c>
      <c r="M365" s="18" t="s">
        <v>271</v>
      </c>
      <c r="N365" s="18" t="s">
        <v>271</v>
      </c>
      <c r="O365" s="18" t="s">
        <v>233</v>
      </c>
      <c r="P365" s="18" t="s">
        <v>271</v>
      </c>
    </row>
    <row r="366" spans="1:16" ht="45" x14ac:dyDescent="0.2">
      <c r="A366" s="2" t="s">
        <v>1028</v>
      </c>
      <c r="B366" s="2" t="s">
        <v>1029</v>
      </c>
      <c r="C366" s="2" t="s">
        <v>173</v>
      </c>
      <c r="D366" s="2" t="s">
        <v>228</v>
      </c>
      <c r="E366" s="4">
        <v>98.99</v>
      </c>
      <c r="F366" s="18"/>
      <c r="G366" s="3">
        <v>0</v>
      </c>
      <c r="H366" s="6">
        <v>0</v>
      </c>
      <c r="I366" s="3">
        <v>0</v>
      </c>
      <c r="J366" s="17" t="str">
        <f>HYPERLINK("https://amazon.com/dp/B0GCHGS6DD","Amazon - B0GCHGS6DD")</f>
        <v>Amazon - B0GCHGS6DD</v>
      </c>
      <c r="K366" s="18" t="s">
        <v>229</v>
      </c>
      <c r="L366" s="18" t="s">
        <v>230</v>
      </c>
      <c r="M366" s="18" t="s">
        <v>237</v>
      </c>
      <c r="N366" s="18" t="s">
        <v>271</v>
      </c>
      <c r="O366" s="18" t="s">
        <v>233</v>
      </c>
      <c r="P366" s="18" t="s">
        <v>271</v>
      </c>
    </row>
    <row r="367" spans="1:16" ht="45" x14ac:dyDescent="0.2">
      <c r="A367" s="2" t="s">
        <v>1030</v>
      </c>
      <c r="B367" s="2" t="s">
        <v>1031</v>
      </c>
      <c r="C367" s="2" t="s">
        <v>98</v>
      </c>
      <c r="D367" s="2" t="s">
        <v>228</v>
      </c>
      <c r="E367" s="4">
        <v>218.49</v>
      </c>
      <c r="F367" s="18"/>
      <c r="G367" s="3">
        <v>0</v>
      </c>
      <c r="H367" s="6">
        <v>4.5</v>
      </c>
      <c r="I367" s="3">
        <v>31</v>
      </c>
      <c r="J367" s="17" t="str">
        <f>HYPERLINK("https://amazon.com/dp/B0D4CFGXRL","Amazon - B0D4CFGXRL")</f>
        <v>Amazon - B0D4CFGXRL</v>
      </c>
      <c r="K367" s="18" t="s">
        <v>229</v>
      </c>
      <c r="L367" s="18" t="s">
        <v>230</v>
      </c>
      <c r="M367" s="18" t="s">
        <v>242</v>
      </c>
      <c r="N367" s="18" t="s">
        <v>253</v>
      </c>
      <c r="O367" s="18" t="s">
        <v>233</v>
      </c>
      <c r="P367" s="18" t="s">
        <v>271</v>
      </c>
    </row>
    <row r="368" spans="1:16" ht="45" x14ac:dyDescent="0.2">
      <c r="A368" s="2" t="s">
        <v>1032</v>
      </c>
      <c r="B368" s="2" t="s">
        <v>1033</v>
      </c>
      <c r="C368" s="2" t="s">
        <v>204</v>
      </c>
      <c r="D368" s="2" t="s">
        <v>228</v>
      </c>
      <c r="E368" s="4">
        <v>13.89</v>
      </c>
      <c r="F368" s="18"/>
      <c r="G368" s="3">
        <v>0</v>
      </c>
      <c r="H368" s="6">
        <v>5</v>
      </c>
      <c r="I368" s="3">
        <v>1</v>
      </c>
      <c r="J368" s="17" t="str">
        <f>HYPERLINK("https://amazon.com/dp/B06XNWQ96Z","Amazon - B06XNWQ96Z")</f>
        <v>Amazon - B06XNWQ96Z</v>
      </c>
      <c r="K368" s="18" t="s">
        <v>229</v>
      </c>
      <c r="L368" s="18" t="s">
        <v>230</v>
      </c>
      <c r="M368" s="18" t="s">
        <v>271</v>
      </c>
      <c r="N368" s="18" t="s">
        <v>271</v>
      </c>
      <c r="O368" s="18" t="s">
        <v>233</v>
      </c>
      <c r="P368" s="18" t="s">
        <v>271</v>
      </c>
    </row>
    <row r="369" spans="1:16" ht="45" x14ac:dyDescent="0.2">
      <c r="A369" s="2" t="s">
        <v>1034</v>
      </c>
      <c r="B369" s="2" t="s">
        <v>1035</v>
      </c>
      <c r="C369" s="2" t="s">
        <v>198</v>
      </c>
      <c r="D369" s="2" t="s">
        <v>228</v>
      </c>
      <c r="E369" s="4">
        <v>48.99</v>
      </c>
      <c r="F369" s="18"/>
      <c r="G369" s="3">
        <v>0</v>
      </c>
      <c r="H369" s="6">
        <v>0</v>
      </c>
      <c r="I369" s="3">
        <v>0</v>
      </c>
      <c r="J369" s="17" t="str">
        <f>HYPERLINK("https://amazon.com/dp/B0DKNK4RG9","Amazon - B0DKNK4RG9")</f>
        <v>Amazon - B0DKNK4RG9</v>
      </c>
      <c r="K369" s="18" t="s">
        <v>229</v>
      </c>
      <c r="L369" s="18" t="s">
        <v>230</v>
      </c>
      <c r="M369" s="18" t="s">
        <v>231</v>
      </c>
      <c r="N369" s="18" t="s">
        <v>271</v>
      </c>
      <c r="O369" s="18" t="s">
        <v>233</v>
      </c>
      <c r="P369" s="18" t="s">
        <v>379</v>
      </c>
    </row>
    <row r="370" spans="1:16" x14ac:dyDescent="0.2">
      <c r="A370" s="2" t="s">
        <v>1036</v>
      </c>
      <c r="B370" s="2" t="s">
        <v>1037</v>
      </c>
      <c r="C370" s="2" t="s">
        <v>16</v>
      </c>
      <c r="D370" s="2" t="s">
        <v>228</v>
      </c>
      <c r="E370" s="4">
        <v>109.74</v>
      </c>
      <c r="F370" s="18"/>
      <c r="G370" s="3">
        <v>0</v>
      </c>
      <c r="H370" s="6">
        <v>0</v>
      </c>
      <c r="I370" s="3">
        <v>0</v>
      </c>
      <c r="J370" s="17" t="str">
        <f>HYPERLINK("https://amazon.com/dp/B0FR5HTWXN","Amazon - B0FR5HTWXN")</f>
        <v>Amazon - B0FR5HTWXN</v>
      </c>
      <c r="K370" s="18" t="s">
        <v>229</v>
      </c>
      <c r="L370" s="18" t="s">
        <v>230</v>
      </c>
      <c r="M370" s="18" t="s">
        <v>271</v>
      </c>
      <c r="N370" s="18" t="s">
        <v>271</v>
      </c>
      <c r="O370" s="18" t="s">
        <v>233</v>
      </c>
      <c r="P370" s="18" t="s">
        <v>271</v>
      </c>
    </row>
    <row r="371" spans="1:16" ht="45" x14ac:dyDescent="0.2">
      <c r="A371" s="2" t="s">
        <v>1038</v>
      </c>
      <c r="B371" s="2" t="s">
        <v>1039</v>
      </c>
      <c r="C371" s="2" t="s">
        <v>181</v>
      </c>
      <c r="D371" s="2" t="s">
        <v>228</v>
      </c>
      <c r="E371" s="4">
        <v>53.98</v>
      </c>
      <c r="F371" s="18"/>
      <c r="G371" s="3">
        <v>0</v>
      </c>
      <c r="H371" s="6">
        <v>0</v>
      </c>
      <c r="I371" s="3">
        <v>0</v>
      </c>
      <c r="J371" s="17" t="str">
        <f>HYPERLINK("https://amazon.com/dp/B0DQY9BM4H","Amazon - B0DQY9BM4H")</f>
        <v>Amazon - B0DQY9BM4H</v>
      </c>
      <c r="K371" s="18" t="s">
        <v>229</v>
      </c>
      <c r="L371" s="18" t="s">
        <v>230</v>
      </c>
      <c r="M371" s="18" t="s">
        <v>237</v>
      </c>
      <c r="N371" s="18" t="s">
        <v>271</v>
      </c>
      <c r="O371" s="18" t="s">
        <v>246</v>
      </c>
      <c r="P371" s="18" t="s">
        <v>379</v>
      </c>
    </row>
    <row r="372" spans="1:16" ht="45" x14ac:dyDescent="0.2">
      <c r="A372" s="2" t="s">
        <v>1040</v>
      </c>
      <c r="B372" s="2" t="s">
        <v>1041</v>
      </c>
      <c r="C372" s="2" t="s">
        <v>175</v>
      </c>
      <c r="D372" s="2" t="s">
        <v>228</v>
      </c>
      <c r="E372" s="4">
        <v>29.99</v>
      </c>
      <c r="F372" s="18"/>
      <c r="G372" s="3">
        <v>0</v>
      </c>
      <c r="H372" s="6">
        <v>4.4000000000000004</v>
      </c>
      <c r="I372" s="3">
        <v>11</v>
      </c>
      <c r="J372" s="17" t="str">
        <f>HYPERLINK("https://amazon.com/dp/B0F89Y8S2H","Amazon - B0F89Y8S2H")</f>
        <v>Amazon - B0F89Y8S2H</v>
      </c>
      <c r="K372" s="18" t="s">
        <v>229</v>
      </c>
      <c r="L372" s="18" t="s">
        <v>230</v>
      </c>
      <c r="M372" s="18" t="s">
        <v>237</v>
      </c>
      <c r="N372" s="18" t="s">
        <v>271</v>
      </c>
      <c r="O372" s="18" t="s">
        <v>233</v>
      </c>
      <c r="P372" s="18" t="s">
        <v>271</v>
      </c>
    </row>
    <row r="373" spans="1:16" ht="30" x14ac:dyDescent="0.2">
      <c r="A373" s="2" t="s">
        <v>1042</v>
      </c>
      <c r="B373" s="2" t="s">
        <v>973</v>
      </c>
      <c r="C373" s="2" t="s">
        <v>46</v>
      </c>
      <c r="D373" s="2" t="s">
        <v>228</v>
      </c>
      <c r="E373" s="4">
        <v>29.99</v>
      </c>
      <c r="F373" s="18"/>
      <c r="G373" s="3">
        <v>0</v>
      </c>
      <c r="H373" s="6">
        <v>4.0999999999999996</v>
      </c>
      <c r="I373" s="3">
        <v>25</v>
      </c>
      <c r="J373" s="17" t="str">
        <f>HYPERLINK("https://amazon.com/dp/B0CYPT5V6H","Amazon - B0CYPT5V6H")</f>
        <v>Amazon - B0CYPT5V6H</v>
      </c>
      <c r="K373" s="18" t="s">
        <v>229</v>
      </c>
      <c r="L373" s="18" t="s">
        <v>230</v>
      </c>
      <c r="M373" s="18" t="s">
        <v>271</v>
      </c>
      <c r="N373" s="18" t="s">
        <v>271</v>
      </c>
      <c r="O373" s="18" t="s">
        <v>233</v>
      </c>
      <c r="P373" s="18" t="s">
        <v>305</v>
      </c>
    </row>
    <row r="374" spans="1:16" ht="30" x14ac:dyDescent="0.2">
      <c r="A374" s="2" t="s">
        <v>1043</v>
      </c>
      <c r="B374" s="2" t="s">
        <v>1044</v>
      </c>
      <c r="C374" s="2" t="s">
        <v>86</v>
      </c>
      <c r="D374" s="2" t="s">
        <v>228</v>
      </c>
      <c r="E374" s="4">
        <v>64.989999999999995</v>
      </c>
      <c r="F374" s="18"/>
      <c r="G374" s="3">
        <v>0</v>
      </c>
      <c r="H374" s="6">
        <v>4.5</v>
      </c>
      <c r="I374" s="3">
        <v>34</v>
      </c>
      <c r="J374" s="17" t="str">
        <f>HYPERLINK("https://amazon.com/dp/B0D1RHPK3R","Amazon - B0D1RHPK3R")</f>
        <v>Amazon - B0D1RHPK3R</v>
      </c>
      <c r="K374" s="18" t="s">
        <v>229</v>
      </c>
      <c r="L374" s="18" t="s">
        <v>230</v>
      </c>
      <c r="M374" s="18" t="s">
        <v>237</v>
      </c>
      <c r="N374" s="18" t="s">
        <v>271</v>
      </c>
      <c r="O374" s="18" t="s">
        <v>316</v>
      </c>
      <c r="P374" s="18" t="s">
        <v>321</v>
      </c>
    </row>
    <row r="375" spans="1:16" ht="45" x14ac:dyDescent="0.2">
      <c r="A375" s="2" t="s">
        <v>1045</v>
      </c>
      <c r="B375" s="2" t="s">
        <v>1046</v>
      </c>
      <c r="C375" s="2" t="s">
        <v>37</v>
      </c>
      <c r="D375" s="2" t="s">
        <v>228</v>
      </c>
      <c r="E375" s="4">
        <v>49</v>
      </c>
      <c r="F375" s="18"/>
      <c r="G375" s="3">
        <v>0</v>
      </c>
      <c r="H375" s="6">
        <v>4.5</v>
      </c>
      <c r="I375" s="3">
        <v>11</v>
      </c>
      <c r="J375" s="17" t="str">
        <f>HYPERLINK("https://amazon.com/dp/B0D8VTS9DS","Amazon - B0D8VTS9DS")</f>
        <v>Amazon - B0D8VTS9DS</v>
      </c>
      <c r="K375" s="18" t="s">
        <v>229</v>
      </c>
      <c r="L375" s="18" t="s">
        <v>230</v>
      </c>
      <c r="M375" s="18" t="s">
        <v>271</v>
      </c>
      <c r="N375" s="18" t="s">
        <v>238</v>
      </c>
      <c r="O375" s="18" t="s">
        <v>233</v>
      </c>
      <c r="P375" s="18" t="s">
        <v>271</v>
      </c>
    </row>
    <row r="376" spans="1:16" ht="30" x14ac:dyDescent="0.2">
      <c r="A376" s="2" t="s">
        <v>1047</v>
      </c>
      <c r="B376" s="2" t="s">
        <v>1048</v>
      </c>
      <c r="C376" s="2" t="s">
        <v>174</v>
      </c>
      <c r="D376" s="2" t="s">
        <v>228</v>
      </c>
      <c r="E376" s="4">
        <v>90.4</v>
      </c>
      <c r="F376" s="18"/>
      <c r="G376" s="3">
        <v>0</v>
      </c>
      <c r="H376" s="6">
        <v>4.9000000000000004</v>
      </c>
      <c r="I376" s="3">
        <v>16</v>
      </c>
      <c r="J376" s="17" t="str">
        <f>HYPERLINK("https://amazon.com/dp/B0DFCNZM93","Amazon - B0DFCNZM93")</f>
        <v>Amazon - B0DFCNZM93</v>
      </c>
      <c r="K376" s="18" t="s">
        <v>229</v>
      </c>
      <c r="L376" s="18" t="s">
        <v>230</v>
      </c>
      <c r="M376" s="18" t="s">
        <v>242</v>
      </c>
      <c r="N376" s="18" t="s">
        <v>271</v>
      </c>
      <c r="O376" s="18" t="s">
        <v>233</v>
      </c>
      <c r="P376" s="18" t="s">
        <v>271</v>
      </c>
    </row>
    <row r="377" spans="1:16" ht="30" x14ac:dyDescent="0.2">
      <c r="A377" s="2" t="s">
        <v>1049</v>
      </c>
      <c r="B377" s="2" t="s">
        <v>1050</v>
      </c>
      <c r="C377" s="2" t="s">
        <v>8</v>
      </c>
      <c r="D377" s="2" t="s">
        <v>228</v>
      </c>
      <c r="E377" s="4">
        <v>99.99</v>
      </c>
      <c r="F377" s="18"/>
      <c r="G377" s="3">
        <v>0</v>
      </c>
      <c r="H377" s="6">
        <v>5</v>
      </c>
      <c r="I377" s="3">
        <v>14</v>
      </c>
      <c r="J377" s="17" t="str">
        <f>HYPERLINK("https://amazon.com/dp/B08QCN6B9G","Amazon - B08QCN6B9G")</f>
        <v>Amazon - B08QCN6B9G</v>
      </c>
      <c r="K377" s="18" t="s">
        <v>229</v>
      </c>
      <c r="L377" s="18" t="s">
        <v>230</v>
      </c>
      <c r="M377" s="18" t="s">
        <v>271</v>
      </c>
      <c r="N377" s="18" t="s">
        <v>243</v>
      </c>
      <c r="O377" s="18" t="s">
        <v>246</v>
      </c>
      <c r="P377" s="18" t="s">
        <v>256</v>
      </c>
    </row>
    <row r="378" spans="1:16" ht="30" x14ac:dyDescent="0.2">
      <c r="A378" s="2" t="s">
        <v>1051</v>
      </c>
      <c r="B378" s="2" t="s">
        <v>1052</v>
      </c>
      <c r="C378" s="2" t="s">
        <v>149</v>
      </c>
      <c r="D378" s="2" t="s">
        <v>228</v>
      </c>
      <c r="E378" s="4">
        <v>96.3</v>
      </c>
      <c r="F378" s="18"/>
      <c r="G378" s="3">
        <v>0</v>
      </c>
      <c r="H378" s="6">
        <v>0</v>
      </c>
      <c r="I378" s="3">
        <v>0</v>
      </c>
      <c r="J378" s="17" t="str">
        <f>HYPERLINK("https://amazon.com/dp/B0G4MKGQXB","Amazon - B0G4MKGQXB")</f>
        <v>Amazon - B0G4MKGQXB</v>
      </c>
      <c r="K378" s="18" t="s">
        <v>229</v>
      </c>
      <c r="L378" s="18" t="s">
        <v>230</v>
      </c>
      <c r="M378" s="18" t="s">
        <v>271</v>
      </c>
      <c r="N378" s="18" t="s">
        <v>271</v>
      </c>
      <c r="O378" s="18" t="s">
        <v>233</v>
      </c>
      <c r="P378" s="18" t="s">
        <v>271</v>
      </c>
    </row>
    <row r="379" spans="1:16" ht="45" x14ac:dyDescent="0.2">
      <c r="A379" s="2" t="s">
        <v>1053</v>
      </c>
      <c r="B379" s="2" t="s">
        <v>1054</v>
      </c>
      <c r="C379" s="2" t="s">
        <v>160</v>
      </c>
      <c r="D379" s="2" t="s">
        <v>228</v>
      </c>
      <c r="E379" s="4">
        <v>38.99</v>
      </c>
      <c r="F379" s="18"/>
      <c r="G379" s="3">
        <v>0</v>
      </c>
      <c r="H379" s="6">
        <v>0</v>
      </c>
      <c r="I379" s="3">
        <v>0</v>
      </c>
      <c r="J379" s="17" t="str">
        <f>HYPERLINK("https://amazon.com/dp/B0FXGM97SY","Amazon - B0FXGM97SY")</f>
        <v>Amazon - B0FXGM97SY</v>
      </c>
      <c r="K379" s="18" t="s">
        <v>229</v>
      </c>
      <c r="L379" s="18" t="s">
        <v>230</v>
      </c>
      <c r="M379" s="18" t="s">
        <v>242</v>
      </c>
      <c r="N379" s="18" t="s">
        <v>232</v>
      </c>
      <c r="O379" s="18" t="s">
        <v>233</v>
      </c>
      <c r="P379" s="18" t="s">
        <v>305</v>
      </c>
    </row>
    <row r="380" spans="1:16" ht="30" x14ac:dyDescent="0.2">
      <c r="A380" s="2" t="s">
        <v>1055</v>
      </c>
      <c r="B380" s="2" t="s">
        <v>1056</v>
      </c>
      <c r="C380" s="2" t="s">
        <v>200</v>
      </c>
      <c r="D380" s="2" t="s">
        <v>228</v>
      </c>
      <c r="E380" s="4">
        <v>18.989999999999998</v>
      </c>
      <c r="F380" s="18"/>
      <c r="G380" s="3">
        <v>0</v>
      </c>
      <c r="H380" s="6">
        <v>2.9</v>
      </c>
      <c r="I380" s="3">
        <v>3</v>
      </c>
      <c r="J380" s="17" t="str">
        <f>HYPERLINK("https://amazon.com/dp/B0CCWSFBFP","Amazon - B0CCWSFBFP")</f>
        <v>Amazon - B0CCWSFBFP</v>
      </c>
      <c r="K380" s="18" t="s">
        <v>229</v>
      </c>
      <c r="L380" s="18" t="s">
        <v>230</v>
      </c>
      <c r="M380" s="18" t="s">
        <v>691</v>
      </c>
      <c r="N380" s="18" t="s">
        <v>265</v>
      </c>
      <c r="O380" s="18" t="s">
        <v>233</v>
      </c>
      <c r="P380" s="18" t="s">
        <v>278</v>
      </c>
    </row>
    <row r="381" spans="1:16" ht="30" x14ac:dyDescent="0.2">
      <c r="A381" s="2" t="s">
        <v>1057</v>
      </c>
      <c r="B381" s="2" t="s">
        <v>555</v>
      </c>
      <c r="C381" s="2" t="s">
        <v>46</v>
      </c>
      <c r="D381" s="2" t="s">
        <v>228</v>
      </c>
      <c r="E381" s="4">
        <v>20.99</v>
      </c>
      <c r="F381" s="18"/>
      <c r="G381" s="3">
        <v>0</v>
      </c>
      <c r="H381" s="6">
        <v>4.9000000000000004</v>
      </c>
      <c r="I381" s="3">
        <v>6</v>
      </c>
      <c r="J381" s="17" t="str">
        <f>HYPERLINK("https://amazon.com/dp/B0CPLMR6S4","Amazon - B0CPLMR6S4")</f>
        <v>Amazon - B0CPLMR6S4</v>
      </c>
      <c r="K381" s="18" t="s">
        <v>229</v>
      </c>
      <c r="L381" s="18" t="s">
        <v>230</v>
      </c>
      <c r="M381" s="18" t="s">
        <v>271</v>
      </c>
      <c r="N381" s="18" t="s">
        <v>232</v>
      </c>
      <c r="O381" s="18" t="s">
        <v>233</v>
      </c>
      <c r="P381" s="18" t="s">
        <v>556</v>
      </c>
    </row>
    <row r="382" spans="1:16" ht="30" x14ac:dyDescent="0.2">
      <c r="A382" s="2" t="s">
        <v>1058</v>
      </c>
      <c r="B382" s="2" t="s">
        <v>1059</v>
      </c>
      <c r="C382" s="2" t="s">
        <v>144</v>
      </c>
      <c r="D382" s="2" t="s">
        <v>228</v>
      </c>
      <c r="E382" s="4">
        <v>32.97</v>
      </c>
      <c r="F382" s="18"/>
      <c r="G382" s="3">
        <v>0</v>
      </c>
      <c r="H382" s="6">
        <v>3.4</v>
      </c>
      <c r="I382" s="3">
        <v>256</v>
      </c>
      <c r="J382" s="17" t="str">
        <f>HYPERLINK("https://amazon.com/dp/B09GG5X539","Amazon - B09GG5X539")</f>
        <v>Amazon - B09GG5X539</v>
      </c>
      <c r="K382" s="18" t="s">
        <v>229</v>
      </c>
      <c r="L382" s="18" t="s">
        <v>230</v>
      </c>
      <c r="M382" s="18" t="s">
        <v>691</v>
      </c>
      <c r="N382" s="18" t="s">
        <v>271</v>
      </c>
      <c r="O382" s="18" t="s">
        <v>233</v>
      </c>
      <c r="P382" s="18" t="s">
        <v>379</v>
      </c>
    </row>
    <row r="383" spans="1:16" ht="30" x14ac:dyDescent="0.2">
      <c r="A383" s="2" t="s">
        <v>1060</v>
      </c>
      <c r="B383" s="2" t="s">
        <v>1061</v>
      </c>
      <c r="C383" s="2" t="s">
        <v>25</v>
      </c>
      <c r="D383" s="2" t="s">
        <v>228</v>
      </c>
      <c r="E383" s="4">
        <v>849.98</v>
      </c>
      <c r="F383" s="18"/>
      <c r="G383" s="3">
        <v>0</v>
      </c>
      <c r="H383" s="6">
        <v>2.1</v>
      </c>
      <c r="I383" s="3">
        <v>5</v>
      </c>
      <c r="J383" s="17" t="str">
        <f>HYPERLINK("https://amazon.com/dp/B01403J8AU","Amazon - B01403J8AU")</f>
        <v>Amazon - B01403J8AU</v>
      </c>
      <c r="K383" s="18" t="s">
        <v>229</v>
      </c>
      <c r="L383" s="18" t="s">
        <v>230</v>
      </c>
      <c r="M383" s="18" t="s">
        <v>242</v>
      </c>
      <c r="N383" s="18" t="s">
        <v>271</v>
      </c>
      <c r="O383" s="18" t="s">
        <v>233</v>
      </c>
      <c r="P383" s="18" t="s">
        <v>1062</v>
      </c>
    </row>
    <row r="384" spans="1:16" ht="45" x14ac:dyDescent="0.2">
      <c r="A384" s="2" t="s">
        <v>1063</v>
      </c>
      <c r="B384" s="2" t="s">
        <v>1064</v>
      </c>
      <c r="C384" s="2" t="s">
        <v>177</v>
      </c>
      <c r="D384" s="2" t="s">
        <v>228</v>
      </c>
      <c r="E384" s="4">
        <v>28.99</v>
      </c>
      <c r="F384" s="18"/>
      <c r="G384" s="3">
        <v>0</v>
      </c>
      <c r="H384" s="6">
        <v>5</v>
      </c>
      <c r="I384" s="3">
        <v>1</v>
      </c>
      <c r="J384" s="17" t="str">
        <f>HYPERLINK("https://amazon.com/dp/B0DRNZXBBX","Amazon - B0DRNZXBBX")</f>
        <v>Amazon - B0DRNZXBBX</v>
      </c>
      <c r="K384" s="18" t="s">
        <v>229</v>
      </c>
      <c r="L384" s="18" t="s">
        <v>230</v>
      </c>
      <c r="M384" s="18" t="s">
        <v>237</v>
      </c>
      <c r="N384" s="18" t="s">
        <v>232</v>
      </c>
      <c r="O384" s="18" t="s">
        <v>246</v>
      </c>
      <c r="P384" s="18" t="s">
        <v>271</v>
      </c>
    </row>
    <row r="385" spans="1:16" ht="30" x14ac:dyDescent="0.2">
      <c r="A385" s="2" t="s">
        <v>1065</v>
      </c>
      <c r="B385" s="2" t="s">
        <v>1066</v>
      </c>
      <c r="C385" s="2" t="s">
        <v>144</v>
      </c>
      <c r="D385" s="2" t="s">
        <v>228</v>
      </c>
      <c r="E385" s="4">
        <v>32.97</v>
      </c>
      <c r="F385" s="18"/>
      <c r="G385" s="3">
        <v>0</v>
      </c>
      <c r="H385" s="6">
        <v>3.3</v>
      </c>
      <c r="I385" s="3">
        <v>256</v>
      </c>
      <c r="J385" s="17" t="str">
        <f>HYPERLINK("https://amazon.com/dp/B09GG1YN3H","Amazon - B09GG1YN3H")</f>
        <v>Amazon - B09GG1YN3H</v>
      </c>
      <c r="K385" s="18" t="s">
        <v>229</v>
      </c>
      <c r="L385" s="18" t="s">
        <v>230</v>
      </c>
      <c r="M385" s="18" t="s">
        <v>691</v>
      </c>
      <c r="N385" s="18" t="s">
        <v>271</v>
      </c>
      <c r="O385" s="18" t="s">
        <v>233</v>
      </c>
      <c r="P385" s="18" t="s">
        <v>234</v>
      </c>
    </row>
    <row r="386" spans="1:16" ht="30" x14ac:dyDescent="0.2">
      <c r="A386" s="2" t="s">
        <v>1067</v>
      </c>
      <c r="B386" s="2" t="s">
        <v>1068</v>
      </c>
      <c r="C386" s="2" t="s">
        <v>144</v>
      </c>
      <c r="D386" s="2" t="s">
        <v>228</v>
      </c>
      <c r="E386" s="4">
        <v>51.48</v>
      </c>
      <c r="F386" s="18"/>
      <c r="G386" s="3">
        <v>0</v>
      </c>
      <c r="H386" s="6">
        <v>3.4</v>
      </c>
      <c r="I386" s="3">
        <v>256</v>
      </c>
      <c r="J386" s="17" t="str">
        <f>HYPERLINK("https://amazon.com/dp/B09GG4W335","Amazon - B09GG4W335")</f>
        <v>Amazon - B09GG4W335</v>
      </c>
      <c r="K386" s="18" t="s">
        <v>229</v>
      </c>
      <c r="L386" s="18" t="s">
        <v>230</v>
      </c>
      <c r="M386" s="18" t="s">
        <v>691</v>
      </c>
      <c r="N386" s="18" t="s">
        <v>271</v>
      </c>
      <c r="O386" s="18" t="s">
        <v>233</v>
      </c>
      <c r="P386" s="18" t="s">
        <v>305</v>
      </c>
    </row>
    <row r="387" spans="1:16" ht="30" x14ac:dyDescent="0.2">
      <c r="A387" s="2" t="s">
        <v>1069</v>
      </c>
      <c r="B387" s="2" t="s">
        <v>1070</v>
      </c>
      <c r="C387" s="2" t="s">
        <v>144</v>
      </c>
      <c r="D387" s="2" t="s">
        <v>228</v>
      </c>
      <c r="E387" s="4">
        <v>32.979999999999997</v>
      </c>
      <c r="F387" s="18"/>
      <c r="G387" s="3">
        <v>0</v>
      </c>
      <c r="H387" s="6">
        <v>3.3</v>
      </c>
      <c r="I387" s="3">
        <v>256</v>
      </c>
      <c r="J387" s="17" t="str">
        <f>HYPERLINK("https://amazon.com/dp/B09GG59RDV","Amazon - B09GG59RDV")</f>
        <v>Amazon - B09GG59RDV</v>
      </c>
      <c r="K387" s="18" t="s">
        <v>229</v>
      </c>
      <c r="L387" s="18" t="s">
        <v>230</v>
      </c>
      <c r="M387" s="18" t="s">
        <v>691</v>
      </c>
      <c r="N387" s="18" t="s">
        <v>271</v>
      </c>
      <c r="O387" s="18" t="s">
        <v>233</v>
      </c>
      <c r="P387" s="18" t="s">
        <v>297</v>
      </c>
    </row>
    <row r="388" spans="1:16" ht="30" x14ac:dyDescent="0.2">
      <c r="A388" s="2" t="s">
        <v>1071</v>
      </c>
      <c r="B388" s="2" t="s">
        <v>1072</v>
      </c>
      <c r="C388" s="2" t="s">
        <v>160</v>
      </c>
      <c r="D388" s="2" t="s">
        <v>228</v>
      </c>
      <c r="E388" s="4">
        <v>36.99</v>
      </c>
      <c r="F388" s="18"/>
      <c r="G388" s="3">
        <v>0</v>
      </c>
      <c r="H388" s="6">
        <v>4.3</v>
      </c>
      <c r="I388" s="3">
        <v>28</v>
      </c>
      <c r="J388" s="17" t="str">
        <f>HYPERLINK("https://amazon.com/dp/B0FGXZR9ZK","Amazon - B0FGXZR9ZK")</f>
        <v>Amazon - B0FGXZR9ZK</v>
      </c>
      <c r="K388" s="18" t="s">
        <v>229</v>
      </c>
      <c r="L388" s="18" t="s">
        <v>230</v>
      </c>
      <c r="M388" s="18" t="s">
        <v>242</v>
      </c>
      <c r="N388" s="18" t="s">
        <v>271</v>
      </c>
      <c r="O388" s="18" t="s">
        <v>233</v>
      </c>
      <c r="P388" s="18" t="s">
        <v>271</v>
      </c>
    </row>
    <row r="389" spans="1:16" ht="30" x14ac:dyDescent="0.2">
      <c r="A389" s="2" t="s">
        <v>1073</v>
      </c>
      <c r="B389" s="2" t="s">
        <v>1072</v>
      </c>
      <c r="C389" s="2" t="s">
        <v>160</v>
      </c>
      <c r="D389" s="2" t="s">
        <v>228</v>
      </c>
      <c r="E389" s="4">
        <v>32.99</v>
      </c>
      <c r="F389" s="18"/>
      <c r="G389" s="3">
        <v>0</v>
      </c>
      <c r="H389" s="6">
        <v>4.3</v>
      </c>
      <c r="I389" s="3">
        <v>29</v>
      </c>
      <c r="J389" s="17" t="str">
        <f>HYPERLINK("https://amazon.com/dp/B0FGXR42WC","Amazon - B0FGXR42WC")</f>
        <v>Amazon - B0FGXR42WC</v>
      </c>
      <c r="K389" s="18" t="s">
        <v>229</v>
      </c>
      <c r="L389" s="18" t="s">
        <v>230</v>
      </c>
      <c r="M389" s="18" t="s">
        <v>242</v>
      </c>
      <c r="N389" s="18" t="s">
        <v>271</v>
      </c>
      <c r="O389" s="18" t="s">
        <v>233</v>
      </c>
      <c r="P389" s="18" t="s">
        <v>271</v>
      </c>
    </row>
    <row r="390" spans="1:16" ht="30" x14ac:dyDescent="0.2">
      <c r="A390" s="2" t="s">
        <v>1074</v>
      </c>
      <c r="B390" s="2" t="s">
        <v>1075</v>
      </c>
      <c r="C390" s="2" t="s">
        <v>142</v>
      </c>
      <c r="D390" s="2" t="s">
        <v>228</v>
      </c>
      <c r="E390" s="4">
        <v>12.59</v>
      </c>
      <c r="F390" s="18"/>
      <c r="G390" s="3">
        <v>0</v>
      </c>
      <c r="H390" s="6">
        <v>3.5</v>
      </c>
      <c r="I390" s="3">
        <v>5</v>
      </c>
      <c r="J390" s="17" t="str">
        <f>HYPERLINK("https://amazon.com/dp/B0C4K1RRPP","Amazon - B0C4K1RRPP")</f>
        <v>Amazon - B0C4K1RRPP</v>
      </c>
      <c r="K390" s="18" t="s">
        <v>229</v>
      </c>
      <c r="L390" s="18" t="s">
        <v>230</v>
      </c>
      <c r="M390" s="18" t="s">
        <v>271</v>
      </c>
      <c r="N390" s="18" t="s">
        <v>271</v>
      </c>
      <c r="O390" s="18" t="s">
        <v>233</v>
      </c>
      <c r="P390" s="18" t="s">
        <v>271</v>
      </c>
    </row>
    <row r="391" spans="1:16" ht="45" x14ac:dyDescent="0.2">
      <c r="A391" s="2" t="s">
        <v>1076</v>
      </c>
      <c r="B391" s="2" t="s">
        <v>1077</v>
      </c>
      <c r="C391" s="2" t="s">
        <v>37</v>
      </c>
      <c r="D391" s="2" t="s">
        <v>228</v>
      </c>
      <c r="E391" s="4">
        <v>199</v>
      </c>
      <c r="F391" s="18"/>
      <c r="G391" s="3">
        <v>0</v>
      </c>
      <c r="H391" s="6">
        <v>2.9</v>
      </c>
      <c r="I391" s="3">
        <v>3</v>
      </c>
      <c r="J391" s="17" t="str">
        <f>HYPERLINK("https://amazon.com/dp/B0BXRGS9NK","Amazon - B0BXRGS9NK")</f>
        <v>Amazon - B0BXRGS9NK</v>
      </c>
      <c r="K391" s="18" t="s">
        <v>229</v>
      </c>
      <c r="L391" s="18" t="s">
        <v>230</v>
      </c>
      <c r="M391" s="18" t="s">
        <v>271</v>
      </c>
      <c r="N391" s="18" t="s">
        <v>271</v>
      </c>
      <c r="O391" s="18" t="s">
        <v>233</v>
      </c>
      <c r="P391" s="18" t="s">
        <v>271</v>
      </c>
    </row>
    <row r="392" spans="1:16" ht="45" x14ac:dyDescent="0.2">
      <c r="A392" s="2" t="s">
        <v>1078</v>
      </c>
      <c r="B392" s="2" t="s">
        <v>1079</v>
      </c>
      <c r="C392" s="2" t="s">
        <v>78</v>
      </c>
      <c r="D392" s="2" t="s">
        <v>228</v>
      </c>
      <c r="E392" s="4">
        <v>89.99</v>
      </c>
      <c r="F392" s="18"/>
      <c r="G392" s="3">
        <v>0</v>
      </c>
      <c r="H392" s="6">
        <v>3.7</v>
      </c>
      <c r="I392" s="3">
        <v>9</v>
      </c>
      <c r="J392" s="17" t="str">
        <f>HYPERLINK("https://amazon.com/dp/B0D3TV89KV","Amazon - B0D3TV89KV")</f>
        <v>Amazon - B0D3TV89KV</v>
      </c>
      <c r="K392" s="18" t="s">
        <v>229</v>
      </c>
      <c r="L392" s="18" t="s">
        <v>230</v>
      </c>
      <c r="M392" s="18" t="s">
        <v>242</v>
      </c>
      <c r="N392" s="18" t="s">
        <v>232</v>
      </c>
      <c r="O392" s="18" t="s">
        <v>316</v>
      </c>
      <c r="P392" s="18" t="s">
        <v>305</v>
      </c>
    </row>
    <row r="393" spans="1:16" ht="45" x14ac:dyDescent="0.2">
      <c r="A393" s="2" t="s">
        <v>1080</v>
      </c>
      <c r="B393" s="2" t="s">
        <v>1081</v>
      </c>
      <c r="C393" s="2" t="s">
        <v>78</v>
      </c>
      <c r="D393" s="2" t="s">
        <v>228</v>
      </c>
      <c r="E393" s="4">
        <v>79.989999999999995</v>
      </c>
      <c r="F393" s="18"/>
      <c r="G393" s="3">
        <v>0</v>
      </c>
      <c r="H393" s="6">
        <v>3.7</v>
      </c>
      <c r="I393" s="3">
        <v>9</v>
      </c>
      <c r="J393" s="17" t="str">
        <f>HYPERLINK("https://amazon.com/dp/B0D3TMMQF5","Amazon - B0D3TMMQF5")</f>
        <v>Amazon - B0D3TMMQF5</v>
      </c>
      <c r="K393" s="18" t="s">
        <v>229</v>
      </c>
      <c r="L393" s="18" t="s">
        <v>230</v>
      </c>
      <c r="M393" s="18" t="s">
        <v>242</v>
      </c>
      <c r="N393" s="18" t="s">
        <v>339</v>
      </c>
      <c r="O393" s="18" t="s">
        <v>246</v>
      </c>
      <c r="P393" s="18" t="s">
        <v>305</v>
      </c>
    </row>
    <row r="394" spans="1:16" ht="30" x14ac:dyDescent="0.2">
      <c r="A394" s="2" t="s">
        <v>1082</v>
      </c>
      <c r="B394" s="2" t="s">
        <v>1083</v>
      </c>
      <c r="C394" s="2" t="s">
        <v>141</v>
      </c>
      <c r="D394" s="2" t="s">
        <v>228</v>
      </c>
      <c r="E394" s="4">
        <v>76.349999999999994</v>
      </c>
      <c r="F394" s="18"/>
      <c r="G394" s="3">
        <v>0</v>
      </c>
      <c r="H394" s="6">
        <v>0</v>
      </c>
      <c r="I394" s="3">
        <v>0</v>
      </c>
      <c r="J394" s="17" t="str">
        <f>HYPERLINK("https://amazon.com/dp/B0CLP62J18","Amazon - B0CLP62J18")</f>
        <v>Amazon - B0CLP62J18</v>
      </c>
      <c r="K394" s="18" t="s">
        <v>229</v>
      </c>
      <c r="L394" s="18" t="s">
        <v>230</v>
      </c>
      <c r="M394" s="18" t="s">
        <v>237</v>
      </c>
      <c r="N394" s="18" t="s">
        <v>232</v>
      </c>
      <c r="O394" s="18" t="s">
        <v>233</v>
      </c>
      <c r="P394" s="18" t="s">
        <v>379</v>
      </c>
    </row>
    <row r="395" spans="1:16" ht="30" x14ac:dyDescent="0.2">
      <c r="A395" s="2" t="s">
        <v>1084</v>
      </c>
      <c r="B395" s="2" t="s">
        <v>1085</v>
      </c>
      <c r="C395" s="2" t="s">
        <v>206</v>
      </c>
      <c r="D395" s="2" t="s">
        <v>228</v>
      </c>
      <c r="E395" s="4">
        <v>17.57</v>
      </c>
      <c r="F395" s="18"/>
      <c r="G395" s="3">
        <v>0</v>
      </c>
      <c r="H395" s="6">
        <v>0</v>
      </c>
      <c r="I395" s="3">
        <v>0</v>
      </c>
      <c r="J395" s="17" t="str">
        <f>HYPERLINK("https://amazon.com/dp/B0C2CVF5PT","Amazon - B0C2CVF5PT")</f>
        <v>Amazon - B0C2CVF5PT</v>
      </c>
      <c r="K395" s="18" t="s">
        <v>229</v>
      </c>
      <c r="L395" s="18" t="s">
        <v>230</v>
      </c>
      <c r="M395" s="18" t="s">
        <v>271</v>
      </c>
      <c r="N395" s="18" t="s">
        <v>1086</v>
      </c>
      <c r="O395" s="18" t="s">
        <v>233</v>
      </c>
      <c r="P395" s="18" t="s">
        <v>271</v>
      </c>
    </row>
    <row r="396" spans="1:16" ht="45" x14ac:dyDescent="0.2">
      <c r="A396" s="2" t="s">
        <v>1087</v>
      </c>
      <c r="B396" s="2" t="s">
        <v>1088</v>
      </c>
      <c r="C396" s="2" t="s">
        <v>141</v>
      </c>
      <c r="D396" s="2" t="s">
        <v>228</v>
      </c>
      <c r="E396" s="4">
        <v>33.99</v>
      </c>
      <c r="F396" s="18"/>
      <c r="G396" s="3">
        <v>0</v>
      </c>
      <c r="H396" s="6">
        <v>0</v>
      </c>
      <c r="I396" s="3">
        <v>0</v>
      </c>
      <c r="J396" s="17" t="str">
        <f>HYPERLINK("https://amazon.com/dp/B0CJM9JWZL","Amazon - B0CJM9JWZL")</f>
        <v>Amazon - B0CJM9JWZL</v>
      </c>
      <c r="K396" s="18" t="s">
        <v>229</v>
      </c>
      <c r="L396" s="18" t="s">
        <v>230</v>
      </c>
      <c r="M396" s="18" t="s">
        <v>270</v>
      </c>
      <c r="N396" s="18" t="s">
        <v>232</v>
      </c>
      <c r="O396" s="18" t="s">
        <v>233</v>
      </c>
      <c r="P396" s="18" t="s">
        <v>271</v>
      </c>
    </row>
    <row r="397" spans="1:16" x14ac:dyDescent="0.2">
      <c r="A397" s="2" t="s">
        <v>1089</v>
      </c>
      <c r="B397" s="2" t="s">
        <v>1090</v>
      </c>
      <c r="C397" s="2" t="s">
        <v>36</v>
      </c>
      <c r="D397" s="2" t="s">
        <v>228</v>
      </c>
      <c r="E397" s="4">
        <v>329.95</v>
      </c>
      <c r="F397" s="18"/>
      <c r="G397" s="3">
        <v>0</v>
      </c>
      <c r="H397" s="6">
        <v>3.9</v>
      </c>
      <c r="I397" s="3">
        <v>39</v>
      </c>
      <c r="J397" s="17" t="str">
        <f>HYPERLINK("https://amazon.com/dp/B006PEZ58M","Amazon - B006PEZ58M")</f>
        <v>Amazon - B006PEZ58M</v>
      </c>
      <c r="K397" s="18" t="s">
        <v>229</v>
      </c>
      <c r="L397" s="18" t="s">
        <v>230</v>
      </c>
      <c r="M397" s="18" t="s">
        <v>271</v>
      </c>
      <c r="N397" s="18" t="s">
        <v>271</v>
      </c>
      <c r="O397" s="18" t="s">
        <v>233</v>
      </c>
      <c r="P397" s="18" t="s">
        <v>1091</v>
      </c>
    </row>
    <row r="398" spans="1:16" ht="45" x14ac:dyDescent="0.2">
      <c r="A398" s="2" t="s">
        <v>1092</v>
      </c>
      <c r="B398" s="2" t="s">
        <v>1093</v>
      </c>
      <c r="C398" s="2" t="s">
        <v>25</v>
      </c>
      <c r="D398" s="2" t="s">
        <v>591</v>
      </c>
      <c r="E398" s="4">
        <v>299.98</v>
      </c>
      <c r="F398" s="18"/>
      <c r="G398" s="3">
        <v>0</v>
      </c>
      <c r="H398" s="6">
        <v>4.8</v>
      </c>
      <c r="I398" s="3">
        <v>5</v>
      </c>
      <c r="J398" s="17" t="str">
        <f>HYPERLINK("https://amazon.com/dp/B08QSM45SY","Amazon - B08QSM45SY")</f>
        <v>Amazon - B08QSM45SY</v>
      </c>
      <c r="K398" s="18" t="s">
        <v>286</v>
      </c>
      <c r="L398" s="18" t="s">
        <v>230</v>
      </c>
      <c r="M398" s="18" t="s">
        <v>287</v>
      </c>
      <c r="N398" s="18" t="s">
        <v>238</v>
      </c>
      <c r="O398" s="18" t="s">
        <v>233</v>
      </c>
      <c r="P398" s="18" t="s">
        <v>234</v>
      </c>
    </row>
    <row r="399" spans="1:16" ht="45" x14ac:dyDescent="0.2">
      <c r="A399" s="2" t="s">
        <v>1094</v>
      </c>
      <c r="B399" s="2" t="s">
        <v>1095</v>
      </c>
      <c r="C399" s="2" t="s">
        <v>37</v>
      </c>
      <c r="D399" s="2" t="s">
        <v>228</v>
      </c>
      <c r="E399" s="4">
        <v>249</v>
      </c>
      <c r="F399" s="18"/>
      <c r="G399" s="3">
        <v>0</v>
      </c>
      <c r="H399" s="6">
        <v>5</v>
      </c>
      <c r="I399" s="3">
        <v>3</v>
      </c>
      <c r="J399" s="17" t="str">
        <f>HYPERLINK("https://amazon.com/dp/B0BLTY4HNG","Amazon - B0BLTY4HNG")</f>
        <v>Amazon - B0BLTY4HNG</v>
      </c>
      <c r="K399" s="18" t="s">
        <v>229</v>
      </c>
      <c r="L399" s="18" t="s">
        <v>230</v>
      </c>
      <c r="M399" s="18" t="s">
        <v>271</v>
      </c>
      <c r="N399" s="18" t="s">
        <v>271</v>
      </c>
      <c r="O399" s="18" t="s">
        <v>246</v>
      </c>
      <c r="P399" s="18" t="s">
        <v>271</v>
      </c>
    </row>
    <row r="400" spans="1:16" ht="30" x14ac:dyDescent="0.2">
      <c r="A400" s="2" t="s">
        <v>1096</v>
      </c>
      <c r="B400" s="2" t="s">
        <v>1097</v>
      </c>
      <c r="C400" s="2" t="s">
        <v>99</v>
      </c>
      <c r="D400" s="2" t="s">
        <v>228</v>
      </c>
      <c r="E400" s="4">
        <v>81.09</v>
      </c>
      <c r="F400" s="18"/>
      <c r="G400" s="3">
        <v>0</v>
      </c>
      <c r="H400" s="6">
        <v>0</v>
      </c>
      <c r="I400" s="3">
        <v>0</v>
      </c>
      <c r="J400" s="17" t="str">
        <f>HYPERLINK("https://amazon.com/dp/B0BZSHSNZH","Amazon - B0BZSHSNZH")</f>
        <v>Amazon - B0BZSHSNZH</v>
      </c>
      <c r="K400" s="18" t="s">
        <v>229</v>
      </c>
      <c r="L400" s="18" t="s">
        <v>230</v>
      </c>
      <c r="M400" s="18" t="s">
        <v>237</v>
      </c>
      <c r="N400" s="18" t="s">
        <v>232</v>
      </c>
      <c r="O400" s="18" t="s">
        <v>233</v>
      </c>
      <c r="P400" s="18" t="s">
        <v>889</v>
      </c>
    </row>
    <row r="401" spans="1:16" ht="45" x14ac:dyDescent="0.2">
      <c r="A401" s="2" t="s">
        <v>1098</v>
      </c>
      <c r="B401" s="2" t="s">
        <v>1099</v>
      </c>
      <c r="C401" s="2" t="s">
        <v>160</v>
      </c>
      <c r="D401" s="2" t="s">
        <v>228</v>
      </c>
      <c r="E401" s="4">
        <v>38.99</v>
      </c>
      <c r="F401" s="18"/>
      <c r="G401" s="3">
        <v>0</v>
      </c>
      <c r="H401" s="6">
        <v>3.8</v>
      </c>
      <c r="I401" s="3">
        <v>27</v>
      </c>
      <c r="J401" s="17" t="str">
        <f>HYPERLINK("https://amazon.com/dp/B0FJ5NN2KG","Amazon - B0FJ5NN2KG")</f>
        <v>Amazon - B0FJ5NN2KG</v>
      </c>
      <c r="K401" s="18" t="s">
        <v>229</v>
      </c>
      <c r="L401" s="18" t="s">
        <v>230</v>
      </c>
      <c r="M401" s="18" t="s">
        <v>242</v>
      </c>
      <c r="N401" s="18" t="s">
        <v>271</v>
      </c>
      <c r="O401" s="18" t="s">
        <v>233</v>
      </c>
      <c r="P401" s="18" t="s">
        <v>305</v>
      </c>
    </row>
    <row r="402" spans="1:16" ht="45" x14ac:dyDescent="0.2">
      <c r="A402" s="2" t="s">
        <v>1100</v>
      </c>
      <c r="B402" s="2" t="s">
        <v>1101</v>
      </c>
      <c r="C402" s="2" t="s">
        <v>160</v>
      </c>
      <c r="D402" s="2" t="s">
        <v>228</v>
      </c>
      <c r="E402" s="4">
        <v>43.99</v>
      </c>
      <c r="F402" s="18"/>
      <c r="G402" s="3">
        <v>0</v>
      </c>
      <c r="H402" s="6">
        <v>3.8</v>
      </c>
      <c r="I402" s="3">
        <v>27</v>
      </c>
      <c r="J402" s="17" t="str">
        <f>HYPERLINK("https://amazon.com/dp/B0FJ5KPPRB","Amazon - B0FJ5KPPRB")</f>
        <v>Amazon - B0FJ5KPPRB</v>
      </c>
      <c r="K402" s="18" t="s">
        <v>229</v>
      </c>
      <c r="L402" s="18" t="s">
        <v>230</v>
      </c>
      <c r="M402" s="18" t="s">
        <v>242</v>
      </c>
      <c r="N402" s="18" t="s">
        <v>271</v>
      </c>
      <c r="O402" s="18" t="s">
        <v>233</v>
      </c>
      <c r="P402" s="18" t="s">
        <v>379</v>
      </c>
    </row>
    <row r="403" spans="1:16" x14ac:dyDescent="0.2">
      <c r="A403" s="2" t="s">
        <v>1102</v>
      </c>
      <c r="B403" s="2" t="s">
        <v>1103</v>
      </c>
      <c r="C403" s="2" t="s">
        <v>36</v>
      </c>
      <c r="D403" s="2" t="s">
        <v>228</v>
      </c>
      <c r="E403" s="4">
        <v>439.99</v>
      </c>
      <c r="F403" s="18"/>
      <c r="G403" s="3">
        <v>0</v>
      </c>
      <c r="H403" s="6">
        <v>4.4000000000000004</v>
      </c>
      <c r="I403" s="3">
        <v>13</v>
      </c>
      <c r="J403" s="17" t="str">
        <f>HYPERLINK("https://amazon.com/dp/B01IB26MP0","Amazon - B01IB26MP0")</f>
        <v>Amazon - B01IB26MP0</v>
      </c>
      <c r="K403" s="18" t="s">
        <v>229</v>
      </c>
      <c r="L403" s="18" t="s">
        <v>230</v>
      </c>
      <c r="M403" s="18" t="s">
        <v>271</v>
      </c>
      <c r="N403" s="18" t="s">
        <v>271</v>
      </c>
      <c r="O403" s="18" t="s">
        <v>233</v>
      </c>
      <c r="P403" s="18" t="s">
        <v>543</v>
      </c>
    </row>
    <row r="404" spans="1:16" ht="45" x14ac:dyDescent="0.2">
      <c r="A404" s="2" t="s">
        <v>1104</v>
      </c>
      <c r="B404" s="2" t="s">
        <v>1105</v>
      </c>
      <c r="C404" s="2" t="s">
        <v>11</v>
      </c>
      <c r="D404" s="2" t="s">
        <v>228</v>
      </c>
      <c r="E404" s="4">
        <v>299.99</v>
      </c>
      <c r="F404" s="18"/>
      <c r="G404" s="3">
        <v>0</v>
      </c>
      <c r="H404" s="6">
        <v>4.4000000000000004</v>
      </c>
      <c r="I404" s="3">
        <v>40</v>
      </c>
      <c r="J404" s="17" t="str">
        <f>HYPERLINK("https://amazon.com/dp/B0CP6P5C3M","Amazon - B0CP6P5C3M")</f>
        <v>Amazon - B0CP6P5C3M</v>
      </c>
      <c r="K404" s="18" t="s">
        <v>229</v>
      </c>
      <c r="L404" s="18" t="s">
        <v>251</v>
      </c>
      <c r="M404" s="18" t="s">
        <v>242</v>
      </c>
      <c r="N404" s="18" t="s">
        <v>253</v>
      </c>
      <c r="O404" s="18" t="s">
        <v>233</v>
      </c>
      <c r="P404" s="18" t="s">
        <v>278</v>
      </c>
    </row>
    <row r="405" spans="1:16" ht="30" x14ac:dyDescent="0.2">
      <c r="A405" s="2" t="s">
        <v>1106</v>
      </c>
      <c r="B405" s="2" t="s">
        <v>1107</v>
      </c>
      <c r="C405" s="2" t="s">
        <v>182</v>
      </c>
      <c r="D405" s="2" t="s">
        <v>228</v>
      </c>
      <c r="E405" s="4">
        <v>79.989999999999995</v>
      </c>
      <c r="F405" s="18"/>
      <c r="G405" s="3">
        <v>0</v>
      </c>
      <c r="H405" s="6">
        <v>4.5999999999999996</v>
      </c>
      <c r="I405" s="3">
        <v>21</v>
      </c>
      <c r="J405" s="17" t="str">
        <f>HYPERLINK("https://amazon.com/dp/B09BTDWTCQ","Amazon - B09BTDWTCQ")</f>
        <v>Amazon - B09BTDWTCQ</v>
      </c>
      <c r="K405" s="18" t="s">
        <v>229</v>
      </c>
      <c r="L405" s="18" t="s">
        <v>230</v>
      </c>
      <c r="M405" s="18" t="s">
        <v>271</v>
      </c>
      <c r="N405" s="18" t="s">
        <v>271</v>
      </c>
      <c r="O405" s="18" t="s">
        <v>233</v>
      </c>
      <c r="P405" s="18" t="s">
        <v>271</v>
      </c>
    </row>
    <row r="406" spans="1:16" ht="30" x14ac:dyDescent="0.2">
      <c r="A406" s="2" t="s">
        <v>1108</v>
      </c>
      <c r="B406" s="2" t="s">
        <v>1109</v>
      </c>
      <c r="C406" s="2" t="s">
        <v>59</v>
      </c>
      <c r="D406" s="2" t="s">
        <v>228</v>
      </c>
      <c r="E406" s="4">
        <v>180</v>
      </c>
      <c r="F406" s="18"/>
      <c r="G406" s="3">
        <v>0</v>
      </c>
      <c r="H406" s="6">
        <v>0</v>
      </c>
      <c r="I406" s="3">
        <v>0</v>
      </c>
      <c r="J406" s="17" t="str">
        <f>HYPERLINK("https://amazon.com/dp/B0CY9FLRDV","Amazon - B0CY9FLRDV")</f>
        <v>Amazon - B0CY9FLRDV</v>
      </c>
      <c r="K406" s="18" t="s">
        <v>229</v>
      </c>
      <c r="L406" s="18" t="s">
        <v>230</v>
      </c>
      <c r="M406" s="18" t="s">
        <v>271</v>
      </c>
      <c r="N406" s="18" t="s">
        <v>271</v>
      </c>
      <c r="O406" s="18" t="s">
        <v>233</v>
      </c>
      <c r="P406" s="18" t="s">
        <v>1110</v>
      </c>
    </row>
    <row r="407" spans="1:16" x14ac:dyDescent="0.2">
      <c r="A407" s="2" t="s">
        <v>1111</v>
      </c>
      <c r="B407" s="2" t="s">
        <v>1112</v>
      </c>
      <c r="C407" s="2" t="s">
        <v>91</v>
      </c>
      <c r="D407" s="2" t="s">
        <v>228</v>
      </c>
      <c r="E407" s="4">
        <v>89.97</v>
      </c>
      <c r="F407" s="18"/>
      <c r="G407" s="3">
        <v>0</v>
      </c>
      <c r="H407" s="6">
        <v>3.8</v>
      </c>
      <c r="I407" s="3">
        <v>13</v>
      </c>
      <c r="J407" s="17" t="str">
        <f>HYPERLINK("https://amazon.com/dp/B00PWKZCHE","Amazon - B00PWKZCHE")</f>
        <v>Amazon - B00PWKZCHE</v>
      </c>
      <c r="K407" s="18" t="s">
        <v>229</v>
      </c>
      <c r="L407" s="18" t="s">
        <v>230</v>
      </c>
      <c r="M407" s="18" t="s">
        <v>271</v>
      </c>
      <c r="N407" s="18" t="s">
        <v>271</v>
      </c>
      <c r="O407" s="18" t="s">
        <v>233</v>
      </c>
      <c r="P407" s="18" t="s">
        <v>271</v>
      </c>
    </row>
    <row r="408" spans="1:16" ht="30" x14ac:dyDescent="0.2">
      <c r="A408" s="2" t="s">
        <v>1113</v>
      </c>
      <c r="B408" s="2" t="s">
        <v>1114</v>
      </c>
      <c r="C408" s="2" t="s">
        <v>25</v>
      </c>
      <c r="D408" s="2" t="s">
        <v>285</v>
      </c>
      <c r="E408" s="4">
        <v>399.95</v>
      </c>
      <c r="F408" s="18"/>
      <c r="G408" s="3">
        <v>0</v>
      </c>
      <c r="H408" s="6">
        <v>4.2</v>
      </c>
      <c r="I408" s="3">
        <v>28</v>
      </c>
      <c r="J408" s="17" t="str">
        <f>HYPERLINK("https://amazon.com/dp/B005NHJIDU","Amazon - B005NHJIDU")</f>
        <v>Amazon - B005NHJIDU</v>
      </c>
      <c r="K408" s="18" t="s">
        <v>229</v>
      </c>
      <c r="L408" s="18" t="s">
        <v>230</v>
      </c>
      <c r="M408" s="18" t="s">
        <v>242</v>
      </c>
      <c r="N408" s="18" t="s">
        <v>238</v>
      </c>
      <c r="O408" s="18" t="s">
        <v>233</v>
      </c>
      <c r="P408" s="18" t="s">
        <v>234</v>
      </c>
    </row>
    <row r="409" spans="1:16" ht="45" x14ac:dyDescent="0.2">
      <c r="A409" s="2" t="s">
        <v>1115</v>
      </c>
      <c r="B409" s="2" t="s">
        <v>1116</v>
      </c>
      <c r="C409" s="2" t="s">
        <v>160</v>
      </c>
      <c r="D409" s="2" t="s">
        <v>228</v>
      </c>
      <c r="E409" s="4">
        <v>28.99</v>
      </c>
      <c r="F409" s="18"/>
      <c r="G409" s="3">
        <v>0</v>
      </c>
      <c r="H409" s="6">
        <v>4.8</v>
      </c>
      <c r="I409" s="3">
        <v>7</v>
      </c>
      <c r="J409" s="17" t="str">
        <f>HYPERLINK("https://amazon.com/dp/B0FNN4ZG8D","Amazon - B0FNN4ZG8D")</f>
        <v>Amazon - B0FNN4ZG8D</v>
      </c>
      <c r="K409" s="18" t="s">
        <v>229</v>
      </c>
      <c r="L409" s="18" t="s">
        <v>230</v>
      </c>
      <c r="M409" s="18" t="s">
        <v>237</v>
      </c>
      <c r="N409" s="18" t="s">
        <v>232</v>
      </c>
      <c r="O409" s="18" t="s">
        <v>233</v>
      </c>
      <c r="P409" s="18" t="s">
        <v>297</v>
      </c>
    </row>
    <row r="410" spans="1:16" ht="30" x14ac:dyDescent="0.2">
      <c r="A410" s="2" t="s">
        <v>1117</v>
      </c>
      <c r="B410" s="2" t="s">
        <v>1118</v>
      </c>
      <c r="C410" s="2" t="s">
        <v>117</v>
      </c>
      <c r="D410" s="2" t="s">
        <v>228</v>
      </c>
      <c r="E410" s="4">
        <v>22.23</v>
      </c>
      <c r="F410" s="18"/>
      <c r="G410" s="3">
        <v>0</v>
      </c>
      <c r="H410" s="6">
        <v>0</v>
      </c>
      <c r="I410" s="3">
        <v>0</v>
      </c>
      <c r="J410" s="17" t="str">
        <f>HYPERLINK("https://amazon.com/dp/B0CMXZG7T4","Amazon - B0CMXZG7T4")</f>
        <v>Amazon - B0CMXZG7T4</v>
      </c>
      <c r="K410" s="18" t="s">
        <v>229</v>
      </c>
      <c r="L410" s="18" t="s">
        <v>230</v>
      </c>
      <c r="M410" s="18" t="s">
        <v>691</v>
      </c>
      <c r="N410" s="18" t="s">
        <v>265</v>
      </c>
      <c r="O410" s="18" t="s">
        <v>233</v>
      </c>
      <c r="P410" s="18" t="s">
        <v>305</v>
      </c>
    </row>
    <row r="411" spans="1:16" ht="45" x14ac:dyDescent="0.2">
      <c r="A411" s="2" t="s">
        <v>1119</v>
      </c>
      <c r="B411" s="2" t="s">
        <v>1120</v>
      </c>
      <c r="C411" s="2" t="s">
        <v>160</v>
      </c>
      <c r="D411" s="2" t="s">
        <v>228</v>
      </c>
      <c r="E411" s="4">
        <v>32.99</v>
      </c>
      <c r="F411" s="18"/>
      <c r="G411" s="3">
        <v>0</v>
      </c>
      <c r="H411" s="6">
        <v>4.8</v>
      </c>
      <c r="I411" s="3">
        <v>7</v>
      </c>
      <c r="J411" s="17" t="str">
        <f>HYPERLINK("https://amazon.com/dp/B0FNN3VSSR","Amazon - B0FNN3VSSR")</f>
        <v>Amazon - B0FNN3VSSR</v>
      </c>
      <c r="K411" s="18" t="s">
        <v>229</v>
      </c>
      <c r="L411" s="18" t="s">
        <v>230</v>
      </c>
      <c r="M411" s="18" t="s">
        <v>237</v>
      </c>
      <c r="N411" s="18" t="s">
        <v>232</v>
      </c>
      <c r="O411" s="18" t="s">
        <v>233</v>
      </c>
      <c r="P411" s="18" t="s">
        <v>305</v>
      </c>
    </row>
    <row r="412" spans="1:16" ht="30" x14ac:dyDescent="0.2">
      <c r="A412" s="2" t="s">
        <v>1121</v>
      </c>
      <c r="B412" s="2" t="s">
        <v>1122</v>
      </c>
      <c r="C412" s="2" t="s">
        <v>183</v>
      </c>
      <c r="D412" s="2" t="s">
        <v>228</v>
      </c>
      <c r="E412" s="4">
        <v>130.99</v>
      </c>
      <c r="F412" s="18"/>
      <c r="G412" s="3">
        <v>0</v>
      </c>
      <c r="H412" s="6">
        <v>2.9</v>
      </c>
      <c r="I412" s="3">
        <v>2</v>
      </c>
      <c r="J412" s="17" t="str">
        <f>HYPERLINK("https://amazon.com/dp/B0C8GQGDRP","Amazon - B0C8GQGDRP")</f>
        <v>Amazon - B0C8GQGDRP</v>
      </c>
      <c r="K412" s="18" t="s">
        <v>229</v>
      </c>
      <c r="L412" s="18" t="s">
        <v>230</v>
      </c>
      <c r="M412" s="18" t="s">
        <v>271</v>
      </c>
      <c r="N412" s="18" t="s">
        <v>1123</v>
      </c>
      <c r="O412" s="18" t="s">
        <v>233</v>
      </c>
      <c r="P412" s="18" t="s">
        <v>271</v>
      </c>
    </row>
    <row r="413" spans="1:16" ht="45" x14ac:dyDescent="0.2">
      <c r="A413" s="2" t="s">
        <v>1124</v>
      </c>
      <c r="B413" s="2" t="s">
        <v>1125</v>
      </c>
      <c r="C413" s="2" t="s">
        <v>37</v>
      </c>
      <c r="D413" s="2" t="s">
        <v>228</v>
      </c>
      <c r="E413" s="4">
        <v>59.99</v>
      </c>
      <c r="F413" s="18"/>
      <c r="G413" s="3">
        <v>0</v>
      </c>
      <c r="H413" s="6">
        <v>3</v>
      </c>
      <c r="I413" s="3">
        <v>2</v>
      </c>
      <c r="J413" s="17" t="str">
        <f>HYPERLINK("https://amazon.com/dp/B0BD4N11HJ","Amazon - B0BD4N11HJ")</f>
        <v>Amazon - B0BD4N11HJ</v>
      </c>
      <c r="K413" s="18" t="s">
        <v>229</v>
      </c>
      <c r="L413" s="18" t="s">
        <v>230</v>
      </c>
      <c r="M413" s="18" t="s">
        <v>271</v>
      </c>
      <c r="N413" s="18" t="s">
        <v>243</v>
      </c>
      <c r="O413" s="18" t="s">
        <v>233</v>
      </c>
      <c r="P413" s="18" t="s">
        <v>271</v>
      </c>
    </row>
    <row r="414" spans="1:16" ht="30" x14ac:dyDescent="0.2">
      <c r="A414" s="2" t="s">
        <v>1126</v>
      </c>
      <c r="B414" s="2" t="s">
        <v>1127</v>
      </c>
      <c r="C414" s="2" t="s">
        <v>143</v>
      </c>
      <c r="D414" s="2" t="s">
        <v>228</v>
      </c>
      <c r="E414" s="4">
        <v>44.06</v>
      </c>
      <c r="F414" s="18"/>
      <c r="G414" s="3">
        <v>0</v>
      </c>
      <c r="H414" s="6">
        <v>4.3</v>
      </c>
      <c r="I414" s="3">
        <v>3</v>
      </c>
      <c r="J414" s="17" t="str">
        <f>HYPERLINK("https://amazon.com/dp/B0CSZ4CFDR","Amazon - B0CSZ4CFDR")</f>
        <v>Amazon - B0CSZ4CFDR</v>
      </c>
      <c r="K414" s="18" t="s">
        <v>229</v>
      </c>
      <c r="L414" s="18" t="s">
        <v>230</v>
      </c>
      <c r="M414" s="18" t="s">
        <v>242</v>
      </c>
      <c r="N414" s="18" t="s">
        <v>271</v>
      </c>
      <c r="O414" s="18" t="s">
        <v>233</v>
      </c>
      <c r="P414" s="18" t="s">
        <v>239</v>
      </c>
    </row>
    <row r="415" spans="1:16" ht="30" x14ac:dyDescent="0.2">
      <c r="A415" s="2" t="s">
        <v>1128</v>
      </c>
      <c r="B415" s="2" t="s">
        <v>1129</v>
      </c>
      <c r="C415" s="2" t="s">
        <v>146</v>
      </c>
      <c r="D415" s="2" t="s">
        <v>228</v>
      </c>
      <c r="E415" s="4">
        <v>48.84</v>
      </c>
      <c r="F415" s="18"/>
      <c r="G415" s="3">
        <v>0</v>
      </c>
      <c r="H415" s="6">
        <v>4.5</v>
      </c>
      <c r="I415" s="3">
        <v>5</v>
      </c>
      <c r="J415" s="17" t="str">
        <f>HYPERLINK("https://amazon.com/dp/B08HD8W26Y","Amazon - B08HD8W26Y")</f>
        <v>Amazon - B08HD8W26Y</v>
      </c>
      <c r="K415" s="18" t="s">
        <v>229</v>
      </c>
      <c r="L415" s="18" t="s">
        <v>230</v>
      </c>
      <c r="M415" s="18" t="s">
        <v>237</v>
      </c>
      <c r="N415" s="18" t="s">
        <v>232</v>
      </c>
      <c r="O415" s="18" t="s">
        <v>233</v>
      </c>
      <c r="P415" s="18" t="s">
        <v>271</v>
      </c>
    </row>
    <row r="416" spans="1:16" x14ac:dyDescent="0.2">
      <c r="A416" s="2" t="s">
        <v>1130</v>
      </c>
      <c r="B416" s="2" t="s">
        <v>1131</v>
      </c>
      <c r="C416" s="2" t="s">
        <v>148</v>
      </c>
      <c r="D416" s="2" t="s">
        <v>228</v>
      </c>
      <c r="E416" s="4">
        <v>618.82000000000005</v>
      </c>
      <c r="F416" s="18"/>
      <c r="G416" s="3">
        <v>0</v>
      </c>
      <c r="H416" s="6">
        <v>3.4</v>
      </c>
      <c r="I416" s="3">
        <v>2</v>
      </c>
      <c r="J416" s="17" t="str">
        <f>HYPERLINK("https://amazon.com/dp/B0BNLP3ZR9","Amazon - B0BNLP3ZR9")</f>
        <v>Amazon - B0BNLP3ZR9</v>
      </c>
      <c r="K416" s="18" t="s">
        <v>229</v>
      </c>
      <c r="L416" s="18" t="s">
        <v>230</v>
      </c>
      <c r="M416" s="18" t="s">
        <v>271</v>
      </c>
      <c r="N416" s="18" t="s">
        <v>271</v>
      </c>
      <c r="O416" s="18" t="s">
        <v>233</v>
      </c>
      <c r="P416" s="18" t="s">
        <v>271</v>
      </c>
    </row>
    <row r="417" spans="1:16" ht="30" x14ac:dyDescent="0.2">
      <c r="A417" s="2" t="s">
        <v>1132</v>
      </c>
      <c r="B417" s="2" t="s">
        <v>1133</v>
      </c>
      <c r="C417" s="2" t="s">
        <v>36</v>
      </c>
      <c r="D417" s="2" t="s">
        <v>228</v>
      </c>
      <c r="E417" s="4">
        <v>139.99</v>
      </c>
      <c r="F417" s="18"/>
      <c r="G417" s="3">
        <v>0</v>
      </c>
      <c r="H417" s="6">
        <v>3.5</v>
      </c>
      <c r="I417" s="3">
        <v>63</v>
      </c>
      <c r="J417" s="17" t="str">
        <f>HYPERLINK("https://amazon.com/dp/B01I2574LM","Amazon - B01I2574LM")</f>
        <v>Amazon - B01I2574LM</v>
      </c>
      <c r="K417" s="18" t="s">
        <v>229</v>
      </c>
      <c r="L417" s="18" t="s">
        <v>230</v>
      </c>
      <c r="M417" s="18" t="s">
        <v>242</v>
      </c>
      <c r="N417" s="18" t="s">
        <v>1134</v>
      </c>
      <c r="O417" s="18" t="s">
        <v>233</v>
      </c>
      <c r="P417" s="18" t="s">
        <v>1110</v>
      </c>
    </row>
    <row r="418" spans="1:16" ht="30" x14ac:dyDescent="0.2">
      <c r="A418" s="2" t="s">
        <v>1135</v>
      </c>
      <c r="B418" s="2" t="s">
        <v>1136</v>
      </c>
      <c r="C418" s="2" t="s">
        <v>166</v>
      </c>
      <c r="D418" s="2" t="s">
        <v>228</v>
      </c>
      <c r="E418" s="4">
        <v>39.99</v>
      </c>
      <c r="F418" s="18"/>
      <c r="G418" s="3">
        <v>0</v>
      </c>
      <c r="H418" s="6">
        <v>4.2</v>
      </c>
      <c r="I418" s="3">
        <v>5453</v>
      </c>
      <c r="J418" s="17" t="str">
        <f>HYPERLINK("https://amazon.com/dp/B07ZH9P8QH","Amazon - B07ZH9P8QH")</f>
        <v>Amazon - B07ZH9P8QH</v>
      </c>
      <c r="K418" s="18" t="s">
        <v>229</v>
      </c>
      <c r="L418" s="18" t="s">
        <v>230</v>
      </c>
      <c r="M418" s="18" t="s">
        <v>237</v>
      </c>
      <c r="N418" s="18" t="s">
        <v>271</v>
      </c>
      <c r="O418" s="18" t="s">
        <v>233</v>
      </c>
      <c r="P418" s="18" t="s">
        <v>305</v>
      </c>
    </row>
    <row r="419" spans="1:16" ht="45" x14ac:dyDescent="0.2">
      <c r="A419" s="2" t="s">
        <v>1137</v>
      </c>
      <c r="B419" s="2" t="s">
        <v>1138</v>
      </c>
      <c r="C419" s="2" t="s">
        <v>80</v>
      </c>
      <c r="D419" s="2" t="s">
        <v>228</v>
      </c>
      <c r="E419" s="4">
        <v>88.9</v>
      </c>
      <c r="F419" s="18"/>
      <c r="G419" s="3">
        <v>0</v>
      </c>
      <c r="H419" s="6">
        <v>5</v>
      </c>
      <c r="I419" s="3">
        <v>1</v>
      </c>
      <c r="J419" s="17" t="str">
        <f>HYPERLINK("https://amazon.com/dp/B0DJSTV32W","Amazon - B0DJSTV32W")</f>
        <v>Amazon - B0DJSTV32W</v>
      </c>
      <c r="K419" s="18" t="s">
        <v>229</v>
      </c>
      <c r="L419" s="18" t="s">
        <v>230</v>
      </c>
      <c r="M419" s="18" t="s">
        <v>242</v>
      </c>
      <c r="N419" s="18" t="s">
        <v>265</v>
      </c>
      <c r="O419" s="18" t="s">
        <v>233</v>
      </c>
      <c r="P419" s="18" t="s">
        <v>278</v>
      </c>
    </row>
    <row r="420" spans="1:16" x14ac:dyDescent="0.2">
      <c r="A420" s="2" t="s">
        <v>1139</v>
      </c>
      <c r="B420" s="2" t="s">
        <v>1140</v>
      </c>
      <c r="C420" s="2" t="s">
        <v>36</v>
      </c>
      <c r="D420" s="2" t="s">
        <v>228</v>
      </c>
      <c r="E420" s="4">
        <v>349.95</v>
      </c>
      <c r="F420" s="18"/>
      <c r="G420" s="3">
        <v>0</v>
      </c>
      <c r="H420" s="6">
        <v>5</v>
      </c>
      <c r="I420" s="3">
        <v>2</v>
      </c>
      <c r="J420" s="17" t="str">
        <f>HYPERLINK("https://amazon.com/dp/B01D8UDBOK","Amazon - B01D8UDBOK")</f>
        <v>Amazon - B01D8UDBOK</v>
      </c>
      <c r="K420" s="18" t="s">
        <v>229</v>
      </c>
      <c r="L420" s="18" t="s">
        <v>230</v>
      </c>
      <c r="M420" s="18" t="s">
        <v>271</v>
      </c>
      <c r="N420" s="18" t="s">
        <v>271</v>
      </c>
      <c r="O420" s="18" t="s">
        <v>233</v>
      </c>
      <c r="P420" s="18" t="s">
        <v>271</v>
      </c>
    </row>
    <row r="421" spans="1:16" x14ac:dyDescent="0.2">
      <c r="A421" s="2" t="s">
        <v>1141</v>
      </c>
      <c r="B421" s="2" t="s">
        <v>1142</v>
      </c>
      <c r="C421" s="2" t="s">
        <v>58</v>
      </c>
      <c r="D421" s="2" t="s">
        <v>228</v>
      </c>
      <c r="E421" s="4">
        <v>29.9</v>
      </c>
      <c r="F421" s="18"/>
      <c r="G421" s="3">
        <v>0</v>
      </c>
      <c r="H421" s="6">
        <v>4.2</v>
      </c>
      <c r="I421" s="3">
        <v>3</v>
      </c>
      <c r="J421" s="17" t="str">
        <f>HYPERLINK("https://amazon.com/dp/B0DLNMQVG5","Amazon - B0DLNMQVG5")</f>
        <v>Amazon - B0DLNMQVG5</v>
      </c>
      <c r="K421" s="18" t="s">
        <v>229</v>
      </c>
      <c r="L421" s="18" t="s">
        <v>230</v>
      </c>
      <c r="M421" s="18" t="s">
        <v>271</v>
      </c>
      <c r="N421" s="18" t="s">
        <v>271</v>
      </c>
      <c r="O421" s="18" t="s">
        <v>233</v>
      </c>
      <c r="P421" s="18" t="s">
        <v>271</v>
      </c>
    </row>
    <row r="422" spans="1:16" ht="30" x14ac:dyDescent="0.2">
      <c r="A422" s="2" t="s">
        <v>1143</v>
      </c>
      <c r="B422" s="2" t="s">
        <v>1144</v>
      </c>
      <c r="C422" s="2" t="s">
        <v>155</v>
      </c>
      <c r="D422" s="2" t="s">
        <v>228</v>
      </c>
      <c r="E422" s="4">
        <v>11.16</v>
      </c>
      <c r="F422" s="18"/>
      <c r="G422" s="3">
        <v>0</v>
      </c>
      <c r="H422" s="6">
        <v>5</v>
      </c>
      <c r="I422" s="3">
        <v>1</v>
      </c>
      <c r="J422" s="17" t="str">
        <f>HYPERLINK("https://amazon.com/dp/B0DFBX5K4H","Amazon - B0DFBX5K4H")</f>
        <v>Amazon - B0DFBX5K4H</v>
      </c>
      <c r="K422" s="18" t="s">
        <v>229</v>
      </c>
      <c r="L422" s="18" t="s">
        <v>230</v>
      </c>
      <c r="M422" s="18" t="s">
        <v>271</v>
      </c>
      <c r="N422" s="18" t="s">
        <v>271</v>
      </c>
      <c r="O422" s="18" t="s">
        <v>233</v>
      </c>
      <c r="P422" s="18" t="s">
        <v>271</v>
      </c>
    </row>
    <row r="423" spans="1:16" ht="30" x14ac:dyDescent="0.2">
      <c r="A423" s="2" t="s">
        <v>1145</v>
      </c>
      <c r="B423" s="2" t="s">
        <v>1144</v>
      </c>
      <c r="C423" s="2" t="s">
        <v>155</v>
      </c>
      <c r="D423" s="2" t="s">
        <v>228</v>
      </c>
      <c r="E423" s="4">
        <v>10.35</v>
      </c>
      <c r="F423" s="18"/>
      <c r="G423" s="3">
        <v>0</v>
      </c>
      <c r="H423" s="6">
        <v>5</v>
      </c>
      <c r="I423" s="3">
        <v>1</v>
      </c>
      <c r="J423" s="17" t="str">
        <f>HYPERLINK("https://amazon.com/dp/B0DFBTRKSG","Amazon - B0DFBTRKSG")</f>
        <v>Amazon - B0DFBTRKSG</v>
      </c>
      <c r="K423" s="18" t="s">
        <v>229</v>
      </c>
      <c r="L423" s="18" t="s">
        <v>230</v>
      </c>
      <c r="M423" s="18" t="s">
        <v>271</v>
      </c>
      <c r="N423" s="18" t="s">
        <v>271</v>
      </c>
      <c r="O423" s="18" t="s">
        <v>233</v>
      </c>
      <c r="P423" s="18" t="s">
        <v>271</v>
      </c>
    </row>
    <row r="424" spans="1:16" ht="30" x14ac:dyDescent="0.2">
      <c r="A424" s="2" t="s">
        <v>1146</v>
      </c>
      <c r="B424" s="2" t="s">
        <v>1144</v>
      </c>
      <c r="C424" s="2" t="s">
        <v>155</v>
      </c>
      <c r="D424" s="2" t="s">
        <v>228</v>
      </c>
      <c r="E424" s="4">
        <v>12.95</v>
      </c>
      <c r="F424" s="18"/>
      <c r="G424" s="3">
        <v>0</v>
      </c>
      <c r="H424" s="6">
        <v>5</v>
      </c>
      <c r="I424" s="3">
        <v>1</v>
      </c>
      <c r="J424" s="17" t="str">
        <f>HYPERLINK("https://amazon.com/dp/B0DFBSJYXG","Amazon - B0DFBSJYXG")</f>
        <v>Amazon - B0DFBSJYXG</v>
      </c>
      <c r="K424" s="18" t="s">
        <v>229</v>
      </c>
      <c r="L424" s="18" t="s">
        <v>230</v>
      </c>
      <c r="M424" s="18" t="s">
        <v>271</v>
      </c>
      <c r="N424" s="18" t="s">
        <v>271</v>
      </c>
      <c r="O424" s="18" t="s">
        <v>233</v>
      </c>
      <c r="P424" s="18" t="s">
        <v>271</v>
      </c>
    </row>
    <row r="425" spans="1:16" ht="30" x14ac:dyDescent="0.2">
      <c r="A425" s="2" t="s">
        <v>1147</v>
      </c>
      <c r="B425" s="2" t="s">
        <v>1148</v>
      </c>
      <c r="C425" s="2" t="s">
        <v>25</v>
      </c>
      <c r="D425" s="2" t="s">
        <v>228</v>
      </c>
      <c r="E425" s="4">
        <v>799.98</v>
      </c>
      <c r="F425" s="18"/>
      <c r="G425" s="3">
        <v>0</v>
      </c>
      <c r="H425" s="6">
        <v>3.7</v>
      </c>
      <c r="I425" s="3">
        <v>2</v>
      </c>
      <c r="J425" s="17" t="str">
        <f>HYPERLINK("https://amazon.com/dp/B00UW6OQYI","Amazon - B00UW6OQYI")</f>
        <v>Amazon - B00UW6OQYI</v>
      </c>
      <c r="K425" s="18" t="s">
        <v>229</v>
      </c>
      <c r="L425" s="18" t="s">
        <v>230</v>
      </c>
      <c r="M425" s="18" t="s">
        <v>242</v>
      </c>
      <c r="N425" s="18" t="s">
        <v>271</v>
      </c>
      <c r="O425" s="18" t="s">
        <v>233</v>
      </c>
      <c r="P425" s="18" t="s">
        <v>324</v>
      </c>
    </row>
    <row r="426" spans="1:16" ht="30" x14ac:dyDescent="0.2">
      <c r="A426" s="2" t="s">
        <v>1149</v>
      </c>
      <c r="B426" s="2" t="s">
        <v>1150</v>
      </c>
      <c r="C426" s="2" t="s">
        <v>104</v>
      </c>
      <c r="D426" s="2" t="s">
        <v>228</v>
      </c>
      <c r="E426" s="4">
        <v>65</v>
      </c>
      <c r="F426" s="18"/>
      <c r="G426" s="3">
        <v>0</v>
      </c>
      <c r="H426" s="6">
        <v>2.6</v>
      </c>
      <c r="I426" s="3">
        <v>13</v>
      </c>
      <c r="J426" s="17" t="str">
        <f>HYPERLINK("https://amazon.com/dp/B00JXDWBMA","Amazon - B00JXDWBMA")</f>
        <v>Amazon - B00JXDWBMA</v>
      </c>
      <c r="K426" s="18" t="s">
        <v>229</v>
      </c>
      <c r="L426" s="18" t="s">
        <v>230</v>
      </c>
      <c r="M426" s="18" t="s">
        <v>271</v>
      </c>
      <c r="N426" s="18" t="s">
        <v>1151</v>
      </c>
      <c r="O426" s="18" t="s">
        <v>233</v>
      </c>
      <c r="P426" s="18" t="s">
        <v>271</v>
      </c>
    </row>
    <row r="427" spans="1:16" ht="30" x14ac:dyDescent="0.2">
      <c r="A427" s="2" t="s">
        <v>1152</v>
      </c>
      <c r="B427" s="2" t="s">
        <v>1153</v>
      </c>
      <c r="C427" s="2" t="s">
        <v>184</v>
      </c>
      <c r="D427" s="2" t="s">
        <v>228</v>
      </c>
      <c r="E427" s="4">
        <v>32.99</v>
      </c>
      <c r="F427" s="18"/>
      <c r="G427" s="3">
        <v>0</v>
      </c>
      <c r="H427" s="6">
        <v>0</v>
      </c>
      <c r="I427" s="3">
        <v>0</v>
      </c>
      <c r="J427" s="17" t="str">
        <f>HYPERLINK("https://amazon.com/dp/B0CQK65MV3","Amazon - B0CQK65MV3")</f>
        <v>Amazon - B0CQK65MV3</v>
      </c>
      <c r="K427" s="18" t="s">
        <v>229</v>
      </c>
      <c r="L427" s="18" t="s">
        <v>230</v>
      </c>
      <c r="M427" s="18" t="s">
        <v>242</v>
      </c>
      <c r="N427" s="18" t="s">
        <v>232</v>
      </c>
      <c r="O427" s="18" t="s">
        <v>233</v>
      </c>
      <c r="P427" s="18" t="s">
        <v>271</v>
      </c>
    </row>
    <row r="428" spans="1:16" ht="30" x14ac:dyDescent="0.2">
      <c r="A428" s="2" t="s">
        <v>1154</v>
      </c>
      <c r="B428" s="2" t="s">
        <v>1153</v>
      </c>
      <c r="C428" s="2" t="s">
        <v>184</v>
      </c>
      <c r="D428" s="2" t="s">
        <v>228</v>
      </c>
      <c r="E428" s="4">
        <v>33.9</v>
      </c>
      <c r="F428" s="18"/>
      <c r="G428" s="3">
        <v>0</v>
      </c>
      <c r="H428" s="6">
        <v>0</v>
      </c>
      <c r="I428" s="3">
        <v>0</v>
      </c>
      <c r="J428" s="17" t="str">
        <f>HYPERLINK("https://amazon.com/dp/B0CQK4PV6R","Amazon - B0CQK4PV6R")</f>
        <v>Amazon - B0CQK4PV6R</v>
      </c>
      <c r="K428" s="18" t="s">
        <v>229</v>
      </c>
      <c r="L428" s="18" t="s">
        <v>230</v>
      </c>
      <c r="M428" s="18" t="s">
        <v>242</v>
      </c>
      <c r="N428" s="18" t="s">
        <v>232</v>
      </c>
      <c r="O428" s="18" t="s">
        <v>233</v>
      </c>
      <c r="P428" s="18" t="s">
        <v>271</v>
      </c>
    </row>
    <row r="429" spans="1:16" x14ac:dyDescent="0.2">
      <c r="A429" s="2" t="s">
        <v>1155</v>
      </c>
      <c r="B429" s="2" t="s">
        <v>1156</v>
      </c>
      <c r="C429" s="2" t="s">
        <v>193</v>
      </c>
      <c r="D429" s="2" t="s">
        <v>228</v>
      </c>
      <c r="E429" s="4">
        <v>59.99</v>
      </c>
      <c r="F429" s="18"/>
      <c r="G429" s="3">
        <v>0</v>
      </c>
      <c r="H429" s="6">
        <v>0</v>
      </c>
      <c r="I429" s="3">
        <v>0</v>
      </c>
      <c r="J429" s="17" t="str">
        <f>HYPERLINK("https://amazon.com/dp/B0FLY67WHM","Amazon - B0FLY67WHM")</f>
        <v>Amazon - B0FLY67WHM</v>
      </c>
      <c r="K429" s="18" t="s">
        <v>229</v>
      </c>
      <c r="L429" s="18" t="s">
        <v>230</v>
      </c>
      <c r="M429" s="18" t="s">
        <v>271</v>
      </c>
      <c r="N429" s="18" t="s">
        <v>271</v>
      </c>
      <c r="O429" s="18" t="s">
        <v>233</v>
      </c>
      <c r="P429" s="18" t="s">
        <v>271</v>
      </c>
    </row>
    <row r="430" spans="1:16" ht="30" x14ac:dyDescent="0.2">
      <c r="A430" s="2" t="s">
        <v>1157</v>
      </c>
      <c r="B430" s="2" t="s">
        <v>1158</v>
      </c>
      <c r="C430" s="2" t="s">
        <v>46</v>
      </c>
      <c r="D430" s="2" t="s">
        <v>228</v>
      </c>
      <c r="E430" s="4">
        <v>20.99</v>
      </c>
      <c r="F430" s="18"/>
      <c r="G430" s="3">
        <v>0</v>
      </c>
      <c r="H430" s="6">
        <v>3.6</v>
      </c>
      <c r="I430" s="3">
        <v>30</v>
      </c>
      <c r="J430" s="17" t="str">
        <f>HYPERLINK("https://amazon.com/dp/B0CPL36CD9","Amazon - B0CPL36CD9")</f>
        <v>Amazon - B0CPL36CD9</v>
      </c>
      <c r="K430" s="18" t="s">
        <v>229</v>
      </c>
      <c r="L430" s="18" t="s">
        <v>230</v>
      </c>
      <c r="M430" s="18" t="s">
        <v>271</v>
      </c>
      <c r="N430" s="18" t="s">
        <v>271</v>
      </c>
      <c r="O430" s="18" t="s">
        <v>233</v>
      </c>
      <c r="P430" s="18" t="s">
        <v>305</v>
      </c>
    </row>
    <row r="431" spans="1:16" ht="30" x14ac:dyDescent="0.2">
      <c r="A431" s="2" t="s">
        <v>1159</v>
      </c>
      <c r="B431" s="2" t="s">
        <v>1160</v>
      </c>
      <c r="C431" s="2" t="s">
        <v>140</v>
      </c>
      <c r="D431" s="2" t="s">
        <v>228</v>
      </c>
      <c r="E431" s="4">
        <v>229</v>
      </c>
      <c r="F431" s="18"/>
      <c r="G431" s="3">
        <v>0</v>
      </c>
      <c r="H431" s="6">
        <v>0</v>
      </c>
      <c r="I431" s="3">
        <v>0</v>
      </c>
      <c r="J431" s="17" t="str">
        <f>HYPERLINK("https://amazon.com/dp/B0CW9R7FV8","Amazon - B0CW9R7FV8")</f>
        <v>Amazon - B0CW9R7FV8</v>
      </c>
      <c r="K431" s="18" t="s">
        <v>229</v>
      </c>
      <c r="L431" s="18" t="s">
        <v>230</v>
      </c>
      <c r="M431" s="18" t="s">
        <v>242</v>
      </c>
      <c r="N431" s="18" t="s">
        <v>265</v>
      </c>
      <c r="O431" s="18" t="s">
        <v>233</v>
      </c>
      <c r="P431" s="18" t="s">
        <v>234</v>
      </c>
    </row>
    <row r="432" spans="1:16" ht="30" x14ac:dyDescent="0.2">
      <c r="A432" s="2" t="s">
        <v>1161</v>
      </c>
      <c r="B432" s="2" t="s">
        <v>1162</v>
      </c>
      <c r="C432" s="2" t="s">
        <v>65</v>
      </c>
      <c r="D432" s="2" t="s">
        <v>228</v>
      </c>
      <c r="E432" s="4">
        <v>134.99</v>
      </c>
      <c r="F432" s="18"/>
      <c r="G432" s="3">
        <v>0</v>
      </c>
      <c r="H432" s="6">
        <v>4</v>
      </c>
      <c r="I432" s="3">
        <v>1</v>
      </c>
      <c r="J432" s="17" t="str">
        <f>HYPERLINK("https://amazon.com/dp/B0D9WSXMS3","Amazon - B0D9WSXMS3")</f>
        <v>Amazon - B0D9WSXMS3</v>
      </c>
      <c r="K432" s="18" t="s">
        <v>229</v>
      </c>
      <c r="L432" s="18" t="s">
        <v>230</v>
      </c>
      <c r="M432" s="18" t="s">
        <v>271</v>
      </c>
      <c r="N432" s="18" t="s">
        <v>243</v>
      </c>
      <c r="O432" s="18" t="s">
        <v>233</v>
      </c>
      <c r="P432" s="18" t="s">
        <v>305</v>
      </c>
    </row>
    <row r="433" spans="1:16" ht="45" x14ac:dyDescent="0.2">
      <c r="A433" s="2" t="s">
        <v>1163</v>
      </c>
      <c r="B433" s="2" t="s">
        <v>1164</v>
      </c>
      <c r="C433" s="2" t="s">
        <v>25</v>
      </c>
      <c r="D433" s="2" t="s">
        <v>591</v>
      </c>
      <c r="E433" s="4">
        <v>400</v>
      </c>
      <c r="F433" s="18"/>
      <c r="G433" s="3">
        <v>0</v>
      </c>
      <c r="H433" s="6">
        <v>0</v>
      </c>
      <c r="I433" s="3">
        <v>0</v>
      </c>
      <c r="J433" s="17" t="str">
        <f>HYPERLINK("https://amazon.com/dp/B08VVWVM7P","Amazon - B08VVWVM7P")</f>
        <v>Amazon - B08VVWVM7P</v>
      </c>
      <c r="K433" s="18" t="s">
        <v>286</v>
      </c>
      <c r="L433" s="18" t="s">
        <v>230</v>
      </c>
      <c r="M433" s="18" t="s">
        <v>287</v>
      </c>
      <c r="N433" s="18" t="s">
        <v>238</v>
      </c>
      <c r="O433" s="18" t="s">
        <v>233</v>
      </c>
      <c r="P433" s="18" t="s">
        <v>278</v>
      </c>
    </row>
    <row r="434" spans="1:16" ht="45" x14ac:dyDescent="0.2">
      <c r="A434" s="2" t="s">
        <v>1165</v>
      </c>
      <c r="B434" s="2" t="s">
        <v>1166</v>
      </c>
      <c r="C434" s="2" t="s">
        <v>25</v>
      </c>
      <c r="D434" s="2" t="s">
        <v>285</v>
      </c>
      <c r="E434" s="4">
        <v>360</v>
      </c>
      <c r="F434" s="18"/>
      <c r="G434" s="3">
        <v>0</v>
      </c>
      <c r="H434" s="6">
        <v>0</v>
      </c>
      <c r="I434" s="3">
        <v>0</v>
      </c>
      <c r="J434" s="17" t="str">
        <f>HYPERLINK("https://amazon.com/dp/B08VWBR4LJ","Amazon - B08VWBR4LJ")</f>
        <v>Amazon - B08VWBR4LJ</v>
      </c>
      <c r="K434" s="18" t="s">
        <v>229</v>
      </c>
      <c r="L434" s="18" t="s">
        <v>230</v>
      </c>
      <c r="M434" s="18" t="s">
        <v>242</v>
      </c>
      <c r="N434" s="18" t="s">
        <v>238</v>
      </c>
      <c r="O434" s="18" t="s">
        <v>233</v>
      </c>
      <c r="P434" s="18" t="s">
        <v>278</v>
      </c>
    </row>
    <row r="435" spans="1:16" ht="45" x14ac:dyDescent="0.2">
      <c r="A435" s="2" t="s">
        <v>1167</v>
      </c>
      <c r="B435" s="2" t="s">
        <v>1168</v>
      </c>
      <c r="C435" s="2" t="s">
        <v>25</v>
      </c>
      <c r="D435" s="2" t="s">
        <v>285</v>
      </c>
      <c r="E435" s="4">
        <v>420</v>
      </c>
      <c r="F435" s="18"/>
      <c r="G435" s="3">
        <v>0</v>
      </c>
      <c r="H435" s="6">
        <v>0</v>
      </c>
      <c r="I435" s="3">
        <v>0</v>
      </c>
      <c r="J435" s="17" t="str">
        <f>HYPERLINK("https://amazon.com/dp/B08VW1BRHJ","Amazon - B08VW1BRHJ")</f>
        <v>Amazon - B08VW1BRHJ</v>
      </c>
      <c r="K435" s="18" t="s">
        <v>229</v>
      </c>
      <c r="L435" s="18" t="s">
        <v>230</v>
      </c>
      <c r="M435" s="18" t="s">
        <v>242</v>
      </c>
      <c r="N435" s="18" t="s">
        <v>238</v>
      </c>
      <c r="O435" s="18" t="s">
        <v>233</v>
      </c>
      <c r="P435" s="18" t="s">
        <v>278</v>
      </c>
    </row>
    <row r="436" spans="1:16" ht="30" x14ac:dyDescent="0.2">
      <c r="A436" s="2" t="s">
        <v>1169</v>
      </c>
      <c r="B436" s="2" t="s">
        <v>1170</v>
      </c>
      <c r="C436" s="2" t="s">
        <v>25</v>
      </c>
      <c r="D436" s="2" t="s">
        <v>591</v>
      </c>
      <c r="E436" s="4">
        <v>999.98</v>
      </c>
      <c r="F436" s="18"/>
      <c r="G436" s="3">
        <v>0</v>
      </c>
      <c r="H436" s="6">
        <v>0</v>
      </c>
      <c r="I436" s="3">
        <v>0</v>
      </c>
      <c r="J436" s="17" t="str">
        <f>HYPERLINK("https://amazon.com/dp/B09QBDSQ19","Amazon - B09QBDSQ19")</f>
        <v>Amazon - B09QBDSQ19</v>
      </c>
      <c r="K436" s="18" t="s">
        <v>286</v>
      </c>
      <c r="L436" s="18" t="s">
        <v>230</v>
      </c>
      <c r="M436" s="18" t="s">
        <v>287</v>
      </c>
      <c r="N436" s="18" t="s">
        <v>265</v>
      </c>
      <c r="O436" s="18" t="s">
        <v>233</v>
      </c>
      <c r="P436" s="18" t="s">
        <v>278</v>
      </c>
    </row>
    <row r="437" spans="1:16" ht="45" x14ac:dyDescent="0.2">
      <c r="A437" s="2" t="s">
        <v>1171</v>
      </c>
      <c r="B437" s="2" t="s">
        <v>1172</v>
      </c>
      <c r="C437" s="2" t="s">
        <v>167</v>
      </c>
      <c r="D437" s="2" t="s">
        <v>228</v>
      </c>
      <c r="E437" s="4">
        <v>11.19</v>
      </c>
      <c r="F437" s="18"/>
      <c r="G437" s="3">
        <v>0</v>
      </c>
      <c r="H437" s="6">
        <v>3</v>
      </c>
      <c r="I437" s="3">
        <v>1</v>
      </c>
      <c r="J437" s="17" t="str">
        <f>HYPERLINK("https://amazon.com/dp/B0C7GJNTB9","Amazon - B0C7GJNTB9")</f>
        <v>Amazon - B0C7GJNTB9</v>
      </c>
      <c r="K437" s="18" t="s">
        <v>229</v>
      </c>
      <c r="L437" s="18" t="s">
        <v>230</v>
      </c>
      <c r="M437" s="18" t="s">
        <v>271</v>
      </c>
      <c r="N437" s="18" t="s">
        <v>1151</v>
      </c>
      <c r="O437" s="18" t="s">
        <v>233</v>
      </c>
      <c r="P437" s="18" t="s">
        <v>271</v>
      </c>
    </row>
    <row r="438" spans="1:16" ht="30" x14ac:dyDescent="0.2">
      <c r="A438" s="2" t="s">
        <v>1173</v>
      </c>
      <c r="B438" s="2" t="s">
        <v>1174</v>
      </c>
      <c r="C438" s="2" t="s">
        <v>25</v>
      </c>
      <c r="D438" s="2" t="s">
        <v>228</v>
      </c>
      <c r="E438" s="4">
        <v>259.98</v>
      </c>
      <c r="F438" s="18"/>
      <c r="G438" s="3">
        <v>0</v>
      </c>
      <c r="H438" s="6">
        <v>0</v>
      </c>
      <c r="I438" s="3">
        <v>0</v>
      </c>
      <c r="J438" s="17" t="str">
        <f>HYPERLINK("https://amazon.com/dp/B00LE61MV0","Amazon - B00LE61MV0")</f>
        <v>Amazon - B00LE61MV0</v>
      </c>
      <c r="K438" s="18" t="s">
        <v>229</v>
      </c>
      <c r="L438" s="18" t="s">
        <v>230</v>
      </c>
      <c r="M438" s="18" t="s">
        <v>706</v>
      </c>
      <c r="N438" s="18" t="s">
        <v>1175</v>
      </c>
      <c r="O438" s="18" t="s">
        <v>233</v>
      </c>
      <c r="P438" s="18" t="s">
        <v>271</v>
      </c>
    </row>
    <row r="439" spans="1:16" ht="30" x14ac:dyDescent="0.2">
      <c r="A439" s="2" t="s">
        <v>1176</v>
      </c>
      <c r="B439" s="2" t="s">
        <v>1177</v>
      </c>
      <c r="C439" s="2" t="s">
        <v>172</v>
      </c>
      <c r="D439" s="2" t="s">
        <v>228</v>
      </c>
      <c r="E439" s="4">
        <v>14.95</v>
      </c>
      <c r="F439" s="18"/>
      <c r="G439" s="3">
        <v>0</v>
      </c>
      <c r="H439" s="6">
        <v>1</v>
      </c>
      <c r="I439" s="3">
        <v>1</v>
      </c>
      <c r="J439" s="17" t="str">
        <f>HYPERLINK("https://amazon.com/dp/B0BZVN4HY8","Amazon - B0BZVN4HY8")</f>
        <v>Amazon - B0BZVN4HY8</v>
      </c>
      <c r="K439" s="18" t="s">
        <v>229</v>
      </c>
      <c r="L439" s="18" t="s">
        <v>230</v>
      </c>
      <c r="M439" s="18" t="s">
        <v>237</v>
      </c>
      <c r="N439" s="18" t="s">
        <v>271</v>
      </c>
      <c r="O439" s="18" t="s">
        <v>233</v>
      </c>
      <c r="P439" s="18" t="s">
        <v>271</v>
      </c>
    </row>
    <row r="440" spans="1:16" x14ac:dyDescent="0.2">
      <c r="A440" s="2" t="s">
        <v>1178</v>
      </c>
      <c r="B440" s="2" t="s">
        <v>1179</v>
      </c>
      <c r="C440" s="2" t="s">
        <v>158</v>
      </c>
      <c r="D440" s="2" t="s">
        <v>228</v>
      </c>
      <c r="E440" s="4">
        <v>10.84</v>
      </c>
      <c r="F440" s="18"/>
      <c r="G440" s="3">
        <v>0</v>
      </c>
      <c r="H440" s="6">
        <v>0</v>
      </c>
      <c r="I440" s="3">
        <v>0</v>
      </c>
      <c r="J440" s="17" t="str">
        <f>HYPERLINK("https://amazon.com/dp/B0B14ZT6GT","Amazon - B0B14ZT6GT")</f>
        <v>Amazon - B0B14ZT6GT</v>
      </c>
      <c r="K440" s="18" t="s">
        <v>229</v>
      </c>
      <c r="L440" s="18" t="s">
        <v>230</v>
      </c>
      <c r="M440" s="18" t="s">
        <v>271</v>
      </c>
      <c r="N440" s="18" t="s">
        <v>271</v>
      </c>
      <c r="O440" s="18" t="s">
        <v>233</v>
      </c>
      <c r="P440" s="18" t="s">
        <v>271</v>
      </c>
    </row>
    <row r="441" spans="1:16" ht="30" x14ac:dyDescent="0.2">
      <c r="A441" s="2" t="s">
        <v>1180</v>
      </c>
      <c r="B441" s="2" t="s">
        <v>1181</v>
      </c>
      <c r="C441" s="2" t="s">
        <v>151</v>
      </c>
      <c r="D441" s="2" t="s">
        <v>228</v>
      </c>
      <c r="E441" s="4">
        <v>599.99</v>
      </c>
      <c r="F441" s="18"/>
      <c r="G441" s="3">
        <v>0</v>
      </c>
      <c r="H441" s="6">
        <v>0</v>
      </c>
      <c r="I441" s="3">
        <v>0</v>
      </c>
      <c r="J441" s="17" t="str">
        <f>HYPERLINK("https://amazon.com/dp/B0DDCTNDTF","Amazon - B0DDCTNDTF")</f>
        <v>Amazon - B0DDCTNDTF</v>
      </c>
      <c r="K441" s="18" t="s">
        <v>229</v>
      </c>
      <c r="L441" s="18" t="s">
        <v>230</v>
      </c>
      <c r="M441" s="18" t="s">
        <v>271</v>
      </c>
      <c r="N441" s="18" t="s">
        <v>271</v>
      </c>
      <c r="O441" s="18" t="s">
        <v>233</v>
      </c>
      <c r="P441" s="18" t="s">
        <v>256</v>
      </c>
    </row>
    <row r="442" spans="1:16" x14ac:dyDescent="0.2">
      <c r="A442" s="2" t="s">
        <v>1182</v>
      </c>
      <c r="B442" s="2" t="s">
        <v>1183</v>
      </c>
      <c r="C442" s="2" t="s">
        <v>210</v>
      </c>
      <c r="D442" s="2" t="s">
        <v>228</v>
      </c>
      <c r="E442" s="4">
        <v>123.87</v>
      </c>
      <c r="F442" s="18"/>
      <c r="G442" s="3">
        <v>0</v>
      </c>
      <c r="H442" s="6">
        <v>0</v>
      </c>
      <c r="I442" s="3">
        <v>0</v>
      </c>
      <c r="J442" s="17" t="str">
        <f>HYPERLINK("https://amazon.com/dp/B019RAUAHG","Amazon - B019RAUAHG")</f>
        <v>Amazon - B019RAUAHG</v>
      </c>
      <c r="K442" s="18" t="s">
        <v>229</v>
      </c>
      <c r="L442" s="18" t="s">
        <v>230</v>
      </c>
      <c r="M442" s="18" t="s">
        <v>242</v>
      </c>
      <c r="N442" s="18" t="s">
        <v>1134</v>
      </c>
      <c r="O442" s="18" t="s">
        <v>233</v>
      </c>
      <c r="P442" s="18" t="s">
        <v>271</v>
      </c>
    </row>
    <row r="443" spans="1:16" ht="30" x14ac:dyDescent="0.2">
      <c r="A443" s="2" t="s">
        <v>1184</v>
      </c>
      <c r="B443" s="2" t="s">
        <v>1185</v>
      </c>
      <c r="C443" s="2" t="s">
        <v>194</v>
      </c>
      <c r="D443" s="2" t="s">
        <v>228</v>
      </c>
      <c r="E443" s="4">
        <v>20.79</v>
      </c>
      <c r="F443" s="18"/>
      <c r="G443" s="3">
        <v>0</v>
      </c>
      <c r="H443" s="6">
        <v>1</v>
      </c>
      <c r="I443" s="3">
        <v>1</v>
      </c>
      <c r="J443" s="17" t="str">
        <f>HYPERLINK("https://amazon.com/dp/B0D14SJ93Q","Amazon - B0D14SJ93Q")</f>
        <v>Amazon - B0D14SJ93Q</v>
      </c>
      <c r="K443" s="18" t="s">
        <v>229</v>
      </c>
      <c r="L443" s="18" t="s">
        <v>230</v>
      </c>
      <c r="M443" s="18" t="s">
        <v>271</v>
      </c>
      <c r="N443" s="18" t="s">
        <v>265</v>
      </c>
      <c r="O443" s="18" t="s">
        <v>233</v>
      </c>
      <c r="P443" s="18" t="s">
        <v>278</v>
      </c>
    </row>
    <row r="444" spans="1:16" ht="45" x14ac:dyDescent="0.2">
      <c r="A444" s="2" t="s">
        <v>1186</v>
      </c>
      <c r="B444" s="2" t="s">
        <v>1187</v>
      </c>
      <c r="C444" s="2" t="s">
        <v>25</v>
      </c>
      <c r="D444" s="2" t="s">
        <v>285</v>
      </c>
      <c r="E444" s="4">
        <v>649.98</v>
      </c>
      <c r="F444" s="18"/>
      <c r="G444" s="3">
        <v>0</v>
      </c>
      <c r="H444" s="6">
        <v>0</v>
      </c>
      <c r="I444" s="3">
        <v>0</v>
      </c>
      <c r="J444" s="17" t="str">
        <f>HYPERLINK("https://amazon.com/dp/B08J27J2QY","Amazon - B08J27J2QY")</f>
        <v>Amazon - B08J27J2QY</v>
      </c>
      <c r="K444" s="18" t="s">
        <v>229</v>
      </c>
      <c r="L444" s="18" t="s">
        <v>230</v>
      </c>
      <c r="M444" s="18" t="s">
        <v>242</v>
      </c>
      <c r="N444" s="18" t="s">
        <v>238</v>
      </c>
      <c r="O444" s="18" t="s">
        <v>233</v>
      </c>
      <c r="P444" s="18" t="s">
        <v>234</v>
      </c>
    </row>
    <row r="445" spans="1:16" ht="45" x14ac:dyDescent="0.2">
      <c r="A445" s="2" t="s">
        <v>1188</v>
      </c>
      <c r="B445" s="2" t="s">
        <v>1189</v>
      </c>
      <c r="C445" s="2" t="s">
        <v>25</v>
      </c>
      <c r="D445" s="2" t="s">
        <v>285</v>
      </c>
      <c r="E445" s="4">
        <v>499.98</v>
      </c>
      <c r="F445" s="18"/>
      <c r="G445" s="3">
        <v>0</v>
      </c>
      <c r="H445" s="6">
        <v>0</v>
      </c>
      <c r="I445" s="3">
        <v>0</v>
      </c>
      <c r="J445" s="17" t="str">
        <f>HYPERLINK("https://amazon.com/dp/B08J1SHSCJ","Amazon - B08J1SHSCJ")</f>
        <v>Amazon - B08J1SHSCJ</v>
      </c>
      <c r="K445" s="18" t="s">
        <v>229</v>
      </c>
      <c r="L445" s="18" t="s">
        <v>230</v>
      </c>
      <c r="M445" s="18" t="s">
        <v>242</v>
      </c>
      <c r="N445" s="18" t="s">
        <v>238</v>
      </c>
      <c r="O445" s="18" t="s">
        <v>233</v>
      </c>
      <c r="P445" s="18" t="s">
        <v>234</v>
      </c>
    </row>
    <row r="446" spans="1:16" ht="45" x14ac:dyDescent="0.2">
      <c r="A446" s="2" t="s">
        <v>1190</v>
      </c>
      <c r="B446" s="2" t="s">
        <v>1191</v>
      </c>
      <c r="C446" s="2" t="s">
        <v>25</v>
      </c>
      <c r="D446" s="2" t="s">
        <v>591</v>
      </c>
      <c r="E446" s="4">
        <v>579.98</v>
      </c>
      <c r="F446" s="18"/>
      <c r="G446" s="3">
        <v>0</v>
      </c>
      <c r="H446" s="6">
        <v>0</v>
      </c>
      <c r="I446" s="3">
        <v>0</v>
      </c>
      <c r="J446" s="17" t="str">
        <f>HYPERLINK("https://amazon.com/dp/B08J1Y8QHK","Amazon - B08J1Y8QHK")</f>
        <v>Amazon - B08J1Y8QHK</v>
      </c>
      <c r="K446" s="18" t="s">
        <v>286</v>
      </c>
      <c r="L446" s="18" t="s">
        <v>230</v>
      </c>
      <c r="M446" s="18" t="s">
        <v>287</v>
      </c>
      <c r="N446" s="18" t="s">
        <v>238</v>
      </c>
      <c r="O446" s="18" t="s">
        <v>233</v>
      </c>
      <c r="P446" s="18" t="s">
        <v>234</v>
      </c>
    </row>
    <row r="447" spans="1:16" x14ac:dyDescent="0.2">
      <c r="A447" s="2" t="s">
        <v>1192</v>
      </c>
      <c r="B447" s="2" t="s">
        <v>1193</v>
      </c>
      <c r="C447" s="2" t="s">
        <v>190</v>
      </c>
      <c r="D447" s="2" t="s">
        <v>228</v>
      </c>
      <c r="E447" s="4">
        <v>69.98</v>
      </c>
      <c r="F447" s="18"/>
      <c r="G447" s="3">
        <v>0</v>
      </c>
      <c r="H447" s="6">
        <v>4.0999999999999996</v>
      </c>
      <c r="I447" s="3">
        <v>216</v>
      </c>
      <c r="J447" s="17" t="str">
        <f>HYPERLINK("https://amazon.com/dp/B003629WRQ","Amazon - B003629WRQ")</f>
        <v>Amazon - B003629WRQ</v>
      </c>
      <c r="K447" s="18" t="s">
        <v>229</v>
      </c>
      <c r="L447" s="18" t="s">
        <v>230</v>
      </c>
      <c r="M447" s="18" t="s">
        <v>270</v>
      </c>
      <c r="N447" s="18" t="s">
        <v>271</v>
      </c>
      <c r="O447" s="18" t="s">
        <v>233</v>
      </c>
      <c r="P447" s="18" t="s">
        <v>271</v>
      </c>
    </row>
    <row r="448" spans="1:16" ht="30" x14ac:dyDescent="0.2">
      <c r="A448" s="2" t="s">
        <v>1194</v>
      </c>
      <c r="B448" s="2" t="s">
        <v>1195</v>
      </c>
      <c r="C448" s="2" t="s">
        <v>113</v>
      </c>
      <c r="D448" s="2" t="s">
        <v>228</v>
      </c>
      <c r="E448" s="4">
        <v>58.96</v>
      </c>
      <c r="F448" s="18"/>
      <c r="G448" s="3">
        <v>0</v>
      </c>
      <c r="H448" s="6">
        <v>0</v>
      </c>
      <c r="I448" s="3">
        <v>0</v>
      </c>
      <c r="J448" s="17" t="str">
        <f>HYPERLINK("https://amazon.com/dp/B0CMV7M4JG","Amazon - B0CMV7M4JG")</f>
        <v>Amazon - B0CMV7M4JG</v>
      </c>
      <c r="K448" s="18" t="s">
        <v>229</v>
      </c>
      <c r="L448" s="18" t="s">
        <v>230</v>
      </c>
      <c r="M448" s="18" t="s">
        <v>242</v>
      </c>
      <c r="N448" s="18" t="s">
        <v>271</v>
      </c>
      <c r="O448" s="18" t="s">
        <v>233</v>
      </c>
      <c r="P448" s="18" t="s">
        <v>379</v>
      </c>
    </row>
    <row r="449" spans="1:16" ht="30" x14ac:dyDescent="0.2">
      <c r="A449" s="2" t="s">
        <v>1196</v>
      </c>
      <c r="B449" s="2" t="s">
        <v>1197</v>
      </c>
      <c r="C449" s="2" t="s">
        <v>207</v>
      </c>
      <c r="D449" s="2" t="s">
        <v>228</v>
      </c>
      <c r="E449" s="4">
        <v>9.99</v>
      </c>
      <c r="F449" s="18"/>
      <c r="G449" s="3">
        <v>0</v>
      </c>
      <c r="H449" s="6">
        <v>0</v>
      </c>
      <c r="I449" s="3">
        <v>0</v>
      </c>
      <c r="J449" s="17" t="str">
        <f>HYPERLINK("https://amazon.com/dp/B0DGXP7DHW","Amazon - B0DGXP7DHW")</f>
        <v>Amazon - B0DGXP7DHW</v>
      </c>
      <c r="K449" s="18" t="s">
        <v>229</v>
      </c>
      <c r="L449" s="18" t="s">
        <v>230</v>
      </c>
      <c r="M449" s="18" t="s">
        <v>271</v>
      </c>
      <c r="N449" s="18" t="s">
        <v>271</v>
      </c>
      <c r="O449" s="18" t="s">
        <v>233</v>
      </c>
      <c r="P449" s="18" t="s">
        <v>271</v>
      </c>
    </row>
    <row r="450" spans="1:16" ht="30" x14ac:dyDescent="0.2">
      <c r="A450" s="2" t="s">
        <v>1198</v>
      </c>
      <c r="B450" s="2" t="s">
        <v>1197</v>
      </c>
      <c r="C450" s="2" t="s">
        <v>207</v>
      </c>
      <c r="D450" s="2" t="s">
        <v>228</v>
      </c>
      <c r="E450" s="4">
        <v>13.99</v>
      </c>
      <c r="F450" s="18"/>
      <c r="G450" s="3">
        <v>0</v>
      </c>
      <c r="H450" s="6">
        <v>0</v>
      </c>
      <c r="I450" s="3">
        <v>0</v>
      </c>
      <c r="J450" s="17" t="str">
        <f>HYPERLINK("https://amazon.com/dp/B0DGXPF1G5","Amazon - B0DGXPF1G5")</f>
        <v>Amazon - B0DGXPF1G5</v>
      </c>
      <c r="K450" s="18" t="s">
        <v>229</v>
      </c>
      <c r="L450" s="18" t="s">
        <v>230</v>
      </c>
      <c r="M450" s="18" t="s">
        <v>271</v>
      </c>
      <c r="N450" s="18" t="s">
        <v>271</v>
      </c>
      <c r="O450" s="18" t="s">
        <v>233</v>
      </c>
      <c r="P450" s="18" t="s">
        <v>271</v>
      </c>
    </row>
    <row r="451" spans="1:16" ht="30" x14ac:dyDescent="0.2">
      <c r="A451" s="2" t="s">
        <v>1199</v>
      </c>
      <c r="B451" s="2" t="s">
        <v>1197</v>
      </c>
      <c r="C451" s="2" t="s">
        <v>207</v>
      </c>
      <c r="D451" s="2" t="s">
        <v>228</v>
      </c>
      <c r="E451" s="4">
        <v>8.99</v>
      </c>
      <c r="F451" s="18"/>
      <c r="G451" s="3">
        <v>0</v>
      </c>
      <c r="H451" s="6">
        <v>0</v>
      </c>
      <c r="I451" s="3">
        <v>0</v>
      </c>
      <c r="J451" s="17" t="str">
        <f>HYPERLINK("https://amazon.com/dp/B0DGXHW6JJ","Amazon - B0DGXHW6JJ")</f>
        <v>Amazon - B0DGXHW6JJ</v>
      </c>
      <c r="K451" s="18" t="s">
        <v>229</v>
      </c>
      <c r="L451" s="18" t="s">
        <v>230</v>
      </c>
      <c r="M451" s="18" t="s">
        <v>271</v>
      </c>
      <c r="N451" s="18" t="s">
        <v>271</v>
      </c>
      <c r="O451" s="18" t="s">
        <v>233</v>
      </c>
      <c r="P451" s="18" t="s">
        <v>271</v>
      </c>
    </row>
    <row r="452" spans="1:16" ht="30" x14ac:dyDescent="0.2">
      <c r="A452" s="2" t="s">
        <v>1200</v>
      </c>
      <c r="B452" s="2" t="s">
        <v>1201</v>
      </c>
      <c r="C452" s="2" t="s">
        <v>25</v>
      </c>
      <c r="D452" s="2" t="s">
        <v>228</v>
      </c>
      <c r="E452" s="4">
        <v>799.98</v>
      </c>
      <c r="F452" s="18"/>
      <c r="G452" s="3">
        <v>0</v>
      </c>
      <c r="H452" s="6">
        <v>0</v>
      </c>
      <c r="I452" s="3">
        <v>0</v>
      </c>
      <c r="J452" s="17" t="str">
        <f>HYPERLINK("https://amazon.com/dp/B0C7LV1WSY","Amazon - B0C7LV1WSY")</f>
        <v>Amazon - B0C7LV1WSY</v>
      </c>
      <c r="K452" s="18" t="s">
        <v>229</v>
      </c>
      <c r="L452" s="18" t="s">
        <v>251</v>
      </c>
      <c r="M452" s="18" t="s">
        <v>231</v>
      </c>
      <c r="N452" s="18" t="s">
        <v>253</v>
      </c>
      <c r="O452" s="18" t="s">
        <v>233</v>
      </c>
      <c r="P452" s="18" t="s">
        <v>278</v>
      </c>
    </row>
    <row r="453" spans="1:16" ht="30" x14ac:dyDescent="0.2">
      <c r="A453" s="2" t="s">
        <v>1202</v>
      </c>
      <c r="B453" s="2" t="s">
        <v>1203</v>
      </c>
      <c r="C453" s="2" t="s">
        <v>129</v>
      </c>
      <c r="D453" s="2" t="s">
        <v>228</v>
      </c>
      <c r="E453" s="4">
        <v>14.95</v>
      </c>
      <c r="F453" s="18"/>
      <c r="G453" s="3">
        <v>0</v>
      </c>
      <c r="H453" s="6">
        <v>0</v>
      </c>
      <c r="I453" s="3">
        <v>0</v>
      </c>
      <c r="J453" s="17" t="str">
        <f>HYPERLINK("https://amazon.com/dp/B0CNV5RBBH","Amazon - B0CNV5RBBH")</f>
        <v>Amazon - B0CNV5RBBH</v>
      </c>
      <c r="K453" s="18" t="s">
        <v>229</v>
      </c>
      <c r="L453" s="18" t="s">
        <v>230</v>
      </c>
      <c r="M453" s="18" t="s">
        <v>242</v>
      </c>
      <c r="N453" s="18" t="s">
        <v>271</v>
      </c>
      <c r="O453" s="18" t="s">
        <v>316</v>
      </c>
      <c r="P453" s="18" t="s">
        <v>271</v>
      </c>
    </row>
    <row r="454" spans="1:16" ht="30" x14ac:dyDescent="0.2">
      <c r="A454" s="2" t="s">
        <v>1204</v>
      </c>
      <c r="B454" s="2" t="s">
        <v>1205</v>
      </c>
      <c r="C454" s="2" t="s">
        <v>129</v>
      </c>
      <c r="D454" s="2" t="s">
        <v>228</v>
      </c>
      <c r="E454" s="4">
        <v>31.95</v>
      </c>
      <c r="F454" s="18"/>
      <c r="G454" s="3">
        <v>0</v>
      </c>
      <c r="H454" s="6">
        <v>0</v>
      </c>
      <c r="I454" s="3">
        <v>0</v>
      </c>
      <c r="J454" s="17" t="str">
        <f>HYPERLINK("https://amazon.com/dp/B0DTRS2K13","Amazon - B0DTRS2K13")</f>
        <v>Amazon - B0DTRS2K13</v>
      </c>
      <c r="K454" s="18" t="s">
        <v>229</v>
      </c>
      <c r="L454" s="18" t="s">
        <v>230</v>
      </c>
      <c r="M454" s="18" t="s">
        <v>342</v>
      </c>
      <c r="N454" s="18" t="s">
        <v>271</v>
      </c>
      <c r="O454" s="18" t="s">
        <v>316</v>
      </c>
      <c r="P454" s="18" t="s">
        <v>271</v>
      </c>
    </row>
    <row r="455" spans="1:16" ht="30" x14ac:dyDescent="0.2">
      <c r="A455" s="2" t="s">
        <v>1206</v>
      </c>
      <c r="B455" s="2" t="s">
        <v>1207</v>
      </c>
      <c r="C455" s="2" t="s">
        <v>91</v>
      </c>
      <c r="D455" s="2" t="s">
        <v>228</v>
      </c>
      <c r="E455" s="4">
        <v>164.03</v>
      </c>
      <c r="F455" s="18"/>
      <c r="G455" s="3">
        <v>0</v>
      </c>
      <c r="H455" s="6">
        <v>4.7</v>
      </c>
      <c r="I455" s="3">
        <v>2</v>
      </c>
      <c r="J455" s="17" t="str">
        <f>HYPERLINK("https://amazon.com/dp/B00Z19DSWW","Amazon - B00Z19DSWW")</f>
        <v>Amazon - B00Z19DSWW</v>
      </c>
      <c r="K455" s="18" t="s">
        <v>229</v>
      </c>
      <c r="L455" s="18" t="s">
        <v>230</v>
      </c>
      <c r="M455" s="18" t="s">
        <v>271</v>
      </c>
      <c r="N455" s="18" t="s">
        <v>232</v>
      </c>
      <c r="O455" s="18" t="s">
        <v>233</v>
      </c>
      <c r="P455" s="18" t="s">
        <v>278</v>
      </c>
    </row>
    <row r="456" spans="1:16" ht="30" x14ac:dyDescent="0.2">
      <c r="A456" s="2" t="s">
        <v>1208</v>
      </c>
      <c r="B456" s="2" t="s">
        <v>1209</v>
      </c>
      <c r="C456" s="2" t="s">
        <v>113</v>
      </c>
      <c r="D456" s="2" t="s">
        <v>228</v>
      </c>
      <c r="E456" s="4">
        <v>72.319999999999993</v>
      </c>
      <c r="F456" s="18"/>
      <c r="G456" s="3">
        <v>0</v>
      </c>
      <c r="H456" s="6">
        <v>0</v>
      </c>
      <c r="I456" s="3">
        <v>0</v>
      </c>
      <c r="J456" s="17" t="str">
        <f>HYPERLINK("https://amazon.com/dp/B0CTJ4DB4L","Amazon - B0CTJ4DB4L")</f>
        <v>Amazon - B0CTJ4DB4L</v>
      </c>
      <c r="K456" s="18" t="s">
        <v>229</v>
      </c>
      <c r="L456" s="18" t="s">
        <v>230</v>
      </c>
      <c r="M456" s="18" t="s">
        <v>237</v>
      </c>
      <c r="N456" s="18" t="s">
        <v>243</v>
      </c>
      <c r="O456" s="18" t="s">
        <v>233</v>
      </c>
      <c r="P456" s="18" t="s">
        <v>351</v>
      </c>
    </row>
    <row r="457" spans="1:16" ht="45" x14ac:dyDescent="0.2">
      <c r="A457" s="2" t="s">
        <v>1210</v>
      </c>
      <c r="B457" s="2" t="s">
        <v>1211</v>
      </c>
      <c r="C457" s="2" t="s">
        <v>152</v>
      </c>
      <c r="D457" s="2" t="s">
        <v>228</v>
      </c>
      <c r="E457" s="4">
        <v>43.99</v>
      </c>
      <c r="F457" s="18"/>
      <c r="G457" s="3">
        <v>0</v>
      </c>
      <c r="H457" s="6">
        <v>1</v>
      </c>
      <c r="I457" s="3">
        <v>1</v>
      </c>
      <c r="J457" s="17" t="str">
        <f>HYPERLINK("https://amazon.com/dp/B0F62NZLTC","Amazon - B0F62NZLTC")</f>
        <v>Amazon - B0F62NZLTC</v>
      </c>
      <c r="K457" s="18" t="s">
        <v>229</v>
      </c>
      <c r="L457" s="18" t="s">
        <v>230</v>
      </c>
      <c r="M457" s="18" t="s">
        <v>242</v>
      </c>
      <c r="N457" s="18" t="s">
        <v>271</v>
      </c>
      <c r="O457" s="18" t="s">
        <v>233</v>
      </c>
      <c r="P457" s="18" t="s">
        <v>278</v>
      </c>
    </row>
    <row r="458" spans="1:16" ht="30" x14ac:dyDescent="0.2">
      <c r="A458" s="2" t="s">
        <v>1212</v>
      </c>
      <c r="B458" s="2" t="s">
        <v>1213</v>
      </c>
      <c r="C458" s="2" t="s">
        <v>25</v>
      </c>
      <c r="D458" s="2" t="s">
        <v>228</v>
      </c>
      <c r="E458" s="4">
        <v>999.98</v>
      </c>
      <c r="F458" s="18"/>
      <c r="G458" s="3">
        <v>0</v>
      </c>
      <c r="H458" s="6">
        <v>0</v>
      </c>
      <c r="I458" s="3">
        <v>0</v>
      </c>
      <c r="J458" s="17" t="str">
        <f>HYPERLINK("https://amazon.com/dp/B0C7LV2PLL","Amazon - B0C7LV2PLL")</f>
        <v>Amazon - B0C7LV2PLL</v>
      </c>
      <c r="K458" s="18" t="s">
        <v>229</v>
      </c>
      <c r="L458" s="18" t="s">
        <v>251</v>
      </c>
      <c r="M458" s="18" t="s">
        <v>231</v>
      </c>
      <c r="N458" s="18" t="s">
        <v>265</v>
      </c>
      <c r="O458" s="18" t="s">
        <v>233</v>
      </c>
      <c r="P458" s="18" t="s">
        <v>278</v>
      </c>
    </row>
    <row r="459" spans="1:16" ht="45" x14ac:dyDescent="0.2">
      <c r="A459" s="2" t="s">
        <v>1214</v>
      </c>
      <c r="B459" s="2" t="s">
        <v>1215</v>
      </c>
      <c r="C459" s="2" t="s">
        <v>205</v>
      </c>
      <c r="D459" s="2" t="s">
        <v>228</v>
      </c>
      <c r="E459" s="4">
        <v>560.25</v>
      </c>
      <c r="F459" s="18"/>
      <c r="G459" s="3">
        <v>0</v>
      </c>
      <c r="H459" s="6">
        <v>0</v>
      </c>
      <c r="I459" s="3">
        <v>0</v>
      </c>
      <c r="J459" s="17" t="str">
        <f>HYPERLINK("https://amazon.com/dp/B01HS8697E","Amazon - B01HS8697E")</f>
        <v>Amazon - B01HS8697E</v>
      </c>
      <c r="K459" s="18" t="s">
        <v>229</v>
      </c>
      <c r="L459" s="18" t="s">
        <v>230</v>
      </c>
      <c r="M459" s="18" t="s">
        <v>706</v>
      </c>
      <c r="N459" s="18" t="s">
        <v>271</v>
      </c>
      <c r="O459" s="18" t="s">
        <v>233</v>
      </c>
      <c r="P459" s="18" t="s">
        <v>278</v>
      </c>
    </row>
    <row r="460" spans="1:16" x14ac:dyDescent="0.2">
      <c r="A460" s="2" t="s">
        <v>1216</v>
      </c>
      <c r="B460" s="2" t="s">
        <v>1217</v>
      </c>
      <c r="C460" s="2" t="s">
        <v>148</v>
      </c>
      <c r="D460" s="2" t="s">
        <v>228</v>
      </c>
      <c r="E460" s="4">
        <v>745.15</v>
      </c>
      <c r="F460" s="18"/>
      <c r="G460" s="3">
        <v>0</v>
      </c>
      <c r="H460" s="6">
        <v>0</v>
      </c>
      <c r="I460" s="3">
        <v>0</v>
      </c>
      <c r="J460" s="17" t="str">
        <f>HYPERLINK("https://amazon.com/dp/B0BNLNCQS7","Amazon - B0BNLNCQS7")</f>
        <v>Amazon - B0BNLNCQS7</v>
      </c>
      <c r="K460" s="18" t="s">
        <v>229</v>
      </c>
      <c r="L460" s="18" t="s">
        <v>230</v>
      </c>
      <c r="M460" s="18" t="s">
        <v>271</v>
      </c>
      <c r="N460" s="18" t="s">
        <v>271</v>
      </c>
      <c r="O460" s="18" t="s">
        <v>233</v>
      </c>
      <c r="P460" s="18" t="s">
        <v>271</v>
      </c>
    </row>
    <row r="461" spans="1:16" ht="30" x14ac:dyDescent="0.2">
      <c r="A461" s="2" t="s">
        <v>1218</v>
      </c>
      <c r="B461" s="2" t="s">
        <v>1219</v>
      </c>
      <c r="C461" s="2" t="s">
        <v>110</v>
      </c>
      <c r="D461" s="2" t="s">
        <v>228</v>
      </c>
      <c r="E461" s="4">
        <v>218</v>
      </c>
      <c r="F461" s="18"/>
      <c r="G461" s="3">
        <v>0</v>
      </c>
      <c r="H461" s="6">
        <v>0</v>
      </c>
      <c r="I461" s="3">
        <v>0</v>
      </c>
      <c r="J461" s="17" t="str">
        <f>HYPERLINK("https://amazon.com/dp/B0FCGBDMJJ","Amazon - B0FCGBDMJJ")</f>
        <v>Amazon - B0FCGBDMJJ</v>
      </c>
      <c r="K461" s="18" t="s">
        <v>229</v>
      </c>
      <c r="L461" s="18" t="s">
        <v>230</v>
      </c>
      <c r="M461" s="18" t="s">
        <v>242</v>
      </c>
      <c r="N461" s="18" t="s">
        <v>271</v>
      </c>
      <c r="O461" s="18" t="s">
        <v>233</v>
      </c>
      <c r="P461" s="18" t="s">
        <v>278</v>
      </c>
    </row>
    <row r="462" spans="1:16" ht="30" x14ac:dyDescent="0.2">
      <c r="A462" s="2" t="s">
        <v>1220</v>
      </c>
      <c r="B462" s="2" t="s">
        <v>1221</v>
      </c>
      <c r="C462" s="2" t="s">
        <v>110</v>
      </c>
      <c r="D462" s="2" t="s">
        <v>228</v>
      </c>
      <c r="E462" s="4">
        <v>278</v>
      </c>
      <c r="F462" s="18"/>
      <c r="G462" s="3">
        <v>0</v>
      </c>
      <c r="H462" s="6">
        <v>0</v>
      </c>
      <c r="I462" s="3">
        <v>0</v>
      </c>
      <c r="J462" s="17" t="str">
        <f>HYPERLINK("https://amazon.com/dp/B0FCG5N9V2","Amazon - B0FCG5N9V2")</f>
        <v>Amazon - B0FCG5N9V2</v>
      </c>
      <c r="K462" s="18" t="s">
        <v>229</v>
      </c>
      <c r="L462" s="18" t="s">
        <v>230</v>
      </c>
      <c r="M462" s="18" t="s">
        <v>242</v>
      </c>
      <c r="N462" s="18" t="s">
        <v>271</v>
      </c>
      <c r="O462" s="18" t="s">
        <v>233</v>
      </c>
      <c r="P462" s="18" t="s">
        <v>278</v>
      </c>
    </row>
    <row r="463" spans="1:16" ht="30" x14ac:dyDescent="0.2">
      <c r="A463" s="2" t="s">
        <v>1222</v>
      </c>
      <c r="B463" s="2" t="s">
        <v>1223</v>
      </c>
      <c r="C463" s="2" t="s">
        <v>129</v>
      </c>
      <c r="D463" s="2" t="s">
        <v>228</v>
      </c>
      <c r="E463" s="4">
        <v>19.95</v>
      </c>
      <c r="F463" s="18"/>
      <c r="G463" s="3">
        <v>0</v>
      </c>
      <c r="H463" s="6">
        <v>0</v>
      </c>
      <c r="I463" s="3">
        <v>0</v>
      </c>
      <c r="J463" s="17" t="str">
        <f>HYPERLINK("https://amazon.com/dp/B0CNV59R6S","Amazon - B0CNV59R6S")</f>
        <v>Amazon - B0CNV59R6S</v>
      </c>
      <c r="K463" s="18" t="s">
        <v>229</v>
      </c>
      <c r="L463" s="18" t="s">
        <v>230</v>
      </c>
      <c r="M463" s="18" t="s">
        <v>342</v>
      </c>
      <c r="N463" s="18" t="s">
        <v>271</v>
      </c>
      <c r="O463" s="18" t="s">
        <v>316</v>
      </c>
      <c r="P463" s="18" t="s">
        <v>271</v>
      </c>
    </row>
    <row r="464" spans="1:16" ht="30" x14ac:dyDescent="0.2">
      <c r="A464" s="2" t="s">
        <v>1224</v>
      </c>
      <c r="B464" s="2" t="s">
        <v>1225</v>
      </c>
      <c r="C464" s="2" t="s">
        <v>153</v>
      </c>
      <c r="D464" s="2" t="s">
        <v>228</v>
      </c>
      <c r="E464" s="4">
        <v>179.99</v>
      </c>
      <c r="F464" s="18"/>
      <c r="G464" s="3">
        <v>0</v>
      </c>
      <c r="H464" s="6">
        <v>0</v>
      </c>
      <c r="I464" s="3">
        <v>0</v>
      </c>
      <c r="J464" s="17" t="str">
        <f>HYPERLINK("https://amazon.com/dp/B0FJXKBV6W","Amazon - B0FJXKBV6W")</f>
        <v>Amazon - B0FJXKBV6W</v>
      </c>
      <c r="K464" s="18" t="s">
        <v>229</v>
      </c>
      <c r="L464" s="18" t="s">
        <v>230</v>
      </c>
      <c r="M464" s="18" t="s">
        <v>237</v>
      </c>
      <c r="N464" s="18" t="s">
        <v>253</v>
      </c>
      <c r="O464" s="18" t="s">
        <v>233</v>
      </c>
      <c r="P464" s="18" t="s">
        <v>271</v>
      </c>
    </row>
    <row r="465" spans="1:16" ht="45" x14ac:dyDescent="0.2">
      <c r="A465" s="2" t="s">
        <v>1226</v>
      </c>
      <c r="B465" s="2" t="s">
        <v>1227</v>
      </c>
      <c r="C465" s="2" t="s">
        <v>186</v>
      </c>
      <c r="D465" s="2" t="s">
        <v>228</v>
      </c>
      <c r="E465" s="4">
        <v>132.86000000000001</v>
      </c>
      <c r="F465" s="18"/>
      <c r="G465" s="3">
        <v>0</v>
      </c>
      <c r="H465" s="6">
        <v>5</v>
      </c>
      <c r="I465" s="3">
        <v>1</v>
      </c>
      <c r="J465" s="17" t="str">
        <f>HYPERLINK("https://amazon.com/dp/B09PPHJ35Z","Amazon - B09PPHJ35Z")</f>
        <v>Amazon - B09PPHJ35Z</v>
      </c>
      <c r="K465" s="18" t="s">
        <v>229</v>
      </c>
      <c r="L465" s="18" t="s">
        <v>230</v>
      </c>
      <c r="M465" s="18" t="s">
        <v>270</v>
      </c>
      <c r="N465" s="18" t="s">
        <v>238</v>
      </c>
      <c r="O465" s="18" t="s">
        <v>233</v>
      </c>
      <c r="P465" s="18" t="s">
        <v>271</v>
      </c>
    </row>
    <row r="466" spans="1:16" ht="30" x14ac:dyDescent="0.2">
      <c r="A466" s="2" t="s">
        <v>1228</v>
      </c>
      <c r="B466" s="2" t="s">
        <v>1229</v>
      </c>
      <c r="C466" s="2" t="s">
        <v>139</v>
      </c>
      <c r="D466" s="2" t="s">
        <v>228</v>
      </c>
      <c r="E466" s="4">
        <v>136.99</v>
      </c>
      <c r="F466" s="18"/>
      <c r="G466" s="3">
        <v>0</v>
      </c>
      <c r="H466" s="6">
        <v>0</v>
      </c>
      <c r="I466" s="3">
        <v>0</v>
      </c>
      <c r="J466" s="17" t="str">
        <f>HYPERLINK("https://amazon.com/dp/B0D49NCDSK","Amazon - B0D49NCDSK")</f>
        <v>Amazon - B0D49NCDSK</v>
      </c>
      <c r="K466" s="18" t="s">
        <v>229</v>
      </c>
      <c r="L466" s="18" t="s">
        <v>230</v>
      </c>
      <c r="M466" s="18" t="s">
        <v>242</v>
      </c>
      <c r="N466" s="18" t="s">
        <v>271</v>
      </c>
      <c r="O466" s="18" t="s">
        <v>233</v>
      </c>
      <c r="P466" s="18" t="s">
        <v>305</v>
      </c>
    </row>
    <row r="467" spans="1:16" ht="30" x14ac:dyDescent="0.2">
      <c r="A467" s="2" t="s">
        <v>1230</v>
      </c>
      <c r="B467" s="2" t="s">
        <v>1231</v>
      </c>
      <c r="C467" s="2" t="s">
        <v>25</v>
      </c>
      <c r="D467" s="2" t="s">
        <v>228</v>
      </c>
      <c r="E467" s="4">
        <v>490</v>
      </c>
      <c r="F467" s="18"/>
      <c r="G467" s="3">
        <v>0</v>
      </c>
      <c r="H467" s="6">
        <v>0</v>
      </c>
      <c r="I467" s="3">
        <v>0</v>
      </c>
      <c r="J467" s="17" t="str">
        <f>HYPERLINK("https://amazon.com/dp/B0FD4GDCDK","Amazon - B0FD4GDCDK")</f>
        <v>Amazon - B0FD4GDCDK</v>
      </c>
      <c r="K467" s="18" t="s">
        <v>229</v>
      </c>
      <c r="L467" s="18" t="s">
        <v>251</v>
      </c>
      <c r="M467" s="18" t="s">
        <v>242</v>
      </c>
      <c r="N467" s="18" t="s">
        <v>253</v>
      </c>
      <c r="O467" s="18" t="s">
        <v>233</v>
      </c>
      <c r="P467" s="18" t="s">
        <v>278</v>
      </c>
    </row>
    <row r="468" spans="1:16" ht="30" x14ac:dyDescent="0.2">
      <c r="A468" s="2" t="s">
        <v>1232</v>
      </c>
      <c r="B468" s="2" t="s">
        <v>1233</v>
      </c>
      <c r="C468" s="2" t="s">
        <v>25</v>
      </c>
      <c r="D468" s="2" t="s">
        <v>228</v>
      </c>
      <c r="E468" s="4">
        <v>590</v>
      </c>
      <c r="F468" s="18"/>
      <c r="G468" s="3">
        <v>0</v>
      </c>
      <c r="H468" s="6">
        <v>0</v>
      </c>
      <c r="I468" s="3">
        <v>0</v>
      </c>
      <c r="J468" s="17" t="str">
        <f>HYPERLINK("https://amazon.com/dp/B0FD54M2V2","Amazon - B0FD54M2V2")</f>
        <v>Amazon - B0FD54M2V2</v>
      </c>
      <c r="K468" s="18" t="s">
        <v>229</v>
      </c>
      <c r="L468" s="18" t="s">
        <v>251</v>
      </c>
      <c r="M468" s="18" t="s">
        <v>237</v>
      </c>
      <c r="N468" s="18" t="s">
        <v>265</v>
      </c>
      <c r="O468" s="18" t="s">
        <v>233</v>
      </c>
      <c r="P468" s="18" t="s">
        <v>278</v>
      </c>
    </row>
    <row r="469" spans="1:16" ht="45" x14ac:dyDescent="0.2">
      <c r="A469" s="2" t="s">
        <v>1234</v>
      </c>
      <c r="B469" s="2" t="s">
        <v>1235</v>
      </c>
      <c r="C469" s="2" t="s">
        <v>25</v>
      </c>
      <c r="D469" s="2" t="s">
        <v>285</v>
      </c>
      <c r="E469" s="4">
        <v>949.98</v>
      </c>
      <c r="F469" s="18"/>
      <c r="G469" s="3">
        <v>0</v>
      </c>
      <c r="H469" s="6">
        <v>0</v>
      </c>
      <c r="I469" s="3">
        <v>0</v>
      </c>
      <c r="J469" s="17" t="str">
        <f>HYPERLINK("https://amazon.com/dp/B07NCZXTHX","Amazon - B07NCZXTHX")</f>
        <v>Amazon - B07NCZXTHX</v>
      </c>
      <c r="K469" s="18" t="s">
        <v>286</v>
      </c>
      <c r="L469" s="18" t="s">
        <v>230</v>
      </c>
      <c r="M469" s="18" t="s">
        <v>287</v>
      </c>
      <c r="N469" s="18" t="s">
        <v>1175</v>
      </c>
      <c r="O469" s="18" t="s">
        <v>233</v>
      </c>
      <c r="P469" s="18" t="s">
        <v>278</v>
      </c>
    </row>
    <row r="470" spans="1:16" ht="30" x14ac:dyDescent="0.2">
      <c r="A470" s="2" t="s">
        <v>1236</v>
      </c>
      <c r="B470" s="2" t="s">
        <v>1237</v>
      </c>
      <c r="C470" s="2" t="s">
        <v>179</v>
      </c>
      <c r="D470" s="2" t="s">
        <v>228</v>
      </c>
      <c r="E470" s="4">
        <v>23.97</v>
      </c>
      <c r="F470" s="18"/>
      <c r="G470" s="3">
        <v>0</v>
      </c>
      <c r="H470" s="6">
        <v>0</v>
      </c>
      <c r="I470" s="3">
        <v>0</v>
      </c>
      <c r="J470" s="17" t="str">
        <f>HYPERLINK("https://amazon.com/dp/B0F9WCCBGQ","Amazon - B0F9WCCBGQ")</f>
        <v>Amazon - B0F9WCCBGQ</v>
      </c>
      <c r="K470" s="18" t="s">
        <v>229</v>
      </c>
      <c r="L470" s="18" t="s">
        <v>230</v>
      </c>
      <c r="M470" s="18" t="s">
        <v>271</v>
      </c>
      <c r="N470" s="18" t="s">
        <v>1238</v>
      </c>
      <c r="O470" s="18" t="s">
        <v>233</v>
      </c>
      <c r="P470" s="18" t="s">
        <v>271</v>
      </c>
    </row>
    <row r="471" spans="1:16" ht="45" x14ac:dyDescent="0.2">
      <c r="A471" s="2" t="s">
        <v>1239</v>
      </c>
      <c r="B471" s="2" t="s">
        <v>1240</v>
      </c>
      <c r="C471" s="2" t="s">
        <v>164</v>
      </c>
      <c r="D471" s="2" t="s">
        <v>228</v>
      </c>
      <c r="E471" s="4">
        <v>40.99</v>
      </c>
      <c r="F471" s="18"/>
      <c r="G471" s="3">
        <v>0</v>
      </c>
      <c r="H471" s="6">
        <v>0</v>
      </c>
      <c r="I471" s="3">
        <v>0</v>
      </c>
      <c r="J471" s="17" t="str">
        <f>HYPERLINK("https://amazon.com/dp/B0DHZMTS64","Amazon - B0DHZMTS64")</f>
        <v>Amazon - B0DHZMTS64</v>
      </c>
      <c r="K471" s="18" t="s">
        <v>229</v>
      </c>
      <c r="L471" s="18" t="s">
        <v>230</v>
      </c>
      <c r="M471" s="18" t="s">
        <v>237</v>
      </c>
      <c r="N471" s="18" t="s">
        <v>271</v>
      </c>
      <c r="O471" s="18" t="s">
        <v>233</v>
      </c>
      <c r="P471" s="18" t="s">
        <v>305</v>
      </c>
    </row>
    <row r="472" spans="1:16" ht="45" x14ac:dyDescent="0.2">
      <c r="A472" s="2" t="s">
        <v>1241</v>
      </c>
      <c r="B472" s="2" t="s">
        <v>1242</v>
      </c>
      <c r="C472" s="2" t="s">
        <v>82</v>
      </c>
      <c r="D472" s="2" t="s">
        <v>228</v>
      </c>
      <c r="E472" s="4">
        <v>69.3</v>
      </c>
      <c r="F472" s="18"/>
      <c r="G472" s="3">
        <v>0</v>
      </c>
      <c r="H472" s="6">
        <v>0</v>
      </c>
      <c r="I472" s="3">
        <v>0</v>
      </c>
      <c r="J472" s="17" t="str">
        <f>HYPERLINK("https://amazon.com/dp/B0G8DN7V2G","Amazon - B0G8DN7V2G")</f>
        <v>Amazon - B0G8DN7V2G</v>
      </c>
      <c r="K472" s="18" t="s">
        <v>229</v>
      </c>
      <c r="L472" s="18" t="s">
        <v>230</v>
      </c>
      <c r="M472" s="18" t="s">
        <v>237</v>
      </c>
      <c r="N472" s="18" t="s">
        <v>253</v>
      </c>
      <c r="O472" s="18" t="s">
        <v>233</v>
      </c>
      <c r="P472" s="18" t="s">
        <v>234</v>
      </c>
    </row>
    <row r="473" spans="1:16" ht="45" x14ac:dyDescent="0.2">
      <c r="A473" s="2" t="s">
        <v>1243</v>
      </c>
      <c r="B473" s="2" t="s">
        <v>1244</v>
      </c>
      <c r="C473" s="2" t="s">
        <v>169</v>
      </c>
      <c r="D473" s="2" t="s">
        <v>228</v>
      </c>
      <c r="E473" s="4">
        <v>21.99</v>
      </c>
      <c r="F473" s="18"/>
      <c r="G473" s="3">
        <v>0</v>
      </c>
      <c r="H473" s="6">
        <v>0</v>
      </c>
      <c r="I473" s="3">
        <v>0</v>
      </c>
      <c r="J473" s="17" t="str">
        <f>HYPERLINK("https://amazon.com/dp/B0DQLNHPYW","Amazon - B0DQLNHPYW")</f>
        <v>Amazon - B0DQLNHPYW</v>
      </c>
      <c r="K473" s="18" t="s">
        <v>229</v>
      </c>
      <c r="L473" s="18" t="s">
        <v>230</v>
      </c>
      <c r="M473" s="18" t="s">
        <v>271</v>
      </c>
      <c r="N473" s="18" t="s">
        <v>271</v>
      </c>
      <c r="O473" s="18" t="s">
        <v>233</v>
      </c>
      <c r="P473" s="18" t="s">
        <v>305</v>
      </c>
    </row>
    <row r="474" spans="1:16" ht="30" x14ac:dyDescent="0.2">
      <c r="A474" s="2" t="s">
        <v>1245</v>
      </c>
      <c r="B474" s="2" t="s">
        <v>1246</v>
      </c>
      <c r="C474" s="2" t="s">
        <v>203</v>
      </c>
      <c r="D474" s="2" t="s">
        <v>228</v>
      </c>
      <c r="E474" s="4">
        <v>168.99</v>
      </c>
      <c r="F474" s="18"/>
      <c r="G474" s="3">
        <v>0</v>
      </c>
      <c r="H474" s="6">
        <v>0</v>
      </c>
      <c r="I474" s="3">
        <v>0</v>
      </c>
      <c r="J474" s="17" t="str">
        <f>HYPERLINK("https://amazon.com/dp/B01171MZNA","Amazon - B01171MZNA")</f>
        <v>Amazon - B01171MZNA</v>
      </c>
      <c r="K474" s="18" t="s">
        <v>229</v>
      </c>
      <c r="L474" s="18" t="s">
        <v>230</v>
      </c>
      <c r="M474" s="18" t="s">
        <v>237</v>
      </c>
      <c r="N474" s="18" t="s">
        <v>1247</v>
      </c>
      <c r="O474" s="18" t="s">
        <v>233</v>
      </c>
      <c r="P474" s="18" t="s">
        <v>278</v>
      </c>
    </row>
    <row r="475" spans="1:16" ht="30" x14ac:dyDescent="0.2">
      <c r="A475" s="2" t="s">
        <v>1248</v>
      </c>
      <c r="B475" s="2" t="s">
        <v>1249</v>
      </c>
      <c r="C475" s="2" t="s">
        <v>180</v>
      </c>
      <c r="D475" s="2" t="s">
        <v>228</v>
      </c>
      <c r="E475" s="4">
        <v>11.89</v>
      </c>
      <c r="F475" s="18"/>
      <c r="G475" s="3">
        <v>0</v>
      </c>
      <c r="H475" s="6">
        <v>0</v>
      </c>
      <c r="I475" s="3">
        <v>0</v>
      </c>
      <c r="J475" s="17" t="str">
        <f>HYPERLINK("https://amazon.com/dp/B0CS6RPTTQ","Amazon - B0CS6RPTTQ")</f>
        <v>Amazon - B0CS6RPTTQ</v>
      </c>
      <c r="K475" s="18" t="s">
        <v>229</v>
      </c>
      <c r="L475" s="18" t="s">
        <v>230</v>
      </c>
      <c r="M475" s="18" t="s">
        <v>691</v>
      </c>
      <c r="N475" s="18" t="s">
        <v>271</v>
      </c>
      <c r="O475" s="18" t="s">
        <v>233</v>
      </c>
      <c r="P475" s="18" t="s">
        <v>305</v>
      </c>
    </row>
    <row r="476" spans="1:16" ht="30" x14ac:dyDescent="0.2">
      <c r="A476" s="2" t="s">
        <v>1250</v>
      </c>
      <c r="B476" s="2" t="s">
        <v>1251</v>
      </c>
      <c r="C476" s="2" t="s">
        <v>154</v>
      </c>
      <c r="D476" s="2" t="s">
        <v>228</v>
      </c>
      <c r="E476" s="4">
        <v>30.99</v>
      </c>
      <c r="F476" s="18"/>
      <c r="G476" s="3">
        <v>0</v>
      </c>
      <c r="H476" s="6">
        <v>0</v>
      </c>
      <c r="I476" s="3">
        <v>0</v>
      </c>
      <c r="J476" s="17" t="str">
        <f>HYPERLINK("https://amazon.com/dp/B0CM8FRRC8","Amazon - B0CM8FRRC8")</f>
        <v>Amazon - B0CM8FRRC8</v>
      </c>
      <c r="K476" s="18" t="s">
        <v>229</v>
      </c>
      <c r="L476" s="18" t="s">
        <v>230</v>
      </c>
      <c r="M476" s="18" t="s">
        <v>270</v>
      </c>
      <c r="N476" s="18" t="s">
        <v>243</v>
      </c>
      <c r="O476" s="18" t="s">
        <v>233</v>
      </c>
      <c r="P476" s="18" t="s">
        <v>271</v>
      </c>
    </row>
    <row r="477" spans="1:16" ht="45" x14ac:dyDescent="0.2">
      <c r="A477" s="2" t="s">
        <v>1252</v>
      </c>
      <c r="B477" s="2" t="s">
        <v>793</v>
      </c>
      <c r="C477" s="2" t="s">
        <v>92</v>
      </c>
      <c r="D477" s="2" t="s">
        <v>228</v>
      </c>
      <c r="E477" s="4">
        <v>354.99</v>
      </c>
      <c r="F477" s="18"/>
      <c r="G477" s="3">
        <v>0</v>
      </c>
      <c r="H477" s="6">
        <v>0</v>
      </c>
      <c r="I477" s="3">
        <v>0</v>
      </c>
      <c r="J477" s="17" t="str">
        <f>HYPERLINK("https://amazon.com/dp/B098FKBKF6","Amazon - B098FKBKF6")</f>
        <v>Amazon - B098FKBKF6</v>
      </c>
      <c r="K477" s="18" t="s">
        <v>229</v>
      </c>
      <c r="L477" s="18" t="s">
        <v>230</v>
      </c>
      <c r="M477" s="18" t="s">
        <v>242</v>
      </c>
      <c r="N477" s="18" t="s">
        <v>265</v>
      </c>
      <c r="O477" s="18" t="s">
        <v>233</v>
      </c>
      <c r="P477" s="18" t="s">
        <v>271</v>
      </c>
    </row>
    <row r="478" spans="1:16" ht="30" x14ac:dyDescent="0.2">
      <c r="A478" s="2" t="s">
        <v>1253</v>
      </c>
      <c r="B478" s="2" t="s">
        <v>1254</v>
      </c>
      <c r="C478" s="2" t="s">
        <v>208</v>
      </c>
      <c r="D478" s="2" t="s">
        <v>228</v>
      </c>
      <c r="E478" s="4">
        <v>80.989999999999995</v>
      </c>
      <c r="F478" s="18"/>
      <c r="G478" s="3">
        <v>0</v>
      </c>
      <c r="H478" s="6">
        <v>0</v>
      </c>
      <c r="I478" s="3">
        <v>0</v>
      </c>
      <c r="J478" s="17" t="str">
        <f>HYPERLINK("https://amazon.com/dp/B0D54BF8SV","Amazon - B0D54BF8SV")</f>
        <v>Amazon - B0D54BF8SV</v>
      </c>
      <c r="K478" s="18" t="s">
        <v>229</v>
      </c>
      <c r="L478" s="18" t="s">
        <v>230</v>
      </c>
      <c r="M478" s="18" t="s">
        <v>242</v>
      </c>
      <c r="N478" s="18" t="s">
        <v>271</v>
      </c>
      <c r="O478" s="18" t="s">
        <v>233</v>
      </c>
      <c r="P478" s="18" t="s">
        <v>271</v>
      </c>
    </row>
    <row r="479" spans="1:16" ht="30" x14ac:dyDescent="0.2">
      <c r="A479" s="2" t="s">
        <v>1255</v>
      </c>
      <c r="B479" s="2" t="s">
        <v>1256</v>
      </c>
      <c r="C479" s="2" t="s">
        <v>208</v>
      </c>
      <c r="D479" s="2" t="s">
        <v>228</v>
      </c>
      <c r="E479" s="4">
        <v>85.99</v>
      </c>
      <c r="F479" s="18"/>
      <c r="G479" s="3">
        <v>0</v>
      </c>
      <c r="H479" s="6">
        <v>0</v>
      </c>
      <c r="I479" s="3">
        <v>0</v>
      </c>
      <c r="J479" s="17" t="str">
        <f>HYPERLINK("https://amazon.com/dp/B0D54CJL4G","Amazon - B0D54CJL4G")</f>
        <v>Amazon - B0D54CJL4G</v>
      </c>
      <c r="K479" s="18" t="s">
        <v>229</v>
      </c>
      <c r="L479" s="18" t="s">
        <v>230</v>
      </c>
      <c r="M479" s="18" t="s">
        <v>242</v>
      </c>
      <c r="N479" s="18" t="s">
        <v>271</v>
      </c>
      <c r="O479" s="18" t="s">
        <v>233</v>
      </c>
      <c r="P479" s="18" t="s">
        <v>271</v>
      </c>
    </row>
    <row r="480" spans="1:16" x14ac:dyDescent="0.2">
      <c r="A480" s="2" t="s">
        <v>1257</v>
      </c>
      <c r="B480" s="2" t="s">
        <v>1258</v>
      </c>
      <c r="C480" s="2" t="s">
        <v>180</v>
      </c>
      <c r="D480" s="2" t="s">
        <v>228</v>
      </c>
      <c r="E480" s="4">
        <v>11.79</v>
      </c>
      <c r="F480" s="18"/>
      <c r="G480" s="3">
        <v>0</v>
      </c>
      <c r="H480" s="6">
        <v>0</v>
      </c>
      <c r="I480" s="3">
        <v>0</v>
      </c>
      <c r="J480" s="17" t="str">
        <f>HYPERLINK("https://amazon.com/dp/B0CS6QRM53","Amazon - B0CS6QRM53")</f>
        <v>Amazon - B0CS6QRM53</v>
      </c>
      <c r="K480" s="18" t="s">
        <v>229</v>
      </c>
      <c r="L480" s="18" t="s">
        <v>230</v>
      </c>
      <c r="M480" s="18" t="s">
        <v>691</v>
      </c>
      <c r="N480" s="18" t="s">
        <v>271</v>
      </c>
      <c r="O480" s="18" t="s">
        <v>233</v>
      </c>
      <c r="P480" s="18" t="s">
        <v>305</v>
      </c>
    </row>
    <row r="481" spans="1:16" ht="30" x14ac:dyDescent="0.2">
      <c r="A481" s="2" t="s">
        <v>1259</v>
      </c>
      <c r="B481" s="2" t="s">
        <v>1260</v>
      </c>
      <c r="C481" s="2" t="s">
        <v>25</v>
      </c>
      <c r="D481" s="2" t="s">
        <v>285</v>
      </c>
      <c r="E481" s="4">
        <v>599.98</v>
      </c>
      <c r="F481" s="18"/>
      <c r="G481" s="3">
        <v>0</v>
      </c>
      <c r="H481" s="6">
        <v>0</v>
      </c>
      <c r="I481" s="3">
        <v>0</v>
      </c>
      <c r="J481" s="17" t="str">
        <f>HYPERLINK("https://amazon.com/dp/B07DNGSLRT","Amazon - B07DNGSLRT")</f>
        <v>Amazon - B07DNGSLRT</v>
      </c>
      <c r="K481" s="18" t="s">
        <v>229</v>
      </c>
      <c r="L481" s="18" t="s">
        <v>230</v>
      </c>
      <c r="M481" s="18" t="s">
        <v>242</v>
      </c>
      <c r="N481" s="18" t="s">
        <v>271</v>
      </c>
      <c r="O481" s="18" t="s">
        <v>233</v>
      </c>
      <c r="P481" s="18" t="s">
        <v>234</v>
      </c>
    </row>
    <row r="482" spans="1:16" ht="30" x14ac:dyDescent="0.2">
      <c r="A482" s="2" t="s">
        <v>1261</v>
      </c>
      <c r="B482" s="2" t="s">
        <v>1262</v>
      </c>
      <c r="C482" s="2" t="s">
        <v>145</v>
      </c>
      <c r="D482" s="2" t="s">
        <v>228</v>
      </c>
      <c r="E482" s="4">
        <v>111.13</v>
      </c>
      <c r="F482" s="18"/>
      <c r="G482" s="3">
        <v>0</v>
      </c>
      <c r="H482" s="6">
        <v>0</v>
      </c>
      <c r="I482" s="3">
        <v>0</v>
      </c>
      <c r="J482" s="17" t="str">
        <f>HYPERLINK("https://amazon.com/dp/B0CLRVR7SV","Amazon - B0CLRVR7SV")</f>
        <v>Amazon - B0CLRVR7SV</v>
      </c>
      <c r="K482" s="18" t="s">
        <v>229</v>
      </c>
      <c r="L482" s="18" t="s">
        <v>230</v>
      </c>
      <c r="M482" s="18" t="s">
        <v>242</v>
      </c>
      <c r="N482" s="18" t="s">
        <v>271</v>
      </c>
      <c r="O482" s="18" t="s">
        <v>233</v>
      </c>
      <c r="P482" s="18" t="s">
        <v>234</v>
      </c>
    </row>
    <row r="483" spans="1:16" ht="30" x14ac:dyDescent="0.2">
      <c r="A483" s="2" t="s">
        <v>1263</v>
      </c>
      <c r="B483" s="2" t="s">
        <v>1264</v>
      </c>
      <c r="C483" s="2" t="s">
        <v>161</v>
      </c>
      <c r="D483" s="2" t="s">
        <v>228</v>
      </c>
      <c r="E483" s="4">
        <v>145.97999999999999</v>
      </c>
      <c r="F483" s="18"/>
      <c r="G483" s="3">
        <v>0</v>
      </c>
      <c r="H483" s="6">
        <v>0</v>
      </c>
      <c r="I483" s="3">
        <v>0</v>
      </c>
      <c r="J483" s="17" t="str">
        <f>HYPERLINK("https://amazon.com/dp/B0FW53JTBG","Amazon - B0FW53JTBG")</f>
        <v>Amazon - B0FW53JTBG</v>
      </c>
      <c r="K483" s="18" t="s">
        <v>229</v>
      </c>
      <c r="L483" s="18" t="s">
        <v>230</v>
      </c>
      <c r="M483" s="18" t="s">
        <v>271</v>
      </c>
      <c r="N483" s="18" t="s">
        <v>271</v>
      </c>
      <c r="O483" s="18" t="s">
        <v>233</v>
      </c>
      <c r="P483" s="18" t="s">
        <v>271</v>
      </c>
    </row>
    <row r="484" spans="1:16" ht="45" x14ac:dyDescent="0.2">
      <c r="A484" s="2" t="s">
        <v>1265</v>
      </c>
      <c r="B484" s="2" t="s">
        <v>1266</v>
      </c>
      <c r="C484" s="2" t="s">
        <v>25</v>
      </c>
      <c r="D484" s="2" t="s">
        <v>285</v>
      </c>
      <c r="E484" s="4">
        <v>499.98</v>
      </c>
      <c r="F484" s="18"/>
      <c r="G484" s="3">
        <v>0</v>
      </c>
      <c r="H484" s="6">
        <v>0</v>
      </c>
      <c r="I484" s="3">
        <v>0</v>
      </c>
      <c r="J484" s="17" t="str">
        <f>HYPERLINK("https://amazon.com/dp/B0B1BLYGHC","Amazon - B0B1BLYGHC")</f>
        <v>Amazon - B0B1BLYGHC</v>
      </c>
      <c r="K484" s="18" t="s">
        <v>286</v>
      </c>
      <c r="L484" s="18" t="s">
        <v>230</v>
      </c>
      <c r="M484" s="18" t="s">
        <v>287</v>
      </c>
      <c r="N484" s="18" t="s">
        <v>265</v>
      </c>
      <c r="O484" s="18" t="s">
        <v>233</v>
      </c>
      <c r="P484" s="18" t="s">
        <v>543</v>
      </c>
    </row>
    <row r="485" spans="1:16" ht="45" x14ac:dyDescent="0.2">
      <c r="A485" s="2" t="s">
        <v>1267</v>
      </c>
      <c r="B485" s="2" t="s">
        <v>1268</v>
      </c>
      <c r="C485" s="2" t="s">
        <v>25</v>
      </c>
      <c r="D485" s="2" t="s">
        <v>591</v>
      </c>
      <c r="E485" s="4">
        <v>849.98</v>
      </c>
      <c r="F485" s="18"/>
      <c r="G485" s="3">
        <v>0</v>
      </c>
      <c r="H485" s="6">
        <v>0</v>
      </c>
      <c r="I485" s="3">
        <v>0</v>
      </c>
      <c r="J485" s="17" t="str">
        <f>HYPERLINK("https://amazon.com/dp/B09RQ4WXRL","Amazon - B09RQ4WXRL")</f>
        <v>Amazon - B09RQ4WXRL</v>
      </c>
      <c r="K485" s="18" t="s">
        <v>286</v>
      </c>
      <c r="L485" s="18" t="s">
        <v>230</v>
      </c>
      <c r="M485" s="18" t="s">
        <v>287</v>
      </c>
      <c r="N485" s="18" t="s">
        <v>265</v>
      </c>
      <c r="O485" s="18" t="s">
        <v>233</v>
      </c>
      <c r="P485" s="18" t="s">
        <v>234</v>
      </c>
    </row>
    <row r="486" spans="1:16" ht="30" x14ac:dyDescent="0.2">
      <c r="A486" s="2" t="s">
        <v>1269</v>
      </c>
      <c r="B486" s="2" t="s">
        <v>1270</v>
      </c>
      <c r="C486" s="2" t="s">
        <v>157</v>
      </c>
      <c r="D486" s="2" t="s">
        <v>228</v>
      </c>
      <c r="E486" s="4">
        <v>34.619999999999997</v>
      </c>
      <c r="F486" s="18"/>
      <c r="G486" s="3">
        <v>0</v>
      </c>
      <c r="H486" s="6">
        <v>0</v>
      </c>
      <c r="I486" s="3">
        <v>0</v>
      </c>
      <c r="J486" s="17" t="str">
        <f>HYPERLINK("https://amazon.com/dp/B0G25RPRQZ","Amazon - B0G25RPRQZ")</f>
        <v>Amazon - B0G25RPRQZ</v>
      </c>
      <c r="K486" s="18" t="s">
        <v>229</v>
      </c>
      <c r="L486" s="18" t="s">
        <v>230</v>
      </c>
      <c r="M486" s="18" t="s">
        <v>237</v>
      </c>
      <c r="N486" s="18" t="s">
        <v>232</v>
      </c>
      <c r="O486" s="18" t="s">
        <v>233</v>
      </c>
      <c r="P486" s="18" t="s">
        <v>305</v>
      </c>
    </row>
    <row r="487" spans="1:16" ht="45" x14ac:dyDescent="0.2">
      <c r="A487" s="2" t="s">
        <v>1271</v>
      </c>
      <c r="B487" s="2" t="s">
        <v>1272</v>
      </c>
      <c r="C487" s="2" t="s">
        <v>202</v>
      </c>
      <c r="D487" s="2" t="s">
        <v>228</v>
      </c>
      <c r="E487" s="4">
        <v>129.99</v>
      </c>
      <c r="F487" s="18"/>
      <c r="G487" s="3">
        <v>0</v>
      </c>
      <c r="H487" s="6">
        <v>0</v>
      </c>
      <c r="I487" s="3">
        <v>0</v>
      </c>
      <c r="J487" s="17" t="str">
        <f>HYPERLINK("https://amazon.com/dp/B0G2VSFHRL","Amazon - B0G2VSFHRL")</f>
        <v>Amazon - B0G2VSFHRL</v>
      </c>
      <c r="K487" s="18" t="s">
        <v>229</v>
      </c>
      <c r="L487" s="18" t="s">
        <v>230</v>
      </c>
      <c r="M487" s="18" t="s">
        <v>242</v>
      </c>
      <c r="N487" s="18" t="s">
        <v>296</v>
      </c>
      <c r="O487" s="18" t="s">
        <v>233</v>
      </c>
      <c r="P487" s="18" t="s">
        <v>234</v>
      </c>
    </row>
    <row r="488" spans="1:16" ht="45" x14ac:dyDescent="0.2">
      <c r="A488" s="2" t="s">
        <v>1273</v>
      </c>
      <c r="B488" s="2" t="s">
        <v>1274</v>
      </c>
      <c r="C488" s="2" t="s">
        <v>185</v>
      </c>
      <c r="D488" s="2" t="s">
        <v>228</v>
      </c>
      <c r="E488" s="4">
        <v>58.84</v>
      </c>
      <c r="F488" s="18"/>
      <c r="G488" s="3">
        <v>0</v>
      </c>
      <c r="H488" s="6">
        <v>0</v>
      </c>
      <c r="I488" s="3">
        <v>0</v>
      </c>
      <c r="J488" s="17" t="str">
        <f>HYPERLINK("https://amazon.com/dp/B0D5HSCNY1","Amazon - B0D5HSCNY1")</f>
        <v>Amazon - B0D5HSCNY1</v>
      </c>
      <c r="K488" s="18" t="s">
        <v>229</v>
      </c>
      <c r="L488" s="18" t="s">
        <v>230</v>
      </c>
      <c r="M488" s="18" t="s">
        <v>237</v>
      </c>
      <c r="N488" s="18" t="s">
        <v>271</v>
      </c>
      <c r="O488" s="18" t="s">
        <v>233</v>
      </c>
      <c r="P488" s="18" t="s">
        <v>271</v>
      </c>
    </row>
    <row r="489" spans="1:16" ht="30" x14ac:dyDescent="0.2">
      <c r="A489" s="2" t="s">
        <v>1275</v>
      </c>
      <c r="B489" s="2" t="s">
        <v>1276</v>
      </c>
      <c r="C489" s="2" t="s">
        <v>178</v>
      </c>
      <c r="D489" s="2" t="s">
        <v>228</v>
      </c>
      <c r="E489" s="4">
        <v>531.74</v>
      </c>
      <c r="F489" s="18"/>
      <c r="G489" s="3">
        <v>0</v>
      </c>
      <c r="H489" s="6">
        <v>3</v>
      </c>
      <c r="I489" s="3">
        <v>1</v>
      </c>
      <c r="J489" s="17" t="str">
        <f>HYPERLINK("https://amazon.com/dp/B09HRF4NBL","Amazon - B09HRF4NBL")</f>
        <v>Amazon - B09HRF4NBL</v>
      </c>
      <c r="K489" s="18" t="s">
        <v>229</v>
      </c>
      <c r="L489" s="18" t="s">
        <v>230</v>
      </c>
      <c r="M489" s="18" t="s">
        <v>342</v>
      </c>
      <c r="N489" s="18" t="s">
        <v>271</v>
      </c>
      <c r="O489" s="18" t="s">
        <v>233</v>
      </c>
      <c r="P489" s="18" t="s">
        <v>1277</v>
      </c>
    </row>
    <row r="490" spans="1:16" ht="45" x14ac:dyDescent="0.2">
      <c r="A490" s="2" t="s">
        <v>1278</v>
      </c>
      <c r="B490" s="2" t="s">
        <v>1279</v>
      </c>
      <c r="C490" s="2" t="s">
        <v>189</v>
      </c>
      <c r="D490" s="2" t="s">
        <v>228</v>
      </c>
      <c r="E490" s="4">
        <v>149.99</v>
      </c>
      <c r="F490" s="18"/>
      <c r="G490" s="3">
        <v>0</v>
      </c>
      <c r="H490" s="6">
        <v>0</v>
      </c>
      <c r="I490" s="3">
        <v>0</v>
      </c>
      <c r="J490" s="17" t="str">
        <f>HYPERLINK("https://amazon.com/dp/B0DSTWK4GG","Amazon - B0DSTWK4GG")</f>
        <v>Amazon - B0DSTWK4GG</v>
      </c>
      <c r="K490" s="18" t="s">
        <v>229</v>
      </c>
      <c r="L490" s="18" t="s">
        <v>230</v>
      </c>
      <c r="M490" s="18" t="s">
        <v>242</v>
      </c>
      <c r="N490" s="18" t="s">
        <v>274</v>
      </c>
      <c r="O490" s="18" t="s">
        <v>233</v>
      </c>
      <c r="P490" s="18" t="s">
        <v>234</v>
      </c>
    </row>
    <row r="491" spans="1:16" ht="30" x14ac:dyDescent="0.2">
      <c r="A491" s="2" t="s">
        <v>1280</v>
      </c>
      <c r="B491" s="2" t="s">
        <v>1281</v>
      </c>
      <c r="C491" s="2" t="s">
        <v>25</v>
      </c>
      <c r="D491" s="2" t="s">
        <v>591</v>
      </c>
      <c r="E491" s="4">
        <v>460</v>
      </c>
      <c r="F491" s="18"/>
      <c r="G491" s="3">
        <v>0</v>
      </c>
      <c r="H491" s="6">
        <v>4.5999999999999996</v>
      </c>
      <c r="I491" s="3">
        <v>4</v>
      </c>
      <c r="J491" s="17" t="str">
        <f>HYPERLINK("https://amazon.com/dp/B075HSQY3B","Amazon - B075HSQY3B")</f>
        <v>Amazon - B075HSQY3B</v>
      </c>
      <c r="K491" s="18" t="s">
        <v>286</v>
      </c>
      <c r="L491" s="18" t="s">
        <v>230</v>
      </c>
      <c r="M491" s="18" t="s">
        <v>287</v>
      </c>
      <c r="N491" s="18" t="s">
        <v>271</v>
      </c>
      <c r="O491" s="18" t="s">
        <v>233</v>
      </c>
      <c r="P491" s="18" t="s">
        <v>234</v>
      </c>
    </row>
    <row r="492" spans="1:16" ht="30" x14ac:dyDescent="0.2">
      <c r="A492" s="2" t="s">
        <v>1282</v>
      </c>
      <c r="B492" s="2" t="s">
        <v>1283</v>
      </c>
      <c r="C492" s="2" t="s">
        <v>82</v>
      </c>
      <c r="D492" s="2" t="s">
        <v>228</v>
      </c>
      <c r="E492" s="4">
        <v>62.8</v>
      </c>
      <c r="F492" s="18"/>
      <c r="G492" s="3">
        <v>0</v>
      </c>
      <c r="H492" s="6">
        <v>0</v>
      </c>
      <c r="I492" s="3">
        <v>0</v>
      </c>
      <c r="J492" s="17" t="str">
        <f>HYPERLINK("https://amazon.com/dp/B0FPWMYBGV","Amazon - B0FPWMYBGV")</f>
        <v>Amazon - B0FPWMYBGV</v>
      </c>
      <c r="K492" s="18" t="s">
        <v>229</v>
      </c>
      <c r="L492" s="18" t="s">
        <v>230</v>
      </c>
      <c r="M492" s="18" t="s">
        <v>271</v>
      </c>
      <c r="N492" s="18" t="s">
        <v>271</v>
      </c>
      <c r="O492" s="18" t="s">
        <v>233</v>
      </c>
      <c r="P492" s="18" t="s">
        <v>271</v>
      </c>
    </row>
    <row r="493" spans="1:16" ht="30" x14ac:dyDescent="0.2">
      <c r="A493" s="2" t="s">
        <v>1284</v>
      </c>
      <c r="B493" s="2" t="s">
        <v>1285</v>
      </c>
      <c r="C493" s="2" t="s">
        <v>25</v>
      </c>
      <c r="D493" s="2" t="s">
        <v>285</v>
      </c>
      <c r="E493" s="4">
        <v>799.98</v>
      </c>
      <c r="F493" s="18"/>
      <c r="G493" s="3">
        <v>0</v>
      </c>
      <c r="H493" s="6">
        <v>0</v>
      </c>
      <c r="I493" s="3">
        <v>0</v>
      </c>
      <c r="J493" s="17" t="str">
        <f>HYPERLINK("https://amazon.com/dp/B07MCX148K","Amazon - B07MCX148K")</f>
        <v>Amazon - B07MCX148K</v>
      </c>
      <c r="K493" s="18" t="s">
        <v>229</v>
      </c>
      <c r="L493" s="18" t="s">
        <v>230</v>
      </c>
      <c r="M493" s="18" t="s">
        <v>242</v>
      </c>
      <c r="N493" s="18" t="s">
        <v>253</v>
      </c>
      <c r="O493" s="18" t="s">
        <v>233</v>
      </c>
      <c r="P493" s="18" t="s">
        <v>278</v>
      </c>
    </row>
    <row r="494" spans="1:16" ht="30" x14ac:dyDescent="0.2">
      <c r="A494" s="2" t="s">
        <v>1286</v>
      </c>
      <c r="B494" s="2" t="s">
        <v>1287</v>
      </c>
      <c r="C494" s="2" t="s">
        <v>187</v>
      </c>
      <c r="D494" s="2" t="s">
        <v>228</v>
      </c>
      <c r="E494" s="4">
        <v>255.55</v>
      </c>
      <c r="F494" s="18"/>
      <c r="G494" s="3">
        <v>0</v>
      </c>
      <c r="H494" s="6">
        <v>0</v>
      </c>
      <c r="I494" s="3">
        <v>0</v>
      </c>
      <c r="J494" s="17" t="str">
        <f>HYPERLINK("https://amazon.com/dp/B0DJRS77PP","Amazon - B0DJRS77PP")</f>
        <v>Amazon - B0DJRS77PP</v>
      </c>
      <c r="K494" s="18" t="s">
        <v>229</v>
      </c>
      <c r="L494" s="18" t="s">
        <v>230</v>
      </c>
      <c r="M494" s="18" t="s">
        <v>271</v>
      </c>
      <c r="N494" s="18" t="s">
        <v>271</v>
      </c>
      <c r="O494" s="18" t="s">
        <v>233</v>
      </c>
      <c r="P494" s="18" t="s">
        <v>1288</v>
      </c>
    </row>
    <row r="495" spans="1:16" ht="30" x14ac:dyDescent="0.2">
      <c r="A495" s="2" t="s">
        <v>1289</v>
      </c>
      <c r="B495" s="2" t="s">
        <v>1290</v>
      </c>
      <c r="C495" s="2" t="s">
        <v>171</v>
      </c>
      <c r="D495" s="2" t="s">
        <v>228</v>
      </c>
      <c r="E495" s="4">
        <v>45.89</v>
      </c>
      <c r="F495" s="18"/>
      <c r="G495" s="3">
        <v>0</v>
      </c>
      <c r="H495" s="6">
        <v>0</v>
      </c>
      <c r="I495" s="3">
        <v>0</v>
      </c>
      <c r="J495" s="17" t="str">
        <f>HYPERLINK("https://amazon.com/dp/B08NXK323G","Amazon - B08NXK323G")</f>
        <v>Amazon - B08NXK323G</v>
      </c>
      <c r="K495" s="18" t="s">
        <v>229</v>
      </c>
      <c r="L495" s="18" t="s">
        <v>230</v>
      </c>
      <c r="M495" s="18" t="s">
        <v>237</v>
      </c>
      <c r="N495" s="18" t="s">
        <v>232</v>
      </c>
      <c r="O495" s="18" t="s">
        <v>233</v>
      </c>
      <c r="P495" s="18" t="s">
        <v>271</v>
      </c>
    </row>
    <row r="496" spans="1:16" ht="30" x14ac:dyDescent="0.2">
      <c r="A496" s="2" t="s">
        <v>1291</v>
      </c>
      <c r="B496" s="2" t="s">
        <v>1292</v>
      </c>
      <c r="C496" s="2" t="s">
        <v>191</v>
      </c>
      <c r="D496" s="2" t="s">
        <v>228</v>
      </c>
      <c r="E496" s="4">
        <v>39.409999999999997</v>
      </c>
      <c r="F496" s="18"/>
      <c r="G496" s="3">
        <v>0</v>
      </c>
      <c r="H496" s="6">
        <v>0</v>
      </c>
      <c r="I496" s="3">
        <v>0</v>
      </c>
      <c r="J496" s="17" t="str">
        <f>HYPERLINK("https://amazon.com/dp/B0FP44SMVW","Amazon - B0FP44SMVW")</f>
        <v>Amazon - B0FP44SMVW</v>
      </c>
      <c r="K496" s="18" t="s">
        <v>229</v>
      </c>
      <c r="L496" s="18" t="s">
        <v>230</v>
      </c>
      <c r="M496" s="18" t="s">
        <v>271</v>
      </c>
      <c r="N496" s="18" t="s">
        <v>232</v>
      </c>
      <c r="O496" s="18" t="s">
        <v>233</v>
      </c>
      <c r="P496" s="18" t="s">
        <v>305</v>
      </c>
    </row>
    <row r="497" spans="1:16" ht="30" x14ac:dyDescent="0.2">
      <c r="A497" s="2" t="s">
        <v>1293</v>
      </c>
      <c r="B497" s="2" t="s">
        <v>1294</v>
      </c>
      <c r="C497" s="2" t="s">
        <v>188</v>
      </c>
      <c r="D497" s="2" t="s">
        <v>228</v>
      </c>
      <c r="E497" s="4">
        <v>151.41999999999999</v>
      </c>
      <c r="F497" s="18"/>
      <c r="G497" s="3">
        <v>0</v>
      </c>
      <c r="H497" s="6">
        <v>0</v>
      </c>
      <c r="I497" s="3">
        <v>0</v>
      </c>
      <c r="J497" s="17" t="str">
        <f>HYPERLINK("https://amazon.com/dp/B0CZNR8LWP","Amazon - B0CZNR8LWP")</f>
        <v>Amazon - B0CZNR8LWP</v>
      </c>
      <c r="K497" s="18" t="s">
        <v>229</v>
      </c>
      <c r="L497" s="18" t="s">
        <v>230</v>
      </c>
      <c r="M497" s="18" t="s">
        <v>231</v>
      </c>
      <c r="N497" s="18" t="s">
        <v>271</v>
      </c>
      <c r="O497" s="18" t="s">
        <v>233</v>
      </c>
      <c r="P497" s="18" t="s">
        <v>271</v>
      </c>
    </row>
    <row r="498" spans="1:16" ht="30" x14ac:dyDescent="0.2">
      <c r="A498" s="2" t="s">
        <v>1295</v>
      </c>
      <c r="B498" s="2" t="s">
        <v>1296</v>
      </c>
      <c r="C498" s="2" t="s">
        <v>25</v>
      </c>
      <c r="D498" s="2" t="s">
        <v>228</v>
      </c>
      <c r="E498" s="4">
        <v>399.98</v>
      </c>
      <c r="F498" s="18"/>
      <c r="G498" s="3">
        <v>0</v>
      </c>
      <c r="H498" s="6">
        <v>4.2</v>
      </c>
      <c r="I498" s="3">
        <v>4</v>
      </c>
      <c r="J498" s="17" t="str">
        <f>HYPERLINK("https://amazon.com/dp/B077LBTCH1","Amazon - B077LBTCH1")</f>
        <v>Amazon - B077LBTCH1</v>
      </c>
      <c r="K498" s="18" t="s">
        <v>229</v>
      </c>
      <c r="L498" s="18" t="s">
        <v>230</v>
      </c>
      <c r="M498" s="18" t="s">
        <v>271</v>
      </c>
      <c r="N498" s="18" t="s">
        <v>265</v>
      </c>
      <c r="O498" s="18" t="s">
        <v>233</v>
      </c>
      <c r="P498" s="18" t="s">
        <v>271</v>
      </c>
    </row>
    <row r="499" spans="1:16" ht="45" x14ac:dyDescent="0.2">
      <c r="A499" s="2" t="s">
        <v>1297</v>
      </c>
      <c r="B499" s="2" t="s">
        <v>1298</v>
      </c>
      <c r="C499" s="2" t="s">
        <v>197</v>
      </c>
      <c r="D499" s="2" t="s">
        <v>228</v>
      </c>
      <c r="E499" s="4">
        <v>120.91</v>
      </c>
      <c r="F499" s="18"/>
      <c r="G499" s="3">
        <v>0</v>
      </c>
      <c r="H499" s="6">
        <v>0</v>
      </c>
      <c r="I499" s="3">
        <v>0</v>
      </c>
      <c r="J499" s="17" t="str">
        <f>HYPERLINK("https://amazon.com/dp/B0CM2YRDJX","Amazon - B0CM2YRDJX")</f>
        <v>Amazon - B0CM2YRDJX</v>
      </c>
      <c r="K499" s="18" t="s">
        <v>229</v>
      </c>
      <c r="L499" s="18" t="s">
        <v>230</v>
      </c>
      <c r="M499" s="18" t="s">
        <v>242</v>
      </c>
      <c r="N499" s="18" t="s">
        <v>271</v>
      </c>
      <c r="O499" s="18" t="s">
        <v>246</v>
      </c>
      <c r="P499" s="18" t="s">
        <v>271</v>
      </c>
    </row>
    <row r="500" spans="1:16" ht="30" x14ac:dyDescent="0.2">
      <c r="A500" s="2" t="s">
        <v>1299</v>
      </c>
      <c r="B500" s="2" t="s">
        <v>1300</v>
      </c>
      <c r="C500" s="2" t="s">
        <v>162</v>
      </c>
      <c r="D500" s="2" t="s">
        <v>228</v>
      </c>
      <c r="E500" s="4">
        <v>177.59</v>
      </c>
      <c r="F500" s="18"/>
      <c r="G500" s="3">
        <v>0</v>
      </c>
      <c r="H500" s="6">
        <v>0</v>
      </c>
      <c r="I500" s="3">
        <v>0</v>
      </c>
      <c r="J500" s="17" t="str">
        <f>HYPERLINK("https://amazon.com/dp/B0CQXWDFDT","Amazon - B0CQXWDFDT")</f>
        <v>Amazon - B0CQXWDFDT</v>
      </c>
      <c r="K500" s="18" t="s">
        <v>229</v>
      </c>
      <c r="L500" s="18" t="s">
        <v>251</v>
      </c>
      <c r="M500" s="18" t="s">
        <v>706</v>
      </c>
      <c r="N500" s="18" t="s">
        <v>271</v>
      </c>
      <c r="O500" s="18" t="s">
        <v>233</v>
      </c>
      <c r="P500" s="18" t="s">
        <v>278</v>
      </c>
    </row>
    <row r="501" spans="1:16" ht="30" x14ac:dyDescent="0.2">
      <c r="A501" s="2" t="s">
        <v>1301</v>
      </c>
      <c r="B501" s="2" t="s">
        <v>1302</v>
      </c>
      <c r="C501" s="2" t="s">
        <v>168</v>
      </c>
      <c r="D501" s="2" t="s">
        <v>228</v>
      </c>
      <c r="E501" s="4">
        <v>169</v>
      </c>
      <c r="F501" s="18"/>
      <c r="G501" s="3">
        <v>0</v>
      </c>
      <c r="H501" s="6">
        <v>4</v>
      </c>
      <c r="I501" s="3">
        <v>1</v>
      </c>
      <c r="J501" s="17" t="str">
        <f>HYPERLINK("https://amazon.com/dp/B07GB716JW","Amazon - B07GB716JW")</f>
        <v>Amazon - B07GB716JW</v>
      </c>
      <c r="K501" s="18" t="s">
        <v>229</v>
      </c>
      <c r="L501" s="18" t="s">
        <v>230</v>
      </c>
      <c r="M501" s="18" t="s">
        <v>242</v>
      </c>
      <c r="N501" s="18" t="s">
        <v>271</v>
      </c>
      <c r="O501" s="18" t="s">
        <v>233</v>
      </c>
      <c r="P501" s="18" t="s">
        <v>271</v>
      </c>
    </row>
    <row r="502" spans="1:16" ht="30" x14ac:dyDescent="0.2">
      <c r="A502" s="2" t="s">
        <v>1303</v>
      </c>
      <c r="B502" s="2" t="s">
        <v>1304</v>
      </c>
      <c r="C502" s="2" t="s">
        <v>25</v>
      </c>
      <c r="D502" s="2" t="s">
        <v>228</v>
      </c>
      <c r="E502" s="4">
        <v>889.98</v>
      </c>
      <c r="F502" s="18"/>
      <c r="G502" s="3">
        <v>0</v>
      </c>
      <c r="H502" s="6">
        <v>0</v>
      </c>
      <c r="I502" s="3">
        <v>0</v>
      </c>
      <c r="J502" s="17" t="str">
        <f>HYPERLINK("https://amazon.com/dp/B0F8PJX87C","Amazon - B0F8PJX87C")</f>
        <v>Amazon - B0F8PJX87C</v>
      </c>
      <c r="K502" s="18" t="s">
        <v>229</v>
      </c>
      <c r="L502" s="18" t="s">
        <v>251</v>
      </c>
      <c r="M502" s="18" t="s">
        <v>242</v>
      </c>
      <c r="N502" s="18" t="s">
        <v>253</v>
      </c>
      <c r="O502" s="18" t="s">
        <v>233</v>
      </c>
      <c r="P502" s="18" t="s">
        <v>278</v>
      </c>
    </row>
    <row r="503" spans="1:16" ht="30" x14ac:dyDescent="0.2">
      <c r="A503" s="2" t="s">
        <v>1305</v>
      </c>
      <c r="B503" s="2" t="s">
        <v>1306</v>
      </c>
      <c r="C503" s="2" t="s">
        <v>162</v>
      </c>
      <c r="D503" s="2" t="s">
        <v>228</v>
      </c>
      <c r="E503" s="4">
        <v>229</v>
      </c>
      <c r="F503" s="18"/>
      <c r="G503" s="3">
        <v>0</v>
      </c>
      <c r="H503" s="6">
        <v>0</v>
      </c>
      <c r="I503" s="3">
        <v>0</v>
      </c>
      <c r="J503" s="17" t="str">
        <f>HYPERLINK("https://amazon.com/dp/B0CQXVMRW5","Amazon - B0CQXVMRW5")</f>
        <v>Amazon - B0CQXVMRW5</v>
      </c>
      <c r="K503" s="18" t="s">
        <v>229</v>
      </c>
      <c r="L503" s="18" t="s">
        <v>251</v>
      </c>
      <c r="M503" s="18" t="s">
        <v>706</v>
      </c>
      <c r="N503" s="18" t="s">
        <v>271</v>
      </c>
      <c r="O503" s="18" t="s">
        <v>233</v>
      </c>
      <c r="P503" s="18" t="s">
        <v>324</v>
      </c>
    </row>
    <row r="504" spans="1:16" ht="45" x14ac:dyDescent="0.2">
      <c r="A504" s="2" t="s">
        <v>1307</v>
      </c>
      <c r="B504" s="2" t="s">
        <v>1308</v>
      </c>
      <c r="C504" s="2" t="s">
        <v>25</v>
      </c>
      <c r="D504" s="2" t="s">
        <v>228</v>
      </c>
      <c r="E504" s="4">
        <v>219</v>
      </c>
      <c r="F504" s="18"/>
      <c r="G504" s="3">
        <v>0</v>
      </c>
      <c r="H504" s="6">
        <v>3.9</v>
      </c>
      <c r="I504" s="3">
        <v>26</v>
      </c>
      <c r="J504" s="17" t="str">
        <f>HYPERLINK("https://amazon.com/dp/B08J5V581B","Amazon - B08J5V581B")</f>
        <v>Amazon - B08J5V581B</v>
      </c>
      <c r="K504" s="18" t="s">
        <v>229</v>
      </c>
      <c r="L504" s="18" t="s">
        <v>230</v>
      </c>
      <c r="M504" s="18" t="s">
        <v>270</v>
      </c>
      <c r="N504" s="18" t="s">
        <v>253</v>
      </c>
      <c r="O504" s="18" t="s">
        <v>233</v>
      </c>
      <c r="P504" s="18" t="s">
        <v>234</v>
      </c>
    </row>
    <row r="505" spans="1:16" ht="30" x14ac:dyDescent="0.2">
      <c r="A505" s="2" t="s">
        <v>1309</v>
      </c>
      <c r="B505" s="2" t="s">
        <v>1310</v>
      </c>
      <c r="C505" s="2" t="s">
        <v>199</v>
      </c>
      <c r="D505" s="2" t="s">
        <v>228</v>
      </c>
      <c r="E505" s="4">
        <v>125.99</v>
      </c>
      <c r="F505" s="18"/>
      <c r="G505" s="3">
        <v>0</v>
      </c>
      <c r="H505" s="6">
        <v>0</v>
      </c>
      <c r="I505" s="3">
        <v>0</v>
      </c>
      <c r="J505" s="17" t="str">
        <f>HYPERLINK("https://amazon.com/dp/B0F3DJ43SQ","Amazon - B0F3DJ43SQ")</f>
        <v>Amazon - B0F3DJ43SQ</v>
      </c>
      <c r="K505" s="18" t="s">
        <v>229</v>
      </c>
      <c r="L505" s="18" t="s">
        <v>230</v>
      </c>
      <c r="M505" s="18" t="s">
        <v>242</v>
      </c>
      <c r="N505" s="18" t="s">
        <v>253</v>
      </c>
      <c r="O505" s="18" t="s">
        <v>233</v>
      </c>
      <c r="P505" s="18" t="s">
        <v>278</v>
      </c>
    </row>
    <row r="506" spans="1:16" ht="45" x14ac:dyDescent="0.2">
      <c r="A506" s="2" t="s">
        <v>1311</v>
      </c>
      <c r="B506" s="2" t="s">
        <v>1312</v>
      </c>
      <c r="C506" s="2" t="s">
        <v>199</v>
      </c>
      <c r="D506" s="2" t="s">
        <v>228</v>
      </c>
      <c r="E506" s="4">
        <v>119.99</v>
      </c>
      <c r="F506" s="18"/>
      <c r="G506" s="3">
        <v>0</v>
      </c>
      <c r="H506" s="6">
        <v>0</v>
      </c>
      <c r="I506" s="3">
        <v>0</v>
      </c>
      <c r="J506" s="17" t="str">
        <f>HYPERLINK("https://amazon.com/dp/B0F3DK2Z4P","Amazon - B0F3DK2Z4P")</f>
        <v>Amazon - B0F3DK2Z4P</v>
      </c>
      <c r="K506" s="18" t="s">
        <v>229</v>
      </c>
      <c r="L506" s="18" t="s">
        <v>230</v>
      </c>
      <c r="M506" s="18" t="s">
        <v>242</v>
      </c>
      <c r="N506" s="18" t="s">
        <v>232</v>
      </c>
      <c r="O506" s="18" t="s">
        <v>233</v>
      </c>
      <c r="P506" s="18" t="s">
        <v>278</v>
      </c>
    </row>
    <row r="507" spans="1:16" ht="30" x14ac:dyDescent="0.2">
      <c r="A507" s="2" t="s">
        <v>1313</v>
      </c>
      <c r="B507" s="2" t="s">
        <v>1314</v>
      </c>
      <c r="C507" s="2" t="s">
        <v>199</v>
      </c>
      <c r="D507" s="2" t="s">
        <v>228</v>
      </c>
      <c r="E507" s="4">
        <v>115.99</v>
      </c>
      <c r="F507" s="18"/>
      <c r="G507" s="3">
        <v>0</v>
      </c>
      <c r="H507" s="6">
        <v>0</v>
      </c>
      <c r="I507" s="3">
        <v>0</v>
      </c>
      <c r="J507" s="17" t="str">
        <f>HYPERLINK("https://amazon.com/dp/B0F3DJ5DNW","Amazon - B0F3DJ5DNW")</f>
        <v>Amazon - B0F3DJ5DNW</v>
      </c>
      <c r="K507" s="18" t="s">
        <v>229</v>
      </c>
      <c r="L507" s="18" t="s">
        <v>230</v>
      </c>
      <c r="M507" s="18" t="s">
        <v>242</v>
      </c>
      <c r="N507" s="18" t="s">
        <v>232</v>
      </c>
      <c r="O507" s="18" t="s">
        <v>233</v>
      </c>
      <c r="P507" s="18" t="s">
        <v>278</v>
      </c>
    </row>
    <row r="508" spans="1:16" ht="45" x14ac:dyDescent="0.2">
      <c r="A508" s="2" t="s">
        <v>1315</v>
      </c>
      <c r="B508" s="2" t="s">
        <v>1316</v>
      </c>
      <c r="C508" s="2" t="s">
        <v>199</v>
      </c>
      <c r="D508" s="2" t="s">
        <v>228</v>
      </c>
      <c r="E508" s="4">
        <v>109.99</v>
      </c>
      <c r="F508" s="18"/>
      <c r="G508" s="3">
        <v>0</v>
      </c>
      <c r="H508" s="6">
        <v>0</v>
      </c>
      <c r="I508" s="3">
        <v>0</v>
      </c>
      <c r="J508" s="17" t="str">
        <f>HYPERLINK("https://amazon.com/dp/B0F3DJSRSV","Amazon - B0F3DJSRSV")</f>
        <v>Amazon - B0F3DJSRSV</v>
      </c>
      <c r="K508" s="18" t="s">
        <v>229</v>
      </c>
      <c r="L508" s="18" t="s">
        <v>230</v>
      </c>
      <c r="M508" s="18" t="s">
        <v>242</v>
      </c>
      <c r="N508" s="18" t="s">
        <v>232</v>
      </c>
      <c r="O508" s="18" t="s">
        <v>233</v>
      </c>
      <c r="P508" s="18" t="s">
        <v>278</v>
      </c>
    </row>
    <row r="509" spans="1:16" ht="45" x14ac:dyDescent="0.2">
      <c r="A509" s="2" t="s">
        <v>1317</v>
      </c>
      <c r="B509" s="2" t="s">
        <v>1318</v>
      </c>
      <c r="C509" s="2" t="s">
        <v>205</v>
      </c>
      <c r="D509" s="2" t="s">
        <v>228</v>
      </c>
      <c r="E509" s="4">
        <v>590.79999999999995</v>
      </c>
      <c r="F509" s="18"/>
      <c r="G509" s="3">
        <v>0</v>
      </c>
      <c r="H509" s="6">
        <v>0</v>
      </c>
      <c r="I509" s="3">
        <v>0</v>
      </c>
      <c r="J509" s="17" t="str">
        <f>HYPERLINK("https://amazon.com/dp/B07CKZCJYK","Amazon - B07CKZCJYK")</f>
        <v>Amazon - B07CKZCJYK</v>
      </c>
      <c r="K509" s="18" t="s">
        <v>229</v>
      </c>
      <c r="L509" s="18" t="s">
        <v>230</v>
      </c>
      <c r="M509" s="18" t="s">
        <v>706</v>
      </c>
      <c r="N509" s="18" t="s">
        <v>271</v>
      </c>
      <c r="O509" s="18" t="s">
        <v>233</v>
      </c>
      <c r="P509" s="18" t="s">
        <v>278</v>
      </c>
    </row>
    <row r="510" spans="1:16" x14ac:dyDescent="0.2">
      <c r="A510" s="2" t="s">
        <v>1319</v>
      </c>
      <c r="B510" s="2" t="s">
        <v>1320</v>
      </c>
      <c r="C510" s="2" t="s">
        <v>30</v>
      </c>
      <c r="D510" s="2" t="s">
        <v>228</v>
      </c>
      <c r="E510" s="4">
        <v>193.25</v>
      </c>
      <c r="F510" s="18"/>
      <c r="G510" s="3">
        <v>0</v>
      </c>
      <c r="H510" s="6">
        <v>4.0999999999999996</v>
      </c>
      <c r="I510" s="3">
        <v>17</v>
      </c>
      <c r="J510" s="17" t="str">
        <f>HYPERLINK("https://amazon.com/dp/B008DYJWRC","Amazon - B008DYJWRC")</f>
        <v>Amazon - B008DYJWRC</v>
      </c>
      <c r="K510" s="18" t="s">
        <v>229</v>
      </c>
      <c r="L510" s="18" t="s">
        <v>230</v>
      </c>
      <c r="M510" s="18" t="s">
        <v>271</v>
      </c>
      <c r="N510" s="18" t="s">
        <v>271</v>
      </c>
      <c r="O510" s="18" t="s">
        <v>233</v>
      </c>
      <c r="P510" s="18" t="s">
        <v>271</v>
      </c>
    </row>
    <row r="511" spans="1:16" ht="30" x14ac:dyDescent="0.2">
      <c r="A511" s="2" t="s">
        <v>1321</v>
      </c>
      <c r="B511" s="2" t="s">
        <v>1322</v>
      </c>
      <c r="C511" s="2" t="s">
        <v>25</v>
      </c>
      <c r="D511" s="2" t="s">
        <v>591</v>
      </c>
      <c r="E511" s="4">
        <v>999.98</v>
      </c>
      <c r="F511" s="18"/>
      <c r="G511" s="3">
        <v>0</v>
      </c>
      <c r="H511" s="6">
        <v>0</v>
      </c>
      <c r="I511" s="3">
        <v>0</v>
      </c>
      <c r="J511" s="17" t="str">
        <f>HYPERLINK("https://amazon.com/dp/B0C7RZ837B","Amazon - B0C7RZ837B")</f>
        <v>Amazon - B0C7RZ837B</v>
      </c>
      <c r="K511" s="18" t="s">
        <v>286</v>
      </c>
      <c r="L511" s="18" t="s">
        <v>251</v>
      </c>
      <c r="M511" s="18" t="s">
        <v>287</v>
      </c>
      <c r="N511" s="18" t="s">
        <v>253</v>
      </c>
      <c r="O511" s="18" t="s">
        <v>233</v>
      </c>
      <c r="P511" s="18" t="s">
        <v>278</v>
      </c>
    </row>
    <row r="512" spans="1:16" ht="30" x14ac:dyDescent="0.2">
      <c r="A512" s="2" t="s">
        <v>1323</v>
      </c>
      <c r="B512" s="2" t="s">
        <v>1324</v>
      </c>
      <c r="C512" s="2" t="s">
        <v>159</v>
      </c>
      <c r="D512" s="2" t="s">
        <v>228</v>
      </c>
      <c r="E512" s="4">
        <v>21.38</v>
      </c>
      <c r="F512" s="18"/>
      <c r="G512" s="3">
        <v>0</v>
      </c>
      <c r="H512" s="6">
        <v>0</v>
      </c>
      <c r="I512" s="3">
        <v>0</v>
      </c>
      <c r="J512" s="17" t="str">
        <f>HYPERLINK("https://amazon.com/dp/B0DNFC37SG","Amazon - B0DNFC37SG")</f>
        <v>Amazon - B0DNFC37SG</v>
      </c>
      <c r="K512" s="18" t="s">
        <v>229</v>
      </c>
      <c r="L512" s="18" t="s">
        <v>230</v>
      </c>
      <c r="M512" s="18" t="s">
        <v>242</v>
      </c>
      <c r="N512" s="18" t="s">
        <v>271</v>
      </c>
      <c r="O512" s="18" t="s">
        <v>233</v>
      </c>
      <c r="P512" s="18" t="s">
        <v>271</v>
      </c>
    </row>
    <row r="513" spans="1:16" x14ac:dyDescent="0.2">
      <c r="A513" s="2" t="s">
        <v>1325</v>
      </c>
      <c r="B513" s="2" t="s">
        <v>1326</v>
      </c>
      <c r="C513" s="2" t="s">
        <v>150</v>
      </c>
      <c r="D513" s="2" t="s">
        <v>228</v>
      </c>
      <c r="E513" s="4">
        <v>75.900000000000006</v>
      </c>
      <c r="F513" s="18"/>
      <c r="G513" s="3">
        <v>0</v>
      </c>
      <c r="H513" s="6">
        <v>0</v>
      </c>
      <c r="I513" s="3">
        <v>0</v>
      </c>
      <c r="J513" s="17" t="str">
        <f>HYPERLINK("https://amazon.com/dp/B0CCVV1S1F","Amazon - B0CCVV1S1F")</f>
        <v>Amazon - B0CCVV1S1F</v>
      </c>
      <c r="K513" s="18" t="s">
        <v>229</v>
      </c>
      <c r="L513" s="18" t="s">
        <v>230</v>
      </c>
      <c r="M513" s="18" t="s">
        <v>271</v>
      </c>
      <c r="N513" s="18" t="s">
        <v>271</v>
      </c>
      <c r="O513" s="18" t="s">
        <v>233</v>
      </c>
      <c r="P513" s="18" t="s">
        <v>271</v>
      </c>
    </row>
    <row r="514" spans="1:16" ht="30" x14ac:dyDescent="0.2">
      <c r="A514" s="2" t="s">
        <v>1327</v>
      </c>
      <c r="B514" s="2" t="s">
        <v>1328</v>
      </c>
      <c r="C514" s="2" t="s">
        <v>103</v>
      </c>
      <c r="D514" s="2" t="s">
        <v>228</v>
      </c>
      <c r="E514" s="4">
        <v>8.36</v>
      </c>
      <c r="F514" s="18"/>
      <c r="G514" s="3">
        <v>0</v>
      </c>
      <c r="H514" s="6">
        <v>0</v>
      </c>
      <c r="I514" s="3">
        <v>0</v>
      </c>
      <c r="J514" s="17" t="str">
        <f>HYPERLINK("https://amazon.com/dp/B0D9JZYBZC","Amazon - B0D9JZYBZC")</f>
        <v>Amazon - B0D9JZYBZC</v>
      </c>
      <c r="K514" s="18" t="s">
        <v>229</v>
      </c>
      <c r="L514" s="18" t="s">
        <v>230</v>
      </c>
      <c r="M514" s="18" t="s">
        <v>271</v>
      </c>
      <c r="N514" s="18" t="s">
        <v>271</v>
      </c>
      <c r="O514" s="18" t="s">
        <v>233</v>
      </c>
      <c r="P514" s="18" t="s">
        <v>271</v>
      </c>
    </row>
    <row r="515" spans="1:16" ht="45" x14ac:dyDescent="0.2">
      <c r="A515" s="2" t="s">
        <v>1329</v>
      </c>
      <c r="B515" s="2" t="s">
        <v>1330</v>
      </c>
      <c r="C515" s="2" t="s">
        <v>110</v>
      </c>
      <c r="D515" s="2" t="s">
        <v>228</v>
      </c>
      <c r="E515" s="4">
        <v>199.99</v>
      </c>
      <c r="F515" s="18"/>
      <c r="G515" s="3">
        <v>0</v>
      </c>
      <c r="H515" s="6">
        <v>0</v>
      </c>
      <c r="I515" s="3">
        <v>0</v>
      </c>
      <c r="J515" s="17" t="str">
        <f>HYPERLINK("https://amazon.com/dp/B0F3JS4FBH","Amazon - B0F3JS4FBH")</f>
        <v>Amazon - B0F3JS4FBH</v>
      </c>
      <c r="K515" s="18" t="s">
        <v>229</v>
      </c>
      <c r="L515" s="18" t="s">
        <v>230</v>
      </c>
      <c r="M515" s="18" t="s">
        <v>242</v>
      </c>
      <c r="N515" s="18" t="s">
        <v>232</v>
      </c>
      <c r="O515" s="18" t="s">
        <v>233</v>
      </c>
      <c r="P515" s="18" t="s">
        <v>271</v>
      </c>
    </row>
    <row r="516" spans="1:16" ht="30" x14ac:dyDescent="0.2">
      <c r="A516" s="2" t="s">
        <v>1331</v>
      </c>
      <c r="B516" s="2" t="s">
        <v>1332</v>
      </c>
      <c r="C516" s="2" t="s">
        <v>65</v>
      </c>
      <c r="D516" s="2" t="s">
        <v>228</v>
      </c>
      <c r="E516" s="4">
        <v>43.55</v>
      </c>
      <c r="F516" s="18"/>
      <c r="G516" s="3">
        <v>0</v>
      </c>
      <c r="H516" s="6">
        <v>1</v>
      </c>
      <c r="I516" s="3">
        <v>3</v>
      </c>
      <c r="J516" s="17" t="str">
        <f>HYPERLINK("https://amazon.com/dp/B005AMZ6K2","Amazon - B005AMZ6K2")</f>
        <v>Amazon - B005AMZ6K2</v>
      </c>
      <c r="K516" s="18" t="s">
        <v>229</v>
      </c>
      <c r="L516" s="18" t="s">
        <v>230</v>
      </c>
      <c r="M516" s="18" t="s">
        <v>271</v>
      </c>
      <c r="N516" s="18" t="s">
        <v>243</v>
      </c>
      <c r="O516" s="18" t="s">
        <v>233</v>
      </c>
      <c r="P516" s="18" t="s">
        <v>543</v>
      </c>
    </row>
    <row r="517" spans="1:16" ht="45" x14ac:dyDescent="0.2">
      <c r="A517" s="2" t="s">
        <v>1333</v>
      </c>
      <c r="B517" s="2" t="s">
        <v>1334</v>
      </c>
      <c r="C517" s="2" t="s">
        <v>201</v>
      </c>
      <c r="D517" s="2" t="s">
        <v>228</v>
      </c>
      <c r="E517" s="4">
        <v>137</v>
      </c>
      <c r="F517" s="18"/>
      <c r="G517" s="3">
        <v>0</v>
      </c>
      <c r="H517" s="6">
        <v>0</v>
      </c>
      <c r="I517" s="3">
        <v>0</v>
      </c>
      <c r="J517" s="17" t="str">
        <f>HYPERLINK("https://amazon.com/dp/B0BTD2SFYV","Amazon - B0BTD2SFYV")</f>
        <v>Amazon - B0BTD2SFYV</v>
      </c>
      <c r="K517" s="18" t="s">
        <v>229</v>
      </c>
      <c r="L517" s="18" t="s">
        <v>230</v>
      </c>
      <c r="M517" s="18" t="s">
        <v>242</v>
      </c>
      <c r="N517" s="18" t="s">
        <v>271</v>
      </c>
      <c r="O517" s="18" t="s">
        <v>233</v>
      </c>
      <c r="P517" s="18" t="s">
        <v>234</v>
      </c>
    </row>
    <row r="518" spans="1:16" ht="30" x14ac:dyDescent="0.2">
      <c r="A518" s="2" t="s">
        <v>1335</v>
      </c>
      <c r="B518" s="2" t="s">
        <v>1336</v>
      </c>
      <c r="C518" s="2" t="s">
        <v>163</v>
      </c>
      <c r="D518" s="2" t="s">
        <v>228</v>
      </c>
      <c r="E518" s="4">
        <v>87</v>
      </c>
      <c r="F518" s="18"/>
      <c r="G518" s="3">
        <v>0</v>
      </c>
      <c r="H518" s="6">
        <v>0</v>
      </c>
      <c r="I518" s="3">
        <v>0</v>
      </c>
      <c r="J518" s="17" t="str">
        <f>HYPERLINK("https://amazon.com/dp/B08T8J8H8C","Amazon - B08T8J8H8C")</f>
        <v>Amazon - B08T8J8H8C</v>
      </c>
      <c r="K518" s="18" t="s">
        <v>229</v>
      </c>
      <c r="L518" s="18" t="s">
        <v>230</v>
      </c>
      <c r="M518" s="18" t="s">
        <v>237</v>
      </c>
      <c r="N518" s="18" t="s">
        <v>271</v>
      </c>
      <c r="O518" s="18" t="s">
        <v>233</v>
      </c>
      <c r="P518" s="18" t="s">
        <v>278</v>
      </c>
    </row>
    <row r="519" spans="1:16" ht="30" x14ac:dyDescent="0.2">
      <c r="A519" s="2" t="s">
        <v>1337</v>
      </c>
      <c r="B519" s="2" t="s">
        <v>1017</v>
      </c>
      <c r="C519" s="2" t="s">
        <v>195</v>
      </c>
      <c r="D519" s="2" t="s">
        <v>228</v>
      </c>
      <c r="E519" s="4">
        <v>10.49</v>
      </c>
      <c r="F519" s="18"/>
      <c r="G519" s="3">
        <v>0</v>
      </c>
      <c r="H519" s="6">
        <v>0</v>
      </c>
      <c r="I519" s="3">
        <v>0</v>
      </c>
      <c r="J519" s="17" t="str">
        <f>HYPERLINK("https://amazon.com/dp/B0DSL962KG","Amazon - B0DSL962KG")</f>
        <v>Amazon - B0DSL962KG</v>
      </c>
      <c r="K519" s="18" t="s">
        <v>229</v>
      </c>
      <c r="L519" s="18" t="s">
        <v>230</v>
      </c>
      <c r="M519" s="18" t="s">
        <v>271</v>
      </c>
      <c r="N519" s="18" t="s">
        <v>271</v>
      </c>
      <c r="O519" s="18" t="s">
        <v>233</v>
      </c>
      <c r="P519" s="18" t="s">
        <v>271</v>
      </c>
    </row>
    <row r="520" spans="1:16" ht="30" x14ac:dyDescent="0.2">
      <c r="A520" s="2" t="s">
        <v>1338</v>
      </c>
      <c r="B520" s="2" t="s">
        <v>1339</v>
      </c>
      <c r="C520" s="2" t="s">
        <v>25</v>
      </c>
      <c r="D520" s="2" t="s">
        <v>228</v>
      </c>
      <c r="E520" s="4">
        <v>159.97999999999999</v>
      </c>
      <c r="F520" s="18"/>
      <c r="G520" s="3">
        <v>0</v>
      </c>
      <c r="H520" s="6">
        <v>4</v>
      </c>
      <c r="I520" s="3">
        <v>4</v>
      </c>
      <c r="J520" s="17" t="str">
        <f>HYPERLINK("https://amazon.com/dp/B073ZHFCFL","Amazon - B073ZHFCFL")</f>
        <v>Amazon - B073ZHFCFL</v>
      </c>
      <c r="K520" s="18" t="s">
        <v>229</v>
      </c>
      <c r="L520" s="18" t="s">
        <v>230</v>
      </c>
      <c r="M520" s="18" t="s">
        <v>270</v>
      </c>
      <c r="N520" s="18" t="s">
        <v>265</v>
      </c>
      <c r="O520" s="18" t="s">
        <v>233</v>
      </c>
      <c r="P520" s="18" t="s">
        <v>271</v>
      </c>
    </row>
    <row r="521" spans="1:16" ht="30" x14ac:dyDescent="0.2">
      <c r="A521" s="2" t="s">
        <v>1340</v>
      </c>
      <c r="B521" s="2" t="s">
        <v>1341</v>
      </c>
      <c r="C521" s="2" t="s">
        <v>138</v>
      </c>
      <c r="D521" s="2" t="s">
        <v>228</v>
      </c>
      <c r="E521" s="4">
        <v>10.57</v>
      </c>
      <c r="F521" s="18"/>
      <c r="G521" s="3">
        <v>0</v>
      </c>
      <c r="H521" s="6">
        <v>2.4</v>
      </c>
      <c r="I521" s="3">
        <v>2</v>
      </c>
      <c r="J521" s="17" t="str">
        <f>HYPERLINK("https://amazon.com/dp/B07W73MJYP","Amazon - B07W73MJYP")</f>
        <v>Amazon - B07W73MJYP</v>
      </c>
      <c r="K521" s="18" t="s">
        <v>229</v>
      </c>
      <c r="L521" s="18" t="s">
        <v>230</v>
      </c>
      <c r="M521" s="18" t="s">
        <v>271</v>
      </c>
      <c r="N521" s="18" t="s">
        <v>243</v>
      </c>
      <c r="O521" s="18" t="s">
        <v>233</v>
      </c>
      <c r="P521" s="18" t="s">
        <v>305</v>
      </c>
    </row>
    <row r="522" spans="1:16" ht="45" x14ac:dyDescent="0.2">
      <c r="A522" s="2" t="s">
        <v>1342</v>
      </c>
      <c r="B522" s="2" t="s">
        <v>1343</v>
      </c>
      <c r="C522" s="2" t="s">
        <v>92</v>
      </c>
      <c r="D522" s="2" t="s">
        <v>228</v>
      </c>
      <c r="E522" s="4">
        <v>181.45</v>
      </c>
      <c r="F522" s="18"/>
      <c r="G522" s="3">
        <v>0</v>
      </c>
      <c r="H522" s="6">
        <v>0</v>
      </c>
      <c r="I522" s="3">
        <v>0</v>
      </c>
      <c r="J522" s="17" t="str">
        <f>HYPERLINK("https://amazon.com/dp/B097PXCJJL","Amazon - B097PXCJJL")</f>
        <v>Amazon - B097PXCJJL</v>
      </c>
      <c r="K522" s="18" t="s">
        <v>229</v>
      </c>
      <c r="L522" s="18" t="s">
        <v>230</v>
      </c>
      <c r="M522" s="18" t="s">
        <v>242</v>
      </c>
      <c r="N522" s="18" t="s">
        <v>339</v>
      </c>
      <c r="O522" s="18" t="s">
        <v>246</v>
      </c>
      <c r="P522" s="18" t="s">
        <v>305</v>
      </c>
    </row>
    <row r="523" spans="1:16" ht="30" x14ac:dyDescent="0.2">
      <c r="A523" s="2" t="s">
        <v>1344</v>
      </c>
      <c r="B523" s="2" t="s">
        <v>1345</v>
      </c>
      <c r="C523" s="2" t="s">
        <v>25</v>
      </c>
      <c r="D523" s="2" t="s">
        <v>228</v>
      </c>
      <c r="E523" s="4">
        <v>219</v>
      </c>
      <c r="F523" s="18"/>
      <c r="G523" s="3">
        <v>0</v>
      </c>
      <c r="H523" s="6">
        <v>3</v>
      </c>
      <c r="I523" s="3">
        <v>1</v>
      </c>
      <c r="J523" s="17" t="str">
        <f>HYPERLINK("https://amazon.com/dp/B08PDVT5N5","Amazon - B08PDVT5N5")</f>
        <v>Amazon - B08PDVT5N5</v>
      </c>
      <c r="K523" s="18" t="s">
        <v>229</v>
      </c>
      <c r="L523" s="18" t="s">
        <v>230</v>
      </c>
      <c r="M523" s="18" t="s">
        <v>270</v>
      </c>
      <c r="N523" s="18" t="s">
        <v>253</v>
      </c>
      <c r="O523" s="18" t="s">
        <v>233</v>
      </c>
      <c r="P523" s="18" t="s">
        <v>234</v>
      </c>
    </row>
    <row r="524" spans="1:16" ht="30" x14ac:dyDescent="0.2">
      <c r="A524" s="2" t="s">
        <v>1346</v>
      </c>
      <c r="B524" s="2" t="s">
        <v>1347</v>
      </c>
      <c r="C524" s="2" t="s">
        <v>54</v>
      </c>
      <c r="D524" s="2" t="s">
        <v>228</v>
      </c>
      <c r="E524" s="4">
        <v>70</v>
      </c>
      <c r="F524" s="18"/>
      <c r="G524" s="3">
        <v>0</v>
      </c>
      <c r="H524" s="6">
        <v>0</v>
      </c>
      <c r="I524" s="3">
        <v>0</v>
      </c>
      <c r="J524" s="17" t="str">
        <f>HYPERLINK("https://amazon.com/dp/B07P2JGTNZ","Amazon - B07P2JGTNZ")</f>
        <v>Amazon - B07P2JGTNZ</v>
      </c>
      <c r="K524" s="18" t="s">
        <v>229</v>
      </c>
      <c r="L524" s="18" t="s">
        <v>230</v>
      </c>
      <c r="M524" s="18" t="s">
        <v>271</v>
      </c>
      <c r="N524" s="18" t="s">
        <v>271</v>
      </c>
      <c r="O524" s="18" t="s">
        <v>233</v>
      </c>
      <c r="P524" s="18" t="s">
        <v>271</v>
      </c>
    </row>
    <row r="525" spans="1:16" ht="45" x14ac:dyDescent="0.2">
      <c r="A525" s="2" t="s">
        <v>1348</v>
      </c>
      <c r="B525" s="2" t="s">
        <v>1349</v>
      </c>
      <c r="C525" s="2" t="s">
        <v>165</v>
      </c>
      <c r="D525" s="2" t="s">
        <v>228</v>
      </c>
      <c r="E525" s="4">
        <v>217.85</v>
      </c>
      <c r="F525" s="18"/>
      <c r="G525" s="3">
        <v>0</v>
      </c>
      <c r="H525" s="6">
        <v>0</v>
      </c>
      <c r="I525" s="3">
        <v>0</v>
      </c>
      <c r="J525" s="17" t="str">
        <f>HYPERLINK("https://amazon.com/dp/B0CKHS2W4V","Amazon - B0CKHS2W4V")</f>
        <v>Amazon - B0CKHS2W4V</v>
      </c>
      <c r="K525" s="18" t="s">
        <v>229</v>
      </c>
      <c r="L525" s="18" t="s">
        <v>230</v>
      </c>
      <c r="M525" s="18" t="s">
        <v>242</v>
      </c>
      <c r="N525" s="18" t="s">
        <v>271</v>
      </c>
      <c r="O525" s="18" t="s">
        <v>246</v>
      </c>
      <c r="P525" s="18" t="s">
        <v>234</v>
      </c>
    </row>
    <row r="526" spans="1:16" ht="30" x14ac:dyDescent="0.2">
      <c r="A526" s="2" t="s">
        <v>1350</v>
      </c>
      <c r="B526" s="2" t="s">
        <v>1351</v>
      </c>
      <c r="C526" s="2" t="s">
        <v>156</v>
      </c>
      <c r="D526" s="2" t="s">
        <v>228</v>
      </c>
      <c r="E526" s="4">
        <v>14.97</v>
      </c>
      <c r="F526" s="18"/>
      <c r="G526" s="3">
        <v>0</v>
      </c>
      <c r="H526" s="6">
        <v>0</v>
      </c>
      <c r="I526" s="3">
        <v>0</v>
      </c>
      <c r="J526" s="17" t="str">
        <f>HYPERLINK("https://amazon.com/dp/B0DF2KHRCR","Amazon - B0DF2KHRCR")</f>
        <v>Amazon - B0DF2KHRCR</v>
      </c>
      <c r="K526" s="18" t="s">
        <v>229</v>
      </c>
      <c r="L526" s="18" t="s">
        <v>230</v>
      </c>
      <c r="M526" s="18" t="s">
        <v>271</v>
      </c>
      <c r="N526" s="18" t="s">
        <v>271</v>
      </c>
      <c r="O526" s="18" t="s">
        <v>233</v>
      </c>
      <c r="P526" s="18" t="s">
        <v>271</v>
      </c>
    </row>
    <row r="527" spans="1:16" ht="45" x14ac:dyDescent="0.2">
      <c r="A527" s="2" t="s">
        <v>1352</v>
      </c>
      <c r="B527" s="2" t="s">
        <v>1353</v>
      </c>
      <c r="C527" s="2" t="s">
        <v>145</v>
      </c>
      <c r="D527" s="2" t="s">
        <v>228</v>
      </c>
      <c r="E527" s="4">
        <v>61.32</v>
      </c>
      <c r="F527" s="18"/>
      <c r="G527" s="3">
        <v>0</v>
      </c>
      <c r="H527" s="6">
        <v>5</v>
      </c>
      <c r="I527" s="3">
        <v>1</v>
      </c>
      <c r="J527" s="17" t="str">
        <f>HYPERLINK("https://amazon.com/dp/B0CLRWJW6K","Amazon - B0CLRWJW6K")</f>
        <v>Amazon - B0CLRWJW6K</v>
      </c>
      <c r="K527" s="18" t="s">
        <v>229</v>
      </c>
      <c r="L527" s="18" t="s">
        <v>230</v>
      </c>
      <c r="M527" s="18" t="s">
        <v>242</v>
      </c>
      <c r="N527" s="18" t="s">
        <v>271</v>
      </c>
      <c r="O527" s="18" t="s">
        <v>233</v>
      </c>
      <c r="P527" s="18" t="s">
        <v>271</v>
      </c>
    </row>
    <row r="528" spans="1:16" ht="30" x14ac:dyDescent="0.2">
      <c r="A528" s="2" t="s">
        <v>1354</v>
      </c>
      <c r="B528" s="2" t="s">
        <v>1355</v>
      </c>
      <c r="C528" s="2" t="s">
        <v>91</v>
      </c>
      <c r="D528" s="2" t="s">
        <v>228</v>
      </c>
      <c r="E528" s="4">
        <v>448.99</v>
      </c>
      <c r="F528" s="18"/>
      <c r="G528" s="3">
        <v>0</v>
      </c>
      <c r="H528" s="6">
        <v>1</v>
      </c>
      <c r="I528" s="3">
        <v>3</v>
      </c>
      <c r="J528" s="17" t="str">
        <f>HYPERLINK("https://amazon.com/dp/B00Z0Q5VDA","Amazon - B00Z0Q5VDA")</f>
        <v>Amazon - B00Z0Q5VDA</v>
      </c>
      <c r="K528" s="18" t="s">
        <v>229</v>
      </c>
      <c r="L528" s="18" t="s">
        <v>230</v>
      </c>
      <c r="M528" s="18" t="s">
        <v>271</v>
      </c>
      <c r="N528" s="18" t="s">
        <v>271</v>
      </c>
      <c r="O528" s="18" t="s">
        <v>233</v>
      </c>
      <c r="P528" s="18" t="s">
        <v>278</v>
      </c>
    </row>
    <row r="529" spans="1:16" ht="30" x14ac:dyDescent="0.2">
      <c r="A529" s="2" t="s">
        <v>1356</v>
      </c>
      <c r="B529" s="2" t="s">
        <v>1357</v>
      </c>
      <c r="C529" s="2" t="s">
        <v>147</v>
      </c>
      <c r="D529" s="2" t="s">
        <v>228</v>
      </c>
      <c r="E529" s="4">
        <v>11.99</v>
      </c>
      <c r="F529" s="18"/>
      <c r="G529" s="3">
        <v>0</v>
      </c>
      <c r="H529" s="6">
        <v>0</v>
      </c>
      <c r="I529" s="3">
        <v>0</v>
      </c>
      <c r="J529" s="17" t="str">
        <f>HYPERLINK("https://amazon.com/dp/B0BDSDCK2X","Amazon - B0BDSDCK2X")</f>
        <v>Amazon - B0BDSDCK2X</v>
      </c>
      <c r="K529" s="18" t="s">
        <v>229</v>
      </c>
      <c r="L529" s="18" t="s">
        <v>230</v>
      </c>
      <c r="M529" s="18" t="s">
        <v>271</v>
      </c>
      <c r="N529" s="18" t="s">
        <v>271</v>
      </c>
      <c r="O529" s="18" t="s">
        <v>233</v>
      </c>
      <c r="P529" s="18" t="s">
        <v>271</v>
      </c>
    </row>
    <row r="530" spans="1:16" ht="30" x14ac:dyDescent="0.2">
      <c r="A530" s="2" t="s">
        <v>1358</v>
      </c>
      <c r="B530" s="2" t="s">
        <v>1359</v>
      </c>
      <c r="C530" s="2" t="s">
        <v>155</v>
      </c>
      <c r="D530" s="2" t="s">
        <v>228</v>
      </c>
      <c r="E530" s="4">
        <v>17.36</v>
      </c>
      <c r="F530" s="18"/>
      <c r="G530" s="3">
        <v>0</v>
      </c>
      <c r="H530" s="6">
        <v>5</v>
      </c>
      <c r="I530" s="3">
        <v>1</v>
      </c>
      <c r="J530" s="17" t="str">
        <f>HYPERLINK("https://amazon.com/dp/B0DFB9RLLX","Amazon - B0DFB9RLLX")</f>
        <v>Amazon - B0DFB9RLLX</v>
      </c>
      <c r="K530" s="18" t="s">
        <v>229</v>
      </c>
      <c r="L530" s="18" t="s">
        <v>230</v>
      </c>
      <c r="M530" s="18" t="s">
        <v>271</v>
      </c>
      <c r="N530" s="18" t="s">
        <v>271</v>
      </c>
      <c r="O530" s="18" t="s">
        <v>233</v>
      </c>
      <c r="P530" s="18" t="s">
        <v>271</v>
      </c>
    </row>
    <row r="531" spans="1:16" ht="30" x14ac:dyDescent="0.2">
      <c r="A531" s="2" t="s">
        <v>1360</v>
      </c>
      <c r="B531" s="2" t="s">
        <v>1144</v>
      </c>
      <c r="C531" s="2" t="s">
        <v>155</v>
      </c>
      <c r="D531" s="2" t="s">
        <v>228</v>
      </c>
      <c r="E531" s="4">
        <v>13.33</v>
      </c>
      <c r="F531" s="18"/>
      <c r="G531" s="3">
        <v>0</v>
      </c>
      <c r="H531" s="6">
        <v>0</v>
      </c>
      <c r="I531" s="3">
        <v>0</v>
      </c>
      <c r="J531" s="17" t="str">
        <f>HYPERLINK("https://amazon.com/dp/B0DFC338TD","Amazon - B0DFC338TD")</f>
        <v>Amazon - B0DFC338TD</v>
      </c>
      <c r="K531" s="18" t="s">
        <v>229</v>
      </c>
      <c r="L531" s="18" t="s">
        <v>230</v>
      </c>
      <c r="M531" s="18" t="s">
        <v>271</v>
      </c>
      <c r="N531" s="18" t="s">
        <v>271</v>
      </c>
      <c r="O531" s="18" t="s">
        <v>233</v>
      </c>
      <c r="P531" s="18" t="s">
        <v>271</v>
      </c>
    </row>
    <row r="532" spans="1:16" ht="30" x14ac:dyDescent="0.2">
      <c r="A532" s="2" t="s">
        <v>1361</v>
      </c>
      <c r="B532" s="2" t="s">
        <v>1362</v>
      </c>
      <c r="C532" s="2" t="s">
        <v>192</v>
      </c>
      <c r="D532" s="2" t="s">
        <v>228</v>
      </c>
      <c r="E532" s="4">
        <v>249.99</v>
      </c>
      <c r="F532" s="18"/>
      <c r="G532" s="3">
        <v>0</v>
      </c>
      <c r="H532" s="6">
        <v>5</v>
      </c>
      <c r="I532" s="3">
        <v>1</v>
      </c>
      <c r="J532" s="17" t="str">
        <f>HYPERLINK("https://amazon.com/dp/B06XXBTJBS","Amazon - B06XXBTJBS")</f>
        <v>Amazon - B06XXBTJBS</v>
      </c>
      <c r="K532" s="18" t="s">
        <v>229</v>
      </c>
      <c r="L532" s="18" t="s">
        <v>230</v>
      </c>
      <c r="M532" s="18" t="s">
        <v>706</v>
      </c>
      <c r="N532" s="18" t="s">
        <v>265</v>
      </c>
      <c r="O532" s="18" t="s">
        <v>233</v>
      </c>
      <c r="P532" s="18" t="s">
        <v>278</v>
      </c>
    </row>
    <row r="533" spans="1:16" x14ac:dyDescent="0.2">
      <c r="A533" s="2" t="s">
        <v>1363</v>
      </c>
      <c r="B533" s="2" t="s">
        <v>1364</v>
      </c>
      <c r="C533" s="2" t="s">
        <v>186</v>
      </c>
      <c r="D533" s="2" t="s">
        <v>228</v>
      </c>
      <c r="E533" s="4">
        <v>201.67</v>
      </c>
      <c r="F533" s="18"/>
      <c r="G533" s="3">
        <v>0</v>
      </c>
      <c r="H533" s="6">
        <v>0</v>
      </c>
      <c r="I533" s="3">
        <v>0</v>
      </c>
      <c r="J533" s="17" t="str">
        <f>HYPERLINK("https://amazon.com/dp/B0CWS7NN8R","Amazon - B0CWS7NN8R")</f>
        <v>Amazon - B0CWS7NN8R</v>
      </c>
      <c r="K533" s="18" t="s">
        <v>229</v>
      </c>
      <c r="L533" s="18" t="s">
        <v>230</v>
      </c>
      <c r="M533" s="18" t="s">
        <v>271</v>
      </c>
      <c r="N533" s="18" t="s">
        <v>243</v>
      </c>
      <c r="O533" s="18" t="s">
        <v>233</v>
      </c>
      <c r="P533" s="18" t="s">
        <v>271</v>
      </c>
    </row>
    <row r="534" spans="1:16" ht="45" x14ac:dyDescent="0.2">
      <c r="A534" s="2" t="s">
        <v>1365</v>
      </c>
      <c r="B534" s="2" t="s">
        <v>1366</v>
      </c>
      <c r="C534" s="2" t="s">
        <v>129</v>
      </c>
      <c r="D534" s="2" t="s">
        <v>228</v>
      </c>
      <c r="E534" s="4">
        <v>20.95</v>
      </c>
      <c r="F534" s="18"/>
      <c r="G534" s="3">
        <v>0</v>
      </c>
      <c r="H534" s="6">
        <v>0</v>
      </c>
      <c r="I534" s="3">
        <v>0</v>
      </c>
      <c r="J534" s="17" t="str">
        <f>HYPERLINK("https://amazon.com/dp/B0D6X55RWS","Amazon - B0D6X55RWS")</f>
        <v>Amazon - B0D6X55RWS</v>
      </c>
      <c r="K534" s="18" t="s">
        <v>229</v>
      </c>
      <c r="L534" s="18" t="s">
        <v>230</v>
      </c>
      <c r="M534" s="18" t="s">
        <v>242</v>
      </c>
      <c r="N534" s="18" t="s">
        <v>271</v>
      </c>
      <c r="O534" s="18" t="s">
        <v>316</v>
      </c>
      <c r="P534" s="18" t="s">
        <v>271</v>
      </c>
    </row>
    <row r="535" spans="1:16" ht="30" x14ac:dyDescent="0.2">
      <c r="A535" s="2" t="s">
        <v>1367</v>
      </c>
      <c r="B535" s="2" t="s">
        <v>1368</v>
      </c>
      <c r="C535" s="2" t="s">
        <v>211</v>
      </c>
      <c r="D535" s="2" t="s">
        <v>228</v>
      </c>
      <c r="E535" s="4">
        <v>49.95</v>
      </c>
      <c r="F535" s="18"/>
      <c r="G535" s="3">
        <v>0</v>
      </c>
      <c r="H535" s="6">
        <v>3.8</v>
      </c>
      <c r="I535" s="3">
        <v>7</v>
      </c>
      <c r="J535" s="17" t="str">
        <f>HYPERLINK("https://amazon.com/dp/B07198K75P","Amazon - B07198K75P")</f>
        <v>Amazon - B07198K75P</v>
      </c>
      <c r="K535" s="18" t="s">
        <v>229</v>
      </c>
      <c r="L535" s="18" t="s">
        <v>230</v>
      </c>
      <c r="M535" s="18" t="s">
        <v>242</v>
      </c>
      <c r="N535" s="18" t="s">
        <v>1134</v>
      </c>
      <c r="O535" s="18" t="s">
        <v>233</v>
      </c>
      <c r="P535" s="18" t="s">
        <v>271</v>
      </c>
    </row>
    <row r="536" spans="1:16" ht="45" x14ac:dyDescent="0.2">
      <c r="A536" s="2" t="s">
        <v>1369</v>
      </c>
      <c r="B536" s="2" t="s">
        <v>1370</v>
      </c>
      <c r="C536" s="2" t="s">
        <v>201</v>
      </c>
      <c r="D536" s="2" t="s">
        <v>228</v>
      </c>
      <c r="E536" s="4">
        <v>259</v>
      </c>
      <c r="F536" s="18"/>
      <c r="G536" s="3">
        <v>0</v>
      </c>
      <c r="H536" s="6">
        <v>0</v>
      </c>
      <c r="I536" s="3">
        <v>0</v>
      </c>
      <c r="J536" s="17" t="str">
        <f>HYPERLINK("https://amazon.com/dp/B0D7CN6WVY","Amazon - B0D7CN6WVY")</f>
        <v>Amazon - B0D7CN6WVY</v>
      </c>
      <c r="K536" s="18" t="s">
        <v>229</v>
      </c>
      <c r="L536" s="18" t="s">
        <v>251</v>
      </c>
      <c r="M536" s="18" t="s">
        <v>242</v>
      </c>
      <c r="N536" s="18" t="s">
        <v>271</v>
      </c>
      <c r="O536" s="18" t="s">
        <v>233</v>
      </c>
      <c r="P536" s="18" t="s">
        <v>234</v>
      </c>
    </row>
    <row r="537" spans="1:16" ht="30" x14ac:dyDescent="0.2">
      <c r="A537" s="2" t="s">
        <v>1371</v>
      </c>
      <c r="B537" s="2" t="s">
        <v>1372</v>
      </c>
      <c r="C537" s="2" t="s">
        <v>209</v>
      </c>
      <c r="D537" s="2" t="s">
        <v>228</v>
      </c>
      <c r="E537" s="4">
        <v>78.27</v>
      </c>
      <c r="F537" s="18"/>
      <c r="G537" s="3">
        <v>0</v>
      </c>
      <c r="H537" s="6">
        <v>0</v>
      </c>
      <c r="I537" s="3">
        <v>0</v>
      </c>
      <c r="J537" s="17" t="str">
        <f>HYPERLINK("https://amazon.com/dp/B0CGJD9PL6","Amazon - B0CGJD9PL6")</f>
        <v>Amazon - B0CGJD9PL6</v>
      </c>
      <c r="K537" s="18" t="s">
        <v>229</v>
      </c>
      <c r="L537" s="18" t="s">
        <v>230</v>
      </c>
      <c r="M537" s="18" t="s">
        <v>242</v>
      </c>
      <c r="N537" s="18" t="s">
        <v>271</v>
      </c>
      <c r="O537" s="18" t="s">
        <v>233</v>
      </c>
      <c r="P537" s="18" t="s">
        <v>271</v>
      </c>
    </row>
    <row r="538" spans="1:16" ht="30" x14ac:dyDescent="0.2">
      <c r="A538" s="2" t="s">
        <v>1373</v>
      </c>
      <c r="B538" s="2" t="s">
        <v>1374</v>
      </c>
      <c r="C538" s="2" t="s">
        <v>196</v>
      </c>
      <c r="D538" s="2" t="s">
        <v>228</v>
      </c>
      <c r="E538" s="4">
        <v>46.99</v>
      </c>
      <c r="F538" s="18"/>
      <c r="G538" s="3">
        <v>0</v>
      </c>
      <c r="H538" s="6">
        <v>0</v>
      </c>
      <c r="I538" s="3">
        <v>0</v>
      </c>
      <c r="J538" s="17" t="str">
        <f>HYPERLINK("https://amazon.com/dp/B0C1L65F94","Amazon - B0C1L65F94")</f>
        <v>Amazon - B0C1L65F94</v>
      </c>
      <c r="K538" s="18" t="s">
        <v>229</v>
      </c>
      <c r="L538" s="18" t="s">
        <v>230</v>
      </c>
      <c r="M538" s="18" t="s">
        <v>231</v>
      </c>
      <c r="N538" s="18" t="s">
        <v>271</v>
      </c>
      <c r="O538" s="18" t="s">
        <v>233</v>
      </c>
      <c r="P538" s="18" t="s">
        <v>271</v>
      </c>
    </row>
    <row r="539" spans="1:16" ht="45" x14ac:dyDescent="0.2">
      <c r="A539" s="2" t="s">
        <v>1375</v>
      </c>
      <c r="B539" s="2" t="s">
        <v>1376</v>
      </c>
      <c r="C539" s="2" t="s">
        <v>25</v>
      </c>
      <c r="D539" s="2" t="s">
        <v>285</v>
      </c>
      <c r="E539" s="4">
        <v>399.98</v>
      </c>
      <c r="F539" s="18"/>
      <c r="G539" s="3">
        <v>0</v>
      </c>
      <c r="H539" s="6">
        <v>0</v>
      </c>
      <c r="I539" s="3">
        <v>0</v>
      </c>
      <c r="J539" s="17" t="str">
        <f>HYPERLINK("https://amazon.com/dp/B08TB7XCMN","Amazon - B08TB7XCMN")</f>
        <v>Amazon - B08TB7XCMN</v>
      </c>
      <c r="K539" s="18" t="s">
        <v>286</v>
      </c>
      <c r="L539" s="18" t="s">
        <v>230</v>
      </c>
      <c r="M539" s="18" t="s">
        <v>287</v>
      </c>
      <c r="N539" s="18" t="s">
        <v>238</v>
      </c>
      <c r="O539" s="18" t="s">
        <v>233</v>
      </c>
      <c r="P539" s="18" t="s">
        <v>234</v>
      </c>
    </row>
    <row r="540" spans="1:16" x14ac:dyDescent="0.2">
      <c r="A540" s="2" t="s">
        <v>1377</v>
      </c>
      <c r="B540" s="2" t="s">
        <v>1378</v>
      </c>
      <c r="C540" s="2" t="s">
        <v>10</v>
      </c>
      <c r="D540" s="2" t="s">
        <v>228</v>
      </c>
      <c r="E540" s="4">
        <v>52.99</v>
      </c>
      <c r="F540" s="18"/>
      <c r="G540" s="3">
        <v>0</v>
      </c>
      <c r="H540" s="6">
        <v>4.5</v>
      </c>
      <c r="I540" s="3">
        <v>7036</v>
      </c>
      <c r="J540" s="17" t="str">
        <f>HYPERLINK("https://amazon.com/dp/B0CGT1N3VR","Amazon - B0CGT1N3VR")</f>
        <v>Amazon - B0CGT1N3VR</v>
      </c>
      <c r="K540" s="18" t="s">
        <v>229</v>
      </c>
      <c r="L540" s="18" t="s">
        <v>230</v>
      </c>
      <c r="M540" s="18" t="s">
        <v>271</v>
      </c>
      <c r="N540" s="18" t="s">
        <v>271</v>
      </c>
      <c r="O540" s="18" t="s">
        <v>246</v>
      </c>
      <c r="P540" s="18" t="s">
        <v>271</v>
      </c>
    </row>
    <row r="541" spans="1:16" ht="30" x14ac:dyDescent="0.2">
      <c r="A541" s="2" t="s">
        <v>1379</v>
      </c>
      <c r="B541" s="2" t="s">
        <v>1380</v>
      </c>
      <c r="C541" s="2" t="s">
        <v>11</v>
      </c>
      <c r="D541" s="2" t="s">
        <v>228</v>
      </c>
      <c r="E541" s="4">
        <v>239.99</v>
      </c>
      <c r="F541" s="18"/>
      <c r="G541" s="3">
        <v>0</v>
      </c>
      <c r="H541" s="6">
        <v>4.2</v>
      </c>
      <c r="I541" s="3">
        <v>210</v>
      </c>
      <c r="J541" s="17" t="str">
        <f>HYPERLINK("https://amazon.com/dp/B0GR4Y131Y","Amazon - B0GR4Y131Y")</f>
        <v>Amazon - B0GR4Y131Y</v>
      </c>
      <c r="K541" s="18" t="s">
        <v>229</v>
      </c>
      <c r="L541" s="18" t="s">
        <v>251</v>
      </c>
      <c r="M541" s="18" t="s">
        <v>271</v>
      </c>
      <c r="N541" s="18" t="s">
        <v>296</v>
      </c>
      <c r="O541" s="18" t="s">
        <v>233</v>
      </c>
      <c r="P541" s="18" t="s">
        <v>271</v>
      </c>
    </row>
  </sheetData>
  <autoFilter ref="A2:P541" xr:uid="{00000000-0009-0000-0000-000005000000}"/>
  <mergeCells count="1">
    <mergeCell ref="A1:P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pane ySplit="2" topLeftCell="A3" activePane="bottomLeft" state="frozen"/>
      <selection pane="bottomLeft"/>
    </sheetView>
  </sheetViews>
  <sheetFormatPr baseColWidth="10" defaultColWidth="8.83203125" defaultRowHeight="15" x14ac:dyDescent="0.2"/>
  <cols>
    <col min="1" max="1" width="24" customWidth="1"/>
    <col min="2" max="2" width="28" customWidth="1"/>
  </cols>
  <sheetData>
    <row r="1" spans="1:2" ht="34" customHeight="1" x14ac:dyDescent="0.2">
      <c r="A1" s="21" t="s">
        <v>1381</v>
      </c>
      <c r="B1" s="22"/>
    </row>
    <row r="2" spans="1:2" ht="30" customHeight="1" x14ac:dyDescent="0.2">
      <c r="A2" s="1" t="s">
        <v>1382</v>
      </c>
      <c r="B2" s="1" t="s">
        <v>1383</v>
      </c>
    </row>
    <row r="3" spans="1:2" x14ac:dyDescent="0.2">
      <c r="A3" s="2" t="s">
        <v>1384</v>
      </c>
      <c r="B3" s="2" t="s">
        <v>1385</v>
      </c>
    </row>
    <row r="4" spans="1:2" x14ac:dyDescent="0.2">
      <c r="A4" s="7" t="s">
        <v>1386</v>
      </c>
      <c r="B4" s="7" t="s">
        <v>1387</v>
      </c>
    </row>
    <row r="5" spans="1:2" x14ac:dyDescent="0.2">
      <c r="A5" s="2" t="s">
        <v>1388</v>
      </c>
      <c r="B5" s="2" t="s">
        <v>1389</v>
      </c>
    </row>
    <row r="6" spans="1:2" x14ac:dyDescent="0.2">
      <c r="A6" s="7" t="s">
        <v>1390</v>
      </c>
      <c r="B6" s="7" t="s">
        <v>1391</v>
      </c>
    </row>
    <row r="7" spans="1:2" x14ac:dyDescent="0.2">
      <c r="A7" s="2" t="s">
        <v>1392</v>
      </c>
      <c r="B7" s="2" t="s">
        <v>1393</v>
      </c>
    </row>
    <row r="8" spans="1:2" x14ac:dyDescent="0.2">
      <c r="A8" s="7" t="s">
        <v>1394</v>
      </c>
      <c r="B8" s="7" t="s">
        <v>1395</v>
      </c>
    </row>
    <row r="9" spans="1:2" x14ac:dyDescent="0.2">
      <c r="A9" s="2" t="s">
        <v>1396</v>
      </c>
      <c r="B9" s="2">
        <v>539</v>
      </c>
    </row>
    <row r="10" spans="1:2" ht="60" x14ac:dyDescent="0.2">
      <c r="A10" s="7" t="s">
        <v>1397</v>
      </c>
      <c r="B10" s="7" t="s">
        <v>1398</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Ginny Chen</cp:lastModifiedBy>
  <dcterms:created xsi:type="dcterms:W3CDTF">2026-04-17T23:09:40Z</dcterms:created>
  <dcterms:modified xsi:type="dcterms:W3CDTF">2026-04-17T23:11:51Z</dcterms:modified>
</cp:coreProperties>
</file>