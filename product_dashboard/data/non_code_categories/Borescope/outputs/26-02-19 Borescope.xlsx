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umiaoc/Desktop/DMM_h10/Borescope/outputs/"/>
    </mc:Choice>
  </mc:AlternateContent>
  <xr:revisionPtr revIDLastSave="0" documentId="13_ncr:1_{FC7B2421-8E64-124C-B311-5C22CFB7EE8E}" xr6:coauthVersionLast="47" xr6:coauthVersionMax="47" xr10:uidLastSave="{00000000-0000-0000-0000-000000000000}"/>
  <bookViews>
    <workbookView xWindow="0" yWindow="760" windowWidth="25100" windowHeight="21580" tabRatio="854" xr2:uid="{00000000-000D-0000-FFFF-FFFF00000000}"/>
  </bookViews>
  <sheets>
    <sheet name="Summary" sheetId="1" r:id="rId1"/>
    <sheet name="Top 50" sheetId="2" r:id="rId2"/>
    <sheet name="Top 50 Type Summary" sheetId="3" r:id="rId3"/>
    <sheet name="Top50 2or4way Summary " sheetId="4" r:id="rId4"/>
    <sheet name="Top 50 Display Summary " sheetId="5" r:id="rId5"/>
    <sheet name="Top50 Lensdiameter Summary  " sheetId="6" r:id="rId6"/>
    <sheet name="Top50 Lens count Summary " sheetId="7" r:id="rId7"/>
    <sheet name="Top50 Cable length Summary  " sheetId="8" r:id="rId8"/>
    <sheet name="Teslong" sheetId="9" r:id="rId9"/>
    <sheet name="DEPSTECH" sheetId="10" r:id="rId10"/>
    <sheet name="UJOYOK" sheetId="11" r:id="rId11"/>
    <sheet name="Acoath" sheetId="12" r:id="rId12"/>
    <sheet name="Anykit" sheetId="18" r:id="rId13"/>
    <sheet name="DZXtoz" sheetId="14" r:id="rId14"/>
    <sheet name="WINWEND" sheetId="15" r:id="rId15"/>
    <sheet name="Ralcam" sheetId="16" r:id="rId16"/>
    <sheet name="FOXWELL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9" l="1"/>
  <c r="D22" i="9"/>
  <c r="G48" i="18"/>
  <c r="F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E26" i="18"/>
  <c r="D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G22" i="17"/>
  <c r="F22" i="17"/>
  <c r="K21" i="17"/>
  <c r="K20" i="17"/>
  <c r="K19" i="17"/>
  <c r="K18" i="17"/>
  <c r="E13" i="17"/>
  <c r="D13" i="17"/>
  <c r="K12" i="17"/>
  <c r="K11" i="17"/>
  <c r="K10" i="17"/>
  <c r="K9" i="17"/>
  <c r="G62" i="16"/>
  <c r="F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E33" i="16"/>
  <c r="D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G24" i="15"/>
  <c r="F24" i="15"/>
  <c r="K23" i="15"/>
  <c r="K22" i="15"/>
  <c r="K21" i="15"/>
  <c r="K20" i="15"/>
  <c r="K19" i="15"/>
  <c r="E14" i="15"/>
  <c r="D14" i="15"/>
  <c r="K13" i="15"/>
  <c r="K12" i="15"/>
  <c r="K11" i="15"/>
  <c r="K10" i="15"/>
  <c r="K9" i="15"/>
  <c r="G22" i="14"/>
  <c r="F22" i="14"/>
  <c r="K21" i="14"/>
  <c r="K20" i="14"/>
  <c r="K19" i="14"/>
  <c r="K18" i="14"/>
  <c r="E13" i="14"/>
  <c r="D13" i="14"/>
  <c r="K12" i="14"/>
  <c r="K11" i="14"/>
  <c r="K10" i="14"/>
  <c r="K9" i="14"/>
  <c r="G16" i="12"/>
  <c r="F16" i="12"/>
  <c r="K15" i="12"/>
  <c r="E10" i="12"/>
  <c r="D10" i="12"/>
  <c r="K9" i="12"/>
  <c r="G16" i="11"/>
  <c r="F16" i="11"/>
  <c r="K15" i="11"/>
  <c r="E10" i="11"/>
  <c r="D10" i="11"/>
  <c r="K9" i="11"/>
  <c r="G28" i="10"/>
  <c r="F28" i="10"/>
  <c r="K27" i="10"/>
  <c r="K26" i="10"/>
  <c r="K25" i="10"/>
  <c r="K24" i="10"/>
  <c r="K23" i="10"/>
  <c r="K22" i="10"/>
  <c r="K21" i="10"/>
  <c r="E16" i="10"/>
  <c r="D16" i="10"/>
  <c r="K15" i="10"/>
  <c r="K14" i="10"/>
  <c r="K13" i="10"/>
  <c r="K12" i="10"/>
  <c r="K11" i="10"/>
  <c r="K10" i="10"/>
  <c r="K9" i="10"/>
  <c r="G40" i="9"/>
  <c r="F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</calcChain>
</file>

<file path=xl/sharedStrings.xml><?xml version="1.0" encoding="utf-8"?>
<sst xmlns="http://schemas.openxmlformats.org/spreadsheetml/2006/main" count="1929" uniqueCount="397">
  <si>
    <t xml:space="preserve">Monthly Summaries- Revenue </t>
  </si>
  <si>
    <t>Brand</t>
  </si>
  <si>
    <t># of Listings</t>
  </si>
  <si>
    <t>Monthly Rev</t>
  </si>
  <si>
    <t>Estimated 12mo Revenue</t>
  </si>
  <si>
    <t>Monthly Units</t>
  </si>
  <si>
    <t>Monthly Rev Market Share %</t>
  </si>
  <si>
    <t>Price Per Unit</t>
  </si>
  <si>
    <t>Reviews</t>
  </si>
  <si>
    <t>Avg Rating</t>
  </si>
  <si>
    <t>Teslong</t>
  </si>
  <si>
    <t>DXZtoz</t>
  </si>
  <si>
    <t>Ralcam</t>
  </si>
  <si>
    <t>DEPSTECH</t>
  </si>
  <si>
    <t>FOXWELL</t>
  </si>
  <si>
    <t>Anykit</t>
  </si>
  <si>
    <t>UJOYOK</t>
  </si>
  <si>
    <t>Acoath</t>
  </si>
  <si>
    <t>KAIWEETS</t>
  </si>
  <si>
    <t>WANAWONG K</t>
  </si>
  <si>
    <t>Market Total</t>
  </si>
  <si>
    <t>Monthly Summary - Units</t>
  </si>
  <si>
    <t>Estimated 12mo Units</t>
  </si>
  <si>
    <t>Monthly Unit Market Share %</t>
  </si>
  <si>
    <t>Rank By Monthly Revenue - ONLY</t>
  </si>
  <si>
    <t>Ranking</t>
  </si>
  <si>
    <t>ASIN</t>
  </si>
  <si>
    <t>Product Name</t>
  </si>
  <si>
    <t>Type</t>
  </si>
  <si>
    <t>2/4-way</t>
  </si>
  <si>
    <t>Display</t>
  </si>
  <si>
    <t>Lens diameter</t>
  </si>
  <si>
    <t>Lens count</t>
  </si>
  <si>
    <t>Cable length</t>
  </si>
  <si>
    <t>Price</t>
  </si>
  <si>
    <t>Est. Monthly Retail Rev</t>
  </si>
  <si>
    <t>Est. Monthly Units Sold</t>
  </si>
  <si>
    <t># of Reviews</t>
  </si>
  <si>
    <t>Avg. Rating</t>
  </si>
  <si>
    <t>Column2</t>
  </si>
  <si>
    <t>Link</t>
  </si>
  <si>
    <t>B0CJY5C9QX</t>
  </si>
  <si>
    <t>Teslong Two-Way Articulating Borescope with Light, Industrial Endoscope Inspection Camera with Articulated Probe, Flexible Mechanic Fiber Optic Snake Scope Cam for Wall Automotive Engine Inspect-5FT</t>
  </si>
  <si>
    <t>teslong</t>
  </si>
  <si>
    <t>Articulation</t>
  </si>
  <si>
    <t>2-way</t>
  </si>
  <si>
    <t>4.5"</t>
  </si>
  <si>
    <t>8mm</t>
  </si>
  <si>
    <t>Single</t>
  </si>
  <si>
    <t>5ft</t>
  </si>
  <si>
    <t>https://amazon.com/dp/B0CJY5C9QX</t>
  </si>
  <si>
    <t>B0B28HRSBP</t>
  </si>
  <si>
    <t>DXZtoz Two-Way Articulating Borescope with Light, Video Industrial Endoscope Inspection Camera with 0.33in Articulated Scope for Engine Automotive Aircraft Mechanics- 5.5FT</t>
  </si>
  <si>
    <t>dxztoz</t>
  </si>
  <si>
    <t>4.3"</t>
  </si>
  <si>
    <t>8.5mm</t>
  </si>
  <si>
    <t>5.5ft</t>
  </si>
  <si>
    <t>https://amazon.com/dp/B0B28HRSBP</t>
  </si>
  <si>
    <t>B0DT4H7QQM</t>
  </si>
  <si>
    <t>Teslong Two-Way Articulating Borescope, 5.5mm Slim Probe, 5.0'' Industrial Endoscope with Light, 5FT Flexible Snake Scope for Automotive, HVAC &amp; Mechanics</t>
  </si>
  <si>
    <t>5.0"</t>
  </si>
  <si>
    <t>5.5mm</t>
  </si>
  <si>
    <t>https://amazon.com/dp/B0DT4H7QQM</t>
  </si>
  <si>
    <t>B0CJY6SWBN</t>
  </si>
  <si>
    <t>Articulating Borescope with Dual Lens Endoscope Camera, Teslong Two-Way Articulated Industrial Inspection Camera with LED Light, Flexible Mechanic Fiber Optic Snake Scope Cam for Wall Automotive-5FT</t>
  </si>
  <si>
    <t>Dual</t>
  </si>
  <si>
    <t>https://amazon.com/dp/B0CJY6SWBN</t>
  </si>
  <si>
    <t>B0C3B32Q9Z</t>
  </si>
  <si>
    <t>DXZtoz Dual-Lens Articulating Borescope with Light, 5'' Screen Engine Endoscope Inspection Camera with 0.33in Articulated Snake Camera, 1080P Videoscope for Automotive Home Mechanics-5FT</t>
  </si>
  <si>
    <t>https://amazon.com/dp/B0C3B32Q9Z</t>
  </si>
  <si>
    <t>B0F62WJY8N</t>
  </si>
  <si>
    <t>DEPSTECH 10FT Articulating Endoscope Camera with Light: Dual Lens Industrial Borescope with 4.5" Screen and Flexible Cable, Video Inspection Snake Scope Camera Tool for Wall, Auto, Pipe, Mechanics</t>
  </si>
  <si>
    <t>depstech</t>
  </si>
  <si>
    <t>10ft</t>
  </si>
  <si>
    <t>https://amazon.com/dp/B0F62WJY8N</t>
  </si>
  <si>
    <t>B0CHW4FLS7</t>
  </si>
  <si>
    <t>Articulating Borescope with Dual Lens Endoscope, Teslong 5-inch IPS Automotive Inspection Camera with Two-Way Articulation Tip, 6+1 LED Lights, Mechanics Fiber Optic Scope-Dia. 0.25 inch &amp; L 5.0 feet</t>
  </si>
  <si>
    <t>6.5mm</t>
  </si>
  <si>
    <t>https://amazon.com/dp/B0CHW4FLS7</t>
  </si>
  <si>
    <t>B0DTHZDGYD</t>
  </si>
  <si>
    <t>Teslong 360 Articulating Borescope with Light, 5'' Monitor Industrial Inspection Camera with 4-Way Joystick Articulation, HD Endoscope Camera for Automotive, Pipes, and Mechanics (0.24inch-5FT)</t>
  </si>
  <si>
    <t>4-way</t>
  </si>
  <si>
    <t>6mm</t>
  </si>
  <si>
    <t>https://amazon.com/dp/B0DTHZDGYD</t>
  </si>
  <si>
    <t>B0CLG67RHF</t>
  </si>
  <si>
    <t>360 Articulating Borescope with 6” Monitor, Teslong Mechanics Inspection Camera with 4-Way Joystick Articulation, HD Steerable Endoscope Camera with Light, See in Wall Engine Hole Camera(0.24inch-5FT)</t>
  </si>
  <si>
    <t>6.0"</t>
  </si>
  <si>
    <t>https://amazon.com/dp/B0CLG67RHF</t>
  </si>
  <si>
    <t>B0DFHL8YN5</t>
  </si>
  <si>
    <t>Two-Way Articulating Borescope with Light, UJOYOK Industrial Endoscope with Snake Scope Camera, Borescope Inspection Camera with Light for Automotive &amp; Aircraft Mechanics, 5.5FT</t>
  </si>
  <si>
    <t>ujoyok</t>
  </si>
  <si>
    <t>https://amazon.com/dp/B0DFHL8YN5</t>
  </si>
  <si>
    <t>B0FZJ4CQB6</t>
  </si>
  <si>
    <t>Acoath Two-Way Articulating Borescope, Endoscope Camera with Light, Dual-Lens 1080P Industrial Inspection Camera, 4.3" IPS Screen, 32GB Card, IP67 Waterproof Sewer Tools - 5FT</t>
  </si>
  <si>
    <t>acoath</t>
  </si>
  <si>
    <t>Sewer camera</t>
  </si>
  <si>
    <t>Unknown</t>
  </si>
  <si>
    <t>https://amazon.com/dp/B0FZJ4CQB6</t>
  </si>
  <si>
    <t>B09ZV7KJHL</t>
  </si>
  <si>
    <t>Teslong Two-Way Articulating Borescope with Light, 5-inch IPS Endoscope Inspection Camera with Articulation Head, Automotive Mechanics Fiber Optic Scope-0.33inch</t>
  </si>
  <si>
    <t>https://amazon.com/dp/B09ZV7KJHL</t>
  </si>
  <si>
    <t>B0FGJ8WVGP</t>
  </si>
  <si>
    <t>Anykit Articulating Borescope, 210° Two-Way 0.22in Slim Probe Endoscope with High-Brightness LED Lights, 4.3" IPS HD Video Inspection Snake Camera for Automotive Engine Inspect - 4FT</t>
  </si>
  <si>
    <t>anykit</t>
  </si>
  <si>
    <t>4ft</t>
  </si>
  <si>
    <t>https://amazon.com/dp/B0FGJ8WVGP</t>
  </si>
  <si>
    <t>B0DPHJSPBY</t>
  </si>
  <si>
    <t>FOXWELL 2-Way Articulating Borescope Camera with Light, 0.24in Industrial Endoscope Inspection Camera with Articulated Snake Cameras, HD Video Scope for Automotive Engine HVAC Inspection - 5.3FT</t>
  </si>
  <si>
    <t>foxwell</t>
  </si>
  <si>
    <t>6.2mm</t>
  </si>
  <si>
    <t>5.25ft</t>
  </si>
  <si>
    <t>https://amazon.com/dp/B0DPHJSPBY</t>
  </si>
  <si>
    <t>B0FFT6SJHW</t>
  </si>
  <si>
    <t>Two-Way Articulating Borescope Camera with Light, 0.25in Slim Probe, Industrial Endoscope Inspection Camera with Light, 5.3FT Flexible Snake Scope for Automotive, HVAC and Aircraft Mechanics</t>
  </si>
  <si>
    <t>kaiweets</t>
  </si>
  <si>
    <t>6.4mm</t>
  </si>
  <si>
    <t>5.3ft</t>
  </si>
  <si>
    <t>https://amazon.com/dp/B0FFT6SJHW</t>
  </si>
  <si>
    <t>B0DT16R78W</t>
  </si>
  <si>
    <t>DEPSTECH Dual Lens Two-Way Articulating Borescope Camera with Light, 4.5" Screen and 5FT Flexible Snake Scope Industrial Endoscope, Inspection Video Camera Tool for Wall, Engine, Auto, Mechanics</t>
  </si>
  <si>
    <t>https://amazon.com/dp/B0DT16R78W</t>
  </si>
  <si>
    <t>B0F2H49C2D</t>
  </si>
  <si>
    <t>Teslong Two-Way Articulating Borescope with Light, USB-C Endoscope Inspection Camera with 5FT Semi-Rigid Probe, Flexible Snake Scope for Home Repair, Automotive, Compatible with iPhone 15/16 &amp; Android</t>
  </si>
  <si>
    <t>USB</t>
  </si>
  <si>
    <t>App</t>
  </si>
  <si>
    <t>https://amazon.com/dp/B0F2H49C2D</t>
  </si>
  <si>
    <t>B0DT98YB3X</t>
  </si>
  <si>
    <t>Two-Way Articulating Borescope Camera with Light: Industrial Endoscope Inspection Snake Camera - Flexible Bore Scope Cam with 0.33in Articulated Probe for Mechanic Automotive Engine Wall - 5.5FT</t>
  </si>
  <si>
    <t>wanawong k</t>
  </si>
  <si>
    <t>https://amazon.com/dp/B0DT98YB3X</t>
  </si>
  <si>
    <t>B0D7PYRRKD</t>
  </si>
  <si>
    <t>Teslong 3.9mm 4-Way Articulating Borescope with Light, 6'' IPS Endoscope Inspection Camera with 360 Articulated Probe, Flexible Automotive Mechanics Gadgets Fiber Optic Scope Cam (0.15inch-5FT)</t>
  </si>
  <si>
    <t>3.9mm</t>
  </si>
  <si>
    <t>https://amazon.com/dp/B0D7PYRRKD</t>
  </si>
  <si>
    <t>B0F8QLHGZR</t>
  </si>
  <si>
    <t>FOXWELL Dual Lens Articulating Borescope, 0.25in Slim 220° Two-Way Endoscope Camera with LED Light, IPS HD Screen, IP67 Waterproof Snake Camera for Automotive, Pipe, Wall &amp; Engine Inspection – 5.3FT</t>
  </si>
  <si>
    <t>https://amazon.com/dp/B0F8QLHGZR</t>
  </si>
  <si>
    <t>B0DSW1DKTZ</t>
  </si>
  <si>
    <t>Ralcam 360° Articulating Borescope Dual Lens, 5'' Joystick 4 Ways Industrial Endoscope Camera with Light, 6.5mm Slim Probe, 5.0FT Semi-Rigid Snake Inspection Camera for Automotive Mechanics</t>
  </si>
  <si>
    <t>ralcam</t>
  </si>
  <si>
    <t>https://amazon.com/dp/B0DSW1DKTZ</t>
  </si>
  <si>
    <t>B0FJFD212D</t>
  </si>
  <si>
    <t>Ralcam 4-Way 360° Articulating Borescope, 6.2mm Ultra-Slim Waterproof Inspection Camera with Light, 4.3" HD Screen, 4X Zoom, 6.6FT Semi-Rigid Endoscope for Engine, Pipe, HVAC &amp; Automotive</t>
  </si>
  <si>
    <t>6.6ft</t>
  </si>
  <si>
    <t>https://amazon.com/dp/B0FJFD212D</t>
  </si>
  <si>
    <t>B0C64RBKJL</t>
  </si>
  <si>
    <t>Ralcam 360° Articulating Borescope, 6.2mm/0.24in Slim Probe, Joystick 4 Ways Endoscope Inspection Camera with Light, 3.3 FT Flexible Snake Tube for Automotive, HVAC, Mechanics</t>
  </si>
  <si>
    <t>3.3ft</t>
  </si>
  <si>
    <t>https://amazon.com/dp/B0C64RBKJL</t>
  </si>
  <si>
    <t>B0CLG4LHWP</t>
  </si>
  <si>
    <t>Teslong 3.9mm Two-Way Articulating Borescope with Light, 5-inch IPS Endoscope Inspection Camera with Articulated Probe, Flexible Automotive Mechanics Gadgets Fiber Optic Scope Cam-0.15inch</t>
  </si>
  <si>
    <t>https://amazon.com/dp/B0CLG4LHWP</t>
  </si>
  <si>
    <t>B0B71PT47Q</t>
  </si>
  <si>
    <t>DXZtoz 10FT Articulating Borescope with Light, Two-Way Steering Industrial Endoscope Inspection Camera 0.33in Fiber Optic Snake Camera Waterproof for Electriction Wall Pipeline Inspection</t>
  </si>
  <si>
    <t>https://amazon.com/dp/B0B71PT47Q</t>
  </si>
  <si>
    <t>B0DPQ2HV9T</t>
  </si>
  <si>
    <t>Two-Way Articulating Borescope, Dual Lens Inspection Camera with Light, 6mm Lens Snake Camera for Mechanic Inspections, and Plumbing, .24in Borescope Automotive, Industrial Endoscope, 5ft</t>
  </si>
  <si>
    <t>level up auto</t>
  </si>
  <si>
    <t>https://amazon.com/dp/B0DPQ2HV9T</t>
  </si>
  <si>
    <t>B0DNFL72B5</t>
  </si>
  <si>
    <t>DXZtoz Dual-Lens Articulating Borescope with Light, 6.5mm Thin Articulated Industrial Endoscope Inspection Camera, 5'' Dual Screen HD Engine Scope for Aircraft Automotive Mechanic Electrician-5FT</t>
  </si>
  <si>
    <t>https://amazon.com/dp/B0DNFL72B5</t>
  </si>
  <si>
    <t>B0C9GR791B</t>
  </si>
  <si>
    <t>VEVOR Articulating Borescope Camera with Light, Two-Way Articulated Endoscope Inspection Camera with 6.4mm Tiny Lens, 5" IPS 1080P HD Screen, 8X Zoom, 8 LED Light Snake Camera for Automotive, Plumbing</t>
  </si>
  <si>
    <t>vevor</t>
  </si>
  <si>
    <t>https://amazon.com/dp/B0C9GR791B</t>
  </si>
  <si>
    <t>B0FFGZC3WX</t>
  </si>
  <si>
    <t>Teslong Dual Lens 360 Articulating Borescope with Light, 5'' Monitor Industrial Inspection Camera with 4-Way Joystick Articulation, HD Endoscope Camera for Automotive and Mechanics (0.24inch-5FT)</t>
  </si>
  <si>
    <t>https://amazon.com/dp/B0FFGZC3WX</t>
  </si>
  <si>
    <t>B0FBX2NSHL</t>
  </si>
  <si>
    <t>gogolux Two-Way Articulating Borescope Camera with Light, 1920P HD Articulating Endoscope with Semi-Rigid Snake Camera, IP67 Waterproof Inspection, Gifts/Tools Bore Scope for Men for iPhone</t>
  </si>
  <si>
    <t>gogolux</t>
  </si>
  <si>
    <t>5.6ft</t>
  </si>
  <si>
    <t>https://amazon.com/dp/B0FBX2NSHL</t>
  </si>
  <si>
    <t>B0FJLPG74M</t>
  </si>
  <si>
    <t>Ralcam 360° Articulating Borescope Dual Lens 5'', Joystick 4-Way Industrial Endoscope Camera with Light, 0.25in Slim Probe Flexible Inspection Camera for Automotive Mechanics</t>
  </si>
  <si>
    <t>https://amazon.com/dp/B0FJLPG74M</t>
  </si>
  <si>
    <t>B0DSVY5LQD</t>
  </si>
  <si>
    <t>Ralcam Dual Lens Articulating Borescope, 6.5mm Slim Probe, 5" Endoscope Camera with Light, 5FT Semi-Rigid Cable, Two-Way Articulated Inspection Camera for Automotive Wall Pipe</t>
  </si>
  <si>
    <t>https://amazon.com/dp/B0DSVY5LQD</t>
  </si>
  <si>
    <t>B0F8BN91TL</t>
  </si>
  <si>
    <t>4-Way 360° Articulating Borescope, Ralcam Joystick 5" Endoscope Camera with Light, 6.2mm/0.24in Slim Snake Inspection Camera with 5.0ft Semi-Rigid Cable for Engine, Pipe, HVAC Inspection</t>
  </si>
  <si>
    <t>https://amazon.com/dp/B0F8BN91TL</t>
  </si>
  <si>
    <t>B0FD3NRZ5S</t>
  </si>
  <si>
    <t>DEPSTECH Articulating Borescope Camera with Light, 5" IPS HD Screen, Industrial Endoscope Inspection Camera with Two-Way Articulated Probe, 0.24'' Flexible Snake Scope for Wall Automotive Engine - 5FT</t>
  </si>
  <si>
    <t>https://amazon.com/dp/B0FD3NRZ5S</t>
  </si>
  <si>
    <t>B0F21RD15V</t>
  </si>
  <si>
    <t>Zealtron 360° Joystick Articulating Borescope with Light,5'' Monitor 6.2mm Slim Probe Endoscope Inspection Camera,4-Way Articulating Borescope with 5ft Resilient Gooseneck Cable-Dual Battery Pack</t>
  </si>
  <si>
    <t>zealtron</t>
  </si>
  <si>
    <t>https://amazon.com/dp/B0F21RD15V</t>
  </si>
  <si>
    <t>B0G48WTXYF</t>
  </si>
  <si>
    <t>Ralcam Dual Lens 360° Articulating Borescope 5 Inch, 4-Way 180° Endoscope Camera with Light, 6.5mm Slim Probe, 5FT Semi-Rigid Snake Camera for Automotive HVAC Pipe Inspection</t>
  </si>
  <si>
    <t>https://amazon.com/dp/B0G48WTXYF</t>
  </si>
  <si>
    <t>B09QBDSQ19</t>
  </si>
  <si>
    <t>Vividia CT-4010 LCD/WiFi Flexible Two-Way Articulating Inspection Camera Borescope Videoscope with 4mm (0.16") Diameter 1.0m Long Waterproof IP67 Probe</t>
  </si>
  <si>
    <t>vividia</t>
  </si>
  <si>
    <t>Wireless</t>
  </si>
  <si>
    <t>https://amazon.com/dp/B09QBDSQ19</t>
  </si>
  <si>
    <t>B0FQBWRMHQ</t>
  </si>
  <si>
    <t>ZORLET Dual Lens 360° Articulating Borescope with Light, 5'' HD Monitor 4-Way Joystick Inspection Camera, 0.25in Slim Probe 5.0FT Semi-Rigid Snake Industrial Endoscope Camera for Automotive Mechanics</t>
  </si>
  <si>
    <t>zorlet</t>
  </si>
  <si>
    <t>https://amazon.com/dp/B0FQBWRMHQ</t>
  </si>
  <si>
    <t>B0FLNJ8CNL</t>
  </si>
  <si>
    <t>Ralcam 3mm Two-Way Articulating Borescope, 5 Inch HD Industrial Endoscope Inspection Camera with Light, Stainless Steel Flexible Fiber Optic Scope Camera 0.12in Automotive Mechanics Tool</t>
  </si>
  <si>
    <t>3mm</t>
  </si>
  <si>
    <t>https://amazon.com/dp/B0FLNJ8CNL</t>
  </si>
  <si>
    <t>B0DT95GVP1</t>
  </si>
  <si>
    <t>Ralcam Articulating Borescope, Industrial Endoscope Inspection Camera for Android and iOS Smartphone, 8.5mm HD 1080P with 10FT Semi Rigid Cable</t>
  </si>
  <si>
    <t>https://amazon.com/dp/B0DT95GVP1</t>
  </si>
  <si>
    <t>B0FJLL4LY1</t>
  </si>
  <si>
    <t>Ralcam 3.9mm Two-Way Articulating Borescope, 5 Inch HD Industrial Endoscope Inspection Camera with Light, Stainless Steel Flexible Fiber Optic Scope Camera 0.15in Automotive Mechanics Tool</t>
  </si>
  <si>
    <t>https://amazon.com/dp/B0FJLL4LY1</t>
  </si>
  <si>
    <t>B0FQC32XV7</t>
  </si>
  <si>
    <t>DEPSTECH Dual Lens Borescope Camera with Light, Two-Way Articulating Borescope, 5" IPS Dual View Endoscope with 0.33in Slim Probe, 1080P Waterproof Inspection Camera for Wall Auto Engine Inspect-5FT</t>
  </si>
  <si>
    <t>https://amazon.com/dp/B0FQC32XV7</t>
  </si>
  <si>
    <t>B0DZMN1941</t>
  </si>
  <si>
    <t>Anykit 360° Articulated Engine Endoscope, Aviation Hole Sight with 0.25" Convertible Snake Camera, 5" IPS Video Check Camera with Light for Mechanic Maintenance Technician - 3.28'</t>
  </si>
  <si>
    <t>https://amazon.com/dp/B0DZMN1941</t>
  </si>
  <si>
    <t>B0G1MM25PR</t>
  </si>
  <si>
    <t>Anykit 360° 4 Ways Articulating Borescope, Industrial Endoscope with 0.26 in Articulated Snake Camera, Inspection Camera with 6 Adjustable LED Lights Compatible with Phone and Android - 3.3 FT</t>
  </si>
  <si>
    <t>https://amazon.com/dp/B0G1MM25PR</t>
  </si>
  <si>
    <t>B0FBWTBNTY</t>
  </si>
  <si>
    <t>NIDAGE Two-Way Articulating Endoscope Camera with Light: 7'' IPS Borescope with Articulated Snake Head and 5.3FT Cable 1080P Waterproof Industrial Inspection Camera for Auto Mechanics Wall</t>
  </si>
  <si>
    <t>nidage</t>
  </si>
  <si>
    <t>https://amazon.com/dp/B0FBWTBNTY</t>
  </si>
  <si>
    <t>B0DHRPXGRL</t>
  </si>
  <si>
    <t>NIDAGE Two-Way Articulating Endoscope Camera with Light, Industrial Borescope with 0.24in Articulated Snake Inspection Camera, Flexible Fiber Optic Scope Cam for Automotive Aircraft Mechanics, 5.2FT</t>
  </si>
  <si>
    <t>5.2ft</t>
  </si>
  <si>
    <t>https://amazon.com/dp/B0DHRPXGRL</t>
  </si>
  <si>
    <t>B0D8SDT9HT</t>
  </si>
  <si>
    <t>Ralcam Two-Way Articulating Borescope, Endoscope Camera with Light 0.24in/6.2mm Articulated Inspection Camera, 3.3 FT Semi-Rigid HD Video Snake Scope for Automotive Aircraft Mechanics</t>
  </si>
  <si>
    <t>https://amazon.com/dp/B0D8SDT9HT</t>
  </si>
  <si>
    <t>B0DPX48VZB</t>
  </si>
  <si>
    <t>Two-Way Articulating Borescope Camera with Light, DEPSTECH Industrial Endoscope with Articulated Probe, Flexible Mechanic Snake Inspection Camera for Wall Automotive Engine Inspect-5FT</t>
  </si>
  <si>
    <t>https://amazon.com/dp/B0DPX48VZB</t>
  </si>
  <si>
    <t>B0G34PXC7N</t>
  </si>
  <si>
    <t>4-Way 360° Articulating Borescope with 6 Light, Endoscope Camera with 6.2mm Probe, 8X Zoom 5.0FT Semi-Rigid Cable Inspection Camera for Automotive Engine Pipe HVAC</t>
  </si>
  <si>
    <t>mrcartool</t>
  </si>
  <si>
    <t>https://amazon.com/dp/B0G34PXC7N</t>
  </si>
  <si>
    <t>B0DBZ6Q4YH</t>
  </si>
  <si>
    <t>DEPSTECH 210° Two-Way Articulating Borescope, 0.24in Ultra-Slim Endoscope Camera with Lights, 4.5” IPS Screen, 5ft Waterproof Flexible Snake Tube, Industrial Inspection Camera for Automotive Mechanics</t>
  </si>
  <si>
    <t>https://amazon.com/dp/B0DBZ6Q4YH</t>
  </si>
  <si>
    <t>Rank By Monthly Units - ONLY</t>
  </si>
  <si>
    <t>B0FRMFNFHL</t>
  </si>
  <si>
    <t>LumenScope Articulating Borescope Camera with Light,Two-Way Industrial Endoscope Inspection Camera with 0.24In Articulated Probe, 5.3FT Flexible Snake Bore Scope Cam for Automotive Engine Inspect</t>
  </si>
  <si>
    <t>lumenscope</t>
  </si>
  <si>
    <t>https://amazon.com/dp/B0FRMFNFHL</t>
  </si>
  <si>
    <t>B08Y5S32YV</t>
  </si>
  <si>
    <t>Two-Way Articulating Borescope for Smartphone&amp;iPhone, Ralcam 8.5mm/0.33inch Endoscope Camera with Light, HD 1080P Inspection Camera Automotive Tool</t>
  </si>
  <si>
    <t>https://amazon.com/dp/B08Y5S32YV</t>
  </si>
  <si>
    <t>B0G1R33CDS</t>
  </si>
  <si>
    <t>Two-Way Articulating Borescope Camera with Light, 1080P HD Snake Camera with 360° Rotation, 5ft IP67 Waterproof for Mechanics &amp; Plumbers, Borescope with Articulating Head for iPhone &amp; Android</t>
  </si>
  <si>
    <t>zzqin</t>
  </si>
  <si>
    <t>https://amazon.com/dp/B0G1R33CDS</t>
  </si>
  <si>
    <t>B0FLNCK645</t>
  </si>
  <si>
    <t>Anykit Two-Way Articulating Borescope with Light, 1080P HD Articulating Borescope with Semi-Rigid Snake Camera, Flexible Snake Scope for Wall Automotive, IP67 Waterproof Inspection, 3.9FT</t>
  </si>
  <si>
    <t>3.9ft</t>
  </si>
  <si>
    <t>https://amazon.com/dp/B0FLNCK645</t>
  </si>
  <si>
    <t>B0F5PNMVD9</t>
  </si>
  <si>
    <t>Zealtron Two-Way Articulating Borescope with Light, 5 Inch IPS Screen Industrial Endoscope with 0.24in/6.2mm Articulated Probe, 5ft Highly Resilient Snake Cable Inspection Camera for Wall Automotive</t>
  </si>
  <si>
    <t>https://amazon.com/dp/B0F5PNMVD9</t>
  </si>
  <si>
    <t>B0FGXN5HBK</t>
  </si>
  <si>
    <t>Zealtron Two-Way Articulating Borescope with Light, 6.2mm Probe Industrial Endoscope Camera with 1.5m Self-Resetting Tube, 5" IPS Screen Inspection Camera with Light for Engine/Pipe</t>
  </si>
  <si>
    <t>https://amazon.com/dp/B0FGXN5HBK</t>
  </si>
  <si>
    <t>B0F8B96XV6</t>
  </si>
  <si>
    <t>Two-Way Articulating Borescope Camera with Light,360°Rotation,1920P, 6.2 mm Industrial Endoscope IP67 Waterproof Flexible Semi-Rigid Cable for Automotive, Pipe Inspection</t>
  </si>
  <si>
    <t>vafafinder</t>
  </si>
  <si>
    <t>https://amazon.com/dp/B0F8B96XV6</t>
  </si>
  <si>
    <t>B0DLNRQN9J</t>
  </si>
  <si>
    <t>Gzpce Borescope,Dual Lens Endoscope Camera with Light,Scope Sewer,Snake Inspection Endoscope,Articulating Industrial Endoscope</t>
  </si>
  <si>
    <t>gzpce</t>
  </si>
  <si>
    <t>https://amazon.com/dp/B0DLNRQN9J</t>
  </si>
  <si>
    <t>B0FHGMHLJR</t>
  </si>
  <si>
    <t>Ralcam Two-Way Articulating Borescope, 5.5mm/0.22in Slim Probe, 5" Industrial Endoscope Camera with Light, 8X Zoom 5FT Flexible Snake Inspection Scope for Engine, Automotive, HVAC</t>
  </si>
  <si>
    <t>https://amazon.com/dp/B0FHGMHLJR</t>
  </si>
  <si>
    <t>B0DH1XMKHX</t>
  </si>
  <si>
    <t>Two-Way Articulating Borescope Camera with Light: Borescope Industrial Endoscope Camera - Flexible Waterproof Inspection Bore Scope for Plumbing Automotive Sewer</t>
  </si>
  <si>
    <t>tgjor</t>
  </si>
  <si>
    <t>https://amazon.com/dp/B0DH1XMKHX</t>
  </si>
  <si>
    <t>B0FH6LPBYH</t>
  </si>
  <si>
    <t>Two-Way Articulating Borescope Camera with Light, Industrial Endoscope Inspection Camera with Light, 0.24in Articulated Probe, 5FT Flexible Snake Scope for Wall Automotive Engine Plumbing HVAC Inspect</t>
  </si>
  <si>
    <t>zeensuy</t>
  </si>
  <si>
    <t>https://amazon.com/dp/B0FH6LPBYH</t>
  </si>
  <si>
    <t>B0FN38759M</t>
  </si>
  <si>
    <t>Ralcam Two-Way 210° Articulating Borescope, 6.2mm Slim Probe USB-C Flexible Endoscope Inspection Camera Compatible with iPhone &amp; Android for Engine, Pipe &amp; HVAC Inspection</t>
  </si>
  <si>
    <t>https://amazon.com/dp/B0FN38759M</t>
  </si>
  <si>
    <t>Top 50 By Revenue Summary</t>
  </si>
  <si>
    <t>Avg Price</t>
  </si>
  <si>
    <t>Quantity/Mo</t>
  </si>
  <si>
    <t>Qty by %</t>
  </si>
  <si>
    <t>Revenue/Mo</t>
  </si>
  <si>
    <t>Revenue by %</t>
  </si>
  <si>
    <t>Total</t>
  </si>
  <si>
    <t>Top 50 By Unit Summary</t>
  </si>
  <si>
    <t>Rank by Revenue</t>
  </si>
  <si>
    <t xml:space="preserve">Tool Rating </t>
  </si>
  <si>
    <t>Column1</t>
  </si>
  <si>
    <t>Teslong Autofocus Articulating Borescope, 5-inch IPS Endoscope Inspection Camera with Two-Way Articulation Auto Focus Probe, Industrial Fiber Optic Scope for Automotive Mechanics (0.24inch-5FT)</t>
  </si>
  <si>
    <t>B0D97DVVN3</t>
  </si>
  <si>
    <t>https://amazon.com/dp/B0D97DVVN3</t>
  </si>
  <si>
    <t>Teslong Articulating Borescope, Autofocus 5-inch IPS Industrial Endoscope Inspection Camera with Two-Way Articulation Auto Focus Probe, Fiber Optic Scope for Automotive Mechanics (0.33inch-5FT)</t>
  </si>
  <si>
    <t>B0D9JFTZX5</t>
  </si>
  <si>
    <t>https://amazon.com/dp/B0D9JFTZX5</t>
  </si>
  <si>
    <t>Rank by Units</t>
  </si>
  <si>
    <t>Dual Lens Articulating Borescope, DEPSTECH Endoscope Camera with Light, Articulated Probe, Flexible Snake Inspection Camera for Wall, Automotive Engine Inspect-4.92FT</t>
  </si>
  <si>
    <t>B0CXSTNWTW</t>
  </si>
  <si>
    <t>https://amazon.com/dp/B0CXSTNWTW</t>
  </si>
  <si>
    <t xml:space="preserve">Rank by Revenue </t>
  </si>
  <si>
    <t>B0B74SDPH4</t>
  </si>
  <si>
    <t>https://amazon.com/dp/B0B74SDPH4</t>
  </si>
  <si>
    <t>WINWEND Endoscope Camera with Light - IP67 Waterproof Borescope Camera with 8 Adjustable LED Lights | 4.3" LCD Screen Borescope | HD 1080P Inspection Cameras with 16.5ft Semi-Rigid Cord Tools for Men</t>
  </si>
  <si>
    <t>B0CP538LN1</t>
  </si>
  <si>
    <t>https://amazon.com/dp/B0CP538LN1</t>
  </si>
  <si>
    <t>Endoscope Camera with Light - 4.3" LCD Screen Inspection Cameras,IP67 Waterproof Borescope with 8 Adjustable LED Lights,HD 1080P Endoscope Camera 16.5ft Semi-Rigid Cord,gifts for men tools and gadgets</t>
  </si>
  <si>
    <t>B0CW65T636</t>
  </si>
  <si>
    <t>https://amazon.com/dp/B0CW65T636</t>
  </si>
  <si>
    <t>Dual-Lens Endoscope Camera with Light, Borescope with 5" IPS Screen, Photo &amp; Record Video Inspection Cameras with 32G SD Card, IP67 Waterproof Snake Camera, Tools Cool Gadgets for Men (16.5FT)</t>
  </si>
  <si>
    <t>B0DXP6S228</t>
  </si>
  <si>
    <t>https://amazon.com/dp/B0DXP6S228</t>
  </si>
  <si>
    <t>Dual-Lens Endoscope Camera with Light - 2.4" LCD Screen Inspection Cameras,IP67 Waterproof Borescope,HD 1080P Endoscope Camera 16.5ft Semi-Rigid Cord for Sewer,Gifts for Men Tools and Gadgets</t>
  </si>
  <si>
    <t>B0DYNS468T</t>
  </si>
  <si>
    <t>https://amazon.com/dp/B0DYNS468T</t>
  </si>
  <si>
    <t>Endoscope Camera with Light - 2.4" LCD Screen Inspection Cameras,IP67 Waterproof Borescope,HD 1080P Endoscope Camera 16.5ft Semi-Rigid Cord for Sewer,Gifts for Men Tools and Gadgets</t>
  </si>
  <si>
    <t>B0DYNM86H2</t>
  </si>
  <si>
    <t>https://amazon.com/dp/B0DYNM86H2</t>
  </si>
  <si>
    <t>RALCAM Dual Lens Articulating Borescope, 10FT Semi-Rigid Inspection Camera with 5" HD Screen, 8.5mm Slim Waterproof Probe, Two-Way Endoscope Camera with Light for Automotive, HVAC, Pipes</t>
  </si>
  <si>
    <t>B0FZTB97PN</t>
  </si>
  <si>
    <t>https://amazon.com/dp/B0FZTB97PN</t>
  </si>
  <si>
    <t>2-Way 180° Articulating Borescope Camera with Light, 6.2mm Ultra-Slim Probe, 4.3" HD Inspection Camera, 6.6FT Flexible Snake Industrial Endoscope for Automotive Engine Wall</t>
  </si>
  <si>
    <t>B0G43L1BD9</t>
  </si>
  <si>
    <t>https://amazon.com/dp/B0G43L1BD9</t>
  </si>
  <si>
    <t>RALCAM Two-Way Articulating Borescope, 5" Industrial Endoscope Camera with Light, 0.24in/6.2mm Slim Probe, 5FT Semi-Rigid Video Inspection for Automotive Engine, HVAC, Mechanical, Wall</t>
  </si>
  <si>
    <t>B0FZT8LXG2</t>
  </si>
  <si>
    <t>https://amazon.com/dp/B0FZT8LXG2</t>
  </si>
  <si>
    <t>Ralcam Articulating Borescope Endoscope Camera with Light, 210° Dual-Direction Snake Camera for Automotive Inspection, 6.2mm Probe, 4.3" HD Screen, 6 Adjustable LEDs, IP67 Waterproof Semi-Rigid Cable</t>
  </si>
  <si>
    <t>B0FX4FQC6Y</t>
  </si>
  <si>
    <t>https://amazon.com/dp/B0FX4FQC6Y</t>
  </si>
  <si>
    <t>Two-Way Articulating Borescope for iPhone &amp; Smartphone, Ralcam 5.5mm/0.21in Endoscope Camera with Light, HD Inspection Snake Camera with Battery for Engine, Pipe, HVAC Inspection</t>
  </si>
  <si>
    <t>B0F5W6HJF8</t>
  </si>
  <si>
    <t>https://amazon.com/dp/B0F5W6HJF8</t>
  </si>
  <si>
    <t>Ralcam Dual Lens Articulating Borescope 5", 6.5mm Slim Probe, Two-Way Articulated Endoscope Inspection Camera with 5FT Flexible Snake Cable for Engine Automotive HVAC Wall Pipe</t>
  </si>
  <si>
    <t>B0FJLQJ18V</t>
  </si>
  <si>
    <t>https://amazon.com/dp/B0FJLQJ18V</t>
  </si>
  <si>
    <t>Ralcam 360° Articulating Borescope Camera with Light, 4-Way Joystick Endoscope Inspection Camera, 5 inch 6.0mm Waterproof Snake Scope for Mechanics Automotive Wall Pipe Engine 3.3FT</t>
  </si>
  <si>
    <t>B0CP6P5C3M</t>
  </si>
  <si>
    <t>https://amazon.com/dp/B0CP6P5C3M</t>
  </si>
  <si>
    <t>Ralcam Two-Way Articulating Borescope 0.33in, Industrial Endoscope Camera with Light 4.3inch Semi-Rigid Snake Inspection Camera for Automatic Mechanics Aircraft</t>
  </si>
  <si>
    <t>B0CRYP32ZM</t>
  </si>
  <si>
    <t>https://amazon.com/dp/B0CRYP32ZM</t>
  </si>
  <si>
    <t>Ralcam Two-Way Articulating Borescope, 0.33in Industrial Inspection Endoscope Camera with Light, 4.3inch HD Waterproof Flexible Articulated Snake Scope Probe for Mechanic Automotive Engine Wall</t>
  </si>
  <si>
    <t>B0FPX7QDCS</t>
  </si>
  <si>
    <t>https://amazon.com/dp/B0FPX7QDCS</t>
  </si>
  <si>
    <t>Ralcam 360° Joystick Articulating Borescope, 6.2mm Probe 4 Ways Automotive Endoscope Inspection Camera with 6 Adjustable LED Lights</t>
  </si>
  <si>
    <t>B0DH2HNP3M</t>
  </si>
  <si>
    <t>https://amazon.com/dp/B0DH2HNP3M</t>
  </si>
  <si>
    <t>FOXWELL Y406D-Elite Dual Lens 220° Articulating Borescope, 0.25in Ultra-Slim Probe, HD IPS Display, IP67 Waterproof, Flexible Camera for Automotive, HVAC, Plumbing &amp; Industrial Inspections – 5.3FT</t>
  </si>
  <si>
    <t>B0GDFG41PS</t>
  </si>
  <si>
    <t>https://amazon.com/dp/B0GDFG41PS</t>
  </si>
  <si>
    <t>FOXWELL Y400-Elite 220° Two Way Articulating Borescope, 0.24" Ultra-Slim Industrial Endoscope with Light, IP67 Waterproof Inspection Camera for Automotive, Aircraft, HVAC, Plumbing – 5.3FT Cable</t>
  </si>
  <si>
    <t>B0GDFRH4J8</t>
  </si>
  <si>
    <t>https://amazon.com/dp/B0GDFRH4J8</t>
  </si>
  <si>
    <t>Borescope Inspection with Light, Industrial Endoscope Camera with 4.3” HD Screen, Waterproof Digital Snake Camera, Semi-Rigid Cable Bore Scope for Home Pipe, Engine, Inside Wall, Duct (11.5 FT)</t>
  </si>
  <si>
    <t>B0C9L96KF7</t>
  </si>
  <si>
    <t>https://amazon.com/dp/B0C9L96KF7</t>
  </si>
  <si>
    <t>Anykit USB Endoscope Camera with 8 Adjustable LED Lights, Borescope with Semi-Rigid Snake Camera, IP67 Waterproof Inspection Cam Compatible with iPhone and Android Devices (9.8 ft)</t>
  </si>
  <si>
    <t>B0DQW68W1T</t>
  </si>
  <si>
    <t>https://amazon.com/dp/B0DQW68W1T</t>
  </si>
  <si>
    <t>Anykit USB Endoscope Camera with 8 Adjustable LED Lights, Borescope with Semi-Rigid Snake Camera, IP67 Waterproof Inspection Cam Compatible with iPhone and Android Devices (50 ft)</t>
  </si>
  <si>
    <t>B0FGDC15DP</t>
  </si>
  <si>
    <t>https://amazon.com/dp/B0FGDC15DP</t>
  </si>
  <si>
    <t>Anykit Dual Lens Endoscope Camera with Adjustable Lights, Type C Borescope for Sewer, IP67 Waterproof Semi-Rigid Snake Camera, 1080HD Industrial Scope Inspection Cam, Gadgets for Men(16.5 ft)</t>
  </si>
  <si>
    <t>B0CKPG2P7F</t>
  </si>
  <si>
    <t>https://amazon.com/dp/B0CKPG2P7F</t>
  </si>
  <si>
    <t>Anykit Dual Lens Endoscope Camera, Type-C Borescope with 8 Adjustable LED Lights, IP67 Waterproof 16.5ft Semi-Rigid Snake Cord Inspection Camera Compatible with Type C iPhone 15 &amp; Android Phone</t>
  </si>
  <si>
    <t>B0C9C4H2ZH</t>
  </si>
  <si>
    <t>https://amazon.com/dp/B0C9C4H2ZH</t>
  </si>
  <si>
    <t>Anykit Dual Lens Borescope,1080P Industrial Endoscope with Light, IP67 Waterproof Inspection Cam, Sewer Camera with 4.0" IPS Screen, Waterproof 16.5ft Snake Camera, 32GB Card</t>
  </si>
  <si>
    <t>B0C9L5V3J9</t>
  </si>
  <si>
    <t>https://amazon.com/dp/B0C9L5V3J9</t>
  </si>
  <si>
    <t>Anykit Dual Lens Endoscope Camera, Type-C Borescope with 8 Adjustable LED Lights, IP67 Waterproof 10ft Semi-Rigid Snake Cord Inspection Camera Compatible with Type C iPhone 15 &amp; Android Phone</t>
  </si>
  <si>
    <t>B0C9D8MTNC</t>
  </si>
  <si>
    <t>https://amazon.com/dp/B0C9D8MTNC</t>
  </si>
  <si>
    <t>Anykit Borescope Inspection Camera with Light, Industrial Endoscope Camera with 0.3 Slim Probe, 4.3” HD Screen Digital Snake Cam, Semi-Rigid Cable Bore Scope for Pipe, Engine, Inside Wall (33 FT)</t>
  </si>
  <si>
    <t>B0DCNM5MGW</t>
  </si>
  <si>
    <t>https://amazon.com/dp/B0DCNM5MGW</t>
  </si>
  <si>
    <t>Anykit Endoscope Camera with Light,1080P Dual Lens Endoscope，6" IPS Screen Borescope, Plumbing Snake Inspection Camera with Split Screen, 32GB Card, Plumbing Snake Camera for Home (16.5FT)</t>
  </si>
  <si>
    <t>B0CHH8NY8G</t>
  </si>
  <si>
    <t>https://amazon.com/dp/B0CHH8NY8G</t>
  </si>
  <si>
    <t>Anykit Dual Lens Endoscope Camera with Adjustable Lights, Type C Borescope for Sewer, IP67 Waterproof Semi-Rigid Snake Cameras, 1080HD Industrial Scope Inspection Camera, Gadgets for Men(9.8 ft)</t>
  </si>
  <si>
    <t>B0CKPHBXXT</t>
  </si>
  <si>
    <t>https://amazon.com/dp/B0CKPHBXXT</t>
  </si>
  <si>
    <t>Anykit 1.0MP 1080P Borescope with 8 LED Lights, Endoscope with 3.3ft Semi-Rigid Snake Camera, IP67 Waterproof Inspection Camera for Phone and Tablet</t>
  </si>
  <si>
    <t>B0CKPG4WCV</t>
  </si>
  <si>
    <t>https://amazon.com/dp/B0CKPG4WCV</t>
  </si>
  <si>
    <t>Dual Lens Borescope Inspection Cam, Anykit 7.9mm Endoscope Camera with 4.0" IPS Screen, Sewer Cam Adjustble LED Lights, IP67 Waterproof Snake Camera 16.5ft Semi-Rigid Cable 32GB Card</t>
  </si>
  <si>
    <t>B0CN69DJFX</t>
  </si>
  <si>
    <t>https://amazon.com/dp/B0CN69DJFX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</si>
</sst>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"/>
    <numFmt numFmtId="166" formatCode="\$#,##0.00"/>
    <numFmt numFmtId="167" formatCode="&quot;$&quot;#,##0.00"/>
    <numFmt numFmtId="168" formatCode="0.0"/>
    <numFmt numFmtId="169" formatCode="_(* #,##0_);_(* \(#,##0\);_(* &quot;-&quot;??_);_(@_)"/>
  </numFmts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36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36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  <font>
      <b/>
      <sz val="12"/>
      <color rgb="FF000000"/>
      <name val="Calibri (Body)"/>
    </font>
    <font>
      <b/>
      <sz val="12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AD2E9"/>
        <bgColor indexed="64"/>
      </patternFill>
    </fill>
    <fill>
      <patternFill patternType="solid">
        <fgColor rgb="FFDAD2E9"/>
        <bgColor rgb="FFD9D2E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5A7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A7D7"/>
      </patternFill>
    </fill>
    <fill>
      <patternFill patternType="solid">
        <fgColor rgb="FFB6A7D8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/>
      <bottom style="thin">
        <color indexed="64"/>
      </bottom>
      <diagonal/>
    </border>
    <border>
      <left/>
      <right style="thin">
        <color theme="2" tint="-0.249977111117893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/>
    <xf numFmtId="43" fontId="15" fillId="0" borderId="0"/>
    <xf numFmtId="9" fontId="15" fillId="0" borderId="0"/>
    <xf numFmtId="44" fontId="15" fillId="0" borderId="0"/>
    <xf numFmtId="0" fontId="16" fillId="0" borderId="0"/>
  </cellStyleXfs>
  <cellXfs count="147"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right"/>
    </xf>
    <xf numFmtId="49" fontId="5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4" fillId="4" borderId="0" xfId="0" applyNumberFormat="1" applyFont="1" applyFill="1" applyAlignment="1">
      <alignment horizontal="center"/>
    </xf>
    <xf numFmtId="3" fontId="0" fillId="0" borderId="0" xfId="0" applyNumberFormat="1"/>
    <xf numFmtId="164" fontId="4" fillId="5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0" fillId="0" borderId="0" xfId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11" fillId="3" borderId="0" xfId="0" applyNumberFormat="1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167" fontId="11" fillId="3" borderId="0" xfId="0" applyNumberFormat="1" applyFont="1" applyFill="1" applyAlignment="1">
      <alignment horizontal="left" vertical="center" wrapText="1"/>
    </xf>
    <xf numFmtId="164" fontId="11" fillId="3" borderId="0" xfId="0" applyNumberFormat="1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3" fontId="11" fillId="3" borderId="0" xfId="0" applyNumberFormat="1" applyFont="1" applyFill="1" applyAlignment="1">
      <alignment horizontal="left" vertical="center" wrapText="1"/>
    </xf>
    <xf numFmtId="2" fontId="11" fillId="3" borderId="0" xfId="0" applyNumberFormat="1" applyFont="1" applyFill="1" applyAlignment="1">
      <alignment horizontal="left" vertical="center" wrapText="1"/>
    </xf>
    <xf numFmtId="168" fontId="11" fillId="3" borderId="0" xfId="0" applyNumberFormat="1" applyFont="1" applyFill="1" applyAlignment="1">
      <alignment horizontal="left" vertical="center" wrapText="1"/>
    </xf>
    <xf numFmtId="3" fontId="11" fillId="5" borderId="0" xfId="0" applyNumberFormat="1" applyFont="1" applyFill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horizontal="left" vertical="center" wrapText="1"/>
    </xf>
    <xf numFmtId="2" fontId="8" fillId="0" borderId="0" xfId="0" applyNumberFormat="1" applyFont="1" applyAlignment="1">
      <alignment horizontal="left" vertical="center" wrapText="1"/>
    </xf>
    <xf numFmtId="9" fontId="8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7" fontId="5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3" fontId="5" fillId="4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2" fillId="3" borderId="0" xfId="0" applyFont="1" applyFill="1"/>
    <xf numFmtId="0" fontId="13" fillId="3" borderId="0" xfId="0" applyFont="1" applyFill="1" applyAlignment="1">
      <alignment horizontal="left"/>
    </xf>
    <xf numFmtId="164" fontId="13" fillId="3" borderId="0" xfId="0" applyNumberFormat="1" applyFont="1" applyFill="1" applyAlignment="1">
      <alignment horizontal="left"/>
    </xf>
    <xf numFmtId="164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/>
    </xf>
    <xf numFmtId="168" fontId="13" fillId="3" borderId="0" xfId="0" applyNumberFormat="1" applyFont="1" applyFill="1" applyAlignment="1">
      <alignment horizontal="left"/>
    </xf>
    <xf numFmtId="0" fontId="10" fillId="0" borderId="0" xfId="1" applyAlignment="1">
      <alignment horizontal="left" vertical="center" wrapText="1"/>
    </xf>
    <xf numFmtId="167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7" fontId="8" fillId="4" borderId="3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167" fontId="8" fillId="6" borderId="5" xfId="0" applyNumberFormat="1" applyFont="1" applyFill="1" applyBorder="1" applyAlignment="1">
      <alignment vertical="center" wrapText="1"/>
    </xf>
    <xf numFmtId="169" fontId="8" fillId="6" borderId="8" xfId="2" applyNumberFormat="1" applyFont="1" applyFill="1" applyBorder="1" applyAlignment="1">
      <alignment vertical="center" wrapText="1"/>
    </xf>
    <xf numFmtId="9" fontId="8" fillId="6" borderId="6" xfId="3" applyFont="1" applyFill="1" applyBorder="1" applyAlignment="1">
      <alignment vertical="center" wrapText="1"/>
    </xf>
    <xf numFmtId="164" fontId="8" fillId="6" borderId="8" xfId="4" applyNumberFormat="1" applyFont="1" applyFill="1" applyBorder="1" applyAlignment="1">
      <alignment vertical="center" wrapText="1"/>
    </xf>
    <xf numFmtId="0" fontId="8" fillId="7" borderId="7" xfId="0" applyFont="1" applyFill="1" applyBorder="1" applyAlignment="1">
      <alignment horizontal="left" vertical="center" wrapText="1"/>
    </xf>
    <xf numFmtId="167" fontId="8" fillId="7" borderId="8" xfId="4" applyNumberFormat="1" applyFont="1" applyFill="1" applyBorder="1" applyAlignment="1">
      <alignment vertical="center" wrapText="1"/>
    </xf>
    <xf numFmtId="169" fontId="8" fillId="7" borderId="8" xfId="2" applyNumberFormat="1" applyFont="1" applyFill="1" applyBorder="1" applyAlignment="1">
      <alignment vertical="center" wrapText="1"/>
    </xf>
    <xf numFmtId="9" fontId="8" fillId="7" borderId="3" xfId="3" applyFont="1" applyFill="1" applyBorder="1" applyAlignment="1">
      <alignment vertical="center" wrapText="1"/>
    </xf>
    <xf numFmtId="164" fontId="8" fillId="7" borderId="8" xfId="4" applyNumberFormat="1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left" vertical="center" wrapText="1"/>
    </xf>
    <xf numFmtId="167" fontId="8" fillId="8" borderId="5" xfId="0" applyNumberFormat="1" applyFont="1" applyFill="1" applyBorder="1" applyAlignment="1">
      <alignment vertical="center" wrapText="1"/>
    </xf>
    <xf numFmtId="169" fontId="8" fillId="8" borderId="8" xfId="2" applyNumberFormat="1" applyFont="1" applyFill="1" applyBorder="1" applyAlignment="1">
      <alignment vertical="center" wrapText="1"/>
    </xf>
    <xf numFmtId="9" fontId="8" fillId="8" borderId="6" xfId="3" applyFont="1" applyFill="1" applyBorder="1" applyAlignment="1">
      <alignment vertical="center" wrapText="1"/>
    </xf>
    <xf numFmtId="164" fontId="8" fillId="8" borderId="8" xfId="4" applyNumberFormat="1" applyFont="1" applyFill="1" applyBorder="1" applyAlignment="1">
      <alignment vertical="center" wrapText="1"/>
    </xf>
    <xf numFmtId="2" fontId="10" fillId="0" borderId="0" xfId="1" applyNumberFormat="1" applyAlignment="1">
      <alignment horizontal="right" vertic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164" fontId="0" fillId="0" borderId="0" xfId="0" applyNumberFormat="1"/>
    <xf numFmtId="3" fontId="0" fillId="4" borderId="0" xfId="0" applyNumberFormat="1" applyFill="1"/>
    <xf numFmtId="10" fontId="0" fillId="0" borderId="0" xfId="0" applyNumberFormat="1"/>
    <xf numFmtId="167" fontId="0" fillId="0" borderId="0" xfId="0" applyNumberFormat="1"/>
    <xf numFmtId="165" fontId="0" fillId="0" borderId="0" xfId="0" applyNumberFormat="1"/>
    <xf numFmtId="10" fontId="0" fillId="0" borderId="0" xfId="3" applyNumberFormat="1" applyFont="1" applyAlignment="1">
      <alignment vertical="center" wrapText="1"/>
    </xf>
    <xf numFmtId="167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164" fontId="20" fillId="0" borderId="1" xfId="0" applyNumberFormat="1" applyFont="1" applyBorder="1"/>
    <xf numFmtId="164" fontId="20" fillId="4" borderId="1" xfId="0" applyNumberFormat="1" applyFont="1" applyFill="1" applyBorder="1"/>
    <xf numFmtId="3" fontId="20" fillId="0" borderId="1" xfId="0" applyNumberFormat="1" applyFont="1" applyBorder="1"/>
    <xf numFmtId="10" fontId="20" fillId="0" borderId="1" xfId="0" applyNumberFormat="1" applyFont="1" applyBorder="1"/>
    <xf numFmtId="167" fontId="20" fillId="0" borderId="1" xfId="0" applyNumberFormat="1" applyFont="1" applyBorder="1"/>
    <xf numFmtId="165" fontId="20" fillId="0" borderId="1" xfId="0" applyNumberFormat="1" applyFont="1" applyBorder="1"/>
    <xf numFmtId="0" fontId="17" fillId="0" borderId="0" xfId="0" applyFont="1"/>
    <xf numFmtId="0" fontId="16" fillId="0" borderId="0" xfId="5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wrapText="1"/>
    </xf>
    <xf numFmtId="168" fontId="13" fillId="3" borderId="0" xfId="0" applyNumberFormat="1" applyFont="1" applyFill="1" applyAlignment="1">
      <alignment horizontal="left" wrapText="1"/>
    </xf>
    <xf numFmtId="164" fontId="0" fillId="0" borderId="0" xfId="0" applyNumberFormat="1" applyAlignment="1">
      <alignment horizontal="right" vertical="center" wrapText="1"/>
    </xf>
    <xf numFmtId="2" fontId="5" fillId="0" borderId="0" xfId="1" applyNumberFormat="1" applyFont="1" applyAlignment="1">
      <alignment horizontal="right" vertical="center" wrapText="1"/>
    </xf>
    <xf numFmtId="0" fontId="0" fillId="4" borderId="0" xfId="0" applyFill="1"/>
    <xf numFmtId="3" fontId="0" fillId="0" borderId="0" xfId="2" applyNumberFormat="1" applyFont="1" applyAlignment="1">
      <alignment vertical="center" wrapText="1"/>
    </xf>
    <xf numFmtId="3" fontId="0" fillId="4" borderId="0" xfId="0" applyNumberFormat="1" applyFill="1" applyAlignment="1">
      <alignment vertical="center" wrapText="1"/>
    </xf>
    <xf numFmtId="3" fontId="20" fillId="4" borderId="1" xfId="0" applyNumberFormat="1" applyFont="1" applyFill="1" applyBorder="1"/>
    <xf numFmtId="0" fontId="8" fillId="9" borderId="7" xfId="0" applyFont="1" applyFill="1" applyBorder="1" applyAlignment="1">
      <alignment horizontal="left" vertical="center" wrapText="1"/>
    </xf>
    <xf numFmtId="167" fontId="8" fillId="9" borderId="8" xfId="4" applyNumberFormat="1" applyFont="1" applyFill="1" applyBorder="1" applyAlignment="1">
      <alignment vertical="center" wrapText="1"/>
    </xf>
    <xf numFmtId="169" fontId="8" fillId="9" borderId="8" xfId="2" applyNumberFormat="1" applyFont="1" applyFill="1" applyBorder="1" applyAlignment="1">
      <alignment vertical="center" wrapText="1"/>
    </xf>
    <xf numFmtId="9" fontId="8" fillId="9" borderId="3" xfId="3" applyFont="1" applyFill="1" applyBorder="1" applyAlignment="1">
      <alignment vertical="center" wrapText="1"/>
    </xf>
    <xf numFmtId="164" fontId="8" fillId="9" borderId="8" xfId="4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0" fontId="1" fillId="9" borderId="0" xfId="0" applyFont="1" applyFill="1"/>
    <xf numFmtId="167" fontId="1" fillId="9" borderId="0" xfId="0" applyNumberFormat="1" applyFont="1" applyFill="1"/>
    <xf numFmtId="169" fontId="1" fillId="9" borderId="0" xfId="0" applyNumberFormat="1" applyFont="1" applyFill="1"/>
    <xf numFmtId="9" fontId="1" fillId="9" borderId="0" xfId="0" applyNumberFormat="1" applyFont="1" applyFill="1"/>
    <xf numFmtId="164" fontId="1" fillId="9" borderId="0" xfId="0" applyNumberFormat="1" applyFont="1" applyFill="1"/>
    <xf numFmtId="0" fontId="1" fillId="0" borderId="0" xfId="0" applyFont="1"/>
    <xf numFmtId="167" fontId="8" fillId="8" borderId="9" xfId="0" applyNumberFormat="1" applyFont="1" applyFill="1" applyBorder="1" applyAlignment="1">
      <alignment vertical="center" wrapText="1"/>
    </xf>
    <xf numFmtId="9" fontId="8" fillId="8" borderId="10" xfId="3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left" vertical="center" wrapText="1"/>
    </xf>
    <xf numFmtId="167" fontId="8" fillId="0" borderId="8" xfId="4" applyNumberFormat="1" applyFont="1" applyFill="1" applyBorder="1" applyAlignment="1">
      <alignment vertical="center" wrapText="1"/>
    </xf>
    <xf numFmtId="169" fontId="8" fillId="0" borderId="8" xfId="2" applyNumberFormat="1" applyFont="1" applyFill="1" applyBorder="1" applyAlignment="1">
      <alignment vertical="center" wrapText="1"/>
    </xf>
    <xf numFmtId="9" fontId="8" fillId="0" borderId="3" xfId="3" applyFont="1" applyFill="1" applyBorder="1" applyAlignment="1">
      <alignment vertical="center" wrapText="1"/>
    </xf>
    <xf numFmtId="164" fontId="8" fillId="0" borderId="8" xfId="4" applyNumberFormat="1" applyFont="1" applyFill="1" applyBorder="1" applyAlignment="1">
      <alignment vertical="center" wrapText="1"/>
    </xf>
    <xf numFmtId="0" fontId="0" fillId="0" borderId="0" xfId="0" applyFill="1"/>
    <xf numFmtId="0" fontId="8" fillId="10" borderId="7" xfId="0" applyFont="1" applyFill="1" applyBorder="1" applyAlignment="1">
      <alignment horizontal="left" vertical="center" wrapText="1"/>
    </xf>
    <xf numFmtId="167" fontId="8" fillId="10" borderId="8" xfId="4" applyNumberFormat="1" applyFont="1" applyFill="1" applyBorder="1" applyAlignment="1">
      <alignment vertical="center" wrapText="1"/>
    </xf>
    <xf numFmtId="169" fontId="8" fillId="10" borderId="8" xfId="2" applyNumberFormat="1" applyFont="1" applyFill="1" applyBorder="1" applyAlignment="1">
      <alignment vertical="center" wrapText="1"/>
    </xf>
    <xf numFmtId="9" fontId="8" fillId="10" borderId="3" xfId="3" applyFont="1" applyFill="1" applyBorder="1" applyAlignment="1">
      <alignment vertical="center" wrapText="1"/>
    </xf>
    <xf numFmtId="164" fontId="8" fillId="10" borderId="8" xfId="4" applyNumberFormat="1" applyFont="1" applyFill="1" applyBorder="1" applyAlignment="1">
      <alignment vertical="center" wrapText="1"/>
    </xf>
  </cellXfs>
  <cellStyles count="6">
    <cellStyle name="Comma" xfId="2" builtinId="3"/>
    <cellStyle name="Currency" xfId="4" builtinId="4"/>
    <cellStyle name="Heading 4" xfId="5" builtinId="19"/>
    <cellStyle name="Hyperlink" xfId="1" builtinId="8"/>
    <cellStyle name="Normal" xfId="0" builtinId="0"/>
    <cellStyle name="Percent" xfId="3" builtinId="5"/>
  </cellStyles>
  <dxfs count="3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font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AD2E9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numFmt numFmtId="3" formatCode="#,##0"/>
      <alignment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wrapText="1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font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numFmt numFmtId="3" formatCode="#,##0"/>
      <alignment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general" vertical="center" wrapText="1"/>
    </dxf>
    <dxf>
      <font>
        <sz val="10"/>
      </font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6" formatCode="\$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</dxfs>
  <tableStyles count="0" defaultTableStyle="TableStyleMedium2" defaultPivotStyle="PivotStyleLight16"/>
  <colors>
    <mruColors>
      <color rgb="FFB6A7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05-BC4F-A8EF-17517F2B9F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05-BC4F-A8EF-17517F2B9F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05-BC4F-A8EF-17517F2B9F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05-BC4F-A8EF-17517F2B9F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705-BC4F-A8EF-17517F2B9F3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05-BC4F-A8EF-17517F2B9F3B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05-BC4F-A8EF-17517F2B9F3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Summary'!$A$3:$A$6</c:f>
              <c:strCache>
                <c:ptCount val="4"/>
                <c:pt idx="0">
                  <c:v>Articulation</c:v>
                </c:pt>
                <c:pt idx="1">
                  <c:v>Sewer camera</c:v>
                </c:pt>
                <c:pt idx="2">
                  <c:v>USB</c:v>
                </c:pt>
                <c:pt idx="3">
                  <c:v>Wireless</c:v>
                </c:pt>
              </c:strCache>
            </c:strRef>
          </c:cat>
          <c:val>
            <c:numRef>
              <c:f>'Top 50 Type Summary'!$F$3:$F$6</c:f>
              <c:numCache>
                <c:formatCode>0%</c:formatCode>
                <c:ptCount val="4"/>
                <c:pt idx="0">
                  <c:v>0.95591494728468518</c:v>
                </c:pt>
                <c:pt idx="1">
                  <c:v>1.917486055928723E-2</c:v>
                </c:pt>
                <c:pt idx="2">
                  <c:v>2.157591593357179E-2</c:v>
                </c:pt>
                <c:pt idx="3">
                  <c:v>3.334276222455771E-3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05-BC4F-A8EF-17517F2B9F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Summary'!$D$29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0B-7148-9F49-863285CB081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Summary'!$A$30:$A$32</c:f>
              <c:strCache>
                <c:ptCount val="3"/>
                <c:pt idx="0">
                  <c:v>Articulation</c:v>
                </c:pt>
                <c:pt idx="1">
                  <c:v>Sewer camera</c:v>
                </c:pt>
                <c:pt idx="2">
                  <c:v>USB</c:v>
                </c:pt>
              </c:strCache>
            </c:strRef>
          </c:cat>
          <c:val>
            <c:numRef>
              <c:f>'Top 50 Type Summary'!$D$30:$D$32</c:f>
              <c:numCache>
                <c:formatCode>0%</c:formatCode>
                <c:ptCount val="3"/>
                <c:pt idx="0">
                  <c:v>0.93132319960129584</c:v>
                </c:pt>
                <c:pt idx="1">
                  <c:v>2.7161724395713929E-2</c:v>
                </c:pt>
                <c:pt idx="2">
                  <c:v>4.151507600299028E-2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B-7148-9F49-863285CB08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10-954C-906B-7DB4A42BEE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10-954C-906B-7DB4A42BEE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D10-954C-906B-7DB4A42BEE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D10-954C-906B-7DB4A42BEE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D10-954C-906B-7DB4A42BEE8D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10-954C-906B-7DB4A42BEE8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Summary'!$A$30:$A$32</c:f>
              <c:strCache>
                <c:ptCount val="3"/>
                <c:pt idx="0">
                  <c:v>Articulation</c:v>
                </c:pt>
                <c:pt idx="1">
                  <c:v>Sewer camera</c:v>
                </c:pt>
                <c:pt idx="2">
                  <c:v>USB</c:v>
                </c:pt>
              </c:strCache>
            </c:strRef>
          </c:cat>
          <c:val>
            <c:numRef>
              <c:f>'Top 50 Type Summary'!$F$30:$F$32</c:f>
              <c:numCache>
                <c:formatCode>0%</c:formatCode>
                <c:ptCount val="3"/>
                <c:pt idx="0">
                  <c:v>0.9544738427483902</c:v>
                </c:pt>
                <c:pt idx="1">
                  <c:v>2.1374569697936999E-2</c:v>
                </c:pt>
                <c:pt idx="2">
                  <c:v>2.4151587553672721E-2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10-954C-906B-7DB4A42BEE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76-104E-AB0C-CDDC42942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76-104E-AB0C-CDDC42942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76-104E-AB0C-CDDC42942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76-104E-AB0C-CDDC42942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76-104E-AB0C-CDDC42942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176-104E-AB0C-CDDC42942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176-104E-AB0C-CDDC42942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176-104E-AB0C-CDDC42942C0F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76-104E-AB0C-CDDC42942C0F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76-104E-AB0C-CDDC42942C0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Summary'!$A$3:$A$6</c:f>
              <c:strCache>
                <c:ptCount val="4"/>
                <c:pt idx="0">
                  <c:v>Articulation</c:v>
                </c:pt>
                <c:pt idx="1">
                  <c:v>Sewer camera</c:v>
                </c:pt>
                <c:pt idx="2">
                  <c:v>USB</c:v>
                </c:pt>
                <c:pt idx="3">
                  <c:v>Wireless</c:v>
                </c:pt>
              </c:strCache>
            </c:strRef>
          </c:cat>
          <c:val>
            <c:numRef>
              <c:f>'Top 50 Type Summary'!$D$3:$D$6</c:f>
              <c:numCache>
                <c:formatCode>0%</c:formatCode>
                <c:ptCount val="4"/>
                <c:pt idx="0">
                  <c:v>0.94091804272079993</c:v>
                </c:pt>
                <c:pt idx="1">
                  <c:v>2.312780891784073E-2</c:v>
                </c:pt>
                <c:pt idx="2">
                  <c:v>3.5499671766904002E-2</c:v>
                </c:pt>
                <c:pt idx="3">
                  <c:v>4.5447659445538562E-4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76-104E-AB0C-CDDC42942C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EF-3A44-806F-D99D492642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EF-3A44-806F-D99D492642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EF-3A44-806F-D99D492642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7EF-3A44-806F-D99D492642AF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F-3A44-806F-D99D492642AF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EF-3A44-806F-D99D492642A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'!$A$3:$A$4</c:f>
              <c:strCache>
                <c:ptCount val="2"/>
                <c:pt idx="0">
                  <c:v>2-way</c:v>
                </c:pt>
                <c:pt idx="1">
                  <c:v>4-way</c:v>
                </c:pt>
              </c:strCache>
            </c:strRef>
          </c:cat>
          <c:val>
            <c:numRef>
              <c:f>'Top50 2or4way Summary '!$F$3:$F$4</c:f>
              <c:numCache>
                <c:formatCode>0%</c:formatCode>
                <c:ptCount val="2"/>
                <c:pt idx="0">
                  <c:v>0.86914953502849857</c:v>
                </c:pt>
                <c:pt idx="1">
                  <c:v>0.1308504649715013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EF-3A44-806F-D99D492642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'!$D$26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38-794B-975D-DB2B44EDF9C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'!$A$27:$A$28</c:f>
              <c:strCache>
                <c:ptCount val="2"/>
                <c:pt idx="0">
                  <c:v>2-way</c:v>
                </c:pt>
                <c:pt idx="1">
                  <c:v>4-way</c:v>
                </c:pt>
              </c:strCache>
            </c:strRef>
          </c:cat>
          <c:val>
            <c:numRef>
              <c:f>'Top50 2or4way Summary '!$D$27:$D$28</c:f>
              <c:numCache>
                <c:formatCode>0%</c:formatCode>
                <c:ptCount val="2"/>
                <c:pt idx="0">
                  <c:v>0.96132569150261649</c:v>
                </c:pt>
                <c:pt idx="1">
                  <c:v>3.8674308497383507E-2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8-794B-975D-DB2B44EDF9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73-6944-A188-AC46C3889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73-6944-A188-AC46C3889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73-6944-A188-AC46C3889384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73-6944-A188-AC46C388938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'!$A$27:$A$28</c:f>
              <c:strCache>
                <c:ptCount val="2"/>
                <c:pt idx="0">
                  <c:v>2-way</c:v>
                </c:pt>
                <c:pt idx="1">
                  <c:v>4-way</c:v>
                </c:pt>
              </c:strCache>
            </c:strRef>
          </c:cat>
          <c:val>
            <c:numRef>
              <c:f>'Top50 2or4way Summary '!$F$27:$F$28</c:f>
              <c:numCache>
                <c:formatCode>0%</c:formatCode>
                <c:ptCount val="2"/>
                <c:pt idx="0">
                  <c:v>0.89613651711482623</c:v>
                </c:pt>
                <c:pt idx="1">
                  <c:v>0.10386348288517371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73-6944-A188-AC46C38893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F3-714E-B015-5E253742E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F3-714E-B015-5E253742E3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F3-714E-B015-5E253742E3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F3-714E-B015-5E253742E3EF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F3-714E-B015-5E253742E3EF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F3-714E-B015-5E253742E3E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'!$A$3:$A$4</c:f>
              <c:strCache>
                <c:ptCount val="2"/>
                <c:pt idx="0">
                  <c:v>2-way</c:v>
                </c:pt>
                <c:pt idx="1">
                  <c:v>4-way</c:v>
                </c:pt>
              </c:strCache>
            </c:strRef>
          </c:cat>
          <c:val>
            <c:numRef>
              <c:f>'Top50 2or4way Summary '!$D$3:$D$4</c:f>
              <c:numCache>
                <c:formatCode>0%</c:formatCode>
                <c:ptCount val="2"/>
                <c:pt idx="0">
                  <c:v>0.94925011361914857</c:v>
                </c:pt>
                <c:pt idx="1">
                  <c:v>5.0749886380851393E-2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F3-714E-B015-5E253742E3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FB-674F-AF5D-4D9D435E77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FB-674F-AF5D-4D9D435E77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FB-674F-AF5D-4D9D435E77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6FB-674F-AF5D-4D9D435E77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6FB-674F-AF5D-4D9D435E77C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FB-674F-AF5D-4D9D435E77CB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FB-674F-AF5D-4D9D435E77C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'!$A$3:$A$7</c:f>
              <c:strCache>
                <c:ptCount val="5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'!$F$3:$F$7</c:f>
              <c:numCache>
                <c:formatCode>0%</c:formatCode>
                <c:ptCount val="5"/>
                <c:pt idx="0">
                  <c:v>0.19365793343125531</c:v>
                </c:pt>
                <c:pt idx="1">
                  <c:v>0.42611162631178601</c:v>
                </c:pt>
                <c:pt idx="2">
                  <c:v>0.31004489670609042</c:v>
                </c:pt>
                <c:pt idx="3">
                  <c:v>3.837034934565297E-2</c:v>
                </c:pt>
                <c:pt idx="4">
                  <c:v>3.1815194205215211E-2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FB-674F-AF5D-4D9D435E77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'!$D$28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08-0547-B82D-79023B752540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08-0547-B82D-79023B752540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08-0547-B82D-79023B75254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'!$A$29:$A$33</c:f>
              <c:strCache>
                <c:ptCount val="5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'!$D$29:$D$33</c:f>
              <c:numCache>
                <c:formatCode>0%</c:formatCode>
                <c:ptCount val="5"/>
                <c:pt idx="0">
                  <c:v>0.23234487914278601</c:v>
                </c:pt>
                <c:pt idx="1">
                  <c:v>0.45163219536506349</c:v>
                </c:pt>
                <c:pt idx="2">
                  <c:v>0.25437328681784199</c:v>
                </c:pt>
                <c:pt idx="3">
                  <c:v>8.2731123847495647E-3</c:v>
                </c:pt>
                <c:pt idx="4">
                  <c:v>5.3376526289558933E-2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8-0547-B82D-79023B7525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59-684A-A0C1-5D9B6BE22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59-684A-A0C1-5D9B6BE22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59-684A-A0C1-5D9B6BE22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B59-684A-A0C1-5D9B6BE221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B59-684A-A0C1-5D9B6BE221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B59-684A-A0C1-5D9B6BE221B5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59-684A-A0C1-5D9B6BE221B5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59-684A-A0C1-5D9B6BE221B5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59-684A-A0C1-5D9B6BE221B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'!$A$29:$A$33</c:f>
              <c:strCache>
                <c:ptCount val="5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'!$F$29:$F$33</c:f>
              <c:numCache>
                <c:formatCode>0%</c:formatCode>
                <c:ptCount val="5"/>
                <c:pt idx="0">
                  <c:v>0.1987043164651251</c:v>
                </c:pt>
                <c:pt idx="1">
                  <c:v>0.43721534121493899</c:v>
                </c:pt>
                <c:pt idx="2">
                  <c:v>0.29347360783667098</c:v>
                </c:pt>
                <c:pt idx="3">
                  <c:v>3.9370212746603142E-2</c:v>
                </c:pt>
                <c:pt idx="4">
                  <c:v>3.123652173666178E-2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59-684A-A0C1-5D9B6BE221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15-144E-A9B5-0A9EAA5EC4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15-144E-A9B5-0A9EAA5EC4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15-144E-A9B5-0A9EAA5EC4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15-144E-A9B5-0A9EAA5EC4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15-144E-A9B5-0A9EAA5EC4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15-144E-A9B5-0A9EAA5EC4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15-144E-A9B5-0A9EAA5EC448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15-144E-A9B5-0A9EAA5EC448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15-144E-A9B5-0A9EAA5EC448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415-144E-A9B5-0A9EAA5EC44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'!$A$3:$A$8</c:f>
              <c:strCache>
                <c:ptCount val="5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'!$D$3:$D$8</c:f>
              <c:numCache>
                <c:formatCode>0%</c:formatCode>
                <c:ptCount val="6"/>
                <c:pt idx="0">
                  <c:v>0.23541887592788971</c:v>
                </c:pt>
                <c:pt idx="1">
                  <c:v>0.45760743321718927</c:v>
                </c:pt>
                <c:pt idx="2">
                  <c:v>0.25061859314245322</c:v>
                </c:pt>
                <c:pt idx="3">
                  <c:v>8.3825682977326666E-3</c:v>
                </c:pt>
                <c:pt idx="4">
                  <c:v>4.7972529414735142E-2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15-144E-A9B5-0A9EAA5EC4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DD-934A-BCE8-0FF79E1E88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DD-934A-BCE8-0FF79E1E88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DD-934A-BCE8-0FF79E1E88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DD-934A-BCE8-0FF79E1E88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DD-934A-BCE8-0FF79E1E88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1DD-934A-BCE8-0FF79E1E88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1DD-934A-BCE8-0FF79E1E88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1DD-934A-BCE8-0FF79E1E887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DD-934A-BCE8-0FF79E1E887B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1DD-934A-BCE8-0FF79E1E887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'!$A$3:$A$12</c:f>
              <c:strCache>
                <c:ptCount val="10"/>
                <c:pt idx="0">
                  <c:v>3.9mm</c:v>
                </c:pt>
                <c:pt idx="1">
                  <c:v>3mm</c:v>
                </c:pt>
                <c:pt idx="2">
                  <c:v>5.5mm</c:v>
                </c:pt>
                <c:pt idx="3">
                  <c:v>6.2mm</c:v>
                </c:pt>
                <c:pt idx="4">
                  <c:v>6.4mm</c:v>
                </c:pt>
                <c:pt idx="5">
                  <c:v>6.5mm</c:v>
                </c:pt>
                <c:pt idx="6">
                  <c:v>6mm</c:v>
                </c:pt>
                <c:pt idx="7">
                  <c:v>8.5mm</c:v>
                </c:pt>
                <c:pt idx="8">
                  <c:v>8mm</c:v>
                </c:pt>
                <c:pt idx="9">
                  <c:v>Unknown</c:v>
                </c:pt>
              </c:strCache>
            </c:strRef>
          </c:cat>
          <c:val>
            <c:numRef>
              <c:f>'Top50 Lensdiameter Summary  '!$F$3:$F$12</c:f>
              <c:numCache>
                <c:formatCode>0%</c:formatCode>
                <c:ptCount val="10"/>
                <c:pt idx="0">
                  <c:v>3.2391361302662111E-2</c:v>
                </c:pt>
                <c:pt idx="1">
                  <c:v>3.1999790762561849E-3</c:v>
                </c:pt>
                <c:pt idx="2">
                  <c:v>7.8200475316216753E-2</c:v>
                </c:pt>
                <c:pt idx="3">
                  <c:v>6.1474427229262628E-2</c:v>
                </c:pt>
                <c:pt idx="4">
                  <c:v>4.7629895476925498E-2</c:v>
                </c:pt>
                <c:pt idx="5">
                  <c:v>5.7331909111669348E-2</c:v>
                </c:pt>
                <c:pt idx="6">
                  <c:v>6.936352898234939E-2</c:v>
                </c:pt>
                <c:pt idx="7">
                  <c:v>8.2053014014848616E-2</c:v>
                </c:pt>
                <c:pt idx="8">
                  <c:v>0.5242870266707802</c:v>
                </c:pt>
                <c:pt idx="9">
                  <c:v>4.4068382819029243E-2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DD-934A-BCE8-0FF79E1E88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'!$D$31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3A-404B-AC4C-C80E645B44D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'!$A$32:$A$40</c:f>
              <c:strCache>
                <c:ptCount val="9"/>
                <c:pt idx="0">
                  <c:v>3.9mm</c:v>
                </c:pt>
                <c:pt idx="1">
                  <c:v>5.5mm</c:v>
                </c:pt>
                <c:pt idx="2">
                  <c:v>6.2mm</c:v>
                </c:pt>
                <c:pt idx="3">
                  <c:v>6.4mm</c:v>
                </c:pt>
                <c:pt idx="4">
                  <c:v>6.5mm</c:v>
                </c:pt>
                <c:pt idx="5">
                  <c:v>6mm</c:v>
                </c:pt>
                <c:pt idx="6">
                  <c:v>8.5mm</c:v>
                </c:pt>
                <c:pt idx="7">
                  <c:v>8mm</c:v>
                </c:pt>
                <c:pt idx="8">
                  <c:v>Unknown</c:v>
                </c:pt>
              </c:strCache>
            </c:strRef>
          </c:cat>
          <c:val>
            <c:numRef>
              <c:f>'Top50 Lensdiameter Summary  '!$D$32:$D$40</c:f>
              <c:numCache>
                <c:formatCode>0%</c:formatCode>
                <c:ptCount val="9"/>
                <c:pt idx="0">
                  <c:v>7.8744081734363324E-3</c:v>
                </c:pt>
                <c:pt idx="1">
                  <c:v>0.1086468975828557</c:v>
                </c:pt>
                <c:pt idx="2">
                  <c:v>5.6765512085721413E-2</c:v>
                </c:pt>
                <c:pt idx="3">
                  <c:v>3.8275604286070269E-2</c:v>
                </c:pt>
                <c:pt idx="4">
                  <c:v>2.9852977822078249E-2</c:v>
                </c:pt>
                <c:pt idx="5">
                  <c:v>3.8175928233241972E-2</c:v>
                </c:pt>
                <c:pt idx="6">
                  <c:v>8.5771243458759028E-2</c:v>
                </c:pt>
                <c:pt idx="7">
                  <c:v>0.56162471966110139</c:v>
                </c:pt>
                <c:pt idx="8">
                  <c:v>7.3012708696735609E-2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A-404B-AC4C-C80E645B44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62-F342-9524-512F00B36F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62-F342-9524-512F00B36F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62-F342-9524-512F00B36F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62-F342-9524-512F00B36F3C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62-F342-9524-512F00B36F3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'!$A$32:$A$40</c:f>
              <c:strCache>
                <c:ptCount val="9"/>
                <c:pt idx="0">
                  <c:v>3.9mm</c:v>
                </c:pt>
                <c:pt idx="1">
                  <c:v>5.5mm</c:v>
                </c:pt>
                <c:pt idx="2">
                  <c:v>6.2mm</c:v>
                </c:pt>
                <c:pt idx="3">
                  <c:v>6.4mm</c:v>
                </c:pt>
                <c:pt idx="4">
                  <c:v>6.5mm</c:v>
                </c:pt>
                <c:pt idx="5">
                  <c:v>6mm</c:v>
                </c:pt>
                <c:pt idx="6">
                  <c:v>8.5mm</c:v>
                </c:pt>
                <c:pt idx="7">
                  <c:v>8mm</c:v>
                </c:pt>
                <c:pt idx="8">
                  <c:v>Unknown</c:v>
                </c:pt>
              </c:strCache>
            </c:strRef>
          </c:cat>
          <c:val>
            <c:numRef>
              <c:f>'Top50 Lensdiameter Summary  '!$F$32:$F$40</c:f>
              <c:numCache>
                <c:formatCode>0%</c:formatCode>
                <c:ptCount val="9"/>
                <c:pt idx="0">
                  <c:v>2.6906551547314941E-2</c:v>
                </c:pt>
                <c:pt idx="1">
                  <c:v>8.2512304773062928E-2</c:v>
                </c:pt>
                <c:pt idx="2">
                  <c:v>5.8811173390986453E-2</c:v>
                </c:pt>
                <c:pt idx="3">
                  <c:v>3.8178936319527082E-2</c:v>
                </c:pt>
                <c:pt idx="4">
                  <c:v>5.2617497644918791E-2</c:v>
                </c:pt>
                <c:pt idx="5">
                  <c:v>6.684757844246611E-2</c:v>
                </c:pt>
                <c:pt idx="6">
                  <c:v>8.6561661398178003E-2</c:v>
                </c:pt>
                <c:pt idx="7">
                  <c:v>0.53794901876886592</c:v>
                </c:pt>
                <c:pt idx="8">
                  <c:v>4.9615277714679738E-2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62-F342-9524-512F00B36F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layout>
        <c:manualLayout>
          <c:xMode val="edge"/>
          <c:yMode val="edge"/>
          <c:x val="0.35682050249382907"/>
          <c:y val="2.492307209243908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D2-AB44-BB37-7851AE296E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D2-AB44-BB37-7851AE296E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D2-AB44-BB37-7851AE296E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D2-AB44-BB37-7851AE296E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D2-AB44-BB37-7851AE296E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D2-AB44-BB37-7851AE296E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D2-AB44-BB37-7851AE296E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D2-AB44-BB37-7851AE296E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DD2-AB44-BB37-7851AE296E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DD2-AB44-BB37-7851AE296E43}"/>
              </c:ext>
            </c:extLst>
          </c:dPt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D2-AB44-BB37-7851AE296E43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D2-AB44-BB37-7851AE296E43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D2-AB44-BB37-7851AE296E43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D2-AB44-BB37-7851AE296E43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D2-AB44-BB37-7851AE296E43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D2-AB44-BB37-7851AE296E43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D2-AB44-BB37-7851AE296E43}"/>
                </c:ext>
              </c:extLst>
            </c:dLbl>
            <c:dLbl>
              <c:idx val="9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D2-AB44-BB37-7851AE296E4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'!$A$3:$A$12</c:f>
              <c:strCache>
                <c:ptCount val="10"/>
                <c:pt idx="0">
                  <c:v>3.9mm</c:v>
                </c:pt>
                <c:pt idx="1">
                  <c:v>3mm</c:v>
                </c:pt>
                <c:pt idx="2">
                  <c:v>5.5mm</c:v>
                </c:pt>
                <c:pt idx="3">
                  <c:v>6.2mm</c:v>
                </c:pt>
                <c:pt idx="4">
                  <c:v>6.4mm</c:v>
                </c:pt>
                <c:pt idx="5">
                  <c:v>6.5mm</c:v>
                </c:pt>
                <c:pt idx="6">
                  <c:v>6mm</c:v>
                </c:pt>
                <c:pt idx="7">
                  <c:v>8.5mm</c:v>
                </c:pt>
                <c:pt idx="8">
                  <c:v>8mm</c:v>
                </c:pt>
                <c:pt idx="9">
                  <c:v>Unknown</c:v>
                </c:pt>
              </c:strCache>
            </c:strRef>
          </c:cat>
          <c:val>
            <c:numRef>
              <c:f>'Top50 Lensdiameter Summary  '!$D$3:$D$12</c:f>
              <c:numCache>
                <c:formatCode>0%</c:formatCode>
                <c:ptCount val="10"/>
                <c:pt idx="0">
                  <c:v>9.6450032823309599E-3</c:v>
                </c:pt>
                <c:pt idx="1">
                  <c:v>5.5547139322324897E-4</c:v>
                </c:pt>
                <c:pt idx="2">
                  <c:v>0.1078624450840782</c:v>
                </c:pt>
                <c:pt idx="3">
                  <c:v>5.352724334696763E-2</c:v>
                </c:pt>
                <c:pt idx="4">
                  <c:v>4.4286219259708118E-2</c:v>
                </c:pt>
                <c:pt idx="5">
                  <c:v>3.3277786194011012E-2</c:v>
                </c:pt>
                <c:pt idx="6">
                  <c:v>3.484320557491289E-2</c:v>
                </c:pt>
                <c:pt idx="7">
                  <c:v>8.3674190779174873E-2</c:v>
                </c:pt>
                <c:pt idx="8">
                  <c:v>0.56905519365752666</c:v>
                </c:pt>
                <c:pt idx="9">
                  <c:v>6.3273241428066451E-2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D2-AB44-BB37-7851AE296E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8F-0E41-BD59-6881F319CA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8F-0E41-BD59-6881F319CA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8F-0E41-BD59-6881F319CA3D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8F-0E41-BD59-6881F319CA3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'!$A$3:$A$4</c:f>
              <c:strCache>
                <c:ptCount val="2"/>
                <c:pt idx="0">
                  <c:v>Dual</c:v>
                </c:pt>
                <c:pt idx="1">
                  <c:v>Single</c:v>
                </c:pt>
              </c:strCache>
            </c:strRef>
          </c:cat>
          <c:val>
            <c:numRef>
              <c:f>'Top50 Lens count Summary '!$F$3:$F$4</c:f>
              <c:numCache>
                <c:formatCode>0%</c:formatCode>
                <c:ptCount val="2"/>
                <c:pt idx="0">
                  <c:v>0.24921313146145671</c:v>
                </c:pt>
                <c:pt idx="1">
                  <c:v>0.75078686853854326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8F-0E41-BD59-6881F319CA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'!$D$26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64-8E40-82DF-47E22E2B368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'!$A$27:$A$28</c:f>
              <c:strCache>
                <c:ptCount val="2"/>
                <c:pt idx="0">
                  <c:v>Dual</c:v>
                </c:pt>
                <c:pt idx="1">
                  <c:v>Single</c:v>
                </c:pt>
              </c:strCache>
            </c:strRef>
          </c:cat>
          <c:val>
            <c:numRef>
              <c:f>'Top50 Lens count Summary '!$D$27:$D$28</c:f>
              <c:numCache>
                <c:formatCode>0%</c:formatCode>
                <c:ptCount val="2"/>
                <c:pt idx="0">
                  <c:v>0.2172937951657114</c:v>
                </c:pt>
                <c:pt idx="1">
                  <c:v>0.78270620483428854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4-8E40-82DF-47E22E2B36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48-5B4E-9D7F-5817D08647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48-5B4E-9D7F-5817D08647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48-5B4E-9D7F-5817D08647FD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48-5B4E-9D7F-5817D08647F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'!$A$27:$A$28</c:f>
              <c:strCache>
                <c:ptCount val="2"/>
                <c:pt idx="0">
                  <c:v>Dual</c:v>
                </c:pt>
                <c:pt idx="1">
                  <c:v>Single</c:v>
                </c:pt>
              </c:strCache>
            </c:strRef>
          </c:cat>
          <c:val>
            <c:numRef>
              <c:f>'Top50 Lens count Summary '!$F$27:$F$28</c:f>
              <c:numCache>
                <c:formatCode>0%</c:formatCode>
                <c:ptCount val="2"/>
                <c:pt idx="0">
                  <c:v>0.23382744215532089</c:v>
                </c:pt>
                <c:pt idx="1">
                  <c:v>0.76617255784467908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8-5B4E-9D7F-5817D08647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AF-1C40-8860-3B56EB4CB2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AF-1C40-8860-3B56EB4CB2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AF-1C40-8860-3B56EB4CB2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AF-1C40-8860-3B56EB4CB283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AF-1C40-8860-3B56EB4CB28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'!$A$3:$A$4</c:f>
              <c:strCache>
                <c:ptCount val="2"/>
                <c:pt idx="0">
                  <c:v>Dual</c:v>
                </c:pt>
                <c:pt idx="1">
                  <c:v>Single</c:v>
                </c:pt>
              </c:strCache>
            </c:strRef>
          </c:cat>
          <c:val>
            <c:numRef>
              <c:f>'Top50 Lens count Summary '!$D$3:$D$4</c:f>
              <c:numCache>
                <c:formatCode>0%</c:formatCode>
                <c:ptCount val="2"/>
                <c:pt idx="0">
                  <c:v>0.2265818310357017</c:v>
                </c:pt>
                <c:pt idx="1">
                  <c:v>0.77341816896429838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AF-1C40-8860-3B56EB4CB2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DC-804B-BD56-668312E202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DC-804B-BD56-668312E202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DC-804B-BD56-668312E202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DC-804B-BD56-668312E202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DC-804B-BD56-668312E202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BDC-804B-BD56-668312E202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BDC-804B-BD56-668312E202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BDC-804B-BD56-668312E202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BDC-804B-BD56-668312E20294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DC-804B-BD56-668312E20294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BDC-804B-BD56-668312E20294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BDC-804B-BD56-668312E2029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'!$A$3:$A$12</c:f>
              <c:strCache>
                <c:ptCount val="10"/>
                <c:pt idx="0">
                  <c:v>10ft</c:v>
                </c:pt>
                <c:pt idx="1">
                  <c:v>3.3ft</c:v>
                </c:pt>
                <c:pt idx="2">
                  <c:v>4ft</c:v>
                </c:pt>
                <c:pt idx="3">
                  <c:v>5.25ft</c:v>
                </c:pt>
                <c:pt idx="4">
                  <c:v>5.2ft</c:v>
                </c:pt>
                <c:pt idx="5">
                  <c:v>5.3ft</c:v>
                </c:pt>
                <c:pt idx="6">
                  <c:v>5.5ft</c:v>
                </c:pt>
                <c:pt idx="7">
                  <c:v>5.6ft</c:v>
                </c:pt>
                <c:pt idx="8">
                  <c:v>5ft</c:v>
                </c:pt>
                <c:pt idx="9">
                  <c:v>6.6ft</c:v>
                </c:pt>
              </c:strCache>
            </c:strRef>
          </c:cat>
          <c:val>
            <c:numRef>
              <c:f>'Top50 Cable length Summary  '!$F$3:$F$12</c:f>
              <c:numCache>
                <c:formatCode>0%</c:formatCode>
                <c:ptCount val="10"/>
                <c:pt idx="0">
                  <c:v>4.2583135983261119E-2</c:v>
                </c:pt>
                <c:pt idx="1">
                  <c:v>2.322689478405102E-2</c:v>
                </c:pt>
                <c:pt idx="2">
                  <c:v>1.9020322689572561E-2</c:v>
                </c:pt>
                <c:pt idx="3">
                  <c:v>1.8073093768659131E-2</c:v>
                </c:pt>
                <c:pt idx="4">
                  <c:v>2.5852354558387118E-3</c:v>
                </c:pt>
                <c:pt idx="5">
                  <c:v>3.2382401640830602E-2</c:v>
                </c:pt>
                <c:pt idx="6">
                  <c:v>0.1146556516762772</c:v>
                </c:pt>
                <c:pt idx="7">
                  <c:v>6.9050020491876526E-3</c:v>
                </c:pt>
                <c:pt idx="8">
                  <c:v>0.728413850531901</c:v>
                </c:pt>
                <c:pt idx="9">
                  <c:v>1.2154411420421E-2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DC-804B-BD56-668312E202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'!$D$32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7B-164D-B21E-AAB6472CFBBD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7B-164D-B21E-AAB6472CFBB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'!$A$33:$A$43</c:f>
              <c:strCache>
                <c:ptCount val="11"/>
                <c:pt idx="0">
                  <c:v>10ft</c:v>
                </c:pt>
                <c:pt idx="1">
                  <c:v>3.3ft</c:v>
                </c:pt>
                <c:pt idx="2">
                  <c:v>3.9ft</c:v>
                </c:pt>
                <c:pt idx="3">
                  <c:v>4ft</c:v>
                </c:pt>
                <c:pt idx="4">
                  <c:v>5.25ft</c:v>
                </c:pt>
                <c:pt idx="5">
                  <c:v>5.2ft</c:v>
                </c:pt>
                <c:pt idx="6">
                  <c:v>5.3ft</c:v>
                </c:pt>
                <c:pt idx="7">
                  <c:v>5.5ft</c:v>
                </c:pt>
                <c:pt idx="8">
                  <c:v>5.6ft</c:v>
                </c:pt>
                <c:pt idx="9">
                  <c:v>5ft</c:v>
                </c:pt>
                <c:pt idx="10">
                  <c:v>6.6ft</c:v>
                </c:pt>
              </c:strCache>
            </c:strRef>
          </c:cat>
          <c:val>
            <c:numRef>
              <c:f>'Top50 Cable length Summary  '!$D$33:$D$43</c:f>
              <c:numCache>
                <c:formatCode>0%</c:formatCode>
                <c:ptCount val="11"/>
                <c:pt idx="0">
                  <c:v>4.1714428108646888E-2</c:v>
                </c:pt>
                <c:pt idx="1">
                  <c:v>1.031647146772988E-2</c:v>
                </c:pt>
                <c:pt idx="2">
                  <c:v>3.040119611263394E-3</c:v>
                </c:pt>
                <c:pt idx="3">
                  <c:v>3.8724146523797659E-2</c:v>
                </c:pt>
                <c:pt idx="4">
                  <c:v>1.86394218788936E-2</c:v>
                </c:pt>
                <c:pt idx="5">
                  <c:v>5.0834786942437083E-3</c:v>
                </c:pt>
                <c:pt idx="6">
                  <c:v>3.3341639671069033E-2</c:v>
                </c:pt>
                <c:pt idx="7">
                  <c:v>0.13516072763518561</c:v>
                </c:pt>
                <c:pt idx="8">
                  <c:v>1.186145028656865E-2</c:v>
                </c:pt>
                <c:pt idx="9">
                  <c:v>0.69534014453027659</c:v>
                </c:pt>
                <c:pt idx="10">
                  <c:v>6.7779715923249441E-3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B-164D-B21E-AAB6472CFB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8E-DB41-BB2B-2F4C93E16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8E-DB41-BB2B-2F4C93E16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8E-DB41-BB2B-2F4C93E16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8E-DB41-BB2B-2F4C93E16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8E-DB41-BB2B-2F4C93E16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D8E-DB41-BB2B-2F4C93E16D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D8E-DB41-BB2B-2F4C93E16D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D8E-DB41-BB2B-2F4C93E16D58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8E-DB41-BB2B-2F4C93E16D58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8E-DB41-BB2B-2F4C93E16D5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'!$A$33:$A$43</c:f>
              <c:strCache>
                <c:ptCount val="11"/>
                <c:pt idx="0">
                  <c:v>10ft</c:v>
                </c:pt>
                <c:pt idx="1">
                  <c:v>3.3ft</c:v>
                </c:pt>
                <c:pt idx="2">
                  <c:v>3.9ft</c:v>
                </c:pt>
                <c:pt idx="3">
                  <c:v>4ft</c:v>
                </c:pt>
                <c:pt idx="4">
                  <c:v>5.25ft</c:v>
                </c:pt>
                <c:pt idx="5">
                  <c:v>5.2ft</c:v>
                </c:pt>
                <c:pt idx="6">
                  <c:v>5.3ft</c:v>
                </c:pt>
                <c:pt idx="7">
                  <c:v>5.5ft</c:v>
                </c:pt>
                <c:pt idx="8">
                  <c:v>5.6ft</c:v>
                </c:pt>
                <c:pt idx="9">
                  <c:v>5ft</c:v>
                </c:pt>
                <c:pt idx="10">
                  <c:v>6.6ft</c:v>
                </c:pt>
              </c:strCache>
            </c:strRef>
          </c:cat>
          <c:val>
            <c:numRef>
              <c:f>'Top50 Cable length Summary  '!$F$33:$F$43</c:f>
              <c:numCache>
                <c:formatCode>0%</c:formatCode>
                <c:ptCount val="11"/>
                <c:pt idx="0">
                  <c:v>4.3692777148729711E-2</c:v>
                </c:pt>
                <c:pt idx="1">
                  <c:v>1.483941024189976E-2</c:v>
                </c:pt>
                <c:pt idx="2">
                  <c:v>1.3622263724192699E-3</c:v>
                </c:pt>
                <c:pt idx="3">
                  <c:v>1.9515958639098271E-2</c:v>
                </c:pt>
                <c:pt idx="4">
                  <c:v>1.8544046608791932E-2</c:v>
                </c:pt>
                <c:pt idx="5">
                  <c:v>2.6526021167947119E-3</c:v>
                </c:pt>
                <c:pt idx="6">
                  <c:v>3.5162555097217538E-2</c:v>
                </c:pt>
                <c:pt idx="7">
                  <c:v>0.1176433750558713</c:v>
                </c:pt>
                <c:pt idx="8">
                  <c:v>7.0849341829890573E-3</c:v>
                </c:pt>
                <c:pt idx="9">
                  <c:v>0.72703098066349325</c:v>
                </c:pt>
                <c:pt idx="10">
                  <c:v>1.247113387269512E-2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D8E-DB41-BB2B-2F4C93E16D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B3-EE44-9201-8FAAE56B6E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B3-EE44-9201-8FAAE56B6E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B3-EE44-9201-8FAAE56B6E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B3-EE44-9201-8FAAE56B6E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6B3-EE44-9201-8FAAE56B6E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6B3-EE44-9201-8FAAE56B6E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6B3-EE44-9201-8FAAE56B6E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6B3-EE44-9201-8FAAE56B6E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6B3-EE44-9201-8FAAE56B6E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6B3-EE44-9201-8FAAE56B6E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6B3-EE44-9201-8FAAE56B6E0A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B3-EE44-9201-8FAAE56B6E0A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B3-EE44-9201-8FAAE56B6E0A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B3-EE44-9201-8FAAE56B6E0A}"/>
                </c:ext>
              </c:extLst>
            </c:dLbl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B3-EE44-9201-8FAAE56B6E0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'!$A$3:$A$12</c:f>
              <c:strCache>
                <c:ptCount val="10"/>
                <c:pt idx="0">
                  <c:v>10ft</c:v>
                </c:pt>
                <c:pt idx="1">
                  <c:v>3.3ft</c:v>
                </c:pt>
                <c:pt idx="2">
                  <c:v>4ft</c:v>
                </c:pt>
                <c:pt idx="3">
                  <c:v>5.25ft</c:v>
                </c:pt>
                <c:pt idx="4">
                  <c:v>5.2ft</c:v>
                </c:pt>
                <c:pt idx="5">
                  <c:v>5.3ft</c:v>
                </c:pt>
                <c:pt idx="6">
                  <c:v>5.5ft</c:v>
                </c:pt>
                <c:pt idx="7">
                  <c:v>5.6ft</c:v>
                </c:pt>
                <c:pt idx="8">
                  <c:v>5ft</c:v>
                </c:pt>
                <c:pt idx="9">
                  <c:v>6.6ft</c:v>
                </c:pt>
              </c:strCache>
            </c:strRef>
          </c:cat>
          <c:val>
            <c:numRef>
              <c:f>'Top50 Cable length Summary  '!$D$3:$D$12</c:f>
              <c:numCache>
                <c:formatCode>0%</c:formatCode>
                <c:ptCount val="10"/>
                <c:pt idx="0">
                  <c:v>4.2266323284350857E-2</c:v>
                </c:pt>
                <c:pt idx="1">
                  <c:v>1.484623541887593E-2</c:v>
                </c:pt>
                <c:pt idx="2">
                  <c:v>3.9236479321314952E-2</c:v>
                </c:pt>
                <c:pt idx="3">
                  <c:v>1.8886027369590469E-2</c:v>
                </c:pt>
                <c:pt idx="4">
                  <c:v>5.1507347371610359E-3</c:v>
                </c:pt>
                <c:pt idx="5">
                  <c:v>3.0045952633439382E-2</c:v>
                </c:pt>
                <c:pt idx="6">
                  <c:v>0.13694894712922279</c:v>
                </c:pt>
                <c:pt idx="7">
                  <c:v>1.201838105337575E-2</c:v>
                </c:pt>
                <c:pt idx="8">
                  <c:v>0.69373327273645402</c:v>
                </c:pt>
                <c:pt idx="9">
                  <c:v>6.8676463162147148E-3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6B3-EE44-9201-8FAAE56B6E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11</xdr:row>
      <xdr:rowOff>0</xdr:rowOff>
    </xdr:from>
    <xdr:to>
      <xdr:col>5</xdr:col>
      <xdr:colOff>1171574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2</xdr:col>
      <xdr:colOff>1800224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36</xdr:row>
      <xdr:rowOff>0</xdr:rowOff>
    </xdr:from>
    <xdr:to>
      <xdr:col>5</xdr:col>
      <xdr:colOff>1171574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2</xdr:col>
      <xdr:colOff>1800224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0</xdr:rowOff>
    </xdr:from>
    <xdr:to>
      <xdr:col>5</xdr:col>
      <xdr:colOff>1171574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2</xdr:col>
      <xdr:colOff>1800224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31</xdr:row>
      <xdr:rowOff>0</xdr:rowOff>
    </xdr:from>
    <xdr:to>
      <xdr:col>5</xdr:col>
      <xdr:colOff>1171574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1800224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10</xdr:row>
      <xdr:rowOff>0</xdr:rowOff>
    </xdr:from>
    <xdr:to>
      <xdr:col>5</xdr:col>
      <xdr:colOff>1171574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2</xdr:col>
      <xdr:colOff>1800224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35</xdr:row>
      <xdr:rowOff>0</xdr:rowOff>
    </xdr:from>
    <xdr:to>
      <xdr:col>5</xdr:col>
      <xdr:colOff>1171574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1800224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14</xdr:row>
      <xdr:rowOff>0</xdr:rowOff>
    </xdr:from>
    <xdr:to>
      <xdr:col>5</xdr:col>
      <xdr:colOff>1171574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25400</xdr:rowOff>
    </xdr:from>
    <xdr:to>
      <xdr:col>2</xdr:col>
      <xdr:colOff>1800224</xdr:colOff>
      <xdr:row>60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82550</xdr:colOff>
      <xdr:row>45</xdr:row>
      <xdr:rowOff>0</xdr:rowOff>
    </xdr:from>
    <xdr:to>
      <xdr:col>5</xdr:col>
      <xdr:colOff>1120774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2</xdr:col>
      <xdr:colOff>1800224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0</xdr:rowOff>
    </xdr:from>
    <xdr:to>
      <xdr:col>5</xdr:col>
      <xdr:colOff>1171574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2</xdr:col>
      <xdr:colOff>1800224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31</xdr:row>
      <xdr:rowOff>0</xdr:rowOff>
    </xdr:from>
    <xdr:to>
      <xdr:col>5</xdr:col>
      <xdr:colOff>1171574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1800224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14</xdr:row>
      <xdr:rowOff>0</xdr:rowOff>
    </xdr:from>
    <xdr:to>
      <xdr:col>5</xdr:col>
      <xdr:colOff>1171574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186267</xdr:rowOff>
    </xdr:from>
    <xdr:to>
      <xdr:col>2</xdr:col>
      <xdr:colOff>1800224</xdr:colOff>
      <xdr:row>61</xdr:row>
      <xdr:rowOff>186267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201084</xdr:colOff>
      <xdr:row>47</xdr:row>
      <xdr:rowOff>0</xdr:rowOff>
    </xdr:from>
    <xdr:to>
      <xdr:col>6</xdr:col>
      <xdr:colOff>70908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2</xdr:col>
      <xdr:colOff>1800224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2:I13" totalsRowShown="0" headerRowDxfId="326" dataDxfId="325">
  <autoFilter ref="A2:I13" xr:uid="{00000000-0009-0000-0100-000001000000}"/>
  <sortState xmlns:xlrd2="http://schemas.microsoft.com/office/spreadsheetml/2017/richdata2" ref="A3:I13">
    <sortCondition descending="1" ref="C2:C13"/>
  </sortState>
  <tableColumns count="9">
    <tableColumn id="1" xr3:uid="{00000000-0010-0000-0000-000001000000}" name="Brand" dataDxfId="324"/>
    <tableColumn id="2" xr3:uid="{00000000-0010-0000-0000-000002000000}" name="# of Listings" dataDxfId="323"/>
    <tableColumn id="3" xr3:uid="{00000000-0010-0000-0000-000003000000}" name="Monthly Rev" dataDxfId="322"/>
    <tableColumn id="4" xr3:uid="{00000000-0010-0000-0000-000004000000}" name="Estimated 12mo Revenue" dataDxfId="321"/>
    <tableColumn id="5" xr3:uid="{00000000-0010-0000-0000-000005000000}" name="Monthly Units" dataDxfId="320"/>
    <tableColumn id="6" xr3:uid="{00000000-0010-0000-0000-000006000000}" name="Monthly Rev Market Share %" dataDxfId="319"/>
    <tableColumn id="7" xr3:uid="{00000000-0010-0000-0000-000007000000}" name="Price Per Unit" dataDxfId="318"/>
    <tableColumn id="8" xr3:uid="{00000000-0010-0000-0000-000008000000}" name="Reviews" dataDxfId="317"/>
    <tableColumn id="9" xr3:uid="{00000000-0010-0000-0000-000009000000}" name="Avg Rating" dataDxfId="31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7:I28" totalsRowShown="0" headerRowDxfId="315" dataDxfId="314">
  <autoFilter ref="A17:I28" xr:uid="{00000000-0009-0000-0100-000002000000}"/>
  <sortState xmlns:xlrd2="http://schemas.microsoft.com/office/spreadsheetml/2017/richdata2" ref="A18:I28">
    <sortCondition descending="1" ref="E17:E28"/>
  </sortState>
  <tableColumns count="9">
    <tableColumn id="1" xr3:uid="{00000000-0010-0000-0100-000001000000}" name="Brand" dataDxfId="313"/>
    <tableColumn id="2" xr3:uid="{00000000-0010-0000-0100-000002000000}" name="# of Listings" dataDxfId="312"/>
    <tableColumn id="3" xr3:uid="{00000000-0010-0000-0100-000003000000}" name="Monthly Rev" dataDxfId="311"/>
    <tableColumn id="4" xr3:uid="{00000000-0010-0000-0100-000004000000}" name="Estimated 12mo Units" dataDxfId="310"/>
    <tableColumn id="5" xr3:uid="{00000000-0010-0000-0100-000005000000}" name="Monthly Units" dataDxfId="309"/>
    <tableColumn id="6" xr3:uid="{00000000-0010-0000-0100-000006000000}" name="Monthly Unit Market Share %" dataDxfId="308"/>
    <tableColumn id="7" xr3:uid="{00000000-0010-0000-0100-000007000000}" name="Price Per Unit" dataDxfId="307"/>
    <tableColumn id="8" xr3:uid="{00000000-0010-0000-0100-000008000000}" name="Reviews" dataDxfId="306"/>
    <tableColumn id="9" xr3:uid="{00000000-0010-0000-0100-000009000000}" name="Avg Rating" dataDxfId="30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2:Q52" totalsRowShown="0" headerRowDxfId="304" dataDxfId="303">
  <autoFilter ref="A2:Q52" xr:uid="{00000000-0009-0000-0100-000003000000}"/>
  <tableColumns count="17">
    <tableColumn id="1" xr3:uid="{00000000-0010-0000-0200-000001000000}" name="Ranking" dataDxfId="302"/>
    <tableColumn id="2" xr3:uid="{00000000-0010-0000-0200-000002000000}" name="ASIN" dataDxfId="301"/>
    <tableColumn id="3" xr3:uid="{00000000-0010-0000-0200-000003000000}" name="Product Name" dataDxfId="300"/>
    <tableColumn id="4" xr3:uid="{00000000-0010-0000-0200-000004000000}" name="Brand" dataDxfId="299"/>
    <tableColumn id="5" xr3:uid="{00000000-0010-0000-0200-000005000000}" name="Type" dataDxfId="298"/>
    <tableColumn id="18" xr3:uid="{00000000-0010-0000-0200-000012000000}" name="2/4-way" dataDxfId="297"/>
    <tableColumn id="12" xr3:uid="{00000000-0010-0000-0200-00000C000000}" name="Display" dataDxfId="296"/>
    <tableColumn id="15" xr3:uid="{00000000-0010-0000-0200-00000F000000}" name="Lens diameter" dataDxfId="295"/>
    <tableColumn id="17" xr3:uid="{00000000-0010-0000-0200-000011000000}" name="Lens count" dataDxfId="294"/>
    <tableColumn id="16" xr3:uid="{00000000-0010-0000-0200-000010000000}" name="Cable length" dataDxfId="293"/>
    <tableColumn id="6" xr3:uid="{00000000-0010-0000-0200-000006000000}" name="Price" dataDxfId="292"/>
    <tableColumn id="7" xr3:uid="{00000000-0010-0000-0200-000007000000}" name="Est. Monthly Retail Rev" dataDxfId="291"/>
    <tableColumn id="8" xr3:uid="{00000000-0010-0000-0200-000008000000}" name="Est. Monthly Units Sold" dataDxfId="290"/>
    <tableColumn id="9" xr3:uid="{00000000-0010-0000-0200-000009000000}" name="# of Reviews" dataDxfId="289"/>
    <tableColumn id="11" xr3:uid="{00000000-0010-0000-0200-00000B000000}" name="Avg. Rating" dataDxfId="288"/>
    <tableColumn id="10" xr3:uid="{00000000-0010-0000-0200-00000A000000}" name="Column2" dataDxfId="287" dataCellStyle="Hyperlink"/>
    <tableColumn id="13" xr3:uid="{00000000-0010-0000-0200-00000D000000}" name="Link" dataDxfId="28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56:Q106" totalsRowShown="0" headerRowDxfId="285" dataDxfId="284">
  <autoFilter ref="A56:Q106" xr:uid="{00000000-0009-0000-0100-000004000000}"/>
  <tableColumns count="17">
    <tableColumn id="1" xr3:uid="{00000000-0010-0000-0300-000001000000}" name="Ranking" dataDxfId="283"/>
    <tableColumn id="2" xr3:uid="{00000000-0010-0000-0300-000002000000}" name="ASIN" dataDxfId="282"/>
    <tableColumn id="3" xr3:uid="{00000000-0010-0000-0300-000003000000}" name="Product Name" dataDxfId="281"/>
    <tableColumn id="4" xr3:uid="{00000000-0010-0000-0300-000004000000}" name="Brand" dataDxfId="280"/>
    <tableColumn id="5" xr3:uid="{00000000-0010-0000-0300-000005000000}" name="Type" dataDxfId="279"/>
    <tableColumn id="24" xr3:uid="{00000000-0010-0000-0300-000018000000}" name="2/4-way" dataDxfId="278"/>
    <tableColumn id="20" xr3:uid="{00000000-0010-0000-0300-000014000000}" name="Display" dataDxfId="277"/>
    <tableColumn id="21" xr3:uid="{00000000-0010-0000-0300-000015000000}" name="Lens diameter" dataDxfId="276"/>
    <tableColumn id="23" xr3:uid="{00000000-0010-0000-0300-000017000000}" name="Lens count" dataDxfId="275"/>
    <tableColumn id="22" xr3:uid="{00000000-0010-0000-0300-000016000000}" name="Cable length" dataDxfId="274"/>
    <tableColumn id="6" xr3:uid="{00000000-0010-0000-0300-000006000000}" name="Price" dataDxfId="273"/>
    <tableColumn id="7" xr3:uid="{00000000-0010-0000-0300-000007000000}" name="Est. Monthly Retail Rev" dataDxfId="272"/>
    <tableColumn id="8" xr3:uid="{00000000-0010-0000-0300-000008000000}" name="Est. Monthly Units Sold" dataDxfId="271"/>
    <tableColumn id="9" xr3:uid="{00000000-0010-0000-0300-000009000000}" name="# of Reviews" dataDxfId="270"/>
    <tableColumn id="11" xr3:uid="{00000000-0010-0000-0300-00000B000000}" name="Avg. Rating" dataDxfId="269"/>
    <tableColumn id="10" xr3:uid="{00000000-0010-0000-0300-00000A000000}" name="Column2" dataDxfId="268" dataCellStyle="Hyperlink"/>
    <tableColumn id="12" xr3:uid="{00000000-0010-0000-0300-00000C000000}" name="Link" dataDxfId="267" dataCellStyle="Hyperlink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9151719" displayName="Table19151719" ref="A8:K21" totalsRowShown="0" dataDxfId="265" headerRowBorderDxfId="266" tableBorderDxfId="264">
  <autoFilter ref="A8:K21" xr:uid="{00000000-0009-0000-0100-000005000000}"/>
  <tableColumns count="11">
    <tableColumn id="1" xr3:uid="{00000000-0010-0000-0400-000001000000}" name="Product Name" dataDxfId="263"/>
    <tableColumn id="2" xr3:uid="{00000000-0010-0000-0400-000002000000}" name="ASIN" dataDxfId="262"/>
    <tableColumn id="3" xr3:uid="{00000000-0010-0000-0400-000003000000}" name="Avg Price" dataDxfId="261"/>
    <tableColumn id="4" xr3:uid="{00000000-0010-0000-0400-000004000000}" name="Estimated 12mo Revenue" dataDxfId="260"/>
    <tableColumn id="5" xr3:uid="{00000000-0010-0000-0400-000005000000}" name="Monthly Rev" dataDxfId="259"/>
    <tableColumn id="6" xr3:uid="{00000000-0010-0000-0400-000006000000}" name="Estimated 12mo Units" dataDxfId="258"/>
    <tableColumn id="7" xr3:uid="{00000000-0010-0000-0400-000007000000}" name="Monthly Units" dataDxfId="257"/>
    <tableColumn id="8" xr3:uid="{00000000-0010-0000-0400-000008000000}" name="# of Reviews" dataDxfId="256"/>
    <tableColumn id="9" xr3:uid="{00000000-0010-0000-0400-000009000000}" name="Tool Rating " dataDxfId="255"/>
    <tableColumn id="11" xr3:uid="{00000000-0010-0000-0400-00000B000000}" name="Column1" dataDxfId="254"/>
    <tableColumn id="10" xr3:uid="{00000000-0010-0000-0400-00000A000000}" name="Link" dataDxfId="253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3161821" displayName="Table43161821" ref="A26:K39" totalsRowShown="0" headerRowDxfId="252" dataDxfId="251">
  <autoFilter ref="A26:K39" xr:uid="{00000000-0009-0000-0100-000006000000}"/>
  <tableColumns count="11">
    <tableColumn id="1" xr3:uid="{00000000-0010-0000-0500-000001000000}" name="Product Name" dataDxfId="250"/>
    <tableColumn id="12" xr3:uid="{00000000-0010-0000-0500-00000C000000}" name="ASIN" dataDxfId="249"/>
    <tableColumn id="3" xr3:uid="{00000000-0010-0000-0500-000003000000}" name="Avg Price" dataDxfId="248"/>
    <tableColumn id="4" xr3:uid="{00000000-0010-0000-0500-000004000000}" name="Estimated 12mo Revenue" dataDxfId="247"/>
    <tableColumn id="5" xr3:uid="{00000000-0010-0000-0500-000005000000}" name="Monthly Rev" dataDxfId="246"/>
    <tableColumn id="6" xr3:uid="{00000000-0010-0000-0500-000006000000}" name="Estimated 12mo Units" dataDxfId="245"/>
    <tableColumn id="7" xr3:uid="{00000000-0010-0000-0500-000007000000}" name="Monthly Units" dataDxfId="244"/>
    <tableColumn id="8" xr3:uid="{00000000-0010-0000-0500-000008000000}" name="# of Reviews" dataDxfId="243"/>
    <tableColumn id="9" xr3:uid="{00000000-0010-0000-0500-000009000000}" name="Tool Rating " dataDxfId="242"/>
    <tableColumn id="11" xr3:uid="{00000000-0010-0000-0500-00000B000000}" name="Column1" dataDxfId="241"/>
    <tableColumn id="10" xr3:uid="{00000000-0010-0000-0500-00000A000000}" name="Link" dataDxfId="240" dataCellStyle="Hyperlink">
      <calculatedColumnFormula>HYPERLINK(J27)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915" displayName="Table1915" ref="A8:K15" totalsRowShown="0" dataDxfId="238" headerRowBorderDxfId="239" tableBorderDxfId="237">
  <autoFilter ref="A8:K15" xr:uid="{00000000-0009-0000-0100-000007000000}"/>
  <tableColumns count="11">
    <tableColumn id="1" xr3:uid="{00000000-0010-0000-0600-000001000000}" name="Product Name" dataDxfId="236"/>
    <tableColumn id="2" xr3:uid="{00000000-0010-0000-0600-000002000000}" name="ASIN" dataDxfId="235"/>
    <tableColumn id="3" xr3:uid="{00000000-0010-0000-0600-000003000000}" name="Avg Price" dataDxfId="234"/>
    <tableColumn id="4" xr3:uid="{00000000-0010-0000-0600-000004000000}" name="Estimated 12mo Revenue" dataDxfId="233"/>
    <tableColumn id="5" xr3:uid="{00000000-0010-0000-0600-000005000000}" name="Monthly Rev" dataDxfId="232"/>
    <tableColumn id="6" xr3:uid="{00000000-0010-0000-0600-000006000000}" name="Estimated 12mo Units" dataDxfId="231"/>
    <tableColumn id="7" xr3:uid="{00000000-0010-0000-0600-000007000000}" name="Monthly Units" dataDxfId="230"/>
    <tableColumn id="8" xr3:uid="{00000000-0010-0000-0600-000008000000}" name="# of Reviews" dataDxfId="229"/>
    <tableColumn id="9" xr3:uid="{00000000-0010-0000-0600-000009000000}" name="Tool Rating " dataDxfId="228"/>
    <tableColumn id="11" xr3:uid="{00000000-0010-0000-0600-00000B000000}" name="Column1" dataDxfId="227"/>
    <tableColumn id="10" xr3:uid="{00000000-0010-0000-0600-00000A000000}" name="Link" dataDxfId="22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4316" displayName="Table4316" ref="A20:K27" totalsRowShown="0" headerRowDxfId="225" dataDxfId="224">
  <autoFilter ref="A20:K27" xr:uid="{00000000-0009-0000-0100-000008000000}"/>
  <tableColumns count="11">
    <tableColumn id="1" xr3:uid="{00000000-0010-0000-0700-000001000000}" name="Product Name" dataDxfId="223"/>
    <tableColumn id="12" xr3:uid="{00000000-0010-0000-0700-00000C000000}" name="ASIN" dataDxfId="222"/>
    <tableColumn id="3" xr3:uid="{00000000-0010-0000-0700-000003000000}" name="Avg Price" dataDxfId="221"/>
    <tableColumn id="4" xr3:uid="{00000000-0010-0000-0700-000004000000}" name="Estimated 12mo Revenue" dataDxfId="220"/>
    <tableColumn id="5" xr3:uid="{00000000-0010-0000-0700-000005000000}" name="Monthly Rev" dataDxfId="219"/>
    <tableColumn id="6" xr3:uid="{00000000-0010-0000-0700-000006000000}" name="Estimated 12mo Units" dataDxfId="218"/>
    <tableColumn id="7" xr3:uid="{00000000-0010-0000-0700-000007000000}" name="Monthly Units" dataDxfId="217"/>
    <tableColumn id="8" xr3:uid="{00000000-0010-0000-0700-000008000000}" name="# of Reviews" dataDxfId="216"/>
    <tableColumn id="9" xr3:uid="{00000000-0010-0000-0700-000009000000}" name="Tool Rating " dataDxfId="215"/>
    <tableColumn id="11" xr3:uid="{00000000-0010-0000-0700-00000B000000}" name="Column1" dataDxfId="214"/>
    <tableColumn id="10" xr3:uid="{00000000-0010-0000-0700-00000A000000}" name="Link" dataDxfId="213" dataCellStyle="Hyperlink">
      <calculatedColumnFormula>HYPERLINK(J21)</calculatedColumnFormula>
    </tableColumn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91517" displayName="Table191517" ref="A8:K9" totalsRowShown="0" dataDxfId="211" headerRowBorderDxfId="212" tableBorderDxfId="210">
  <autoFilter ref="A8:K9" xr:uid="{00000000-0009-0000-0100-000009000000}"/>
  <tableColumns count="11">
    <tableColumn id="1" xr3:uid="{00000000-0010-0000-0800-000001000000}" name="Product Name" dataDxfId="209"/>
    <tableColumn id="2" xr3:uid="{00000000-0010-0000-0800-000002000000}" name="ASIN" dataDxfId="208"/>
    <tableColumn id="3" xr3:uid="{00000000-0010-0000-0800-000003000000}" name="Avg Price" dataDxfId="207"/>
    <tableColumn id="4" xr3:uid="{00000000-0010-0000-0800-000004000000}" name="Estimated 12mo Revenue" dataDxfId="206"/>
    <tableColumn id="5" xr3:uid="{00000000-0010-0000-0800-000005000000}" name="Monthly Rev" dataDxfId="205"/>
    <tableColumn id="6" xr3:uid="{00000000-0010-0000-0800-000006000000}" name="Estimated 12mo Units" dataDxfId="204"/>
    <tableColumn id="7" xr3:uid="{00000000-0010-0000-0800-000007000000}" name="Monthly Units" dataDxfId="203"/>
    <tableColumn id="8" xr3:uid="{00000000-0010-0000-0800-000008000000}" name="# of Reviews" dataDxfId="202"/>
    <tableColumn id="9" xr3:uid="{00000000-0010-0000-0800-000009000000}" name="Tool Rating " dataDxfId="201"/>
    <tableColumn id="11" xr3:uid="{00000000-0010-0000-0800-00000B000000}" name="Column1" dataDxfId="200"/>
    <tableColumn id="10" xr3:uid="{00000000-0010-0000-0800-00000A000000}" name="Link" dataDxfId="199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431618" displayName="Table431618" ref="A14:K15" totalsRowShown="0" headerRowDxfId="198" dataDxfId="197">
  <autoFilter ref="A14:K15" xr:uid="{00000000-0009-0000-0100-00000A000000}"/>
  <tableColumns count="11">
    <tableColumn id="1" xr3:uid="{00000000-0010-0000-0900-000001000000}" name="Product Name" dataDxfId="196"/>
    <tableColumn id="12" xr3:uid="{00000000-0010-0000-0900-00000C000000}" name="ASIN" dataDxfId="195"/>
    <tableColumn id="3" xr3:uid="{00000000-0010-0000-0900-000003000000}" name="Avg Price" dataDxfId="194"/>
    <tableColumn id="4" xr3:uid="{00000000-0010-0000-0900-000004000000}" name="Estimated 12mo Revenue" dataDxfId="193"/>
    <tableColumn id="5" xr3:uid="{00000000-0010-0000-0900-000005000000}" name="Monthly Rev" dataDxfId="192"/>
    <tableColumn id="6" xr3:uid="{00000000-0010-0000-0900-000006000000}" name="Estimated 12mo Units" dataDxfId="191"/>
    <tableColumn id="7" xr3:uid="{00000000-0010-0000-0900-000007000000}" name="Monthly Units" dataDxfId="190"/>
    <tableColumn id="8" xr3:uid="{00000000-0010-0000-0900-000008000000}" name="# of Reviews" dataDxfId="189"/>
    <tableColumn id="9" xr3:uid="{00000000-0010-0000-0900-000009000000}" name="Tool Rating " dataDxfId="188"/>
    <tableColumn id="11" xr3:uid="{00000000-0010-0000-0900-00000B000000}" name="Column1" dataDxfId="187"/>
    <tableColumn id="10" xr3:uid="{00000000-0010-0000-0900-00000A000000}" name="Link" dataDxfId="186" dataCellStyle="Hyperlink">
      <calculatedColumnFormula>HYPERLINK(J15)</calculatedColumn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3912222" displayName="Table3912222" ref="A8:K9" totalsRowShown="0" dataDxfId="184" headerRowBorderDxfId="185" tableBorderDxfId="183">
  <autoFilter ref="A8:K9" xr:uid="{00000000-0009-0000-0100-00000B000000}"/>
  <tableColumns count="11">
    <tableColumn id="1" xr3:uid="{00000000-0010-0000-0A00-000001000000}" name="Product Name" dataDxfId="182"/>
    <tableColumn id="2" xr3:uid="{00000000-0010-0000-0A00-000002000000}" name="ASIN" dataDxfId="181"/>
    <tableColumn id="3" xr3:uid="{00000000-0010-0000-0A00-000003000000}" name="Avg Price" dataDxfId="180"/>
    <tableColumn id="4" xr3:uid="{00000000-0010-0000-0A00-000004000000}" name="Estimated 12mo Revenue" dataDxfId="179"/>
    <tableColumn id="5" xr3:uid="{00000000-0010-0000-0A00-000005000000}" name="Monthly Rev" dataDxfId="178"/>
    <tableColumn id="6" xr3:uid="{00000000-0010-0000-0A00-000006000000}" name="Estimated 12mo Units" dataDxfId="177"/>
    <tableColumn id="7" xr3:uid="{00000000-0010-0000-0A00-000007000000}" name="Monthly Units" dataDxfId="176"/>
    <tableColumn id="8" xr3:uid="{00000000-0010-0000-0A00-000008000000}" name="# of Reviews" dataDxfId="175"/>
    <tableColumn id="9" xr3:uid="{00000000-0010-0000-0A00-000009000000}" name="Tool Rating " dataDxfId="174"/>
    <tableColumn id="11" xr3:uid="{00000000-0010-0000-0A00-00000B000000}" name="Column1" dataDxfId="173"/>
    <tableColumn id="10" xr3:uid="{00000000-0010-0000-0A00-00000A000000}" name="Link" dataDxfId="172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4013623" displayName="Table4013623" ref="A14:K15" totalsRowShown="0" dataDxfId="170" headerRowBorderDxfId="171" tableBorderDxfId="169">
  <autoFilter ref="A14:K15" xr:uid="{00000000-0009-0000-0100-00000C000000}"/>
  <tableColumns count="11">
    <tableColumn id="1" xr3:uid="{00000000-0010-0000-0B00-000001000000}" name="Product Name" dataDxfId="168"/>
    <tableColumn id="2" xr3:uid="{00000000-0010-0000-0B00-000002000000}" name="ASIN" dataDxfId="167"/>
    <tableColumn id="3" xr3:uid="{00000000-0010-0000-0B00-000003000000}" name="Avg Price" dataDxfId="166"/>
    <tableColumn id="4" xr3:uid="{00000000-0010-0000-0B00-000004000000}" name="Estimated 12mo Revenue" dataDxfId="165"/>
    <tableColumn id="5" xr3:uid="{00000000-0010-0000-0B00-000005000000}" name="Monthly Rev" dataDxfId="164"/>
    <tableColumn id="6" xr3:uid="{00000000-0010-0000-0B00-000006000000}" name="Estimated 12mo Units" dataDxfId="163"/>
    <tableColumn id="7" xr3:uid="{00000000-0010-0000-0B00-000007000000}" name="Monthly Units" dataDxfId="162"/>
    <tableColumn id="8" xr3:uid="{00000000-0010-0000-0B00-000008000000}" name="# of Reviews" dataDxfId="161"/>
    <tableColumn id="9" xr3:uid="{00000000-0010-0000-0B00-000009000000}" name="Tool Rating " dataDxfId="160"/>
    <tableColumn id="11" xr3:uid="{00000000-0010-0000-0B00-00000B000000}" name="Column1" dataDxfId="159"/>
    <tableColumn id="10" xr3:uid="{00000000-0010-0000-0B00-00000A000000}" name="Link" dataDxfId="158" dataCellStyle="Hyperlink">
      <calculatedColumnFormula>HYPERLINK(J15)</calculatedColumnFormula>
    </tableColumn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324" displayName="Table324" ref="A8:K25" headerRowDxfId="45" dataDxfId="44" totalsRowDxfId="43">
  <autoFilter ref="A8:K25" xr:uid="{00000000-0009-0000-0100-000017000000}"/>
  <tableColumns count="11">
    <tableColumn id="1" xr3:uid="{00000000-0010-0000-1600-000001000000}" name="Product Name" totalsRowLabel="Total" dataDxfId="42" totalsRowDxfId="41"/>
    <tableColumn id="12" xr3:uid="{00000000-0010-0000-1600-00000C000000}" name="ASIN" dataDxfId="40"/>
    <tableColumn id="3" xr3:uid="{00000000-0010-0000-1600-000003000000}" name="Avg Price" dataDxfId="39" totalsRowDxfId="38"/>
    <tableColumn id="4" xr3:uid="{00000000-0010-0000-1600-000004000000}" name="Estimated 12mo Revenue" dataDxfId="37" totalsRowDxfId="36"/>
    <tableColumn id="5" xr3:uid="{00000000-0010-0000-1600-000005000000}" name="Monthly Rev" dataDxfId="35" totalsRowDxfId="34"/>
    <tableColumn id="6" xr3:uid="{00000000-0010-0000-1600-000006000000}" name="Estimated 12mo Units" dataDxfId="33" totalsRowDxfId="32"/>
    <tableColumn id="7" xr3:uid="{00000000-0010-0000-1600-000007000000}" name="Monthly Units" dataDxfId="31" totalsRowDxfId="30"/>
    <tableColumn id="8" xr3:uid="{00000000-0010-0000-1600-000008000000}" name="# of Reviews" dataDxfId="29" totalsRowDxfId="28"/>
    <tableColumn id="9" xr3:uid="{00000000-0010-0000-1600-000009000000}" name="Tool Rating " dataDxfId="27" totalsRowDxfId="26"/>
    <tableColumn id="11" xr3:uid="{00000000-0010-0000-1600-00000B000000}" name="Column1" dataDxfId="25" totalsRowDxfId="24"/>
    <tableColumn id="10" xr3:uid="{00000000-0010-0000-1600-00000A000000}" name="Link" totalsRowFunction="count" dataDxfId="23" totalsRowDxfId="22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425" displayName="Table425" ref="A30:K47" totalsRowShown="0" headerRowDxfId="21" dataDxfId="20">
  <autoFilter ref="A30:K47" xr:uid="{00000000-0009-0000-0100-000018000000}"/>
  <tableColumns count="11">
    <tableColumn id="1" xr3:uid="{00000000-0010-0000-1700-000001000000}" name="Product Name" dataDxfId="19"/>
    <tableColumn id="12" xr3:uid="{00000000-0010-0000-1700-00000C000000}" name="ASIN" dataDxfId="18"/>
    <tableColumn id="3" xr3:uid="{00000000-0010-0000-1700-000003000000}" name="Avg Price" dataDxfId="17"/>
    <tableColumn id="4" xr3:uid="{00000000-0010-0000-1700-000004000000}" name="Estimated 12mo Revenue" dataDxfId="16"/>
    <tableColumn id="5" xr3:uid="{00000000-0010-0000-1700-000005000000}" name="Monthly Rev" dataDxfId="15"/>
    <tableColumn id="6" xr3:uid="{00000000-0010-0000-1700-000006000000}" name="Estimated 12mo Units" dataDxfId="14"/>
    <tableColumn id="7" xr3:uid="{00000000-0010-0000-1700-000007000000}" name="Monthly Units" dataDxfId="13"/>
    <tableColumn id="8" xr3:uid="{00000000-0010-0000-1700-000008000000}" name="# of Reviews" dataDxfId="12"/>
    <tableColumn id="9" xr3:uid="{00000000-0010-0000-1700-000009000000}" name="Tool Rating " dataDxfId="11"/>
    <tableColumn id="11" xr3:uid="{00000000-0010-0000-1700-00000B000000}" name="Column1" dataDxfId="10"/>
    <tableColumn id="10" xr3:uid="{00000000-0010-0000-1700-00000A000000}" name="Link" dataDxfId="9" dataCellStyle="Hyperlink">
      <calculatedColumnFormula>HYPERLINK(J31)</calculatedColumnFormula>
    </tableColumn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91227" displayName="Table391227" ref="A8:K12" totalsRowShown="0" dataDxfId="156" headerRowBorderDxfId="157" tableBorderDxfId="155">
  <autoFilter ref="A8:K12" xr:uid="{00000000-0009-0000-0100-00000F000000}"/>
  <tableColumns count="11">
    <tableColumn id="1" xr3:uid="{00000000-0010-0000-0E00-000001000000}" name="Product Name" dataDxfId="154"/>
    <tableColumn id="2" xr3:uid="{00000000-0010-0000-0E00-000002000000}" name="ASIN" dataDxfId="153"/>
    <tableColumn id="3" xr3:uid="{00000000-0010-0000-0E00-000003000000}" name="Avg Price" dataDxfId="152"/>
    <tableColumn id="4" xr3:uid="{00000000-0010-0000-0E00-000004000000}" name="Estimated 12mo Revenue" dataDxfId="151"/>
    <tableColumn id="5" xr3:uid="{00000000-0010-0000-0E00-000005000000}" name="Monthly Rev" dataDxfId="150"/>
    <tableColumn id="6" xr3:uid="{00000000-0010-0000-0E00-000006000000}" name="Estimated 12mo Units" dataDxfId="149"/>
    <tableColumn id="7" xr3:uid="{00000000-0010-0000-0E00-000007000000}" name="Monthly Units" dataDxfId="148"/>
    <tableColumn id="8" xr3:uid="{00000000-0010-0000-0E00-000008000000}" name="# of Reviews" dataDxfId="147"/>
    <tableColumn id="9" xr3:uid="{00000000-0010-0000-0E00-000009000000}" name="Tool Rating " dataDxfId="146"/>
    <tableColumn id="11" xr3:uid="{00000000-0010-0000-0E00-00000B000000}" name="Column1" dataDxfId="145"/>
    <tableColumn id="10" xr3:uid="{00000000-0010-0000-0E00-00000A000000}" name="Link" dataDxfId="144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4013614" displayName="Table4013614" ref="A17:K21" totalsRowShown="0" dataDxfId="142" headerRowBorderDxfId="143" tableBorderDxfId="141">
  <autoFilter ref="A17:K21" xr:uid="{00000000-0009-0000-0100-000010000000}"/>
  <tableColumns count="11">
    <tableColumn id="1" xr3:uid="{00000000-0010-0000-0F00-000001000000}" name="Product Name" dataDxfId="140"/>
    <tableColumn id="2" xr3:uid="{00000000-0010-0000-0F00-000002000000}" name="ASIN" dataDxfId="139"/>
    <tableColumn id="3" xr3:uid="{00000000-0010-0000-0F00-000003000000}" name="Avg Price" dataDxfId="138"/>
    <tableColumn id="4" xr3:uid="{00000000-0010-0000-0F00-000004000000}" name="Estimated 12mo Revenue" dataDxfId="137"/>
    <tableColumn id="5" xr3:uid="{00000000-0010-0000-0F00-000005000000}" name="Monthly Rev" dataDxfId="136"/>
    <tableColumn id="6" xr3:uid="{00000000-0010-0000-0F00-000006000000}" name="Estimated 12mo Units" dataDxfId="135"/>
    <tableColumn id="7" xr3:uid="{00000000-0010-0000-0F00-000007000000}" name="Monthly Units" dataDxfId="134"/>
    <tableColumn id="8" xr3:uid="{00000000-0010-0000-0F00-000008000000}" name="# of Reviews" dataDxfId="133"/>
    <tableColumn id="9" xr3:uid="{00000000-0010-0000-0F00-000009000000}" name="Tool Rating " dataDxfId="132"/>
    <tableColumn id="11" xr3:uid="{00000000-0010-0000-0F00-00000B000000}" name="Column1" dataDxfId="131"/>
    <tableColumn id="10" xr3:uid="{00000000-0010-0000-0F00-00000A000000}" name="Link" dataDxfId="130" dataCellStyle="Hyperlink">
      <calculatedColumnFormula>HYPERLINK(J18)</calculatedColumnFormula>
    </tableColumn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3912" displayName="Table3912" ref="A8:K13" totalsRowShown="0" dataDxfId="128" headerRowBorderDxfId="129" tableBorderDxfId="127">
  <autoFilter ref="A8:K13" xr:uid="{00000000-0009-0000-0100-000011000000}"/>
  <tableColumns count="11">
    <tableColumn id="1" xr3:uid="{00000000-0010-0000-1000-000001000000}" name="Product Name" dataDxfId="126"/>
    <tableColumn id="2" xr3:uid="{00000000-0010-0000-1000-000002000000}" name="ASIN" dataDxfId="125"/>
    <tableColumn id="3" xr3:uid="{00000000-0010-0000-1000-000003000000}" name="Avg Price" dataDxfId="124"/>
    <tableColumn id="4" xr3:uid="{00000000-0010-0000-1000-000004000000}" name="Estimated 12mo Revenue" dataDxfId="123"/>
    <tableColumn id="5" xr3:uid="{00000000-0010-0000-1000-000005000000}" name="Monthly Rev" dataDxfId="122"/>
    <tableColumn id="6" xr3:uid="{00000000-0010-0000-1000-000006000000}" name="Estimated 12mo Units" dataDxfId="121"/>
    <tableColumn id="7" xr3:uid="{00000000-0010-0000-1000-000007000000}" name="Monthly Units" dataDxfId="120"/>
    <tableColumn id="8" xr3:uid="{00000000-0010-0000-1000-000008000000}" name="# of Reviews" dataDxfId="119"/>
    <tableColumn id="9" xr3:uid="{00000000-0010-0000-1000-000009000000}" name="Tool Rating " dataDxfId="118"/>
    <tableColumn id="11" xr3:uid="{00000000-0010-0000-1000-00000B000000}" name="Column1" dataDxfId="117"/>
    <tableColumn id="10" xr3:uid="{00000000-0010-0000-1000-00000A000000}" name="Link" dataDxfId="11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4013" displayName="Table4013" ref="A18:K23" totalsRowShown="0" dataDxfId="114" headerRowBorderDxfId="115" tableBorderDxfId="113">
  <autoFilter ref="A18:K23" xr:uid="{00000000-0009-0000-0100-000012000000}"/>
  <tableColumns count="11">
    <tableColumn id="1" xr3:uid="{00000000-0010-0000-1100-000001000000}" name="Product Name" dataDxfId="112"/>
    <tableColumn id="2" xr3:uid="{00000000-0010-0000-1100-000002000000}" name="ASIN" dataDxfId="111"/>
    <tableColumn id="3" xr3:uid="{00000000-0010-0000-1100-000003000000}" name="Avg Price" dataDxfId="110"/>
    <tableColumn id="4" xr3:uid="{00000000-0010-0000-1100-000004000000}" name="Estimated 12mo Revenue" dataDxfId="109"/>
    <tableColumn id="5" xr3:uid="{00000000-0010-0000-1100-000005000000}" name="Monthly Rev" dataDxfId="108"/>
    <tableColumn id="6" xr3:uid="{00000000-0010-0000-1100-000006000000}" name="Estimated 12mo Units" dataDxfId="107"/>
    <tableColumn id="7" xr3:uid="{00000000-0010-0000-1100-000007000000}" name="Monthly Units" dataDxfId="106"/>
    <tableColumn id="8" xr3:uid="{00000000-0010-0000-1100-000008000000}" name="# of Reviews" dataDxfId="105"/>
    <tableColumn id="9" xr3:uid="{00000000-0010-0000-1100-000009000000}" name="Tool Rating " dataDxfId="104"/>
    <tableColumn id="11" xr3:uid="{00000000-0010-0000-1100-00000B000000}" name="Column1" dataDxfId="103"/>
    <tableColumn id="10" xr3:uid="{00000000-0010-0000-1100-00000A000000}" name="Link" dataDxfId="102" dataCellStyle="Hyperlink">
      <calculatedColumnFormula>HYPERLINK(J19)</calculatedColumnFormula>
    </tableColumn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39122" displayName="Table39122" ref="A8:K32" totalsRowShown="0" dataDxfId="100" headerRowBorderDxfId="101" tableBorderDxfId="99">
  <autoFilter ref="A8:K32" xr:uid="{00000000-0009-0000-0100-000013000000}"/>
  <tableColumns count="11">
    <tableColumn id="1" xr3:uid="{00000000-0010-0000-1200-000001000000}" name="Product Name" dataDxfId="98"/>
    <tableColumn id="2" xr3:uid="{00000000-0010-0000-1200-000002000000}" name="ASIN" dataDxfId="97"/>
    <tableColumn id="3" xr3:uid="{00000000-0010-0000-1200-000003000000}" name="Avg Price" dataDxfId="96"/>
    <tableColumn id="4" xr3:uid="{00000000-0010-0000-1200-000004000000}" name="Estimated 12mo Revenue" dataDxfId="95"/>
    <tableColumn id="5" xr3:uid="{00000000-0010-0000-1200-000005000000}" name="Monthly Rev" dataDxfId="94"/>
    <tableColumn id="6" xr3:uid="{00000000-0010-0000-1200-000006000000}" name="Estimated 12mo Units" dataDxfId="93"/>
    <tableColumn id="7" xr3:uid="{00000000-0010-0000-1200-000007000000}" name="Monthly Units" dataDxfId="92"/>
    <tableColumn id="8" xr3:uid="{00000000-0010-0000-1200-000008000000}" name="# of Reviews" dataDxfId="91"/>
    <tableColumn id="9" xr3:uid="{00000000-0010-0000-1200-000009000000}" name="Tool Rating " dataDxfId="90"/>
    <tableColumn id="11" xr3:uid="{00000000-0010-0000-1200-00000B000000}" name="Column1" dataDxfId="89"/>
    <tableColumn id="10" xr3:uid="{00000000-0010-0000-1200-00000A000000}" name="Link" dataDxfId="88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40136" displayName="Table40136" ref="A37:K61" totalsRowShown="0" dataDxfId="86" headerRowBorderDxfId="87" tableBorderDxfId="85">
  <autoFilter ref="A37:K61" xr:uid="{00000000-0009-0000-0100-000014000000}"/>
  <tableColumns count="11">
    <tableColumn id="1" xr3:uid="{00000000-0010-0000-1300-000001000000}" name="Product Name" dataDxfId="84"/>
    <tableColumn id="2" xr3:uid="{00000000-0010-0000-1300-000002000000}" name="ASIN" dataDxfId="83"/>
    <tableColumn id="3" xr3:uid="{00000000-0010-0000-1300-000003000000}" name="Avg Price" dataDxfId="82"/>
    <tableColumn id="4" xr3:uid="{00000000-0010-0000-1300-000004000000}" name="Estimated 12mo Revenue" dataDxfId="81"/>
    <tableColumn id="5" xr3:uid="{00000000-0010-0000-1300-000005000000}" name="Monthly Rev" dataDxfId="80"/>
    <tableColumn id="6" xr3:uid="{00000000-0010-0000-1300-000006000000}" name="Estimated 12mo Units" dataDxfId="79"/>
    <tableColumn id="7" xr3:uid="{00000000-0010-0000-1300-000007000000}" name="Monthly Units" dataDxfId="78"/>
    <tableColumn id="8" xr3:uid="{00000000-0010-0000-1300-000008000000}" name="# of Reviews" dataDxfId="77"/>
    <tableColumn id="9" xr3:uid="{00000000-0010-0000-1300-000009000000}" name="Tool Rating " dataDxfId="76"/>
    <tableColumn id="11" xr3:uid="{00000000-0010-0000-1300-00000B000000}" name="Column1" dataDxfId="75"/>
    <tableColumn id="10" xr3:uid="{00000000-0010-0000-1300-00000A000000}" name="Link" dataDxfId="74" dataCellStyle="Hyperlink">
      <calculatedColumnFormula>HYPERLINK(J38)</calculatedColumnFormula>
    </tableColumn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3" displayName="Table3" ref="A8:K12" headerRowDxfId="73" dataDxfId="72" totalsRowDxfId="71">
  <autoFilter ref="A8:K12" xr:uid="{00000000-0009-0000-0100-000015000000}"/>
  <tableColumns count="11">
    <tableColumn id="1" xr3:uid="{00000000-0010-0000-1400-000001000000}" name="Product Name" totalsRowLabel="Total" dataDxfId="70"/>
    <tableColumn id="12" xr3:uid="{00000000-0010-0000-1400-00000C000000}" name="ASIN" dataDxfId="69"/>
    <tableColumn id="3" xr3:uid="{00000000-0010-0000-1400-000003000000}" name="Avg Price" dataDxfId="68"/>
    <tableColumn id="4" xr3:uid="{00000000-0010-0000-1400-000004000000}" name="Estimated 12mo Revenue" dataDxfId="67"/>
    <tableColumn id="5" xr3:uid="{00000000-0010-0000-1400-000005000000}" name="Monthly Rev" dataDxfId="66"/>
    <tableColumn id="6" xr3:uid="{00000000-0010-0000-1400-000006000000}" name="Estimated 12mo Units" dataDxfId="65"/>
    <tableColumn id="7" xr3:uid="{00000000-0010-0000-1400-000007000000}" name="Monthly Units" dataDxfId="64"/>
    <tableColumn id="8" xr3:uid="{00000000-0010-0000-1400-000008000000}" name="# of Reviews" dataDxfId="63"/>
    <tableColumn id="9" xr3:uid="{00000000-0010-0000-1400-000009000000}" name="Tool Rating " dataDxfId="62"/>
    <tableColumn id="11" xr3:uid="{00000000-0010-0000-1400-00000B000000}" name="Column1" dataDxfId="61"/>
    <tableColumn id="10" xr3:uid="{00000000-0010-0000-1400-00000A000000}" name="Link" totalsRowFunction="count" dataDxfId="60" totalsRowDxfId="59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4" displayName="Table4" ref="A17:K21" totalsRowShown="0" headerRowDxfId="58" dataDxfId="57">
  <autoFilter ref="A17:K21" xr:uid="{00000000-0009-0000-0100-000016000000}"/>
  <tableColumns count="11">
    <tableColumn id="1" xr3:uid="{00000000-0010-0000-1500-000001000000}" name="Product Name" dataDxfId="56"/>
    <tableColumn id="12" xr3:uid="{00000000-0010-0000-1500-00000C000000}" name="ASIN" dataDxfId="55"/>
    <tableColumn id="3" xr3:uid="{00000000-0010-0000-1500-000003000000}" name="Avg Price" dataDxfId="54"/>
    <tableColumn id="4" xr3:uid="{00000000-0010-0000-1500-000004000000}" name="Estimated 12mo Revenue" dataDxfId="53"/>
    <tableColumn id="5" xr3:uid="{00000000-0010-0000-1500-000005000000}" name="Monthly Rev" dataDxfId="52"/>
    <tableColumn id="6" xr3:uid="{00000000-0010-0000-1500-000006000000}" name="Estimated 12mo Units" dataDxfId="51"/>
    <tableColumn id="7" xr3:uid="{00000000-0010-0000-1500-000007000000}" name="Monthly Units" dataDxfId="50"/>
    <tableColumn id="8" xr3:uid="{00000000-0010-0000-1500-000008000000}" name="# of Reviews" dataDxfId="49"/>
    <tableColumn id="9" xr3:uid="{00000000-0010-0000-1500-000009000000}" name="Tool Rating " dataDxfId="48"/>
    <tableColumn id="11" xr3:uid="{00000000-0010-0000-1500-00000B000000}" name="Column1" dataDxfId="47"/>
    <tableColumn id="10" xr3:uid="{00000000-0010-0000-1500-00000A000000}" name="Link" dataDxfId="46" dataCellStyle="Hyperlink">
      <calculatedColumnFormula>HYPERLINK(J18)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mazon.com/dp/B0DPQ2HV9T" TargetMode="External"/><Relationship Id="rId21" Type="http://schemas.openxmlformats.org/officeDocument/2006/relationships/hyperlink" Target="https://amazon.com/dp/B0DSW1DKTZ" TargetMode="External"/><Relationship Id="rId42" Type="http://schemas.openxmlformats.org/officeDocument/2006/relationships/hyperlink" Target="https://amazon.com/dp/B0FQC32XV7" TargetMode="External"/><Relationship Id="rId47" Type="http://schemas.openxmlformats.org/officeDocument/2006/relationships/hyperlink" Target="https://amazon.com/dp/B0D8SDT9HT" TargetMode="External"/><Relationship Id="rId63" Type="http://schemas.openxmlformats.org/officeDocument/2006/relationships/hyperlink" Target="https://amazon.com/dp/B0FFT6SJHW" TargetMode="External"/><Relationship Id="rId68" Type="http://schemas.openxmlformats.org/officeDocument/2006/relationships/hyperlink" Target="https://amazon.com/dp/B0DPQ2HV9T" TargetMode="External"/><Relationship Id="rId84" Type="http://schemas.openxmlformats.org/officeDocument/2006/relationships/hyperlink" Target="https://amazon.com/dp/B0D8SDT9HT" TargetMode="External"/><Relationship Id="rId89" Type="http://schemas.openxmlformats.org/officeDocument/2006/relationships/hyperlink" Target="https://amazon.com/dp/B0FLNCK645" TargetMode="External"/><Relationship Id="rId16" Type="http://schemas.openxmlformats.org/officeDocument/2006/relationships/hyperlink" Target="https://amazon.com/dp/B0DT16R78W" TargetMode="External"/><Relationship Id="rId11" Type="http://schemas.openxmlformats.org/officeDocument/2006/relationships/hyperlink" Target="https://amazon.com/dp/B0FZJ4CQB6" TargetMode="External"/><Relationship Id="rId32" Type="http://schemas.openxmlformats.org/officeDocument/2006/relationships/hyperlink" Target="https://amazon.com/dp/B0DSVY5LQD" TargetMode="External"/><Relationship Id="rId37" Type="http://schemas.openxmlformats.org/officeDocument/2006/relationships/hyperlink" Target="https://amazon.com/dp/B09QBDSQ19" TargetMode="External"/><Relationship Id="rId53" Type="http://schemas.openxmlformats.org/officeDocument/2006/relationships/hyperlink" Target="https://amazon.com/dp/B0DT4H7QQM" TargetMode="External"/><Relationship Id="rId58" Type="http://schemas.openxmlformats.org/officeDocument/2006/relationships/hyperlink" Target="https://amazon.com/dp/B0F2H49C2D" TargetMode="External"/><Relationship Id="rId74" Type="http://schemas.openxmlformats.org/officeDocument/2006/relationships/hyperlink" Target="https://amazon.com/dp/B0C64RBKJL" TargetMode="External"/><Relationship Id="rId79" Type="http://schemas.openxmlformats.org/officeDocument/2006/relationships/hyperlink" Target="https://amazon.com/dp/B0CLG4LHWP" TargetMode="External"/><Relationship Id="rId102" Type="http://schemas.openxmlformats.org/officeDocument/2006/relationships/table" Target="../tables/table4.xml"/><Relationship Id="rId5" Type="http://schemas.openxmlformats.org/officeDocument/2006/relationships/hyperlink" Target="https://amazon.com/dp/B0C3B32Q9Z" TargetMode="External"/><Relationship Id="rId90" Type="http://schemas.openxmlformats.org/officeDocument/2006/relationships/hyperlink" Target="https://amazon.com/dp/B0D7PYRRKD" TargetMode="External"/><Relationship Id="rId95" Type="http://schemas.openxmlformats.org/officeDocument/2006/relationships/hyperlink" Target="https://amazon.com/dp/B0DLNRQN9J" TargetMode="External"/><Relationship Id="rId22" Type="http://schemas.openxmlformats.org/officeDocument/2006/relationships/hyperlink" Target="https://amazon.com/dp/B0FJFD212D" TargetMode="External"/><Relationship Id="rId27" Type="http://schemas.openxmlformats.org/officeDocument/2006/relationships/hyperlink" Target="https://amazon.com/dp/B0DNFL72B5" TargetMode="External"/><Relationship Id="rId43" Type="http://schemas.openxmlformats.org/officeDocument/2006/relationships/hyperlink" Target="https://amazon.com/dp/B0DZMN1941" TargetMode="External"/><Relationship Id="rId48" Type="http://schemas.openxmlformats.org/officeDocument/2006/relationships/hyperlink" Target="https://amazon.com/dp/B0DPX48VZB" TargetMode="External"/><Relationship Id="rId64" Type="http://schemas.openxmlformats.org/officeDocument/2006/relationships/hyperlink" Target="https://amazon.com/dp/B0DPHJSPBY" TargetMode="External"/><Relationship Id="rId69" Type="http://schemas.openxmlformats.org/officeDocument/2006/relationships/hyperlink" Target="https://amazon.com/dp/B0B71PT47Q" TargetMode="External"/><Relationship Id="rId80" Type="http://schemas.openxmlformats.org/officeDocument/2006/relationships/hyperlink" Target="https://amazon.com/dp/B0FD3NRZ5S" TargetMode="External"/><Relationship Id="rId85" Type="http://schemas.openxmlformats.org/officeDocument/2006/relationships/hyperlink" Target="https://amazon.com/dp/B0DT95GVP1" TargetMode="External"/><Relationship Id="rId12" Type="http://schemas.openxmlformats.org/officeDocument/2006/relationships/hyperlink" Target="https://amazon.com/dp/B09ZV7KJHL" TargetMode="External"/><Relationship Id="rId17" Type="http://schemas.openxmlformats.org/officeDocument/2006/relationships/hyperlink" Target="https://amazon.com/dp/B0F2H49C2D" TargetMode="External"/><Relationship Id="rId25" Type="http://schemas.openxmlformats.org/officeDocument/2006/relationships/hyperlink" Target="https://amazon.com/dp/B0B71PT47Q" TargetMode="External"/><Relationship Id="rId33" Type="http://schemas.openxmlformats.org/officeDocument/2006/relationships/hyperlink" Target="https://amazon.com/dp/B0F8BN91TL" TargetMode="External"/><Relationship Id="rId38" Type="http://schemas.openxmlformats.org/officeDocument/2006/relationships/hyperlink" Target="https://amazon.com/dp/B0FQBWRMHQ" TargetMode="External"/><Relationship Id="rId46" Type="http://schemas.openxmlformats.org/officeDocument/2006/relationships/hyperlink" Target="https://amazon.com/dp/B0DHRPXGRL" TargetMode="External"/><Relationship Id="rId59" Type="http://schemas.openxmlformats.org/officeDocument/2006/relationships/hyperlink" Target="https://amazon.com/dp/B0DT98YB3X" TargetMode="External"/><Relationship Id="rId67" Type="http://schemas.openxmlformats.org/officeDocument/2006/relationships/hyperlink" Target="https://amazon.com/dp/B0C9GR791B" TargetMode="External"/><Relationship Id="rId20" Type="http://schemas.openxmlformats.org/officeDocument/2006/relationships/hyperlink" Target="https://amazon.com/dp/B0F8QLHGZR" TargetMode="External"/><Relationship Id="rId41" Type="http://schemas.openxmlformats.org/officeDocument/2006/relationships/hyperlink" Target="https://amazon.com/dp/B0FJLL4LY1" TargetMode="External"/><Relationship Id="rId54" Type="http://schemas.openxmlformats.org/officeDocument/2006/relationships/hyperlink" Target="https://amazon.com/dp/B0CJY6SWBN" TargetMode="External"/><Relationship Id="rId62" Type="http://schemas.openxmlformats.org/officeDocument/2006/relationships/hyperlink" Target="https://amazon.com/dp/B0DT16R78W" TargetMode="External"/><Relationship Id="rId70" Type="http://schemas.openxmlformats.org/officeDocument/2006/relationships/hyperlink" Target="https://amazon.com/dp/B09ZV7KJHL" TargetMode="External"/><Relationship Id="rId75" Type="http://schemas.openxmlformats.org/officeDocument/2006/relationships/hyperlink" Target="https://amazon.com/dp/B0FJFD212D" TargetMode="External"/><Relationship Id="rId83" Type="http://schemas.openxmlformats.org/officeDocument/2006/relationships/hyperlink" Target="https://amazon.com/dp/B0FQC32XV7" TargetMode="External"/><Relationship Id="rId88" Type="http://schemas.openxmlformats.org/officeDocument/2006/relationships/hyperlink" Target="https://amazon.com/dp/B0DBZ6Q4YH" TargetMode="External"/><Relationship Id="rId91" Type="http://schemas.openxmlformats.org/officeDocument/2006/relationships/hyperlink" Target="https://amazon.com/dp/B0DPX48VZB" TargetMode="External"/><Relationship Id="rId96" Type="http://schemas.openxmlformats.org/officeDocument/2006/relationships/hyperlink" Target="https://amazon.com/dp/B0FHGMHLJR" TargetMode="External"/><Relationship Id="rId1" Type="http://schemas.openxmlformats.org/officeDocument/2006/relationships/hyperlink" Target="https://amazon.com/dp/B0CJY5C9QX" TargetMode="External"/><Relationship Id="rId6" Type="http://schemas.openxmlformats.org/officeDocument/2006/relationships/hyperlink" Target="https://amazon.com/dp/B0F62WJY8N" TargetMode="External"/><Relationship Id="rId15" Type="http://schemas.openxmlformats.org/officeDocument/2006/relationships/hyperlink" Target="https://amazon.com/dp/B0FFT6SJHW" TargetMode="External"/><Relationship Id="rId23" Type="http://schemas.openxmlformats.org/officeDocument/2006/relationships/hyperlink" Target="https://amazon.com/dp/B0C64RBKJL" TargetMode="External"/><Relationship Id="rId28" Type="http://schemas.openxmlformats.org/officeDocument/2006/relationships/hyperlink" Target="https://amazon.com/dp/B0C9GR791B" TargetMode="External"/><Relationship Id="rId36" Type="http://schemas.openxmlformats.org/officeDocument/2006/relationships/hyperlink" Target="https://amazon.com/dp/B0G48WTXYF" TargetMode="External"/><Relationship Id="rId49" Type="http://schemas.openxmlformats.org/officeDocument/2006/relationships/hyperlink" Target="https://amazon.com/dp/B0G34PXC7N" TargetMode="External"/><Relationship Id="rId57" Type="http://schemas.openxmlformats.org/officeDocument/2006/relationships/hyperlink" Target="https://amazon.com/dp/B0DFHL8YN5" TargetMode="External"/><Relationship Id="rId10" Type="http://schemas.openxmlformats.org/officeDocument/2006/relationships/hyperlink" Target="https://amazon.com/dp/B0DFHL8YN5" TargetMode="External"/><Relationship Id="rId31" Type="http://schemas.openxmlformats.org/officeDocument/2006/relationships/hyperlink" Target="https://amazon.com/dp/B0FJLPG74M" TargetMode="External"/><Relationship Id="rId44" Type="http://schemas.openxmlformats.org/officeDocument/2006/relationships/hyperlink" Target="https://amazon.com/dp/B0G1MM25PR" TargetMode="External"/><Relationship Id="rId52" Type="http://schemas.openxmlformats.org/officeDocument/2006/relationships/hyperlink" Target="https://amazon.com/dp/B0B28HRSBP" TargetMode="External"/><Relationship Id="rId60" Type="http://schemas.openxmlformats.org/officeDocument/2006/relationships/hyperlink" Target="https://amazon.com/dp/B0F62WJY8N" TargetMode="External"/><Relationship Id="rId65" Type="http://schemas.openxmlformats.org/officeDocument/2006/relationships/hyperlink" Target="https://amazon.com/dp/B0CHW4FLS7" TargetMode="External"/><Relationship Id="rId73" Type="http://schemas.openxmlformats.org/officeDocument/2006/relationships/hyperlink" Target="https://amazon.com/dp/B0DNFL72B5" TargetMode="External"/><Relationship Id="rId78" Type="http://schemas.openxmlformats.org/officeDocument/2006/relationships/hyperlink" Target="https://amazon.com/dp/B0DHRPXGRL" TargetMode="External"/><Relationship Id="rId81" Type="http://schemas.openxmlformats.org/officeDocument/2006/relationships/hyperlink" Target="https://amazon.com/dp/B0DSVY5LQD" TargetMode="External"/><Relationship Id="rId86" Type="http://schemas.openxmlformats.org/officeDocument/2006/relationships/hyperlink" Target="https://amazon.com/dp/B08Y5S32YV" TargetMode="External"/><Relationship Id="rId94" Type="http://schemas.openxmlformats.org/officeDocument/2006/relationships/hyperlink" Target="https://amazon.com/dp/B0F8B96XV6" TargetMode="External"/><Relationship Id="rId99" Type="http://schemas.openxmlformats.org/officeDocument/2006/relationships/hyperlink" Target="https://amazon.com/dp/B0FH6LPBYH" TargetMode="External"/><Relationship Id="rId101" Type="http://schemas.openxmlformats.org/officeDocument/2006/relationships/table" Target="../tables/table3.xml"/><Relationship Id="rId4" Type="http://schemas.openxmlformats.org/officeDocument/2006/relationships/hyperlink" Target="https://amazon.com/dp/B0CJY6SWBN" TargetMode="External"/><Relationship Id="rId9" Type="http://schemas.openxmlformats.org/officeDocument/2006/relationships/hyperlink" Target="https://amazon.com/dp/B0CLG67RHF" TargetMode="External"/><Relationship Id="rId13" Type="http://schemas.openxmlformats.org/officeDocument/2006/relationships/hyperlink" Target="https://amazon.com/dp/B0FGJ8WVGP" TargetMode="External"/><Relationship Id="rId18" Type="http://schemas.openxmlformats.org/officeDocument/2006/relationships/hyperlink" Target="https://amazon.com/dp/B0DT98YB3X" TargetMode="External"/><Relationship Id="rId39" Type="http://schemas.openxmlformats.org/officeDocument/2006/relationships/hyperlink" Target="https://amazon.com/dp/B0FLNJ8CNL" TargetMode="External"/><Relationship Id="rId34" Type="http://schemas.openxmlformats.org/officeDocument/2006/relationships/hyperlink" Target="https://amazon.com/dp/B0FD3NRZ5S" TargetMode="External"/><Relationship Id="rId50" Type="http://schemas.openxmlformats.org/officeDocument/2006/relationships/hyperlink" Target="https://amazon.com/dp/B0DBZ6Q4YH" TargetMode="External"/><Relationship Id="rId55" Type="http://schemas.openxmlformats.org/officeDocument/2006/relationships/hyperlink" Target="https://amazon.com/dp/B0FGJ8WVGP" TargetMode="External"/><Relationship Id="rId76" Type="http://schemas.openxmlformats.org/officeDocument/2006/relationships/hyperlink" Target="https://amazon.com/dp/B0DSW1DKTZ" TargetMode="External"/><Relationship Id="rId97" Type="http://schemas.openxmlformats.org/officeDocument/2006/relationships/hyperlink" Target="https://amazon.com/dp/B0FBWTBNTY" TargetMode="External"/><Relationship Id="rId7" Type="http://schemas.openxmlformats.org/officeDocument/2006/relationships/hyperlink" Target="https://amazon.com/dp/B0CHW4FLS7" TargetMode="External"/><Relationship Id="rId71" Type="http://schemas.openxmlformats.org/officeDocument/2006/relationships/hyperlink" Target="https://amazon.com/dp/B0F8QLHGZR" TargetMode="External"/><Relationship Id="rId92" Type="http://schemas.openxmlformats.org/officeDocument/2006/relationships/hyperlink" Target="https://amazon.com/dp/B0F5PNMVD9" TargetMode="External"/><Relationship Id="rId2" Type="http://schemas.openxmlformats.org/officeDocument/2006/relationships/hyperlink" Target="https://amazon.com/dp/B0B28HRSBP" TargetMode="External"/><Relationship Id="rId29" Type="http://schemas.openxmlformats.org/officeDocument/2006/relationships/hyperlink" Target="https://amazon.com/dp/B0FFGZC3WX" TargetMode="External"/><Relationship Id="rId24" Type="http://schemas.openxmlformats.org/officeDocument/2006/relationships/hyperlink" Target="https://amazon.com/dp/B0CLG4LHWP" TargetMode="External"/><Relationship Id="rId40" Type="http://schemas.openxmlformats.org/officeDocument/2006/relationships/hyperlink" Target="https://amazon.com/dp/B0DT95GVP1" TargetMode="External"/><Relationship Id="rId45" Type="http://schemas.openxmlformats.org/officeDocument/2006/relationships/hyperlink" Target="https://amazon.com/dp/B0FBWTBNTY" TargetMode="External"/><Relationship Id="rId66" Type="http://schemas.openxmlformats.org/officeDocument/2006/relationships/hyperlink" Target="https://amazon.com/dp/B0FBX2NSHL" TargetMode="External"/><Relationship Id="rId87" Type="http://schemas.openxmlformats.org/officeDocument/2006/relationships/hyperlink" Target="https://amazon.com/dp/B0G1R33CDS" TargetMode="External"/><Relationship Id="rId61" Type="http://schemas.openxmlformats.org/officeDocument/2006/relationships/hyperlink" Target="https://amazon.com/dp/B0FZJ4CQB6" TargetMode="External"/><Relationship Id="rId82" Type="http://schemas.openxmlformats.org/officeDocument/2006/relationships/hyperlink" Target="https://amazon.com/dp/B0FRMFNFHL" TargetMode="External"/><Relationship Id="rId19" Type="http://schemas.openxmlformats.org/officeDocument/2006/relationships/hyperlink" Target="https://amazon.com/dp/B0D7PYRRKD" TargetMode="External"/><Relationship Id="rId14" Type="http://schemas.openxmlformats.org/officeDocument/2006/relationships/hyperlink" Target="https://amazon.com/dp/B0DPHJSPBY" TargetMode="External"/><Relationship Id="rId30" Type="http://schemas.openxmlformats.org/officeDocument/2006/relationships/hyperlink" Target="https://amazon.com/dp/B0FBX2NSHL" TargetMode="External"/><Relationship Id="rId35" Type="http://schemas.openxmlformats.org/officeDocument/2006/relationships/hyperlink" Target="https://amazon.com/dp/B0F21RD15V" TargetMode="External"/><Relationship Id="rId56" Type="http://schemas.openxmlformats.org/officeDocument/2006/relationships/hyperlink" Target="https://amazon.com/dp/B0C3B32Q9Z" TargetMode="External"/><Relationship Id="rId77" Type="http://schemas.openxmlformats.org/officeDocument/2006/relationships/hyperlink" Target="https://amazon.com/dp/B0CLG67RHF" TargetMode="External"/><Relationship Id="rId100" Type="http://schemas.openxmlformats.org/officeDocument/2006/relationships/hyperlink" Target="https://amazon.com/dp/B0FN38759M" TargetMode="External"/><Relationship Id="rId8" Type="http://schemas.openxmlformats.org/officeDocument/2006/relationships/hyperlink" Target="https://amazon.com/dp/B0DTHZDGYD" TargetMode="External"/><Relationship Id="rId51" Type="http://schemas.openxmlformats.org/officeDocument/2006/relationships/hyperlink" Target="https://amazon.com/dp/B0CJY5C9QX" TargetMode="External"/><Relationship Id="rId72" Type="http://schemas.openxmlformats.org/officeDocument/2006/relationships/hyperlink" Target="https://amazon.com/dp/B0DTHZDGYD" TargetMode="External"/><Relationship Id="rId93" Type="http://schemas.openxmlformats.org/officeDocument/2006/relationships/hyperlink" Target="https://amazon.com/dp/B0FGXN5HBK" TargetMode="External"/><Relationship Id="rId98" Type="http://schemas.openxmlformats.org/officeDocument/2006/relationships/hyperlink" Target="https://amazon.com/dp/B0DH1XMKHX" TargetMode="External"/><Relationship Id="rId3" Type="http://schemas.openxmlformats.org/officeDocument/2006/relationships/hyperlink" Target="https://amazon.com/dp/B0DT4H7QQ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hyperlink" Target="https://amazon.com/dp/B07S7H86Z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hyperlink" Target="https://amazon.com/dp/B07S7H86Z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amazon.com/dp/B07S7H86Z1" TargetMode="Externa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CFF8Z1NF" TargetMode="Externa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amazon.com/dp/B07S7H86Z1" TargetMode="Externa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CM3FBXJT" TargetMode="Externa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9"/>
  <sheetViews>
    <sheetView tabSelected="1" zoomScaleNormal="100" workbookViewId="0">
      <selection activeCell="C34" sqref="C34"/>
    </sheetView>
  </sheetViews>
  <sheetFormatPr baseColWidth="10" defaultColWidth="11.1640625" defaultRowHeight="16" x14ac:dyDescent="0.2"/>
  <cols>
    <col min="1" max="2" width="15.33203125" customWidth="1"/>
    <col min="3" max="3" width="17.6640625" customWidth="1"/>
    <col min="4" max="4" width="23.6640625" customWidth="1"/>
    <col min="5" max="5" width="20.83203125" style="13" customWidth="1"/>
    <col min="6" max="6" width="25.33203125" bestFit="1" customWidth="1"/>
    <col min="7" max="7" width="19.83203125" customWidth="1"/>
    <col min="8" max="9" width="15.33203125" customWidth="1"/>
  </cols>
  <sheetData>
    <row r="1" spans="1:9" ht="26" customHeight="1" x14ac:dyDescent="0.25">
      <c r="A1" s="116" t="s">
        <v>0</v>
      </c>
      <c r="B1" s="117"/>
      <c r="C1" s="117"/>
      <c r="D1" s="117"/>
      <c r="E1" s="118"/>
      <c r="F1" s="117"/>
      <c r="G1" s="117"/>
      <c r="H1" s="117"/>
      <c r="I1" s="117"/>
    </row>
    <row r="2" spans="1:9" x14ac:dyDescent="0.2">
      <c r="A2" s="1" t="s">
        <v>1</v>
      </c>
      <c r="B2" s="2" t="s">
        <v>2</v>
      </c>
      <c r="C2" s="3" t="s">
        <v>3</v>
      </c>
      <c r="D2" s="12" t="s">
        <v>4</v>
      </c>
      <c r="E2" s="15" t="s">
        <v>5</v>
      </c>
      <c r="F2" s="2" t="s">
        <v>6</v>
      </c>
      <c r="G2" s="2" t="s">
        <v>7</v>
      </c>
      <c r="H2" s="2" t="s">
        <v>8</v>
      </c>
      <c r="I2" s="4" t="s">
        <v>9</v>
      </c>
    </row>
    <row r="3" spans="1:9" x14ac:dyDescent="0.2">
      <c r="A3" t="s">
        <v>10</v>
      </c>
      <c r="B3">
        <v>13</v>
      </c>
      <c r="C3" s="107">
        <v>1608383.49</v>
      </c>
      <c r="D3">
        <v>19300601.879999999</v>
      </c>
      <c r="E3">
        <v>10891</v>
      </c>
      <c r="F3">
        <v>0.54951635265593757</v>
      </c>
      <c r="G3">
        <v>147.68005600954919</v>
      </c>
      <c r="H3">
        <v>3209</v>
      </c>
      <c r="I3" s="88">
        <v>4.5788095980056092</v>
      </c>
    </row>
    <row r="4" spans="1:9" x14ac:dyDescent="0.2">
      <c r="A4" t="s">
        <v>11</v>
      </c>
      <c r="B4">
        <v>4</v>
      </c>
      <c r="C4" s="107">
        <v>354066.15</v>
      </c>
      <c r="D4">
        <v>4248793.8000000007</v>
      </c>
      <c r="E4">
        <v>2558</v>
      </c>
      <c r="F4">
        <v>0.12096937114601319</v>
      </c>
      <c r="G4">
        <v>138.41522673964039</v>
      </c>
      <c r="H4">
        <v>2364</v>
      </c>
      <c r="I4" s="88">
        <v>4.5551184433164122</v>
      </c>
    </row>
    <row r="5" spans="1:9" x14ac:dyDescent="0.2">
      <c r="A5" t="s">
        <v>12</v>
      </c>
      <c r="B5">
        <v>24</v>
      </c>
      <c r="C5" s="107">
        <v>215656.91</v>
      </c>
      <c r="D5">
        <v>2587882.92</v>
      </c>
      <c r="E5">
        <v>1068</v>
      </c>
      <c r="F5">
        <v>7.3680810170620309E-2</v>
      </c>
      <c r="G5">
        <v>201.92594569288389</v>
      </c>
      <c r="H5">
        <v>3676</v>
      </c>
      <c r="I5" s="91">
        <v>4.4058215451577798</v>
      </c>
    </row>
    <row r="6" spans="1:9" x14ac:dyDescent="0.2">
      <c r="A6" t="s">
        <v>13</v>
      </c>
      <c r="B6">
        <v>7</v>
      </c>
      <c r="C6" s="107">
        <v>159287.01</v>
      </c>
      <c r="D6">
        <v>1911444.12</v>
      </c>
      <c r="E6">
        <v>1290</v>
      </c>
      <c r="F6">
        <v>5.4421608593277618E-2</v>
      </c>
      <c r="G6">
        <v>123.4783023255814</v>
      </c>
      <c r="H6">
        <v>2083</v>
      </c>
      <c r="I6" s="91">
        <v>4.6311089774363898</v>
      </c>
    </row>
    <row r="7" spans="1:9" x14ac:dyDescent="0.2">
      <c r="A7" t="s">
        <v>14</v>
      </c>
      <c r="B7">
        <v>4</v>
      </c>
      <c r="C7" s="107">
        <v>94159.34</v>
      </c>
      <c r="D7">
        <v>1129912.08</v>
      </c>
      <c r="E7">
        <v>585</v>
      </c>
      <c r="F7">
        <v>3.2170248828710821E-2</v>
      </c>
      <c r="G7">
        <v>160.95613675213681</v>
      </c>
      <c r="H7">
        <v>373</v>
      </c>
      <c r="I7" s="91">
        <v>4.652010723860589</v>
      </c>
    </row>
    <row r="8" spans="1:9" x14ac:dyDescent="0.2">
      <c r="A8" t="s">
        <v>15</v>
      </c>
      <c r="B8">
        <v>5</v>
      </c>
      <c r="C8" s="107">
        <v>75439.17</v>
      </c>
      <c r="D8">
        <v>905270.04</v>
      </c>
      <c r="E8">
        <v>925</v>
      </c>
      <c r="F8">
        <v>2.5774361527294232E-2</v>
      </c>
      <c r="G8">
        <v>81.555859459459455</v>
      </c>
      <c r="H8">
        <v>209</v>
      </c>
      <c r="I8" s="91">
        <v>4.4330143540669864</v>
      </c>
    </row>
    <row r="9" spans="1:9" x14ac:dyDescent="0.2">
      <c r="A9" t="s">
        <v>16</v>
      </c>
      <c r="B9">
        <v>1</v>
      </c>
      <c r="C9" s="107">
        <v>61955.85</v>
      </c>
      <c r="D9">
        <v>743470.2</v>
      </c>
      <c r="E9">
        <v>620</v>
      </c>
      <c r="F9">
        <v>2.116768353404222E-2</v>
      </c>
      <c r="G9">
        <v>99.928790322580639</v>
      </c>
      <c r="H9">
        <v>424</v>
      </c>
      <c r="I9" s="91">
        <v>4.5999999999999996</v>
      </c>
    </row>
    <row r="10" spans="1:9" x14ac:dyDescent="0.2">
      <c r="A10" t="s">
        <v>17</v>
      </c>
      <c r="B10">
        <v>1</v>
      </c>
      <c r="C10" s="107">
        <v>52946.87</v>
      </c>
      <c r="D10">
        <v>635362.44000000006</v>
      </c>
      <c r="E10">
        <v>458</v>
      </c>
      <c r="F10">
        <v>1.8089697555244168E-2</v>
      </c>
      <c r="G10">
        <v>115.60451965065501</v>
      </c>
      <c r="H10">
        <v>322</v>
      </c>
      <c r="I10" s="91">
        <v>4.5999999999999996</v>
      </c>
    </row>
    <row r="11" spans="1:9" x14ac:dyDescent="0.2">
      <c r="A11" t="s">
        <v>18</v>
      </c>
      <c r="B11">
        <v>1</v>
      </c>
      <c r="C11" s="107">
        <v>44902.94</v>
      </c>
      <c r="D11">
        <v>538835.28</v>
      </c>
      <c r="E11">
        <v>374</v>
      </c>
      <c r="F11">
        <v>1.5341428189074739E-2</v>
      </c>
      <c r="G11">
        <v>120.06133689839569</v>
      </c>
      <c r="H11">
        <v>73</v>
      </c>
      <c r="I11" s="88">
        <v>4.8</v>
      </c>
    </row>
    <row r="12" spans="1:9" x14ac:dyDescent="0.2">
      <c r="A12" t="s">
        <v>19</v>
      </c>
      <c r="B12">
        <v>1</v>
      </c>
      <c r="C12" s="107">
        <v>43578.89</v>
      </c>
      <c r="D12">
        <v>522946.68</v>
      </c>
      <c r="E12">
        <v>571</v>
      </c>
      <c r="F12">
        <v>1.48890565182277E-2</v>
      </c>
      <c r="G12">
        <v>76.32029772329247</v>
      </c>
      <c r="H12">
        <v>211</v>
      </c>
      <c r="I12" s="88">
        <v>4.5</v>
      </c>
    </row>
    <row r="13" spans="1:9" ht="17" customHeight="1" thickBot="1" x14ac:dyDescent="0.25">
      <c r="C13" s="107"/>
    </row>
    <row r="14" spans="1:9" s="100" customFormat="1" ht="17" customHeight="1" thickTop="1" x14ac:dyDescent="0.2">
      <c r="A14" s="92" t="s">
        <v>20</v>
      </c>
      <c r="B14" s="93">
        <v>206</v>
      </c>
      <c r="C14" s="95">
        <v>2926907.419999999</v>
      </c>
      <c r="D14" s="94">
        <v>35122889.039999999</v>
      </c>
      <c r="E14" s="96">
        <v>21200</v>
      </c>
      <c r="F14" s="97">
        <v>1</v>
      </c>
      <c r="G14" s="98">
        <v>138.06167075471691</v>
      </c>
      <c r="H14" s="96">
        <v>19252</v>
      </c>
      <c r="I14" s="99">
        <v>4.4890400997298974</v>
      </c>
    </row>
    <row r="16" spans="1:9" ht="26" customHeight="1" x14ac:dyDescent="0.25">
      <c r="A16" s="116" t="s">
        <v>21</v>
      </c>
      <c r="B16" s="117"/>
      <c r="C16" s="117"/>
      <c r="D16" s="117"/>
      <c r="E16" s="118"/>
      <c r="F16" s="117"/>
      <c r="G16" s="117"/>
      <c r="H16" s="117"/>
      <c r="I16" s="117"/>
    </row>
    <row r="17" spans="1:9" x14ac:dyDescent="0.2">
      <c r="A17" s="1" t="s">
        <v>1</v>
      </c>
      <c r="B17" s="2" t="s">
        <v>2</v>
      </c>
      <c r="C17" s="3" t="s">
        <v>3</v>
      </c>
      <c r="D17" s="14" t="s">
        <v>22</v>
      </c>
      <c r="E17" s="15" t="s">
        <v>5</v>
      </c>
      <c r="F17" s="2" t="s">
        <v>23</v>
      </c>
      <c r="G17" s="2" t="s">
        <v>7</v>
      </c>
      <c r="H17" s="2" t="s">
        <v>8</v>
      </c>
      <c r="I17" s="4" t="s">
        <v>9</v>
      </c>
    </row>
    <row r="18" spans="1:9" x14ac:dyDescent="0.2">
      <c r="A18" s="82" t="s">
        <v>10</v>
      </c>
      <c r="B18">
        <v>13</v>
      </c>
      <c r="C18" s="84">
        <v>1608383.49</v>
      </c>
      <c r="D18" s="13">
        <v>130692</v>
      </c>
      <c r="E18" s="85">
        <v>10891</v>
      </c>
      <c r="F18" s="86">
        <v>0.51372641509433958</v>
      </c>
      <c r="G18" s="87">
        <v>147.68005600954919</v>
      </c>
      <c r="H18" s="13">
        <v>3209</v>
      </c>
      <c r="I18" s="88">
        <v>4.5788095980056092</v>
      </c>
    </row>
    <row r="19" spans="1:9" x14ac:dyDescent="0.2">
      <c r="A19" s="82" t="s">
        <v>11</v>
      </c>
      <c r="B19">
        <v>4</v>
      </c>
      <c r="C19" s="84">
        <v>354066.15</v>
      </c>
      <c r="D19" s="13">
        <v>30696</v>
      </c>
      <c r="E19" s="85">
        <v>2558</v>
      </c>
      <c r="F19" s="86">
        <v>0.1206603773584906</v>
      </c>
      <c r="G19" s="87">
        <v>138.41522673964039</v>
      </c>
      <c r="H19" s="13">
        <v>2364</v>
      </c>
      <c r="I19" s="88">
        <v>4.5551184433164122</v>
      </c>
    </row>
    <row r="20" spans="1:9" ht="17" customHeight="1" x14ac:dyDescent="0.2">
      <c r="A20" s="83" t="s">
        <v>13</v>
      </c>
      <c r="B20" s="19">
        <v>7</v>
      </c>
      <c r="C20" s="40">
        <v>159287.01</v>
      </c>
      <c r="D20" s="108">
        <v>15480</v>
      </c>
      <c r="E20" s="109">
        <v>1290</v>
      </c>
      <c r="F20" s="89">
        <v>6.0849056603773592E-2</v>
      </c>
      <c r="G20" s="90">
        <v>123.4783023255814</v>
      </c>
      <c r="H20" s="48">
        <v>2083</v>
      </c>
      <c r="I20" s="91">
        <v>4.6311089774363898</v>
      </c>
    </row>
    <row r="21" spans="1:9" ht="17" customHeight="1" x14ac:dyDescent="0.2">
      <c r="A21" s="83" t="s">
        <v>12</v>
      </c>
      <c r="B21" s="19">
        <v>24</v>
      </c>
      <c r="C21" s="40">
        <v>215656.91</v>
      </c>
      <c r="D21" s="108">
        <v>12816</v>
      </c>
      <c r="E21" s="109">
        <v>1068</v>
      </c>
      <c r="F21" s="89">
        <v>5.0377358490566043E-2</v>
      </c>
      <c r="G21" s="90">
        <v>201.92594569288389</v>
      </c>
      <c r="H21" s="48">
        <v>3676</v>
      </c>
      <c r="I21" s="91">
        <v>4.4058215451577798</v>
      </c>
    </row>
    <row r="22" spans="1:9" ht="17" customHeight="1" x14ac:dyDescent="0.2">
      <c r="A22" s="83" t="s">
        <v>15</v>
      </c>
      <c r="B22" s="19">
        <v>5</v>
      </c>
      <c r="C22" s="40">
        <v>75439.17</v>
      </c>
      <c r="D22" s="108">
        <v>11100</v>
      </c>
      <c r="E22" s="109">
        <v>925</v>
      </c>
      <c r="F22" s="89">
        <v>4.363207547169811E-2</v>
      </c>
      <c r="G22" s="90">
        <v>81.555859459459455</v>
      </c>
      <c r="H22" s="48">
        <v>209</v>
      </c>
      <c r="I22" s="91">
        <v>4.4330143540669864</v>
      </c>
    </row>
    <row r="23" spans="1:9" ht="17" customHeight="1" x14ac:dyDescent="0.2">
      <c r="A23" s="83" t="s">
        <v>16</v>
      </c>
      <c r="B23" s="19">
        <v>1</v>
      </c>
      <c r="C23" s="40">
        <v>61955.85</v>
      </c>
      <c r="D23" s="108">
        <v>7440</v>
      </c>
      <c r="E23" s="109">
        <v>620</v>
      </c>
      <c r="F23" s="89">
        <v>2.9245283018867922E-2</v>
      </c>
      <c r="G23" s="90">
        <v>99.928790322580639</v>
      </c>
      <c r="H23" s="48">
        <v>424</v>
      </c>
      <c r="I23" s="91">
        <v>4.5999999999999996</v>
      </c>
    </row>
    <row r="24" spans="1:9" ht="17" customHeight="1" x14ac:dyDescent="0.2">
      <c r="A24" s="83" t="s">
        <v>14</v>
      </c>
      <c r="B24" s="19">
        <v>4</v>
      </c>
      <c r="C24" s="40">
        <v>94159.34</v>
      </c>
      <c r="D24" s="108">
        <v>7020</v>
      </c>
      <c r="E24" s="109">
        <v>585</v>
      </c>
      <c r="F24" s="89">
        <v>2.759433962264151E-2</v>
      </c>
      <c r="G24" s="90">
        <v>160.95613675213681</v>
      </c>
      <c r="H24" s="48">
        <v>373</v>
      </c>
      <c r="I24" s="91">
        <v>4.652010723860589</v>
      </c>
    </row>
    <row r="25" spans="1:9" ht="17" customHeight="1" x14ac:dyDescent="0.2">
      <c r="A25" s="83" t="s">
        <v>19</v>
      </c>
      <c r="B25" s="19">
        <v>1</v>
      </c>
      <c r="C25" s="40">
        <v>43578.89</v>
      </c>
      <c r="D25" s="108">
        <v>6852</v>
      </c>
      <c r="E25" s="109">
        <v>571</v>
      </c>
      <c r="F25" s="89">
        <v>2.6933962264150939E-2</v>
      </c>
      <c r="G25" s="90">
        <v>76.32029772329247</v>
      </c>
      <c r="H25" s="48">
        <v>211</v>
      </c>
      <c r="I25" s="91">
        <v>4.5</v>
      </c>
    </row>
    <row r="26" spans="1:9" x14ac:dyDescent="0.2">
      <c r="A26" s="82" t="s">
        <v>17</v>
      </c>
      <c r="B26">
        <v>1</v>
      </c>
      <c r="C26" s="84">
        <v>52946.87</v>
      </c>
      <c r="D26" s="13">
        <v>5496</v>
      </c>
      <c r="E26" s="85">
        <v>458</v>
      </c>
      <c r="F26" s="86">
        <v>2.1603773584905658E-2</v>
      </c>
      <c r="G26" s="87">
        <v>115.60451965065501</v>
      </c>
      <c r="H26" s="13">
        <v>322</v>
      </c>
      <c r="I26" s="88">
        <v>4.5999999999999996</v>
      </c>
    </row>
    <row r="27" spans="1:9" x14ac:dyDescent="0.2">
      <c r="A27" s="82" t="s">
        <v>18</v>
      </c>
      <c r="B27">
        <v>1</v>
      </c>
      <c r="C27" s="84">
        <v>44902.94</v>
      </c>
      <c r="D27" s="13">
        <v>4488</v>
      </c>
      <c r="E27" s="85">
        <v>374</v>
      </c>
      <c r="F27" s="86">
        <v>1.7641509433962269E-2</v>
      </c>
      <c r="G27" s="87">
        <v>120.06133689839569</v>
      </c>
      <c r="H27" s="13">
        <v>73</v>
      </c>
      <c r="I27" s="88">
        <v>4.8</v>
      </c>
    </row>
    <row r="28" spans="1:9" ht="17" customHeight="1" thickBot="1" x14ac:dyDescent="0.25">
      <c r="C28" s="84"/>
      <c r="D28" s="13"/>
      <c r="E28" s="85"/>
      <c r="F28" s="86"/>
      <c r="G28" s="87"/>
      <c r="H28" s="13"/>
      <c r="I28" s="88"/>
    </row>
    <row r="29" spans="1:9" s="100" customFormat="1" ht="17" customHeight="1" thickTop="1" x14ac:dyDescent="0.2">
      <c r="A29" s="92" t="s">
        <v>20</v>
      </c>
      <c r="B29" s="93">
        <v>206</v>
      </c>
      <c r="C29" s="94">
        <v>2926907.419999999</v>
      </c>
      <c r="D29" s="94">
        <v>254400</v>
      </c>
      <c r="E29" s="110">
        <v>21200</v>
      </c>
      <c r="F29" s="97">
        <v>1</v>
      </c>
      <c r="G29" s="98">
        <v>138.06167075471691</v>
      </c>
      <c r="H29" s="96">
        <v>19252</v>
      </c>
      <c r="I29" s="99">
        <v>4.4890400997298974</v>
      </c>
    </row>
  </sheetData>
  <mergeCells count="2">
    <mergeCell ref="A1:I1"/>
    <mergeCell ref="A16:I16"/>
  </mergeCells>
  <pageMargins left="0.7" right="0.7" top="0.75" bottom="0.75" header="0.3" footer="0.3"/>
  <pageSetup orientation="portrait" horizontalDpi="1200" verticalDpi="12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Q106"/>
  <sheetViews>
    <sheetView zoomScaleNormal="100" workbookViewId="0">
      <selection activeCell="Q39" sqref="Q39"/>
    </sheetView>
  </sheetViews>
  <sheetFormatPr baseColWidth="10" defaultColWidth="11.1640625" defaultRowHeight="16" x14ac:dyDescent="0.2"/>
  <cols>
    <col min="1" max="1" width="9.6640625" customWidth="1"/>
    <col min="2" max="2" width="11.1640625" bestFit="1" customWidth="1"/>
    <col min="3" max="3" width="14.83203125" customWidth="1"/>
    <col min="5" max="5" width="9" bestFit="1" customWidth="1"/>
    <col min="6" max="6" width="10.6640625" bestFit="1" customWidth="1"/>
    <col min="7" max="7" width="8.1640625" customWidth="1"/>
    <col min="8" max="9" width="10.6640625" customWidth="1"/>
    <col min="10" max="10" width="12" bestFit="1" customWidth="1"/>
    <col min="11" max="11" width="7.6640625" customWidth="1"/>
    <col min="12" max="12" width="10" bestFit="1" customWidth="1"/>
    <col min="14" max="14" width="6.6640625" customWidth="1"/>
    <col min="15" max="15" width="4.83203125" customWidth="1"/>
    <col min="16" max="16" width="28.5" style="103" hidden="1" customWidth="1"/>
    <col min="17" max="17" width="35.33203125" customWidth="1"/>
  </cols>
  <sheetData>
    <row r="1" spans="1:17" ht="26" customHeight="1" x14ac:dyDescent="0.25">
      <c r="A1" s="116" t="s">
        <v>24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9"/>
      <c r="Q1" s="117"/>
    </row>
    <row r="2" spans="1:17" ht="57" customHeight="1" x14ac:dyDescent="0.2">
      <c r="A2" s="49" t="s">
        <v>25</v>
      </c>
      <c r="B2" s="50" t="s">
        <v>26</v>
      </c>
      <c r="C2" s="50" t="s">
        <v>27</v>
      </c>
      <c r="D2" s="50" t="s">
        <v>1</v>
      </c>
      <c r="E2" s="51" t="s">
        <v>28</v>
      </c>
      <c r="F2" s="51" t="s">
        <v>29</v>
      </c>
      <c r="G2" s="51" t="s">
        <v>30</v>
      </c>
      <c r="H2" s="51" t="s">
        <v>31</v>
      </c>
      <c r="I2" s="51" t="s">
        <v>32</v>
      </c>
      <c r="J2" s="51" t="s">
        <v>33</v>
      </c>
      <c r="K2" s="51" t="s">
        <v>34</v>
      </c>
      <c r="L2" s="52" t="s">
        <v>35</v>
      </c>
      <c r="M2" s="53" t="s">
        <v>36</v>
      </c>
      <c r="N2" s="54" t="s">
        <v>37</v>
      </c>
      <c r="O2" s="55" t="s">
        <v>38</v>
      </c>
      <c r="P2" s="55" t="s">
        <v>39</v>
      </c>
      <c r="Q2" s="104" t="s">
        <v>40</v>
      </c>
    </row>
    <row r="3" spans="1:17" ht="16.25" customHeight="1" x14ac:dyDescent="0.2">
      <c r="A3" s="7">
        <v>1</v>
      </c>
      <c r="B3" s="8" t="s">
        <v>41</v>
      </c>
      <c r="C3" s="5" t="s">
        <v>42</v>
      </c>
      <c r="D3" s="5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>
        <v>129.99</v>
      </c>
      <c r="L3" s="6">
        <v>895511.65</v>
      </c>
      <c r="M3" s="9">
        <v>6889</v>
      </c>
      <c r="N3" s="9">
        <v>1347</v>
      </c>
      <c r="O3" s="5">
        <v>4.7</v>
      </c>
      <c r="P3" s="5" t="s">
        <v>50</v>
      </c>
      <c r="Q3" s="22" t="str">
        <f t="shared" ref="Q3:Q34" si="0">HYPERLINK(P3)</f>
        <v>https://amazon.com/dp/B0CJY5C9QX</v>
      </c>
    </row>
    <row r="4" spans="1:17" ht="16.25" customHeight="1" x14ac:dyDescent="0.2">
      <c r="A4" s="7">
        <v>2</v>
      </c>
      <c r="B4" s="8" t="s">
        <v>51</v>
      </c>
      <c r="C4" s="5" t="s">
        <v>52</v>
      </c>
      <c r="D4" s="5" t="s">
        <v>53</v>
      </c>
      <c r="E4" s="6" t="s">
        <v>44</v>
      </c>
      <c r="F4" s="6" t="s">
        <v>45</v>
      </c>
      <c r="G4" s="6" t="s">
        <v>54</v>
      </c>
      <c r="H4" s="6" t="s">
        <v>55</v>
      </c>
      <c r="I4" s="6" t="s">
        <v>48</v>
      </c>
      <c r="J4" s="6" t="s">
        <v>56</v>
      </c>
      <c r="K4" s="6">
        <v>139.38999999999999</v>
      </c>
      <c r="L4" s="6">
        <v>211059.89</v>
      </c>
      <c r="M4" s="9">
        <v>1521</v>
      </c>
      <c r="N4" s="9">
        <v>1621</v>
      </c>
      <c r="O4" s="5">
        <v>4.5999999999999996</v>
      </c>
      <c r="P4" s="5" t="s">
        <v>57</v>
      </c>
      <c r="Q4" s="22" t="str">
        <f t="shared" si="0"/>
        <v>https://amazon.com/dp/B0B28HRSBP</v>
      </c>
    </row>
    <row r="5" spans="1:17" ht="16.25" customHeight="1" x14ac:dyDescent="0.2">
      <c r="A5" s="7">
        <v>3</v>
      </c>
      <c r="B5" s="8" t="s">
        <v>58</v>
      </c>
      <c r="C5" s="5" t="s">
        <v>59</v>
      </c>
      <c r="D5" s="5" t="s">
        <v>43</v>
      </c>
      <c r="E5" s="6" t="s">
        <v>44</v>
      </c>
      <c r="F5" s="6" t="s">
        <v>45</v>
      </c>
      <c r="G5" s="6" t="s">
        <v>60</v>
      </c>
      <c r="H5" s="6" t="s">
        <v>61</v>
      </c>
      <c r="I5" s="6" t="s">
        <v>48</v>
      </c>
      <c r="J5" s="6" t="s">
        <v>49</v>
      </c>
      <c r="K5" s="6">
        <v>139.99</v>
      </c>
      <c r="L5" s="6">
        <v>163412.07999999999</v>
      </c>
      <c r="M5" s="9">
        <v>1359</v>
      </c>
      <c r="N5" s="9">
        <v>263</v>
      </c>
      <c r="O5" s="5">
        <v>4.5999999999999996</v>
      </c>
      <c r="P5" s="5" t="s">
        <v>62</v>
      </c>
      <c r="Q5" s="22" t="str">
        <f t="shared" si="0"/>
        <v>https://amazon.com/dp/B0DT4H7QQM</v>
      </c>
    </row>
    <row r="6" spans="1:17" ht="16.25" customHeight="1" x14ac:dyDescent="0.2">
      <c r="A6" s="7">
        <v>4</v>
      </c>
      <c r="B6" s="8" t="s">
        <v>63</v>
      </c>
      <c r="C6" s="5" t="s">
        <v>64</v>
      </c>
      <c r="D6" s="5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65</v>
      </c>
      <c r="J6" s="6" t="s">
        <v>49</v>
      </c>
      <c r="K6" s="6">
        <v>149.99</v>
      </c>
      <c r="L6" s="6">
        <v>149501.28</v>
      </c>
      <c r="M6" s="9">
        <v>1126</v>
      </c>
      <c r="N6" s="9">
        <v>403</v>
      </c>
      <c r="O6" s="5">
        <v>4.5</v>
      </c>
      <c r="P6" s="5" t="s">
        <v>66</v>
      </c>
      <c r="Q6" s="22" t="str">
        <f t="shared" si="0"/>
        <v>https://amazon.com/dp/B0CJY6SWBN</v>
      </c>
    </row>
    <row r="7" spans="1:17" ht="16.25" customHeight="1" x14ac:dyDescent="0.2">
      <c r="A7" s="7">
        <v>5</v>
      </c>
      <c r="B7" s="8" t="s">
        <v>67</v>
      </c>
      <c r="C7" s="5" t="s">
        <v>68</v>
      </c>
      <c r="D7" s="5" t="s">
        <v>53</v>
      </c>
      <c r="E7" s="6" t="s">
        <v>44</v>
      </c>
      <c r="F7" s="6" t="s">
        <v>45</v>
      </c>
      <c r="G7" s="6" t="s">
        <v>60</v>
      </c>
      <c r="H7" s="6" t="s">
        <v>47</v>
      </c>
      <c r="I7" s="6" t="s">
        <v>65</v>
      </c>
      <c r="J7" s="6" t="s">
        <v>49</v>
      </c>
      <c r="K7" s="6">
        <v>135.99</v>
      </c>
      <c r="L7" s="6">
        <v>89923.57</v>
      </c>
      <c r="M7" s="9">
        <v>683</v>
      </c>
      <c r="N7" s="9">
        <v>506</v>
      </c>
      <c r="O7" s="5">
        <v>4.5</v>
      </c>
      <c r="P7" s="5" t="s">
        <v>69</v>
      </c>
      <c r="Q7" s="22" t="str">
        <f t="shared" si="0"/>
        <v>https://amazon.com/dp/B0C3B32Q9Z</v>
      </c>
    </row>
    <row r="8" spans="1:17" ht="16.25" customHeight="1" x14ac:dyDescent="0.2">
      <c r="A8" s="7">
        <v>6</v>
      </c>
      <c r="B8" s="8" t="s">
        <v>70</v>
      </c>
      <c r="C8" s="5" t="s">
        <v>71</v>
      </c>
      <c r="D8" s="5" t="s">
        <v>72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65</v>
      </c>
      <c r="J8" s="6" t="s">
        <v>73</v>
      </c>
      <c r="K8" s="6">
        <v>159.99</v>
      </c>
      <c r="L8" s="6">
        <v>80479.850000000006</v>
      </c>
      <c r="M8" s="9">
        <v>568</v>
      </c>
      <c r="N8" s="9">
        <v>338</v>
      </c>
      <c r="O8" s="5">
        <v>4.5999999999999996</v>
      </c>
      <c r="P8" s="5" t="s">
        <v>74</v>
      </c>
      <c r="Q8" s="22" t="str">
        <f t="shared" si="0"/>
        <v>https://amazon.com/dp/B0F62WJY8N</v>
      </c>
    </row>
    <row r="9" spans="1:17" ht="16.25" customHeight="1" x14ac:dyDescent="0.2">
      <c r="A9" s="7">
        <v>7</v>
      </c>
      <c r="B9" s="8" t="s">
        <v>75</v>
      </c>
      <c r="C9" s="5" t="s">
        <v>76</v>
      </c>
      <c r="D9" s="5" t="s">
        <v>43</v>
      </c>
      <c r="E9" s="6" t="s">
        <v>44</v>
      </c>
      <c r="F9" s="6" t="s">
        <v>45</v>
      </c>
      <c r="G9" s="6" t="s">
        <v>60</v>
      </c>
      <c r="H9" s="6" t="s">
        <v>77</v>
      </c>
      <c r="I9" s="6" t="s">
        <v>65</v>
      </c>
      <c r="J9" s="6" t="s">
        <v>49</v>
      </c>
      <c r="K9" s="6">
        <v>241.99</v>
      </c>
      <c r="L9" s="6">
        <v>70950.960000000006</v>
      </c>
      <c r="M9" s="9">
        <v>238</v>
      </c>
      <c r="N9" s="9">
        <v>203</v>
      </c>
      <c r="O9" s="5">
        <v>4.2</v>
      </c>
      <c r="P9" s="5" t="s">
        <v>78</v>
      </c>
      <c r="Q9" s="22" t="str">
        <f t="shared" si="0"/>
        <v>https://amazon.com/dp/B0CHW4FLS7</v>
      </c>
    </row>
    <row r="10" spans="1:17" ht="16.25" customHeight="1" x14ac:dyDescent="0.2">
      <c r="A10" s="7">
        <v>8</v>
      </c>
      <c r="B10" s="8" t="s">
        <v>79</v>
      </c>
      <c r="C10" s="5" t="s">
        <v>80</v>
      </c>
      <c r="D10" s="5" t="s">
        <v>43</v>
      </c>
      <c r="E10" s="6" t="s">
        <v>44</v>
      </c>
      <c r="F10" s="6" t="s">
        <v>81</v>
      </c>
      <c r="G10" s="6" t="s">
        <v>60</v>
      </c>
      <c r="H10" s="6" t="s">
        <v>82</v>
      </c>
      <c r="I10" s="6" t="s">
        <v>48</v>
      </c>
      <c r="J10" s="6" t="s">
        <v>49</v>
      </c>
      <c r="K10" s="6">
        <v>359.98</v>
      </c>
      <c r="L10" s="6">
        <v>69085.86</v>
      </c>
      <c r="M10" s="9">
        <v>166</v>
      </c>
      <c r="N10" s="9">
        <v>39</v>
      </c>
      <c r="O10" s="5">
        <v>4.8</v>
      </c>
      <c r="P10" s="5" t="s">
        <v>83</v>
      </c>
      <c r="Q10" s="22" t="str">
        <f t="shared" si="0"/>
        <v>https://amazon.com/dp/B0DTHZDGYD</v>
      </c>
    </row>
    <row r="11" spans="1:17" ht="16.25" customHeight="1" x14ac:dyDescent="0.2">
      <c r="A11" s="7">
        <v>9</v>
      </c>
      <c r="B11" s="8" t="s">
        <v>84</v>
      </c>
      <c r="C11" s="5" t="s">
        <v>85</v>
      </c>
      <c r="D11" s="5" t="s">
        <v>43</v>
      </c>
      <c r="E11" s="6" t="s">
        <v>44</v>
      </c>
      <c r="F11" s="6" t="s">
        <v>81</v>
      </c>
      <c r="G11" s="6" t="s">
        <v>86</v>
      </c>
      <c r="H11" s="6" t="s">
        <v>82</v>
      </c>
      <c r="I11" s="6" t="s">
        <v>48</v>
      </c>
      <c r="J11" s="6" t="s">
        <v>49</v>
      </c>
      <c r="K11" s="6">
        <v>599.99</v>
      </c>
      <c r="L11" s="6">
        <v>65086.31</v>
      </c>
      <c r="M11" s="9">
        <v>108</v>
      </c>
      <c r="N11" s="9">
        <v>49</v>
      </c>
      <c r="O11" s="5">
        <v>4.4000000000000004</v>
      </c>
      <c r="P11" s="5" t="s">
        <v>87</v>
      </c>
      <c r="Q11" s="22" t="str">
        <f t="shared" si="0"/>
        <v>https://amazon.com/dp/B0CLG67RHF</v>
      </c>
    </row>
    <row r="12" spans="1:17" ht="16.25" customHeight="1" x14ac:dyDescent="0.2">
      <c r="A12" s="7">
        <v>10</v>
      </c>
      <c r="B12" s="8" t="s">
        <v>88</v>
      </c>
      <c r="C12" s="5" t="s">
        <v>89</v>
      </c>
      <c r="D12" s="5" t="s">
        <v>90</v>
      </c>
      <c r="E12" s="6" t="s">
        <v>44</v>
      </c>
      <c r="F12" s="6" t="s">
        <v>45</v>
      </c>
      <c r="G12" s="6" t="s">
        <v>54</v>
      </c>
      <c r="H12" s="6" t="s">
        <v>47</v>
      </c>
      <c r="I12" s="6" t="s">
        <v>48</v>
      </c>
      <c r="J12" s="6" t="s">
        <v>56</v>
      </c>
      <c r="K12" s="6">
        <v>105.99</v>
      </c>
      <c r="L12" s="6">
        <v>61955.85</v>
      </c>
      <c r="M12" s="9">
        <v>620</v>
      </c>
      <c r="N12" s="9">
        <v>424</v>
      </c>
      <c r="O12" s="5">
        <v>4.5999999999999996</v>
      </c>
      <c r="P12" s="5" t="s">
        <v>91</v>
      </c>
      <c r="Q12" s="22" t="str">
        <f t="shared" si="0"/>
        <v>https://amazon.com/dp/B0DFHL8YN5</v>
      </c>
    </row>
    <row r="13" spans="1:17" ht="16.25" customHeight="1" x14ac:dyDescent="0.2">
      <c r="A13" s="7">
        <v>11</v>
      </c>
      <c r="B13" s="8" t="s">
        <v>92</v>
      </c>
      <c r="C13" s="5" t="s">
        <v>93</v>
      </c>
      <c r="D13" s="5" t="s">
        <v>94</v>
      </c>
      <c r="E13" s="6" t="s">
        <v>95</v>
      </c>
      <c r="F13" s="6" t="s">
        <v>45</v>
      </c>
      <c r="G13" s="6" t="s">
        <v>54</v>
      </c>
      <c r="H13" s="6" t="s">
        <v>96</v>
      </c>
      <c r="I13" s="6" t="s">
        <v>65</v>
      </c>
      <c r="J13" s="6" t="s">
        <v>49</v>
      </c>
      <c r="K13" s="6">
        <v>139.99</v>
      </c>
      <c r="L13" s="6">
        <v>52946.87</v>
      </c>
      <c r="M13" s="9">
        <v>458</v>
      </c>
      <c r="N13" s="9">
        <v>322</v>
      </c>
      <c r="O13" s="5">
        <v>4.5999999999999996</v>
      </c>
      <c r="P13" s="5" t="s">
        <v>97</v>
      </c>
      <c r="Q13" s="22" t="str">
        <f t="shared" si="0"/>
        <v>https://amazon.com/dp/B0FZJ4CQB6</v>
      </c>
    </row>
    <row r="14" spans="1:17" ht="16.25" customHeight="1" x14ac:dyDescent="0.2">
      <c r="A14" s="7">
        <v>12</v>
      </c>
      <c r="B14" s="8" t="s">
        <v>98</v>
      </c>
      <c r="C14" s="5" t="s">
        <v>99</v>
      </c>
      <c r="D14" s="5" t="s">
        <v>43</v>
      </c>
      <c r="E14" s="6" t="s">
        <v>44</v>
      </c>
      <c r="F14" s="6" t="s">
        <v>45</v>
      </c>
      <c r="G14" s="6" t="s">
        <v>60</v>
      </c>
      <c r="H14" s="6" t="s">
        <v>47</v>
      </c>
      <c r="I14" s="6" t="s">
        <v>48</v>
      </c>
      <c r="J14" s="6" t="s">
        <v>49</v>
      </c>
      <c r="K14" s="6">
        <v>279.99</v>
      </c>
      <c r="L14" s="6">
        <v>52842.239999999998</v>
      </c>
      <c r="M14" s="9">
        <v>189</v>
      </c>
      <c r="N14" s="9">
        <v>564</v>
      </c>
      <c r="O14" s="5">
        <v>4.7</v>
      </c>
      <c r="P14" s="5" t="s">
        <v>100</v>
      </c>
      <c r="Q14" s="22" t="str">
        <f t="shared" si="0"/>
        <v>https://amazon.com/dp/B09ZV7KJHL</v>
      </c>
    </row>
    <row r="15" spans="1:17" ht="16.25" customHeight="1" x14ac:dyDescent="0.2">
      <c r="A15" s="7">
        <v>13</v>
      </c>
      <c r="B15" s="8" t="s">
        <v>101</v>
      </c>
      <c r="C15" s="5" t="s">
        <v>102</v>
      </c>
      <c r="D15" s="5" t="s">
        <v>103</v>
      </c>
      <c r="E15" s="6" t="s">
        <v>44</v>
      </c>
      <c r="F15" s="6" t="s">
        <v>45</v>
      </c>
      <c r="G15" s="6" t="s">
        <v>54</v>
      </c>
      <c r="H15" s="6" t="s">
        <v>61</v>
      </c>
      <c r="I15" s="6" t="s">
        <v>48</v>
      </c>
      <c r="J15" s="6" t="s">
        <v>104</v>
      </c>
      <c r="K15" s="6">
        <v>72.989999999999995</v>
      </c>
      <c r="L15" s="6">
        <v>52520.15</v>
      </c>
      <c r="M15" s="9">
        <v>777</v>
      </c>
      <c r="N15" s="9">
        <v>64</v>
      </c>
      <c r="O15" s="5">
        <v>4.5</v>
      </c>
      <c r="P15" s="5" t="s">
        <v>105</v>
      </c>
      <c r="Q15" s="22" t="str">
        <f t="shared" si="0"/>
        <v>https://amazon.com/dp/B0FGJ8WVGP</v>
      </c>
    </row>
    <row r="16" spans="1:17" ht="16.25" customHeight="1" x14ac:dyDescent="0.2">
      <c r="A16" s="7">
        <v>14</v>
      </c>
      <c r="B16" s="8" t="s">
        <v>106</v>
      </c>
      <c r="C16" s="5" t="s">
        <v>107</v>
      </c>
      <c r="D16" s="5" t="s">
        <v>108</v>
      </c>
      <c r="E16" s="6" t="s">
        <v>44</v>
      </c>
      <c r="F16" s="6" t="s">
        <v>45</v>
      </c>
      <c r="G16" s="6" t="s">
        <v>54</v>
      </c>
      <c r="H16" s="6" t="s">
        <v>109</v>
      </c>
      <c r="I16" s="6" t="s">
        <v>48</v>
      </c>
      <c r="J16" s="6" t="s">
        <v>110</v>
      </c>
      <c r="K16" s="6">
        <v>129.99</v>
      </c>
      <c r="L16" s="6">
        <v>49904.6</v>
      </c>
      <c r="M16" s="9">
        <v>374</v>
      </c>
      <c r="N16" s="9">
        <v>185</v>
      </c>
      <c r="O16" s="5">
        <v>4.5999999999999996</v>
      </c>
      <c r="P16" s="5" t="s">
        <v>111</v>
      </c>
      <c r="Q16" s="22" t="str">
        <f t="shared" si="0"/>
        <v>https://amazon.com/dp/B0DPHJSPBY</v>
      </c>
    </row>
    <row r="17" spans="1:17" ht="16.25" customHeight="1" x14ac:dyDescent="0.2">
      <c r="A17" s="7">
        <v>15</v>
      </c>
      <c r="B17" s="8" t="s">
        <v>112</v>
      </c>
      <c r="C17" s="5" t="s">
        <v>113</v>
      </c>
      <c r="D17" s="5" t="s">
        <v>114</v>
      </c>
      <c r="E17" s="6" t="s">
        <v>44</v>
      </c>
      <c r="F17" s="6" t="s">
        <v>45</v>
      </c>
      <c r="G17" s="6" t="s">
        <v>60</v>
      </c>
      <c r="H17" s="6" t="s">
        <v>115</v>
      </c>
      <c r="I17" s="6" t="s">
        <v>48</v>
      </c>
      <c r="J17" s="6" t="s">
        <v>116</v>
      </c>
      <c r="K17" s="6">
        <v>119.99</v>
      </c>
      <c r="L17" s="6">
        <v>44902.94</v>
      </c>
      <c r="M17" s="9">
        <v>374</v>
      </c>
      <c r="N17" s="9">
        <v>73</v>
      </c>
      <c r="O17" s="5">
        <v>4.8</v>
      </c>
      <c r="P17" s="5" t="s">
        <v>117</v>
      </c>
      <c r="Q17" s="22" t="str">
        <f t="shared" si="0"/>
        <v>https://amazon.com/dp/B0FFT6SJHW</v>
      </c>
    </row>
    <row r="18" spans="1:17" ht="16.25" customHeight="1" x14ac:dyDescent="0.2">
      <c r="A18" s="7">
        <v>16</v>
      </c>
      <c r="B18" s="8" t="s">
        <v>118</v>
      </c>
      <c r="C18" s="5" t="s">
        <v>119</v>
      </c>
      <c r="D18" s="5" t="s">
        <v>72</v>
      </c>
      <c r="E18" s="6" t="s">
        <v>44</v>
      </c>
      <c r="F18" s="6" t="s">
        <v>45</v>
      </c>
      <c r="G18" s="6" t="s">
        <v>46</v>
      </c>
      <c r="H18" s="6" t="s">
        <v>47</v>
      </c>
      <c r="I18" s="6" t="s">
        <v>65</v>
      </c>
      <c r="J18" s="6" t="s">
        <v>49</v>
      </c>
      <c r="K18" s="6">
        <v>129.99</v>
      </c>
      <c r="L18" s="6">
        <v>44688.99</v>
      </c>
      <c r="M18" s="9">
        <v>418</v>
      </c>
      <c r="N18" s="9">
        <v>340</v>
      </c>
      <c r="O18" s="5">
        <v>4.5999999999999996</v>
      </c>
      <c r="P18" s="5" t="s">
        <v>120</v>
      </c>
      <c r="Q18" s="22" t="str">
        <f t="shared" si="0"/>
        <v>https://amazon.com/dp/B0DT16R78W</v>
      </c>
    </row>
    <row r="19" spans="1:17" ht="16.25" customHeight="1" x14ac:dyDescent="0.2">
      <c r="A19" s="7">
        <v>17</v>
      </c>
      <c r="B19" s="8" t="s">
        <v>121</v>
      </c>
      <c r="C19" s="5" t="s">
        <v>122</v>
      </c>
      <c r="D19" s="5" t="s">
        <v>43</v>
      </c>
      <c r="E19" s="6" t="s">
        <v>123</v>
      </c>
      <c r="F19" s="6" t="s">
        <v>45</v>
      </c>
      <c r="G19" s="6" t="s">
        <v>124</v>
      </c>
      <c r="H19" s="6" t="s">
        <v>96</v>
      </c>
      <c r="I19" s="6" t="s">
        <v>48</v>
      </c>
      <c r="J19" s="6" t="s">
        <v>49</v>
      </c>
      <c r="K19" s="6">
        <v>67.989999999999995</v>
      </c>
      <c r="L19" s="6">
        <v>44223.32</v>
      </c>
      <c r="M19" s="9">
        <v>600</v>
      </c>
      <c r="N19" s="9">
        <v>125</v>
      </c>
      <c r="O19" s="5">
        <v>4.3</v>
      </c>
      <c r="P19" s="5" t="s">
        <v>125</v>
      </c>
      <c r="Q19" s="22" t="str">
        <f t="shared" si="0"/>
        <v>https://amazon.com/dp/B0F2H49C2D</v>
      </c>
    </row>
    <row r="20" spans="1:17" ht="16.25" customHeight="1" x14ac:dyDescent="0.2">
      <c r="A20" s="7">
        <v>18</v>
      </c>
      <c r="B20" s="8" t="s">
        <v>126</v>
      </c>
      <c r="C20" s="5" t="s">
        <v>127</v>
      </c>
      <c r="D20" s="5" t="s">
        <v>128</v>
      </c>
      <c r="E20" s="6" t="s">
        <v>44</v>
      </c>
      <c r="F20" s="6" t="s">
        <v>45</v>
      </c>
      <c r="G20" s="6" t="s">
        <v>54</v>
      </c>
      <c r="H20" s="6" t="s">
        <v>47</v>
      </c>
      <c r="I20" s="6" t="s">
        <v>48</v>
      </c>
      <c r="J20" s="6" t="s">
        <v>56</v>
      </c>
      <c r="K20" s="6">
        <v>69.989999999999995</v>
      </c>
      <c r="L20" s="6">
        <v>43578.89</v>
      </c>
      <c r="M20" s="9">
        <v>571</v>
      </c>
      <c r="N20" s="9">
        <v>211</v>
      </c>
      <c r="O20" s="5">
        <v>4.5</v>
      </c>
      <c r="P20" s="5" t="s">
        <v>129</v>
      </c>
      <c r="Q20" s="22" t="str">
        <f t="shared" si="0"/>
        <v>https://amazon.com/dp/B0DT98YB3X</v>
      </c>
    </row>
    <row r="21" spans="1:17" ht="16.25" customHeight="1" x14ac:dyDescent="0.2">
      <c r="A21" s="7">
        <v>19</v>
      </c>
      <c r="B21" s="8" t="s">
        <v>130</v>
      </c>
      <c r="C21" s="5" t="s">
        <v>131</v>
      </c>
      <c r="D21" s="5" t="s">
        <v>43</v>
      </c>
      <c r="E21" s="6" t="s">
        <v>44</v>
      </c>
      <c r="F21" s="6" t="s">
        <v>81</v>
      </c>
      <c r="G21" s="6" t="s">
        <v>86</v>
      </c>
      <c r="H21" s="6" t="s">
        <v>132</v>
      </c>
      <c r="I21" s="6" t="s">
        <v>48</v>
      </c>
      <c r="J21" s="6" t="s">
        <v>49</v>
      </c>
      <c r="K21" s="6">
        <v>699.99</v>
      </c>
      <c r="L21" s="6">
        <v>40864.39</v>
      </c>
      <c r="M21" s="9">
        <v>58</v>
      </c>
      <c r="N21" s="9">
        <v>27</v>
      </c>
      <c r="O21" s="5">
        <v>4.0999999999999996</v>
      </c>
      <c r="P21" s="5" t="s">
        <v>133</v>
      </c>
      <c r="Q21" s="22" t="str">
        <f t="shared" si="0"/>
        <v>https://amazon.com/dp/B0D7PYRRKD</v>
      </c>
    </row>
    <row r="22" spans="1:17" ht="16.25" customHeight="1" x14ac:dyDescent="0.2">
      <c r="A22" s="7">
        <v>20</v>
      </c>
      <c r="B22" s="8" t="s">
        <v>134</v>
      </c>
      <c r="C22" s="5" t="s">
        <v>135</v>
      </c>
      <c r="D22" s="5" t="s">
        <v>108</v>
      </c>
      <c r="E22" s="6" t="s">
        <v>44</v>
      </c>
      <c r="F22" s="6" t="s">
        <v>45</v>
      </c>
      <c r="G22" s="6" t="s">
        <v>60</v>
      </c>
      <c r="H22" s="6" t="s">
        <v>115</v>
      </c>
      <c r="I22" s="6" t="s">
        <v>65</v>
      </c>
      <c r="J22" s="6" t="s">
        <v>116</v>
      </c>
      <c r="K22" s="6">
        <v>219.99</v>
      </c>
      <c r="L22" s="6">
        <v>37274.54</v>
      </c>
      <c r="M22" s="9">
        <v>178</v>
      </c>
      <c r="N22" s="9">
        <v>178</v>
      </c>
      <c r="O22" s="5">
        <v>4.7</v>
      </c>
      <c r="P22" s="5" t="s">
        <v>136</v>
      </c>
      <c r="Q22" s="22" t="str">
        <f t="shared" si="0"/>
        <v>https://amazon.com/dp/B0F8QLHGZR</v>
      </c>
    </row>
    <row r="23" spans="1:17" ht="16.25" customHeight="1" x14ac:dyDescent="0.2">
      <c r="A23" s="7">
        <v>21</v>
      </c>
      <c r="B23" s="8" t="s">
        <v>137</v>
      </c>
      <c r="C23" s="5" t="s">
        <v>138</v>
      </c>
      <c r="D23" s="5" t="s">
        <v>139</v>
      </c>
      <c r="E23" s="6" t="s">
        <v>44</v>
      </c>
      <c r="F23" s="6" t="s">
        <v>81</v>
      </c>
      <c r="G23" s="6" t="s">
        <v>60</v>
      </c>
      <c r="H23" s="6" t="s">
        <v>77</v>
      </c>
      <c r="I23" s="6" t="s">
        <v>65</v>
      </c>
      <c r="J23" s="6" t="s">
        <v>49</v>
      </c>
      <c r="K23" s="6">
        <v>239.98</v>
      </c>
      <c r="L23" s="6">
        <v>34580.620000000003</v>
      </c>
      <c r="M23" s="9">
        <v>125</v>
      </c>
      <c r="N23" s="9">
        <v>189</v>
      </c>
      <c r="O23" s="5">
        <v>4.2</v>
      </c>
      <c r="P23" s="5" t="s">
        <v>140</v>
      </c>
      <c r="Q23" s="22" t="str">
        <f t="shared" si="0"/>
        <v>https://amazon.com/dp/B0DSW1DKTZ</v>
      </c>
    </row>
    <row r="24" spans="1:17" ht="16.25" customHeight="1" x14ac:dyDescent="0.2">
      <c r="A24" s="7">
        <v>22</v>
      </c>
      <c r="B24" s="8" t="s">
        <v>141</v>
      </c>
      <c r="C24" s="5" t="s">
        <v>142</v>
      </c>
      <c r="D24" s="5" t="s">
        <v>139</v>
      </c>
      <c r="E24" s="6" t="s">
        <v>44</v>
      </c>
      <c r="F24" s="6" t="s">
        <v>81</v>
      </c>
      <c r="G24" s="6" t="s">
        <v>54</v>
      </c>
      <c r="H24" s="6" t="s">
        <v>109</v>
      </c>
      <c r="I24" s="6" t="s">
        <v>48</v>
      </c>
      <c r="J24" s="6" t="s">
        <v>143</v>
      </c>
      <c r="K24" s="6">
        <v>249.99</v>
      </c>
      <c r="L24" s="6">
        <v>33561.550000000003</v>
      </c>
      <c r="M24" s="9">
        <v>136</v>
      </c>
      <c r="N24" s="9">
        <v>545</v>
      </c>
      <c r="O24" s="5">
        <v>4.4000000000000004</v>
      </c>
      <c r="P24" s="5" t="s">
        <v>144</v>
      </c>
      <c r="Q24" s="22" t="str">
        <f t="shared" si="0"/>
        <v>https://amazon.com/dp/B0FJFD212D</v>
      </c>
    </row>
    <row r="25" spans="1:17" ht="16.25" customHeight="1" x14ac:dyDescent="0.2">
      <c r="A25" s="7">
        <v>23</v>
      </c>
      <c r="B25" s="8" t="s">
        <v>145</v>
      </c>
      <c r="C25" s="5" t="s">
        <v>146</v>
      </c>
      <c r="D25" s="5" t="s">
        <v>139</v>
      </c>
      <c r="E25" s="6" t="s">
        <v>44</v>
      </c>
      <c r="F25" s="6" t="s">
        <v>81</v>
      </c>
      <c r="G25" s="6" t="s">
        <v>60</v>
      </c>
      <c r="H25" s="6" t="s">
        <v>109</v>
      </c>
      <c r="I25" s="6" t="s">
        <v>48</v>
      </c>
      <c r="J25" s="6" t="s">
        <v>147</v>
      </c>
      <c r="K25" s="6">
        <v>239.99</v>
      </c>
      <c r="L25" s="6">
        <v>32978.67</v>
      </c>
      <c r="M25" s="9">
        <v>137</v>
      </c>
      <c r="N25" s="9">
        <v>542</v>
      </c>
      <c r="O25" s="5">
        <v>4.4000000000000004</v>
      </c>
      <c r="P25" s="5" t="s">
        <v>148</v>
      </c>
      <c r="Q25" s="22" t="str">
        <f t="shared" si="0"/>
        <v>https://amazon.com/dp/B0C64RBKJL</v>
      </c>
    </row>
    <row r="26" spans="1:17" ht="16.25" customHeight="1" x14ac:dyDescent="0.2">
      <c r="A26" s="7">
        <v>24</v>
      </c>
      <c r="B26" s="8" t="s">
        <v>149</v>
      </c>
      <c r="C26" s="5" t="s">
        <v>150</v>
      </c>
      <c r="D26" s="5" t="s">
        <v>43</v>
      </c>
      <c r="E26" s="6" t="s">
        <v>44</v>
      </c>
      <c r="F26" s="6" t="s">
        <v>45</v>
      </c>
      <c r="G26" s="6" t="s">
        <v>60</v>
      </c>
      <c r="H26" s="6" t="s">
        <v>132</v>
      </c>
      <c r="I26" s="6" t="s">
        <v>48</v>
      </c>
      <c r="J26" s="6" t="s">
        <v>49</v>
      </c>
      <c r="K26" s="6">
        <v>349.99</v>
      </c>
      <c r="L26" s="6">
        <v>31544.87</v>
      </c>
      <c r="M26" s="9">
        <v>100</v>
      </c>
      <c r="N26" s="9">
        <v>103</v>
      </c>
      <c r="O26" s="5">
        <v>4</v>
      </c>
      <c r="P26" s="5" t="s">
        <v>151</v>
      </c>
      <c r="Q26" s="22" t="str">
        <f t="shared" si="0"/>
        <v>https://amazon.com/dp/B0CLG4LHWP</v>
      </c>
    </row>
    <row r="27" spans="1:17" ht="16.25" customHeight="1" x14ac:dyDescent="0.2">
      <c r="A27" s="7">
        <v>25</v>
      </c>
      <c r="B27" s="8" t="s">
        <v>152</v>
      </c>
      <c r="C27" s="5" t="s">
        <v>153</v>
      </c>
      <c r="D27" s="5" t="s">
        <v>53</v>
      </c>
      <c r="E27" s="6" t="s">
        <v>44</v>
      </c>
      <c r="F27" s="6" t="s">
        <v>45</v>
      </c>
      <c r="G27" s="6" t="s">
        <v>54</v>
      </c>
      <c r="H27" s="6" t="s">
        <v>47</v>
      </c>
      <c r="I27" s="6" t="s">
        <v>48</v>
      </c>
      <c r="J27" s="6" t="s">
        <v>73</v>
      </c>
      <c r="K27" s="6">
        <v>149.99</v>
      </c>
      <c r="L27" s="6">
        <v>29213.06</v>
      </c>
      <c r="M27" s="9">
        <v>205</v>
      </c>
      <c r="N27" s="9">
        <v>198</v>
      </c>
      <c r="O27" s="5">
        <v>4.3</v>
      </c>
      <c r="P27" s="5" t="s">
        <v>154</v>
      </c>
      <c r="Q27" s="22" t="str">
        <f t="shared" si="0"/>
        <v>https://amazon.com/dp/B0B71PT47Q</v>
      </c>
    </row>
    <row r="28" spans="1:17" ht="16.25" customHeight="1" x14ac:dyDescent="0.2">
      <c r="A28" s="7">
        <v>26</v>
      </c>
      <c r="B28" s="8" t="s">
        <v>155</v>
      </c>
      <c r="C28" s="5" t="s">
        <v>156</v>
      </c>
      <c r="D28" s="5" t="s">
        <v>157</v>
      </c>
      <c r="E28" s="6" t="s">
        <v>44</v>
      </c>
      <c r="F28" s="6" t="s">
        <v>45</v>
      </c>
      <c r="G28" s="6" t="s">
        <v>60</v>
      </c>
      <c r="H28" s="6" t="s">
        <v>82</v>
      </c>
      <c r="I28" s="6" t="s">
        <v>65</v>
      </c>
      <c r="J28" s="6" t="s">
        <v>49</v>
      </c>
      <c r="K28" s="6">
        <v>119.99</v>
      </c>
      <c r="L28" s="6">
        <v>23870.02</v>
      </c>
      <c r="M28" s="9">
        <v>213</v>
      </c>
      <c r="N28" s="9">
        <v>66</v>
      </c>
      <c r="O28" s="5">
        <v>4.5</v>
      </c>
      <c r="P28" s="5" t="s">
        <v>158</v>
      </c>
      <c r="Q28" s="22" t="str">
        <f t="shared" si="0"/>
        <v>https://amazon.com/dp/B0DPQ2HV9T</v>
      </c>
    </row>
    <row r="29" spans="1:17" ht="16.25" customHeight="1" x14ac:dyDescent="0.2">
      <c r="A29" s="7">
        <v>27</v>
      </c>
      <c r="B29" s="8" t="s">
        <v>159</v>
      </c>
      <c r="C29" s="5" t="s">
        <v>160</v>
      </c>
      <c r="D29" s="5" t="s">
        <v>53</v>
      </c>
      <c r="E29" s="6" t="s">
        <v>44</v>
      </c>
      <c r="F29" s="6" t="s">
        <v>45</v>
      </c>
      <c r="G29" s="6" t="s">
        <v>60</v>
      </c>
      <c r="H29" s="6" t="s">
        <v>77</v>
      </c>
      <c r="I29" s="6" t="s">
        <v>65</v>
      </c>
      <c r="J29" s="6" t="s">
        <v>49</v>
      </c>
      <c r="K29" s="6">
        <v>159.99</v>
      </c>
      <c r="L29" s="6">
        <v>23869.63</v>
      </c>
      <c r="M29" s="9">
        <v>149</v>
      </c>
      <c r="N29" s="9">
        <v>39</v>
      </c>
      <c r="O29" s="5">
        <v>4.7</v>
      </c>
      <c r="P29" s="5" t="s">
        <v>161</v>
      </c>
      <c r="Q29" s="22" t="str">
        <f t="shared" si="0"/>
        <v>https://amazon.com/dp/B0DNFL72B5</v>
      </c>
    </row>
    <row r="30" spans="1:17" ht="16.25" customHeight="1" x14ac:dyDescent="0.2">
      <c r="A30" s="7">
        <v>28</v>
      </c>
      <c r="B30" s="8" t="s">
        <v>162</v>
      </c>
      <c r="C30" s="5" t="s">
        <v>163</v>
      </c>
      <c r="D30" s="5" t="s">
        <v>164</v>
      </c>
      <c r="E30" s="6" t="s">
        <v>44</v>
      </c>
      <c r="F30" s="6" t="s">
        <v>45</v>
      </c>
      <c r="G30" s="6" t="s">
        <v>60</v>
      </c>
      <c r="H30" s="6" t="s">
        <v>115</v>
      </c>
      <c r="I30" s="6" t="s">
        <v>48</v>
      </c>
      <c r="J30" s="6" t="s">
        <v>49</v>
      </c>
      <c r="K30" s="6">
        <v>95.9</v>
      </c>
      <c r="L30" s="6">
        <v>20567.330000000002</v>
      </c>
      <c r="M30" s="9">
        <v>216</v>
      </c>
      <c r="N30" s="9">
        <v>491</v>
      </c>
      <c r="O30" s="5">
        <v>4.5999999999999996</v>
      </c>
      <c r="P30" s="5" t="s">
        <v>165</v>
      </c>
      <c r="Q30" s="22" t="str">
        <f t="shared" si="0"/>
        <v>https://amazon.com/dp/B0C9GR791B</v>
      </c>
    </row>
    <row r="31" spans="1:17" ht="16.25" customHeight="1" x14ac:dyDescent="0.2">
      <c r="A31" s="7">
        <v>29</v>
      </c>
      <c r="B31" s="8" t="s">
        <v>166</v>
      </c>
      <c r="C31" s="5" t="s">
        <v>167</v>
      </c>
      <c r="D31" s="5" t="s">
        <v>43</v>
      </c>
      <c r="E31" s="6" t="s">
        <v>44</v>
      </c>
      <c r="F31" s="6" t="s">
        <v>81</v>
      </c>
      <c r="G31" s="6" t="s">
        <v>60</v>
      </c>
      <c r="H31" s="6" t="s">
        <v>82</v>
      </c>
      <c r="I31" s="6" t="s">
        <v>65</v>
      </c>
      <c r="J31" s="6" t="s">
        <v>49</v>
      </c>
      <c r="K31" s="6">
        <v>499.99</v>
      </c>
      <c r="L31" s="6">
        <v>19925.05</v>
      </c>
      <c r="M31" s="9">
        <v>40</v>
      </c>
      <c r="N31" s="9">
        <v>19</v>
      </c>
      <c r="O31" s="5">
        <v>4</v>
      </c>
      <c r="P31" s="5" t="s">
        <v>168</v>
      </c>
      <c r="Q31" s="22" t="str">
        <f t="shared" si="0"/>
        <v>https://amazon.com/dp/B0FFGZC3WX</v>
      </c>
    </row>
    <row r="32" spans="1:17" ht="16.25" customHeight="1" x14ac:dyDescent="0.2">
      <c r="A32" s="7">
        <v>30</v>
      </c>
      <c r="B32" s="8" t="s">
        <v>169</v>
      </c>
      <c r="C32" s="5" t="s">
        <v>170</v>
      </c>
      <c r="D32" s="5" t="s">
        <v>171</v>
      </c>
      <c r="E32" s="6" t="s">
        <v>44</v>
      </c>
      <c r="F32" s="6" t="s">
        <v>45</v>
      </c>
      <c r="G32" s="6" t="s">
        <v>124</v>
      </c>
      <c r="H32" s="6" t="s">
        <v>109</v>
      </c>
      <c r="I32" s="6" t="s">
        <v>48</v>
      </c>
      <c r="J32" s="6" t="s">
        <v>172</v>
      </c>
      <c r="K32" s="6">
        <v>79.989999999999995</v>
      </c>
      <c r="L32" s="6">
        <v>19066.54</v>
      </c>
      <c r="M32" s="9">
        <v>238</v>
      </c>
      <c r="N32" s="9">
        <v>82</v>
      </c>
      <c r="O32" s="5">
        <v>4.3</v>
      </c>
      <c r="P32" s="5" t="s">
        <v>173</v>
      </c>
      <c r="Q32" s="22" t="str">
        <f t="shared" si="0"/>
        <v>https://amazon.com/dp/B0FBX2NSHL</v>
      </c>
    </row>
    <row r="33" spans="1:17" ht="16.25" customHeight="1" x14ac:dyDescent="0.2">
      <c r="A33" s="7">
        <v>31</v>
      </c>
      <c r="B33" s="8" t="s">
        <v>174</v>
      </c>
      <c r="C33" s="5" t="s">
        <v>175</v>
      </c>
      <c r="D33" s="5" t="s">
        <v>139</v>
      </c>
      <c r="E33" s="6" t="s">
        <v>44</v>
      </c>
      <c r="F33" s="6" t="s">
        <v>81</v>
      </c>
      <c r="G33" s="6" t="s">
        <v>60</v>
      </c>
      <c r="H33" s="6" t="s">
        <v>115</v>
      </c>
      <c r="I33" s="6" t="s">
        <v>65</v>
      </c>
      <c r="J33" s="6" t="s">
        <v>49</v>
      </c>
      <c r="K33" s="6">
        <v>239.99</v>
      </c>
      <c r="L33" s="6">
        <v>12325.41</v>
      </c>
      <c r="M33" s="9">
        <v>41</v>
      </c>
      <c r="N33" s="9">
        <v>189</v>
      </c>
      <c r="O33" s="5">
        <v>4.2</v>
      </c>
      <c r="P33" s="5" t="s">
        <v>176</v>
      </c>
      <c r="Q33" s="22" t="str">
        <f t="shared" si="0"/>
        <v>https://amazon.com/dp/B0FJLPG74M</v>
      </c>
    </row>
    <row r="34" spans="1:17" ht="16.25" customHeight="1" x14ac:dyDescent="0.2">
      <c r="A34" s="7">
        <v>32</v>
      </c>
      <c r="B34" s="8" t="s">
        <v>177</v>
      </c>
      <c r="C34" s="5" t="s">
        <v>178</v>
      </c>
      <c r="D34" s="5" t="s">
        <v>139</v>
      </c>
      <c r="E34" s="6" t="s">
        <v>44</v>
      </c>
      <c r="F34" s="6" t="s">
        <v>45</v>
      </c>
      <c r="G34" s="6" t="s">
        <v>60</v>
      </c>
      <c r="H34" s="6" t="s">
        <v>77</v>
      </c>
      <c r="I34" s="6" t="s">
        <v>65</v>
      </c>
      <c r="J34" s="6" t="s">
        <v>49</v>
      </c>
      <c r="K34" s="6">
        <v>139.99</v>
      </c>
      <c r="L34" s="6">
        <v>12199.77</v>
      </c>
      <c r="M34" s="9">
        <v>87</v>
      </c>
      <c r="N34" s="9">
        <v>99</v>
      </c>
      <c r="O34" s="5">
        <v>4.7</v>
      </c>
      <c r="P34" s="5" t="s">
        <v>179</v>
      </c>
      <c r="Q34" s="22" t="str">
        <f t="shared" si="0"/>
        <v>https://amazon.com/dp/B0DSVY5LQD</v>
      </c>
    </row>
    <row r="35" spans="1:17" ht="16.25" customHeight="1" x14ac:dyDescent="0.2">
      <c r="A35" s="7">
        <v>33</v>
      </c>
      <c r="B35" s="8" t="s">
        <v>180</v>
      </c>
      <c r="C35" s="5" t="s">
        <v>181</v>
      </c>
      <c r="D35" s="5" t="s">
        <v>139</v>
      </c>
      <c r="E35" s="6" t="s">
        <v>44</v>
      </c>
      <c r="F35" s="6" t="s">
        <v>81</v>
      </c>
      <c r="G35" s="6" t="s">
        <v>60</v>
      </c>
      <c r="H35" s="6" t="s">
        <v>109</v>
      </c>
      <c r="I35" s="6" t="s">
        <v>48</v>
      </c>
      <c r="J35" s="6" t="s">
        <v>49</v>
      </c>
      <c r="K35" s="6">
        <v>379.99</v>
      </c>
      <c r="L35" s="6">
        <v>10737.43</v>
      </c>
      <c r="M35" s="9">
        <v>33</v>
      </c>
      <c r="N35" s="9">
        <v>39</v>
      </c>
      <c r="O35" s="5">
        <v>4.5</v>
      </c>
      <c r="P35" s="5" t="s">
        <v>182</v>
      </c>
      <c r="Q35" s="22" t="str">
        <f t="shared" ref="Q35:Q66" si="1">HYPERLINK(P35)</f>
        <v>https://amazon.com/dp/B0F8BN91TL</v>
      </c>
    </row>
    <row r="36" spans="1:17" ht="16.25" customHeight="1" x14ac:dyDescent="0.2">
      <c r="A36" s="7">
        <v>34</v>
      </c>
      <c r="B36" s="8" t="s">
        <v>183</v>
      </c>
      <c r="C36" s="5" t="s">
        <v>184</v>
      </c>
      <c r="D36" s="5" t="s">
        <v>72</v>
      </c>
      <c r="E36" s="6" t="s">
        <v>44</v>
      </c>
      <c r="F36" s="6" t="s">
        <v>45</v>
      </c>
      <c r="G36" s="6" t="s">
        <v>60</v>
      </c>
      <c r="H36" s="6" t="s">
        <v>96</v>
      </c>
      <c r="I36" s="6" t="s">
        <v>48</v>
      </c>
      <c r="J36" s="6" t="s">
        <v>49</v>
      </c>
      <c r="K36" s="6">
        <v>89.99</v>
      </c>
      <c r="L36" s="6">
        <v>10497.13</v>
      </c>
      <c r="M36" s="9">
        <v>96</v>
      </c>
      <c r="N36" s="9">
        <v>101</v>
      </c>
      <c r="O36" s="5">
        <v>4.5999999999999996</v>
      </c>
      <c r="P36" s="5" t="s">
        <v>185</v>
      </c>
      <c r="Q36" s="22" t="str">
        <f t="shared" si="1"/>
        <v>https://amazon.com/dp/B0FD3NRZ5S</v>
      </c>
    </row>
    <row r="37" spans="1:17" ht="16.25" customHeight="1" x14ac:dyDescent="0.2">
      <c r="A37" s="7">
        <v>35</v>
      </c>
      <c r="B37" s="8" t="s">
        <v>186</v>
      </c>
      <c r="C37" s="5" t="s">
        <v>187</v>
      </c>
      <c r="D37" s="5" t="s">
        <v>188</v>
      </c>
      <c r="E37" s="6" t="s">
        <v>44</v>
      </c>
      <c r="F37" s="6" t="s">
        <v>81</v>
      </c>
      <c r="G37" s="6" t="s">
        <v>60</v>
      </c>
      <c r="H37" s="6" t="s">
        <v>109</v>
      </c>
      <c r="I37" s="6" t="s">
        <v>65</v>
      </c>
      <c r="J37" s="6" t="s">
        <v>49</v>
      </c>
      <c r="K37" s="6">
        <v>249.99</v>
      </c>
      <c r="L37" s="6">
        <v>9824.84</v>
      </c>
      <c r="M37" s="9">
        <v>41</v>
      </c>
      <c r="N37" s="9">
        <v>138</v>
      </c>
      <c r="O37" s="5">
        <v>4.5999999999999996</v>
      </c>
      <c r="P37" s="5" t="s">
        <v>189</v>
      </c>
      <c r="Q37" s="22" t="str">
        <f t="shared" si="1"/>
        <v>https://amazon.com/dp/B0F21RD15V</v>
      </c>
    </row>
    <row r="38" spans="1:17" ht="16.25" customHeight="1" x14ac:dyDescent="0.2">
      <c r="A38" s="7">
        <v>36</v>
      </c>
      <c r="B38" s="8" t="s">
        <v>190</v>
      </c>
      <c r="C38" s="5" t="s">
        <v>191</v>
      </c>
      <c r="D38" s="5" t="s">
        <v>139</v>
      </c>
      <c r="E38" s="6" t="s">
        <v>44</v>
      </c>
      <c r="F38" s="6" t="s">
        <v>81</v>
      </c>
      <c r="G38" s="6" t="s">
        <v>60</v>
      </c>
      <c r="H38" s="6" t="s">
        <v>77</v>
      </c>
      <c r="I38" s="6" t="s">
        <v>65</v>
      </c>
      <c r="J38" s="6" t="s">
        <v>49</v>
      </c>
      <c r="K38" s="6">
        <v>429.99</v>
      </c>
      <c r="L38" s="6">
        <v>9244.52</v>
      </c>
      <c r="M38" s="9">
        <v>21</v>
      </c>
      <c r="N38" s="9">
        <v>38</v>
      </c>
      <c r="O38" s="5">
        <v>4.5</v>
      </c>
      <c r="P38" s="5" t="s">
        <v>192</v>
      </c>
      <c r="Q38" s="22" t="str">
        <f t="shared" si="1"/>
        <v>https://amazon.com/dp/B0G48WTXYF</v>
      </c>
    </row>
    <row r="39" spans="1:17" ht="16.25" customHeight="1" x14ac:dyDescent="0.2">
      <c r="A39" s="7">
        <v>37</v>
      </c>
      <c r="B39" s="8" t="s">
        <v>193</v>
      </c>
      <c r="C39" s="5" t="s">
        <v>194</v>
      </c>
      <c r="D39" s="5" t="s">
        <v>195</v>
      </c>
      <c r="E39" s="6" t="s">
        <v>196</v>
      </c>
      <c r="F39" s="6" t="s">
        <v>45</v>
      </c>
      <c r="G39" s="6" t="s">
        <v>124</v>
      </c>
      <c r="H39" s="6" t="s">
        <v>132</v>
      </c>
      <c r="I39" s="6" t="s">
        <v>48</v>
      </c>
      <c r="J39" s="6" t="s">
        <v>147</v>
      </c>
      <c r="K39" s="6">
        <v>999.98</v>
      </c>
      <c r="L39" s="6">
        <v>9206.82</v>
      </c>
      <c r="M39" s="9">
        <v>9</v>
      </c>
      <c r="N39" s="9"/>
      <c r="O39" s="5"/>
      <c r="P39" s="5" t="s">
        <v>197</v>
      </c>
      <c r="Q39" s="22" t="str">
        <f t="shared" si="1"/>
        <v>https://amazon.com/dp/B09QBDSQ19</v>
      </c>
    </row>
    <row r="40" spans="1:17" ht="16.25" customHeight="1" x14ac:dyDescent="0.2">
      <c r="A40" s="7">
        <v>38</v>
      </c>
      <c r="B40" s="8" t="s">
        <v>198</v>
      </c>
      <c r="C40" s="5" t="s">
        <v>199</v>
      </c>
      <c r="D40" s="5" t="s">
        <v>200</v>
      </c>
      <c r="E40" s="6" t="s">
        <v>44</v>
      </c>
      <c r="F40" s="6" t="s">
        <v>81</v>
      </c>
      <c r="G40" s="6" t="s">
        <v>60</v>
      </c>
      <c r="H40" s="6" t="s">
        <v>115</v>
      </c>
      <c r="I40" s="6" t="s">
        <v>65</v>
      </c>
      <c r="J40" s="6" t="s">
        <v>49</v>
      </c>
      <c r="K40" s="6">
        <v>309.99</v>
      </c>
      <c r="L40" s="6">
        <v>8917.75</v>
      </c>
      <c r="M40" s="9">
        <v>29</v>
      </c>
      <c r="N40" s="9">
        <v>28</v>
      </c>
      <c r="O40" s="5">
        <v>4.9000000000000004</v>
      </c>
      <c r="P40" s="5" t="s">
        <v>201</v>
      </c>
      <c r="Q40" s="22" t="str">
        <f t="shared" si="1"/>
        <v>https://amazon.com/dp/B0FQBWRMHQ</v>
      </c>
    </row>
    <row r="41" spans="1:17" ht="16.25" customHeight="1" x14ac:dyDescent="0.2">
      <c r="A41" s="7">
        <v>39</v>
      </c>
      <c r="B41" s="8" t="s">
        <v>202</v>
      </c>
      <c r="C41" s="5" t="s">
        <v>203</v>
      </c>
      <c r="D41" s="5" t="s">
        <v>139</v>
      </c>
      <c r="E41" s="6" t="s">
        <v>44</v>
      </c>
      <c r="F41" s="6" t="s">
        <v>45</v>
      </c>
      <c r="G41" s="6" t="s">
        <v>60</v>
      </c>
      <c r="H41" s="6" t="s">
        <v>204</v>
      </c>
      <c r="I41" s="6" t="s">
        <v>48</v>
      </c>
      <c r="J41" s="6" t="s">
        <v>49</v>
      </c>
      <c r="K41" s="6">
        <v>799.99</v>
      </c>
      <c r="L41" s="6">
        <v>8835.99</v>
      </c>
      <c r="M41" s="9">
        <v>11</v>
      </c>
      <c r="N41" s="9">
        <v>55</v>
      </c>
      <c r="O41" s="5">
        <v>4.4000000000000004</v>
      </c>
      <c r="P41" s="5" t="s">
        <v>205</v>
      </c>
      <c r="Q41" s="22" t="str">
        <f t="shared" si="1"/>
        <v>https://amazon.com/dp/B0FLNJ8CNL</v>
      </c>
    </row>
    <row r="42" spans="1:17" ht="16.25" customHeight="1" x14ac:dyDescent="0.2">
      <c r="A42" s="7">
        <v>40</v>
      </c>
      <c r="B42" s="8" t="s">
        <v>206</v>
      </c>
      <c r="C42" s="5" t="s">
        <v>207</v>
      </c>
      <c r="D42" s="5" t="s">
        <v>139</v>
      </c>
      <c r="E42" s="6" t="s">
        <v>123</v>
      </c>
      <c r="F42" s="6" t="s">
        <v>45</v>
      </c>
      <c r="G42" s="6" t="s">
        <v>124</v>
      </c>
      <c r="H42" s="6" t="s">
        <v>55</v>
      </c>
      <c r="I42" s="6" t="s">
        <v>48</v>
      </c>
      <c r="J42" s="6" t="s">
        <v>73</v>
      </c>
      <c r="K42" s="6">
        <v>119.99</v>
      </c>
      <c r="L42" s="6">
        <v>7890.41</v>
      </c>
      <c r="M42" s="9">
        <v>64</v>
      </c>
      <c r="N42" s="9">
        <v>206</v>
      </c>
      <c r="O42" s="5">
        <v>4.3</v>
      </c>
      <c r="P42" s="5" t="s">
        <v>208</v>
      </c>
      <c r="Q42" s="22" t="str">
        <f t="shared" si="1"/>
        <v>https://amazon.com/dp/B0DT95GVP1</v>
      </c>
    </row>
    <row r="43" spans="1:17" ht="16.25" customHeight="1" x14ac:dyDescent="0.2">
      <c r="A43" s="7">
        <v>41</v>
      </c>
      <c r="B43" s="8" t="s">
        <v>209</v>
      </c>
      <c r="C43" s="5" t="s">
        <v>210</v>
      </c>
      <c r="D43" s="5" t="s">
        <v>139</v>
      </c>
      <c r="E43" s="6" t="s">
        <v>44</v>
      </c>
      <c r="F43" s="6" t="s">
        <v>45</v>
      </c>
      <c r="G43" s="6" t="s">
        <v>60</v>
      </c>
      <c r="H43" s="6" t="s">
        <v>132</v>
      </c>
      <c r="I43" s="6" t="s">
        <v>48</v>
      </c>
      <c r="J43" s="6" t="s">
        <v>49</v>
      </c>
      <c r="K43" s="6">
        <v>329.99</v>
      </c>
      <c r="L43" s="6">
        <v>7825.05</v>
      </c>
      <c r="M43" s="9">
        <v>24</v>
      </c>
      <c r="N43" s="9">
        <v>55</v>
      </c>
      <c r="O43" s="5">
        <v>4.4000000000000004</v>
      </c>
      <c r="P43" s="5" t="s">
        <v>211</v>
      </c>
      <c r="Q43" s="22" t="str">
        <f t="shared" si="1"/>
        <v>https://amazon.com/dp/B0FJLL4LY1</v>
      </c>
    </row>
    <row r="44" spans="1:17" ht="16.25" customHeight="1" x14ac:dyDescent="0.2">
      <c r="A44" s="7">
        <v>42</v>
      </c>
      <c r="B44" s="8" t="s">
        <v>212</v>
      </c>
      <c r="C44" s="5" t="s">
        <v>213</v>
      </c>
      <c r="D44" s="5" t="s">
        <v>72</v>
      </c>
      <c r="E44" s="6" t="s">
        <v>44</v>
      </c>
      <c r="F44" s="6" t="s">
        <v>45</v>
      </c>
      <c r="G44" s="6" t="s">
        <v>60</v>
      </c>
      <c r="H44" s="6" t="s">
        <v>55</v>
      </c>
      <c r="I44" s="6" t="s">
        <v>65</v>
      </c>
      <c r="J44" s="6" t="s">
        <v>49</v>
      </c>
      <c r="K44" s="6">
        <v>105.99</v>
      </c>
      <c r="L44" s="6">
        <v>7619.81</v>
      </c>
      <c r="M44" s="9">
        <v>72</v>
      </c>
      <c r="N44" s="9">
        <v>77</v>
      </c>
      <c r="O44" s="5">
        <v>4.7</v>
      </c>
      <c r="P44" s="5" t="s">
        <v>214</v>
      </c>
      <c r="Q44" s="22" t="str">
        <f t="shared" si="1"/>
        <v>https://amazon.com/dp/B0FQC32XV7</v>
      </c>
    </row>
    <row r="45" spans="1:17" ht="16.25" customHeight="1" x14ac:dyDescent="0.2">
      <c r="A45" s="7">
        <v>43</v>
      </c>
      <c r="B45" s="8" t="s">
        <v>215</v>
      </c>
      <c r="C45" s="5" t="s">
        <v>216</v>
      </c>
      <c r="D45" s="5" t="s">
        <v>103</v>
      </c>
      <c r="E45" s="6" t="s">
        <v>44</v>
      </c>
      <c r="F45" s="6" t="s">
        <v>45</v>
      </c>
      <c r="G45" s="6" t="s">
        <v>60</v>
      </c>
      <c r="H45" s="6" t="s">
        <v>115</v>
      </c>
      <c r="I45" s="6" t="s">
        <v>48</v>
      </c>
      <c r="J45" s="6" t="s">
        <v>147</v>
      </c>
      <c r="K45" s="6">
        <v>151.99</v>
      </c>
      <c r="L45" s="6">
        <v>7530.79</v>
      </c>
      <c r="M45" s="9">
        <v>39</v>
      </c>
      <c r="N45" s="9">
        <v>8</v>
      </c>
      <c r="O45" s="5">
        <v>4.5</v>
      </c>
      <c r="P45" s="5" t="s">
        <v>217</v>
      </c>
      <c r="Q45" s="22" t="str">
        <f t="shared" si="1"/>
        <v>https://amazon.com/dp/B0DZMN1941</v>
      </c>
    </row>
    <row r="46" spans="1:17" ht="16.25" customHeight="1" x14ac:dyDescent="0.2">
      <c r="A46" s="7">
        <v>44</v>
      </c>
      <c r="B46" s="8" t="s">
        <v>218</v>
      </c>
      <c r="C46" s="5" t="s">
        <v>219</v>
      </c>
      <c r="D46" s="5" t="s">
        <v>103</v>
      </c>
      <c r="E46" s="6" t="s">
        <v>123</v>
      </c>
      <c r="F46" s="6" t="s">
        <v>81</v>
      </c>
      <c r="G46" s="6" t="s">
        <v>124</v>
      </c>
      <c r="H46" s="6" t="s">
        <v>77</v>
      </c>
      <c r="I46" s="6" t="s">
        <v>48</v>
      </c>
      <c r="J46" s="6" t="s">
        <v>147</v>
      </c>
      <c r="K46" s="6">
        <v>199.99</v>
      </c>
      <c r="L46" s="6">
        <v>7463.09</v>
      </c>
      <c r="M46" s="9">
        <v>39</v>
      </c>
      <c r="N46" s="9">
        <v>2</v>
      </c>
      <c r="O46" s="5">
        <v>5</v>
      </c>
      <c r="P46" s="5" t="s">
        <v>220</v>
      </c>
      <c r="Q46" s="22" t="str">
        <f t="shared" si="1"/>
        <v>https://amazon.com/dp/B0G1MM25PR</v>
      </c>
    </row>
    <row r="47" spans="1:17" ht="16.25" customHeight="1" x14ac:dyDescent="0.2">
      <c r="A47" s="7">
        <v>45</v>
      </c>
      <c r="B47" s="8" t="s">
        <v>221</v>
      </c>
      <c r="C47" s="5" t="s">
        <v>222</v>
      </c>
      <c r="D47" s="5" t="s">
        <v>223</v>
      </c>
      <c r="E47" s="6" t="s">
        <v>44</v>
      </c>
      <c r="F47" s="6" t="s">
        <v>45</v>
      </c>
      <c r="G47" s="6" t="s">
        <v>60</v>
      </c>
      <c r="H47" s="6" t="s">
        <v>96</v>
      </c>
      <c r="I47" s="6" t="s">
        <v>48</v>
      </c>
      <c r="J47" s="6" t="s">
        <v>116</v>
      </c>
      <c r="K47" s="6">
        <v>168.98</v>
      </c>
      <c r="L47" s="6">
        <v>7238.91</v>
      </c>
      <c r="M47" s="9">
        <v>43</v>
      </c>
      <c r="N47" s="9">
        <v>47</v>
      </c>
      <c r="O47" s="5">
        <v>4.7</v>
      </c>
      <c r="P47" s="5" t="s">
        <v>224</v>
      </c>
      <c r="Q47" s="22" t="str">
        <f t="shared" si="1"/>
        <v>https://amazon.com/dp/B0FBWTBNTY</v>
      </c>
    </row>
    <row r="48" spans="1:17" ht="16.25" customHeight="1" x14ac:dyDescent="0.2">
      <c r="A48" s="7">
        <v>46</v>
      </c>
      <c r="B48" s="8" t="s">
        <v>225</v>
      </c>
      <c r="C48" s="5" t="s">
        <v>226</v>
      </c>
      <c r="D48" s="5" t="s">
        <v>223</v>
      </c>
      <c r="E48" s="6" t="s">
        <v>44</v>
      </c>
      <c r="F48" s="6" t="s">
        <v>45</v>
      </c>
      <c r="G48" s="6" t="s">
        <v>60</v>
      </c>
      <c r="H48" s="6" t="s">
        <v>82</v>
      </c>
      <c r="I48" s="6" t="s">
        <v>48</v>
      </c>
      <c r="J48" s="6" t="s">
        <v>227</v>
      </c>
      <c r="K48" s="6">
        <v>69.98</v>
      </c>
      <c r="L48" s="6">
        <v>7138.52</v>
      </c>
      <c r="M48" s="9">
        <v>102</v>
      </c>
      <c r="N48" s="9">
        <v>82</v>
      </c>
      <c r="O48" s="5">
        <v>4.5999999999999996</v>
      </c>
      <c r="P48" s="5" t="s">
        <v>228</v>
      </c>
      <c r="Q48" s="22" t="str">
        <f t="shared" si="1"/>
        <v>https://amazon.com/dp/B0DHRPXGRL</v>
      </c>
    </row>
    <row r="49" spans="1:17" ht="16.25" customHeight="1" x14ac:dyDescent="0.2">
      <c r="A49" s="7">
        <v>47</v>
      </c>
      <c r="B49" s="8" t="s">
        <v>229</v>
      </c>
      <c r="C49" s="5" t="s">
        <v>230</v>
      </c>
      <c r="D49" s="5" t="s">
        <v>139</v>
      </c>
      <c r="E49" s="6" t="s">
        <v>44</v>
      </c>
      <c r="F49" s="6" t="s">
        <v>45</v>
      </c>
      <c r="G49" s="6" t="s">
        <v>60</v>
      </c>
      <c r="H49" s="6" t="s">
        <v>109</v>
      </c>
      <c r="I49" s="6" t="s">
        <v>48</v>
      </c>
      <c r="J49" s="6" t="s">
        <v>147</v>
      </c>
      <c r="K49" s="6">
        <v>99.99</v>
      </c>
      <c r="L49" s="6">
        <v>6956.24</v>
      </c>
      <c r="M49" s="9">
        <v>70</v>
      </c>
      <c r="N49" s="9">
        <v>182</v>
      </c>
      <c r="O49" s="5">
        <v>4.5999999999999996</v>
      </c>
      <c r="P49" s="5" t="s">
        <v>231</v>
      </c>
      <c r="Q49" s="22" t="str">
        <f t="shared" si="1"/>
        <v>https://amazon.com/dp/B0D8SDT9HT</v>
      </c>
    </row>
    <row r="50" spans="1:17" ht="16.25" customHeight="1" x14ac:dyDescent="0.2">
      <c r="A50" s="7">
        <v>48</v>
      </c>
      <c r="B50" s="8" t="s">
        <v>232</v>
      </c>
      <c r="C50" s="5" t="s">
        <v>233</v>
      </c>
      <c r="D50" s="5" t="s">
        <v>72</v>
      </c>
      <c r="E50" s="6" t="s">
        <v>44</v>
      </c>
      <c r="F50" s="6" t="s">
        <v>45</v>
      </c>
      <c r="G50" s="6" t="s">
        <v>60</v>
      </c>
      <c r="H50" s="6" t="s">
        <v>96</v>
      </c>
      <c r="I50" s="6" t="s">
        <v>48</v>
      </c>
      <c r="J50" s="6" t="s">
        <v>49</v>
      </c>
      <c r="K50" s="6">
        <v>99.99</v>
      </c>
      <c r="L50" s="6">
        <v>6778.25</v>
      </c>
      <c r="M50" s="9">
        <v>56</v>
      </c>
      <c r="N50" s="9">
        <v>459</v>
      </c>
      <c r="O50" s="5">
        <v>4.7</v>
      </c>
      <c r="P50" s="5" t="s">
        <v>234</v>
      </c>
      <c r="Q50" s="22" t="str">
        <f t="shared" si="1"/>
        <v>https://amazon.com/dp/B0DPX48VZB</v>
      </c>
    </row>
    <row r="51" spans="1:17" ht="16.25" customHeight="1" x14ac:dyDescent="0.2">
      <c r="A51" s="7">
        <v>49</v>
      </c>
      <c r="B51" s="8" t="s">
        <v>235</v>
      </c>
      <c r="C51" s="5" t="s">
        <v>236</v>
      </c>
      <c r="D51" s="5" t="s">
        <v>237</v>
      </c>
      <c r="E51" s="6" t="s">
        <v>44</v>
      </c>
      <c r="F51" s="6" t="s">
        <v>81</v>
      </c>
      <c r="G51" s="6" t="s">
        <v>60</v>
      </c>
      <c r="H51" s="6" t="s">
        <v>109</v>
      </c>
      <c r="I51" s="6" t="s">
        <v>48</v>
      </c>
      <c r="J51" s="6" t="s">
        <v>49</v>
      </c>
      <c r="K51" s="6">
        <v>228</v>
      </c>
      <c r="L51" s="6">
        <v>6717.31</v>
      </c>
      <c r="M51" s="9">
        <v>31</v>
      </c>
      <c r="N51" s="9">
        <v>1</v>
      </c>
      <c r="O51" s="5">
        <v>5</v>
      </c>
      <c r="P51" s="5" t="s">
        <v>238</v>
      </c>
      <c r="Q51" s="22" t="str">
        <f t="shared" si="1"/>
        <v>https://amazon.com/dp/B0G34PXC7N</v>
      </c>
    </row>
    <row r="52" spans="1:17" ht="16.25" customHeight="1" x14ac:dyDescent="0.2">
      <c r="A52" s="7">
        <v>50</v>
      </c>
      <c r="B52" s="8" t="s">
        <v>239</v>
      </c>
      <c r="C52" s="5" t="s">
        <v>240</v>
      </c>
      <c r="D52" s="5" t="s">
        <v>72</v>
      </c>
      <c r="E52" s="6" t="s">
        <v>44</v>
      </c>
      <c r="F52" s="6" t="s">
        <v>45</v>
      </c>
      <c r="G52" s="6" t="s">
        <v>46</v>
      </c>
      <c r="H52" s="6" t="s">
        <v>82</v>
      </c>
      <c r="I52" s="6" t="s">
        <v>48</v>
      </c>
      <c r="J52" s="6" t="s">
        <v>49</v>
      </c>
      <c r="K52" s="6">
        <v>89.99</v>
      </c>
      <c r="L52" s="6">
        <v>6425.32</v>
      </c>
      <c r="M52" s="9">
        <v>61</v>
      </c>
      <c r="N52" s="9">
        <v>328</v>
      </c>
      <c r="O52" s="5">
        <v>4.5</v>
      </c>
      <c r="P52" s="5" t="s">
        <v>241</v>
      </c>
      <c r="Q52" s="22" t="str">
        <f t="shared" si="1"/>
        <v>https://amazon.com/dp/B0DBZ6Q4YH</v>
      </c>
    </row>
    <row r="53" spans="1:17" x14ac:dyDescent="0.2">
      <c r="E53" s="6"/>
      <c r="F53" s="6"/>
      <c r="G53" s="6"/>
      <c r="H53" s="9"/>
      <c r="I53" s="9"/>
      <c r="K53" s="16"/>
    </row>
    <row r="54" spans="1:17" x14ac:dyDescent="0.2">
      <c r="E54" s="6"/>
      <c r="F54" s="6"/>
      <c r="G54" s="6"/>
      <c r="H54" s="9"/>
      <c r="I54" s="9"/>
    </row>
    <row r="55" spans="1:17" ht="26" customHeight="1" x14ac:dyDescent="0.25">
      <c r="A55" s="116" t="s">
        <v>242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9"/>
      <c r="Q55" s="117"/>
    </row>
    <row r="56" spans="1:17" ht="57" customHeight="1" x14ac:dyDescent="0.2">
      <c r="A56" s="49" t="s">
        <v>25</v>
      </c>
      <c r="B56" s="50" t="s">
        <v>26</v>
      </c>
      <c r="C56" s="50" t="s">
        <v>27</v>
      </c>
      <c r="D56" s="50" t="s">
        <v>1</v>
      </c>
      <c r="E56" s="51" t="s">
        <v>28</v>
      </c>
      <c r="F56" s="51" t="s">
        <v>29</v>
      </c>
      <c r="G56" s="51" t="s">
        <v>30</v>
      </c>
      <c r="H56" s="51" t="s">
        <v>31</v>
      </c>
      <c r="I56" s="51" t="s">
        <v>32</v>
      </c>
      <c r="J56" s="51" t="s">
        <v>33</v>
      </c>
      <c r="K56" s="51" t="s">
        <v>34</v>
      </c>
      <c r="L56" s="52" t="s">
        <v>35</v>
      </c>
      <c r="M56" s="53" t="s">
        <v>36</v>
      </c>
      <c r="N56" s="54" t="s">
        <v>37</v>
      </c>
      <c r="O56" s="55" t="s">
        <v>38</v>
      </c>
      <c r="P56" s="55" t="s">
        <v>39</v>
      </c>
      <c r="Q56" s="104" t="s">
        <v>40</v>
      </c>
    </row>
    <row r="57" spans="1:17" ht="18.25" customHeight="1" x14ac:dyDescent="0.2">
      <c r="A57" s="7">
        <v>1</v>
      </c>
      <c r="B57" s="5" t="s">
        <v>41</v>
      </c>
      <c r="C57" s="10" t="s">
        <v>42</v>
      </c>
      <c r="D57" s="11" t="s">
        <v>43</v>
      </c>
      <c r="E57" s="6" t="s">
        <v>44</v>
      </c>
      <c r="F57" s="6" t="s">
        <v>45</v>
      </c>
      <c r="G57" s="6" t="s">
        <v>46</v>
      </c>
      <c r="H57" s="6" t="s">
        <v>47</v>
      </c>
      <c r="I57" s="6" t="s">
        <v>48</v>
      </c>
      <c r="J57" s="6" t="s">
        <v>49</v>
      </c>
      <c r="K57" s="6">
        <v>129.99</v>
      </c>
      <c r="L57" s="6">
        <v>895511.65</v>
      </c>
      <c r="M57" s="9">
        <v>6889</v>
      </c>
      <c r="N57" s="9">
        <v>1347</v>
      </c>
      <c r="O57" s="5">
        <v>4.7</v>
      </c>
      <c r="P57" s="5" t="s">
        <v>50</v>
      </c>
      <c r="Q57" s="22" t="str">
        <f t="shared" ref="Q57:Q88" si="2">HYPERLINK(P57)</f>
        <v>https://amazon.com/dp/B0CJY5C9QX</v>
      </c>
    </row>
    <row r="58" spans="1:17" ht="18.25" customHeight="1" x14ac:dyDescent="0.2">
      <c r="A58" s="7">
        <v>2</v>
      </c>
      <c r="B58" s="5" t="s">
        <v>51</v>
      </c>
      <c r="C58" s="10" t="s">
        <v>52</v>
      </c>
      <c r="D58" s="11" t="s">
        <v>53</v>
      </c>
      <c r="E58" s="6" t="s">
        <v>44</v>
      </c>
      <c r="F58" s="6" t="s">
        <v>45</v>
      </c>
      <c r="G58" s="6" t="s">
        <v>54</v>
      </c>
      <c r="H58" s="6" t="s">
        <v>55</v>
      </c>
      <c r="I58" s="6" t="s">
        <v>48</v>
      </c>
      <c r="J58" s="6" t="s">
        <v>56</v>
      </c>
      <c r="K58" s="6">
        <v>139.38999999999999</v>
      </c>
      <c r="L58" s="6">
        <v>211059.89</v>
      </c>
      <c r="M58" s="9">
        <v>1521</v>
      </c>
      <c r="N58" s="9">
        <v>1621</v>
      </c>
      <c r="O58" s="5">
        <v>4.5999999999999996</v>
      </c>
      <c r="P58" s="5" t="s">
        <v>57</v>
      </c>
      <c r="Q58" s="22" t="str">
        <f t="shared" si="2"/>
        <v>https://amazon.com/dp/B0B28HRSBP</v>
      </c>
    </row>
    <row r="59" spans="1:17" ht="18.25" customHeight="1" x14ac:dyDescent="0.2">
      <c r="A59" s="7">
        <v>3</v>
      </c>
      <c r="B59" s="5" t="s">
        <v>58</v>
      </c>
      <c r="C59" s="10" t="s">
        <v>59</v>
      </c>
      <c r="D59" s="11" t="s">
        <v>43</v>
      </c>
      <c r="E59" s="6" t="s">
        <v>44</v>
      </c>
      <c r="F59" s="6" t="s">
        <v>45</v>
      </c>
      <c r="G59" s="6" t="s">
        <v>60</v>
      </c>
      <c r="H59" s="6" t="s">
        <v>61</v>
      </c>
      <c r="I59" s="6" t="s">
        <v>48</v>
      </c>
      <c r="J59" s="6" t="s">
        <v>49</v>
      </c>
      <c r="K59" s="6">
        <v>139.99</v>
      </c>
      <c r="L59" s="6">
        <v>163412.07999999999</v>
      </c>
      <c r="M59" s="9">
        <v>1359</v>
      </c>
      <c r="N59" s="9">
        <v>263</v>
      </c>
      <c r="O59" s="5">
        <v>4.5999999999999996</v>
      </c>
      <c r="P59" s="5" t="s">
        <v>62</v>
      </c>
      <c r="Q59" s="22" t="str">
        <f t="shared" si="2"/>
        <v>https://amazon.com/dp/B0DT4H7QQM</v>
      </c>
    </row>
    <row r="60" spans="1:17" ht="18.25" customHeight="1" x14ac:dyDescent="0.2">
      <c r="A60" s="7">
        <v>4</v>
      </c>
      <c r="B60" s="5" t="s">
        <v>63</v>
      </c>
      <c r="C60" s="10" t="s">
        <v>64</v>
      </c>
      <c r="D60" s="11" t="s">
        <v>43</v>
      </c>
      <c r="E60" s="6" t="s">
        <v>44</v>
      </c>
      <c r="F60" s="6" t="s">
        <v>45</v>
      </c>
      <c r="G60" s="6" t="s">
        <v>46</v>
      </c>
      <c r="H60" s="6" t="s">
        <v>47</v>
      </c>
      <c r="I60" s="6" t="s">
        <v>65</v>
      </c>
      <c r="J60" s="6" t="s">
        <v>49</v>
      </c>
      <c r="K60" s="6">
        <v>149.99</v>
      </c>
      <c r="L60" s="6">
        <v>149501.28</v>
      </c>
      <c r="M60" s="9">
        <v>1126</v>
      </c>
      <c r="N60" s="9">
        <v>403</v>
      </c>
      <c r="O60" s="5">
        <v>4.5</v>
      </c>
      <c r="P60" s="5" t="s">
        <v>66</v>
      </c>
      <c r="Q60" s="22" t="str">
        <f t="shared" si="2"/>
        <v>https://amazon.com/dp/B0CJY6SWBN</v>
      </c>
    </row>
    <row r="61" spans="1:17" ht="18.25" customHeight="1" x14ac:dyDescent="0.2">
      <c r="A61" s="7">
        <v>5</v>
      </c>
      <c r="B61" s="5" t="s">
        <v>101</v>
      </c>
      <c r="C61" s="10" t="s">
        <v>102</v>
      </c>
      <c r="D61" s="11" t="s">
        <v>103</v>
      </c>
      <c r="E61" s="6" t="s">
        <v>44</v>
      </c>
      <c r="F61" s="6" t="s">
        <v>45</v>
      </c>
      <c r="G61" s="6" t="s">
        <v>54</v>
      </c>
      <c r="H61" s="6" t="s">
        <v>61</v>
      </c>
      <c r="I61" s="6" t="s">
        <v>48</v>
      </c>
      <c r="J61" s="6" t="s">
        <v>104</v>
      </c>
      <c r="K61" s="6">
        <v>72.989999999999995</v>
      </c>
      <c r="L61" s="6">
        <v>52520.15</v>
      </c>
      <c r="M61" s="9">
        <v>777</v>
      </c>
      <c r="N61" s="9">
        <v>64</v>
      </c>
      <c r="O61" s="5">
        <v>4.5</v>
      </c>
      <c r="P61" s="5" t="s">
        <v>105</v>
      </c>
      <c r="Q61" s="22" t="str">
        <f t="shared" si="2"/>
        <v>https://amazon.com/dp/B0FGJ8WVGP</v>
      </c>
    </row>
    <row r="62" spans="1:17" ht="18.25" customHeight="1" x14ac:dyDescent="0.2">
      <c r="A62" s="7">
        <v>6</v>
      </c>
      <c r="B62" s="5" t="s">
        <v>67</v>
      </c>
      <c r="C62" s="10" t="s">
        <v>68</v>
      </c>
      <c r="D62" s="11" t="s">
        <v>53</v>
      </c>
      <c r="E62" s="6" t="s">
        <v>44</v>
      </c>
      <c r="F62" s="6" t="s">
        <v>45</v>
      </c>
      <c r="G62" s="6" t="s">
        <v>60</v>
      </c>
      <c r="H62" s="6" t="s">
        <v>47</v>
      </c>
      <c r="I62" s="6" t="s">
        <v>65</v>
      </c>
      <c r="J62" s="6" t="s">
        <v>49</v>
      </c>
      <c r="K62" s="6">
        <v>135.99</v>
      </c>
      <c r="L62" s="6">
        <v>89923.57</v>
      </c>
      <c r="M62" s="9">
        <v>683</v>
      </c>
      <c r="N62" s="9">
        <v>506</v>
      </c>
      <c r="O62" s="5">
        <v>4.5</v>
      </c>
      <c r="P62" s="5" t="s">
        <v>69</v>
      </c>
      <c r="Q62" s="22" t="str">
        <f t="shared" si="2"/>
        <v>https://amazon.com/dp/B0C3B32Q9Z</v>
      </c>
    </row>
    <row r="63" spans="1:17" ht="18.25" customHeight="1" x14ac:dyDescent="0.2">
      <c r="A63" s="7">
        <v>7</v>
      </c>
      <c r="B63" s="5" t="s">
        <v>88</v>
      </c>
      <c r="C63" s="10" t="s">
        <v>89</v>
      </c>
      <c r="D63" s="11" t="s">
        <v>90</v>
      </c>
      <c r="E63" s="6" t="s">
        <v>44</v>
      </c>
      <c r="F63" s="6" t="s">
        <v>45</v>
      </c>
      <c r="G63" s="6" t="s">
        <v>54</v>
      </c>
      <c r="H63" s="6" t="s">
        <v>47</v>
      </c>
      <c r="I63" s="6" t="s">
        <v>48</v>
      </c>
      <c r="J63" s="6" t="s">
        <v>56</v>
      </c>
      <c r="K63" s="6">
        <v>105.99</v>
      </c>
      <c r="L63" s="6">
        <v>61955.85</v>
      </c>
      <c r="M63" s="9">
        <v>620</v>
      </c>
      <c r="N63" s="9">
        <v>424</v>
      </c>
      <c r="O63" s="5">
        <v>4.5999999999999996</v>
      </c>
      <c r="P63" s="5" t="s">
        <v>91</v>
      </c>
      <c r="Q63" s="22" t="str">
        <f t="shared" si="2"/>
        <v>https://amazon.com/dp/B0DFHL8YN5</v>
      </c>
    </row>
    <row r="64" spans="1:17" ht="18.25" customHeight="1" x14ac:dyDescent="0.2">
      <c r="A64" s="7">
        <v>8</v>
      </c>
      <c r="B64" s="5" t="s">
        <v>121</v>
      </c>
      <c r="C64" s="10" t="s">
        <v>122</v>
      </c>
      <c r="D64" s="11" t="s">
        <v>43</v>
      </c>
      <c r="E64" s="6" t="s">
        <v>123</v>
      </c>
      <c r="F64" s="6" t="s">
        <v>45</v>
      </c>
      <c r="G64" s="6" t="s">
        <v>124</v>
      </c>
      <c r="H64" s="6" t="s">
        <v>96</v>
      </c>
      <c r="I64" s="6" t="s">
        <v>48</v>
      </c>
      <c r="J64" s="6" t="s">
        <v>49</v>
      </c>
      <c r="K64" s="6">
        <v>67.989999999999995</v>
      </c>
      <c r="L64" s="6">
        <v>44223.32</v>
      </c>
      <c r="M64" s="9">
        <v>600</v>
      </c>
      <c r="N64" s="9">
        <v>125</v>
      </c>
      <c r="O64" s="5">
        <v>4.3</v>
      </c>
      <c r="P64" s="5" t="s">
        <v>125</v>
      </c>
      <c r="Q64" s="22" t="str">
        <f t="shared" si="2"/>
        <v>https://amazon.com/dp/B0F2H49C2D</v>
      </c>
    </row>
    <row r="65" spans="1:17" ht="18.25" customHeight="1" x14ac:dyDescent="0.2">
      <c r="A65" s="7">
        <v>9</v>
      </c>
      <c r="B65" s="5" t="s">
        <v>126</v>
      </c>
      <c r="C65" s="10" t="s">
        <v>127</v>
      </c>
      <c r="D65" s="11" t="s">
        <v>128</v>
      </c>
      <c r="E65" s="6" t="s">
        <v>44</v>
      </c>
      <c r="F65" s="6" t="s">
        <v>45</v>
      </c>
      <c r="G65" s="6" t="s">
        <v>54</v>
      </c>
      <c r="H65" s="6" t="s">
        <v>47</v>
      </c>
      <c r="I65" s="6" t="s">
        <v>48</v>
      </c>
      <c r="J65" s="6" t="s">
        <v>56</v>
      </c>
      <c r="K65" s="6">
        <v>69.989999999999995</v>
      </c>
      <c r="L65" s="6">
        <v>43578.89</v>
      </c>
      <c r="M65" s="9">
        <v>571</v>
      </c>
      <c r="N65" s="9">
        <v>211</v>
      </c>
      <c r="O65" s="5">
        <v>4.5</v>
      </c>
      <c r="P65" s="5" t="s">
        <v>129</v>
      </c>
      <c r="Q65" s="22" t="str">
        <f t="shared" si="2"/>
        <v>https://amazon.com/dp/B0DT98YB3X</v>
      </c>
    </row>
    <row r="66" spans="1:17" ht="18.25" customHeight="1" x14ac:dyDescent="0.2">
      <c r="A66" s="7">
        <v>10</v>
      </c>
      <c r="B66" s="5" t="s">
        <v>70</v>
      </c>
      <c r="C66" s="10" t="s">
        <v>71</v>
      </c>
      <c r="D66" s="11" t="s">
        <v>72</v>
      </c>
      <c r="E66" s="6" t="s">
        <v>44</v>
      </c>
      <c r="F66" s="6" t="s">
        <v>45</v>
      </c>
      <c r="G66" s="6" t="s">
        <v>46</v>
      </c>
      <c r="H66" s="6" t="s">
        <v>47</v>
      </c>
      <c r="I66" s="6" t="s">
        <v>65</v>
      </c>
      <c r="J66" s="6" t="s">
        <v>73</v>
      </c>
      <c r="K66" s="6">
        <v>159.99</v>
      </c>
      <c r="L66" s="6">
        <v>80479.850000000006</v>
      </c>
      <c r="M66" s="9">
        <v>568</v>
      </c>
      <c r="N66" s="9">
        <v>338</v>
      </c>
      <c r="O66" s="5">
        <v>4.5999999999999996</v>
      </c>
      <c r="P66" s="5" t="s">
        <v>74</v>
      </c>
      <c r="Q66" s="22" t="str">
        <f t="shared" si="2"/>
        <v>https://amazon.com/dp/B0F62WJY8N</v>
      </c>
    </row>
    <row r="67" spans="1:17" ht="18.25" customHeight="1" x14ac:dyDescent="0.2">
      <c r="A67" s="7">
        <v>11</v>
      </c>
      <c r="B67" s="5" t="s">
        <v>92</v>
      </c>
      <c r="C67" s="10" t="s">
        <v>93</v>
      </c>
      <c r="D67" s="11" t="s">
        <v>94</v>
      </c>
      <c r="E67" s="6" t="s">
        <v>95</v>
      </c>
      <c r="F67" s="6" t="s">
        <v>45</v>
      </c>
      <c r="G67" s="6" t="s">
        <v>54</v>
      </c>
      <c r="H67" s="6" t="s">
        <v>96</v>
      </c>
      <c r="I67" s="6" t="s">
        <v>65</v>
      </c>
      <c r="J67" s="6" t="s">
        <v>49</v>
      </c>
      <c r="K67" s="6">
        <v>139.99</v>
      </c>
      <c r="L67" s="6">
        <v>52946.87</v>
      </c>
      <c r="M67" s="9">
        <v>458</v>
      </c>
      <c r="N67" s="9">
        <v>322</v>
      </c>
      <c r="O67" s="5">
        <v>4.5999999999999996</v>
      </c>
      <c r="P67" s="5" t="s">
        <v>97</v>
      </c>
      <c r="Q67" s="22" t="str">
        <f t="shared" si="2"/>
        <v>https://amazon.com/dp/B0FZJ4CQB6</v>
      </c>
    </row>
    <row r="68" spans="1:17" ht="18.25" customHeight="1" x14ac:dyDescent="0.2">
      <c r="A68" s="7">
        <v>12</v>
      </c>
      <c r="B68" s="5" t="s">
        <v>118</v>
      </c>
      <c r="C68" s="10" t="s">
        <v>119</v>
      </c>
      <c r="D68" s="11" t="s">
        <v>72</v>
      </c>
      <c r="E68" s="6" t="s">
        <v>44</v>
      </c>
      <c r="F68" s="6" t="s">
        <v>45</v>
      </c>
      <c r="G68" s="6" t="s">
        <v>46</v>
      </c>
      <c r="H68" s="6" t="s">
        <v>47</v>
      </c>
      <c r="I68" s="6" t="s">
        <v>65</v>
      </c>
      <c r="J68" s="6" t="s">
        <v>49</v>
      </c>
      <c r="K68" s="6">
        <v>129.99</v>
      </c>
      <c r="L68" s="6">
        <v>44688.99</v>
      </c>
      <c r="M68" s="9">
        <v>418</v>
      </c>
      <c r="N68" s="9">
        <v>340</v>
      </c>
      <c r="O68" s="5">
        <v>4.5999999999999996</v>
      </c>
      <c r="P68" s="5" t="s">
        <v>120</v>
      </c>
      <c r="Q68" s="22" t="str">
        <f t="shared" si="2"/>
        <v>https://amazon.com/dp/B0DT16R78W</v>
      </c>
    </row>
    <row r="69" spans="1:17" ht="18.25" customHeight="1" x14ac:dyDescent="0.2">
      <c r="A69" s="7">
        <v>13</v>
      </c>
      <c r="B69" s="5" t="s">
        <v>112</v>
      </c>
      <c r="C69" s="10" t="s">
        <v>113</v>
      </c>
      <c r="D69" s="11" t="s">
        <v>114</v>
      </c>
      <c r="E69" s="6" t="s">
        <v>44</v>
      </c>
      <c r="F69" s="6" t="s">
        <v>45</v>
      </c>
      <c r="G69" s="6" t="s">
        <v>60</v>
      </c>
      <c r="H69" s="6" t="s">
        <v>115</v>
      </c>
      <c r="I69" s="6" t="s">
        <v>48</v>
      </c>
      <c r="J69" s="6" t="s">
        <v>116</v>
      </c>
      <c r="K69" s="6">
        <v>119.99</v>
      </c>
      <c r="L69" s="6">
        <v>44902.94</v>
      </c>
      <c r="M69" s="9">
        <v>374</v>
      </c>
      <c r="N69" s="9">
        <v>73</v>
      </c>
      <c r="O69" s="5">
        <v>4.8</v>
      </c>
      <c r="P69" s="5" t="s">
        <v>117</v>
      </c>
      <c r="Q69" s="22" t="str">
        <f t="shared" si="2"/>
        <v>https://amazon.com/dp/B0FFT6SJHW</v>
      </c>
    </row>
    <row r="70" spans="1:17" ht="18.25" customHeight="1" x14ac:dyDescent="0.2">
      <c r="A70" s="7">
        <v>14</v>
      </c>
      <c r="B70" s="5" t="s">
        <v>106</v>
      </c>
      <c r="C70" s="10" t="s">
        <v>107</v>
      </c>
      <c r="D70" s="11" t="s">
        <v>108</v>
      </c>
      <c r="E70" s="6" t="s">
        <v>44</v>
      </c>
      <c r="F70" s="6" t="s">
        <v>45</v>
      </c>
      <c r="G70" s="6" t="s">
        <v>54</v>
      </c>
      <c r="H70" s="6" t="s">
        <v>109</v>
      </c>
      <c r="I70" s="6" t="s">
        <v>48</v>
      </c>
      <c r="J70" s="6" t="s">
        <v>110</v>
      </c>
      <c r="K70" s="6">
        <v>129.99</v>
      </c>
      <c r="L70" s="6">
        <v>49904.6</v>
      </c>
      <c r="M70" s="9">
        <v>374</v>
      </c>
      <c r="N70" s="9">
        <v>185</v>
      </c>
      <c r="O70" s="5">
        <v>4.5999999999999996</v>
      </c>
      <c r="P70" s="5" t="s">
        <v>111</v>
      </c>
      <c r="Q70" s="22" t="str">
        <f t="shared" si="2"/>
        <v>https://amazon.com/dp/B0DPHJSPBY</v>
      </c>
    </row>
    <row r="71" spans="1:17" ht="18.25" customHeight="1" x14ac:dyDescent="0.2">
      <c r="A71" s="7">
        <v>15</v>
      </c>
      <c r="B71" s="5" t="s">
        <v>75</v>
      </c>
      <c r="C71" s="10" t="s">
        <v>76</v>
      </c>
      <c r="D71" s="11" t="s">
        <v>43</v>
      </c>
      <c r="E71" s="6" t="s">
        <v>44</v>
      </c>
      <c r="F71" s="6" t="s">
        <v>45</v>
      </c>
      <c r="G71" s="6" t="s">
        <v>60</v>
      </c>
      <c r="H71" s="6" t="s">
        <v>77</v>
      </c>
      <c r="I71" s="6" t="s">
        <v>65</v>
      </c>
      <c r="J71" s="6" t="s">
        <v>49</v>
      </c>
      <c r="K71" s="6">
        <v>241.99</v>
      </c>
      <c r="L71" s="6">
        <v>70950.960000000006</v>
      </c>
      <c r="M71" s="9">
        <v>238</v>
      </c>
      <c r="N71" s="9">
        <v>203</v>
      </c>
      <c r="O71" s="5">
        <v>4.2</v>
      </c>
      <c r="P71" s="5" t="s">
        <v>78</v>
      </c>
      <c r="Q71" s="22" t="str">
        <f t="shared" si="2"/>
        <v>https://amazon.com/dp/B0CHW4FLS7</v>
      </c>
    </row>
    <row r="72" spans="1:17" ht="18.25" customHeight="1" x14ac:dyDescent="0.2">
      <c r="A72" s="7">
        <v>16</v>
      </c>
      <c r="B72" s="5" t="s">
        <v>169</v>
      </c>
      <c r="C72" s="10" t="s">
        <v>170</v>
      </c>
      <c r="D72" s="11" t="s">
        <v>171</v>
      </c>
      <c r="E72" s="6" t="s">
        <v>44</v>
      </c>
      <c r="F72" s="6" t="s">
        <v>45</v>
      </c>
      <c r="G72" s="6" t="s">
        <v>124</v>
      </c>
      <c r="H72" s="6" t="s">
        <v>109</v>
      </c>
      <c r="I72" s="6" t="s">
        <v>48</v>
      </c>
      <c r="J72" s="6" t="s">
        <v>172</v>
      </c>
      <c r="K72" s="6">
        <v>79.989999999999995</v>
      </c>
      <c r="L72" s="6">
        <v>19066.54</v>
      </c>
      <c r="M72" s="9">
        <v>238</v>
      </c>
      <c r="N72" s="9">
        <v>82</v>
      </c>
      <c r="O72" s="5">
        <v>4.3</v>
      </c>
      <c r="P72" s="5" t="s">
        <v>173</v>
      </c>
      <c r="Q72" s="22" t="str">
        <f t="shared" si="2"/>
        <v>https://amazon.com/dp/B0FBX2NSHL</v>
      </c>
    </row>
    <row r="73" spans="1:17" ht="18.25" customHeight="1" x14ac:dyDescent="0.2">
      <c r="A73" s="7">
        <v>17</v>
      </c>
      <c r="B73" s="5" t="s">
        <v>162</v>
      </c>
      <c r="C73" s="10" t="s">
        <v>163</v>
      </c>
      <c r="D73" s="11" t="s">
        <v>164</v>
      </c>
      <c r="E73" s="6" t="s">
        <v>44</v>
      </c>
      <c r="F73" s="6" t="s">
        <v>45</v>
      </c>
      <c r="G73" s="6" t="s">
        <v>60</v>
      </c>
      <c r="H73" s="6" t="s">
        <v>115</v>
      </c>
      <c r="I73" s="6" t="s">
        <v>48</v>
      </c>
      <c r="J73" s="6" t="s">
        <v>49</v>
      </c>
      <c r="K73" s="6">
        <v>95.9</v>
      </c>
      <c r="L73" s="6">
        <v>20567.330000000002</v>
      </c>
      <c r="M73" s="9">
        <v>216</v>
      </c>
      <c r="N73" s="9">
        <v>491</v>
      </c>
      <c r="O73" s="5">
        <v>4.5999999999999996</v>
      </c>
      <c r="P73" s="5" t="s">
        <v>165</v>
      </c>
      <c r="Q73" s="22" t="str">
        <f t="shared" si="2"/>
        <v>https://amazon.com/dp/B0C9GR791B</v>
      </c>
    </row>
    <row r="74" spans="1:17" ht="18.25" customHeight="1" x14ac:dyDescent="0.2">
      <c r="A74" s="7">
        <v>18</v>
      </c>
      <c r="B74" s="5" t="s">
        <v>155</v>
      </c>
      <c r="C74" s="10" t="s">
        <v>156</v>
      </c>
      <c r="D74" s="11" t="s">
        <v>157</v>
      </c>
      <c r="E74" s="6" t="s">
        <v>44</v>
      </c>
      <c r="F74" s="6" t="s">
        <v>45</v>
      </c>
      <c r="G74" s="6" t="s">
        <v>60</v>
      </c>
      <c r="H74" s="6" t="s">
        <v>82</v>
      </c>
      <c r="I74" s="6" t="s">
        <v>65</v>
      </c>
      <c r="J74" s="6" t="s">
        <v>49</v>
      </c>
      <c r="K74" s="6">
        <v>119.99</v>
      </c>
      <c r="L74" s="6">
        <v>23870.02</v>
      </c>
      <c r="M74" s="9">
        <v>213</v>
      </c>
      <c r="N74" s="9">
        <v>66</v>
      </c>
      <c r="O74" s="5">
        <v>4.5</v>
      </c>
      <c r="P74" s="5" t="s">
        <v>158</v>
      </c>
      <c r="Q74" s="22" t="str">
        <f t="shared" si="2"/>
        <v>https://amazon.com/dp/B0DPQ2HV9T</v>
      </c>
    </row>
    <row r="75" spans="1:17" ht="18.25" customHeight="1" x14ac:dyDescent="0.2">
      <c r="A75" s="7">
        <v>19</v>
      </c>
      <c r="B75" s="5" t="s">
        <v>152</v>
      </c>
      <c r="C75" s="10" t="s">
        <v>153</v>
      </c>
      <c r="D75" s="11" t="s">
        <v>53</v>
      </c>
      <c r="E75" s="6" t="s">
        <v>44</v>
      </c>
      <c r="F75" s="6" t="s">
        <v>45</v>
      </c>
      <c r="G75" s="6" t="s">
        <v>54</v>
      </c>
      <c r="H75" s="6" t="s">
        <v>47</v>
      </c>
      <c r="I75" s="6" t="s">
        <v>48</v>
      </c>
      <c r="J75" s="6" t="s">
        <v>73</v>
      </c>
      <c r="K75" s="6">
        <v>149.99</v>
      </c>
      <c r="L75" s="6">
        <v>29213.06</v>
      </c>
      <c r="M75" s="9">
        <v>205</v>
      </c>
      <c r="N75" s="9">
        <v>198</v>
      </c>
      <c r="O75" s="5">
        <v>4.3</v>
      </c>
      <c r="P75" s="5" t="s">
        <v>154</v>
      </c>
      <c r="Q75" s="22" t="str">
        <f t="shared" si="2"/>
        <v>https://amazon.com/dp/B0B71PT47Q</v>
      </c>
    </row>
    <row r="76" spans="1:17" ht="18.25" customHeight="1" x14ac:dyDescent="0.2">
      <c r="A76" s="7">
        <v>20</v>
      </c>
      <c r="B76" s="5" t="s">
        <v>98</v>
      </c>
      <c r="C76" s="10" t="s">
        <v>99</v>
      </c>
      <c r="D76" s="11" t="s">
        <v>43</v>
      </c>
      <c r="E76" s="6" t="s">
        <v>44</v>
      </c>
      <c r="F76" s="6" t="s">
        <v>45</v>
      </c>
      <c r="G76" s="6" t="s">
        <v>60</v>
      </c>
      <c r="H76" s="6" t="s">
        <v>47</v>
      </c>
      <c r="I76" s="6" t="s">
        <v>48</v>
      </c>
      <c r="J76" s="6" t="s">
        <v>49</v>
      </c>
      <c r="K76" s="6">
        <v>279.99</v>
      </c>
      <c r="L76" s="6">
        <v>52842.239999999998</v>
      </c>
      <c r="M76" s="9">
        <v>189</v>
      </c>
      <c r="N76" s="9">
        <v>564</v>
      </c>
      <c r="O76" s="5">
        <v>4.7</v>
      </c>
      <c r="P76" s="5" t="s">
        <v>100</v>
      </c>
      <c r="Q76" s="22" t="str">
        <f t="shared" si="2"/>
        <v>https://amazon.com/dp/B09ZV7KJHL</v>
      </c>
    </row>
    <row r="77" spans="1:17" ht="18.25" customHeight="1" x14ac:dyDescent="0.2">
      <c r="A77" s="7">
        <v>21</v>
      </c>
      <c r="B77" s="5" t="s">
        <v>134</v>
      </c>
      <c r="C77" s="10" t="s">
        <v>135</v>
      </c>
      <c r="D77" s="11" t="s">
        <v>108</v>
      </c>
      <c r="E77" s="6" t="s">
        <v>44</v>
      </c>
      <c r="F77" s="6" t="s">
        <v>45</v>
      </c>
      <c r="G77" s="6" t="s">
        <v>60</v>
      </c>
      <c r="H77" s="6" t="s">
        <v>115</v>
      </c>
      <c r="I77" s="6" t="s">
        <v>65</v>
      </c>
      <c r="J77" s="6" t="s">
        <v>116</v>
      </c>
      <c r="K77" s="6">
        <v>219.99</v>
      </c>
      <c r="L77" s="6">
        <v>37274.54</v>
      </c>
      <c r="M77" s="9">
        <v>178</v>
      </c>
      <c r="N77" s="9">
        <v>178</v>
      </c>
      <c r="O77" s="5">
        <v>4.7</v>
      </c>
      <c r="P77" s="5" t="s">
        <v>136</v>
      </c>
      <c r="Q77" s="22" t="str">
        <f t="shared" si="2"/>
        <v>https://amazon.com/dp/B0F8QLHGZR</v>
      </c>
    </row>
    <row r="78" spans="1:17" ht="18.25" customHeight="1" x14ac:dyDescent="0.2">
      <c r="A78" s="7">
        <v>22</v>
      </c>
      <c r="B78" s="5" t="s">
        <v>79</v>
      </c>
      <c r="C78" s="10" t="s">
        <v>80</v>
      </c>
      <c r="D78" s="11" t="s">
        <v>43</v>
      </c>
      <c r="E78" s="6" t="s">
        <v>44</v>
      </c>
      <c r="F78" s="6" t="s">
        <v>81</v>
      </c>
      <c r="G78" s="6" t="s">
        <v>60</v>
      </c>
      <c r="H78" s="6" t="s">
        <v>82</v>
      </c>
      <c r="I78" s="6" t="s">
        <v>48</v>
      </c>
      <c r="J78" s="6" t="s">
        <v>49</v>
      </c>
      <c r="K78" s="6">
        <v>359.98</v>
      </c>
      <c r="L78" s="6">
        <v>69085.86</v>
      </c>
      <c r="M78" s="9">
        <v>166</v>
      </c>
      <c r="N78" s="9">
        <v>39</v>
      </c>
      <c r="O78" s="5">
        <v>4.8</v>
      </c>
      <c r="P78" s="5" t="s">
        <v>83</v>
      </c>
      <c r="Q78" s="22" t="str">
        <f t="shared" si="2"/>
        <v>https://amazon.com/dp/B0DTHZDGYD</v>
      </c>
    </row>
    <row r="79" spans="1:17" ht="18.25" customHeight="1" x14ac:dyDescent="0.2">
      <c r="A79" s="7">
        <v>23</v>
      </c>
      <c r="B79" s="5" t="s">
        <v>159</v>
      </c>
      <c r="C79" s="10" t="s">
        <v>160</v>
      </c>
      <c r="D79" s="11" t="s">
        <v>53</v>
      </c>
      <c r="E79" s="6" t="s">
        <v>44</v>
      </c>
      <c r="F79" s="6" t="s">
        <v>45</v>
      </c>
      <c r="G79" s="6" t="s">
        <v>60</v>
      </c>
      <c r="H79" s="6" t="s">
        <v>77</v>
      </c>
      <c r="I79" s="6" t="s">
        <v>65</v>
      </c>
      <c r="J79" s="6" t="s">
        <v>49</v>
      </c>
      <c r="K79" s="6">
        <v>159.99</v>
      </c>
      <c r="L79" s="6">
        <v>23869.63</v>
      </c>
      <c r="M79" s="9">
        <v>149</v>
      </c>
      <c r="N79" s="9">
        <v>39</v>
      </c>
      <c r="O79" s="5">
        <v>4.7</v>
      </c>
      <c r="P79" s="5" t="s">
        <v>161</v>
      </c>
      <c r="Q79" s="22" t="str">
        <f t="shared" si="2"/>
        <v>https://amazon.com/dp/B0DNFL72B5</v>
      </c>
    </row>
    <row r="80" spans="1:17" ht="18.25" customHeight="1" x14ac:dyDescent="0.2">
      <c r="A80" s="7">
        <v>24</v>
      </c>
      <c r="B80" s="5" t="s">
        <v>145</v>
      </c>
      <c r="C80" s="10" t="s">
        <v>146</v>
      </c>
      <c r="D80" s="11" t="s">
        <v>139</v>
      </c>
      <c r="E80" s="6" t="s">
        <v>44</v>
      </c>
      <c r="F80" s="6" t="s">
        <v>81</v>
      </c>
      <c r="G80" s="6" t="s">
        <v>60</v>
      </c>
      <c r="H80" s="6" t="s">
        <v>109</v>
      </c>
      <c r="I80" s="6" t="s">
        <v>48</v>
      </c>
      <c r="J80" s="6" t="s">
        <v>147</v>
      </c>
      <c r="K80" s="6">
        <v>239.99</v>
      </c>
      <c r="L80" s="6">
        <v>32978.67</v>
      </c>
      <c r="M80" s="9">
        <v>137</v>
      </c>
      <c r="N80" s="9">
        <v>542</v>
      </c>
      <c r="O80" s="5">
        <v>4.4000000000000004</v>
      </c>
      <c r="P80" s="5" t="s">
        <v>148</v>
      </c>
      <c r="Q80" s="22" t="str">
        <f t="shared" si="2"/>
        <v>https://amazon.com/dp/B0C64RBKJL</v>
      </c>
    </row>
    <row r="81" spans="1:17" ht="18.25" customHeight="1" x14ac:dyDescent="0.2">
      <c r="A81" s="7">
        <v>25</v>
      </c>
      <c r="B81" s="5" t="s">
        <v>141</v>
      </c>
      <c r="C81" s="10" t="s">
        <v>142</v>
      </c>
      <c r="D81" s="11" t="s">
        <v>139</v>
      </c>
      <c r="E81" s="6" t="s">
        <v>44</v>
      </c>
      <c r="F81" s="6" t="s">
        <v>81</v>
      </c>
      <c r="G81" s="6" t="s">
        <v>54</v>
      </c>
      <c r="H81" s="6" t="s">
        <v>109</v>
      </c>
      <c r="I81" s="6" t="s">
        <v>48</v>
      </c>
      <c r="J81" s="6" t="s">
        <v>143</v>
      </c>
      <c r="K81" s="6">
        <v>249.99</v>
      </c>
      <c r="L81" s="6">
        <v>33561.550000000003</v>
      </c>
      <c r="M81" s="9">
        <v>136</v>
      </c>
      <c r="N81" s="9">
        <v>545</v>
      </c>
      <c r="O81" s="5">
        <v>4.4000000000000004</v>
      </c>
      <c r="P81" s="5" t="s">
        <v>144</v>
      </c>
      <c r="Q81" s="22" t="str">
        <f t="shared" si="2"/>
        <v>https://amazon.com/dp/B0FJFD212D</v>
      </c>
    </row>
    <row r="82" spans="1:17" ht="18.25" customHeight="1" x14ac:dyDescent="0.2">
      <c r="A82" s="7">
        <v>26</v>
      </c>
      <c r="B82" s="5" t="s">
        <v>137</v>
      </c>
      <c r="C82" s="10" t="s">
        <v>138</v>
      </c>
      <c r="D82" s="11" t="s">
        <v>139</v>
      </c>
      <c r="E82" s="6" t="s">
        <v>44</v>
      </c>
      <c r="F82" s="6" t="s">
        <v>81</v>
      </c>
      <c r="G82" s="6" t="s">
        <v>60</v>
      </c>
      <c r="H82" s="6" t="s">
        <v>77</v>
      </c>
      <c r="I82" s="6" t="s">
        <v>65</v>
      </c>
      <c r="J82" s="6" t="s">
        <v>49</v>
      </c>
      <c r="K82" s="6">
        <v>239.98</v>
      </c>
      <c r="L82" s="6">
        <v>34580.620000000003</v>
      </c>
      <c r="M82" s="9">
        <v>125</v>
      </c>
      <c r="N82" s="9">
        <v>189</v>
      </c>
      <c r="O82" s="5">
        <v>4.2</v>
      </c>
      <c r="P82" s="5" t="s">
        <v>140</v>
      </c>
      <c r="Q82" s="22" t="str">
        <f t="shared" si="2"/>
        <v>https://amazon.com/dp/B0DSW1DKTZ</v>
      </c>
    </row>
    <row r="83" spans="1:17" ht="18.25" customHeight="1" x14ac:dyDescent="0.2">
      <c r="A83" s="7">
        <v>27</v>
      </c>
      <c r="B83" s="5" t="s">
        <v>84</v>
      </c>
      <c r="C83" s="10" t="s">
        <v>85</v>
      </c>
      <c r="D83" s="11" t="s">
        <v>43</v>
      </c>
      <c r="E83" s="6" t="s">
        <v>44</v>
      </c>
      <c r="F83" s="6" t="s">
        <v>81</v>
      </c>
      <c r="G83" s="6" t="s">
        <v>86</v>
      </c>
      <c r="H83" s="6" t="s">
        <v>82</v>
      </c>
      <c r="I83" s="6" t="s">
        <v>48</v>
      </c>
      <c r="J83" s="6" t="s">
        <v>49</v>
      </c>
      <c r="K83" s="6">
        <v>599.99</v>
      </c>
      <c r="L83" s="6">
        <v>65086.31</v>
      </c>
      <c r="M83" s="9">
        <v>108</v>
      </c>
      <c r="N83" s="9">
        <v>49</v>
      </c>
      <c r="O83" s="5">
        <v>4.4000000000000004</v>
      </c>
      <c r="P83" s="5" t="s">
        <v>87</v>
      </c>
      <c r="Q83" s="22" t="str">
        <f t="shared" si="2"/>
        <v>https://amazon.com/dp/B0CLG67RHF</v>
      </c>
    </row>
    <row r="84" spans="1:17" ht="18.25" customHeight="1" x14ac:dyDescent="0.2">
      <c r="A84" s="7">
        <v>28</v>
      </c>
      <c r="B84" s="5" t="s">
        <v>225</v>
      </c>
      <c r="C84" s="10" t="s">
        <v>226</v>
      </c>
      <c r="D84" s="11" t="s">
        <v>223</v>
      </c>
      <c r="E84" s="6" t="s">
        <v>44</v>
      </c>
      <c r="F84" s="6" t="s">
        <v>45</v>
      </c>
      <c r="G84" s="6" t="s">
        <v>60</v>
      </c>
      <c r="H84" s="6" t="s">
        <v>82</v>
      </c>
      <c r="I84" s="6" t="s">
        <v>48</v>
      </c>
      <c r="J84" s="6" t="s">
        <v>227</v>
      </c>
      <c r="K84" s="6">
        <v>69.98</v>
      </c>
      <c r="L84" s="6">
        <v>7138.52</v>
      </c>
      <c r="M84" s="9">
        <v>102</v>
      </c>
      <c r="N84" s="9">
        <v>82</v>
      </c>
      <c r="O84" s="5">
        <v>4.5999999999999996</v>
      </c>
      <c r="P84" s="5" t="s">
        <v>228</v>
      </c>
      <c r="Q84" s="22" t="str">
        <f t="shared" si="2"/>
        <v>https://amazon.com/dp/B0DHRPXGRL</v>
      </c>
    </row>
    <row r="85" spans="1:17" ht="18.25" customHeight="1" x14ac:dyDescent="0.2">
      <c r="A85" s="7">
        <v>29</v>
      </c>
      <c r="B85" s="5" t="s">
        <v>149</v>
      </c>
      <c r="C85" s="10" t="s">
        <v>150</v>
      </c>
      <c r="D85" s="11" t="s">
        <v>43</v>
      </c>
      <c r="E85" s="6" t="s">
        <v>44</v>
      </c>
      <c r="F85" s="6" t="s">
        <v>45</v>
      </c>
      <c r="G85" s="6" t="s">
        <v>60</v>
      </c>
      <c r="H85" s="6" t="s">
        <v>132</v>
      </c>
      <c r="I85" s="6" t="s">
        <v>48</v>
      </c>
      <c r="J85" s="6" t="s">
        <v>49</v>
      </c>
      <c r="K85" s="6">
        <v>349.99</v>
      </c>
      <c r="L85" s="6">
        <v>31544.87</v>
      </c>
      <c r="M85" s="9">
        <v>100</v>
      </c>
      <c r="N85" s="9">
        <v>103</v>
      </c>
      <c r="O85" s="5">
        <v>4</v>
      </c>
      <c r="P85" s="5" t="s">
        <v>151</v>
      </c>
      <c r="Q85" s="22" t="str">
        <f t="shared" si="2"/>
        <v>https://amazon.com/dp/B0CLG4LHWP</v>
      </c>
    </row>
    <row r="86" spans="1:17" ht="18.25" customHeight="1" x14ac:dyDescent="0.2">
      <c r="A86" s="7">
        <v>30</v>
      </c>
      <c r="B86" s="5" t="s">
        <v>183</v>
      </c>
      <c r="C86" s="10" t="s">
        <v>184</v>
      </c>
      <c r="D86" s="11" t="s">
        <v>72</v>
      </c>
      <c r="E86" s="6" t="s">
        <v>44</v>
      </c>
      <c r="F86" s="6" t="s">
        <v>45</v>
      </c>
      <c r="G86" s="6" t="s">
        <v>60</v>
      </c>
      <c r="H86" s="6" t="s">
        <v>96</v>
      </c>
      <c r="I86" s="6" t="s">
        <v>48</v>
      </c>
      <c r="J86" s="6" t="s">
        <v>49</v>
      </c>
      <c r="K86" s="6">
        <v>89.99</v>
      </c>
      <c r="L86" s="6">
        <v>10497.13</v>
      </c>
      <c r="M86" s="9">
        <v>96</v>
      </c>
      <c r="N86" s="9">
        <v>101</v>
      </c>
      <c r="O86" s="5">
        <v>4.5999999999999996</v>
      </c>
      <c r="P86" s="5" t="s">
        <v>185</v>
      </c>
      <c r="Q86" s="22" t="str">
        <f t="shared" si="2"/>
        <v>https://amazon.com/dp/B0FD3NRZ5S</v>
      </c>
    </row>
    <row r="87" spans="1:17" ht="18.25" customHeight="1" x14ac:dyDescent="0.2">
      <c r="A87" s="7">
        <v>31</v>
      </c>
      <c r="B87" s="5" t="s">
        <v>177</v>
      </c>
      <c r="C87" s="10" t="s">
        <v>178</v>
      </c>
      <c r="D87" s="11" t="s">
        <v>139</v>
      </c>
      <c r="E87" s="6" t="s">
        <v>44</v>
      </c>
      <c r="F87" s="6" t="s">
        <v>45</v>
      </c>
      <c r="G87" s="6" t="s">
        <v>60</v>
      </c>
      <c r="H87" s="6" t="s">
        <v>77</v>
      </c>
      <c r="I87" s="6" t="s">
        <v>65</v>
      </c>
      <c r="J87" s="6" t="s">
        <v>49</v>
      </c>
      <c r="K87" s="6">
        <v>139.99</v>
      </c>
      <c r="L87" s="6">
        <v>12199.77</v>
      </c>
      <c r="M87" s="9">
        <v>87</v>
      </c>
      <c r="N87" s="9">
        <v>99</v>
      </c>
      <c r="O87" s="5">
        <v>4.7</v>
      </c>
      <c r="P87" s="5" t="s">
        <v>179</v>
      </c>
      <c r="Q87" s="22" t="str">
        <f t="shared" si="2"/>
        <v>https://amazon.com/dp/B0DSVY5LQD</v>
      </c>
    </row>
    <row r="88" spans="1:17" ht="18.25" customHeight="1" x14ac:dyDescent="0.2">
      <c r="A88" s="7">
        <v>32</v>
      </c>
      <c r="B88" s="5" t="s">
        <v>243</v>
      </c>
      <c r="C88" s="10" t="s">
        <v>244</v>
      </c>
      <c r="D88" s="11" t="s">
        <v>245</v>
      </c>
      <c r="E88" s="6" t="s">
        <v>44</v>
      </c>
      <c r="F88" s="6" t="s">
        <v>45</v>
      </c>
      <c r="G88" s="6" t="s">
        <v>60</v>
      </c>
      <c r="H88" s="6" t="s">
        <v>82</v>
      </c>
      <c r="I88" s="6" t="s">
        <v>48</v>
      </c>
      <c r="J88" s="6" t="s">
        <v>116</v>
      </c>
      <c r="K88" s="6">
        <v>79.989999999999995</v>
      </c>
      <c r="L88" s="6">
        <v>5210.92</v>
      </c>
      <c r="M88" s="9">
        <v>74</v>
      </c>
      <c r="N88" s="9">
        <v>18</v>
      </c>
      <c r="O88" s="5">
        <v>4.9000000000000004</v>
      </c>
      <c r="P88" s="5" t="s">
        <v>246</v>
      </c>
      <c r="Q88" s="22" t="str">
        <f t="shared" si="2"/>
        <v>https://amazon.com/dp/B0FRMFNFHL</v>
      </c>
    </row>
    <row r="89" spans="1:17" ht="18.25" customHeight="1" x14ac:dyDescent="0.2">
      <c r="A89" s="7">
        <v>33</v>
      </c>
      <c r="B89" s="5" t="s">
        <v>212</v>
      </c>
      <c r="C89" s="10" t="s">
        <v>213</v>
      </c>
      <c r="D89" s="11" t="s">
        <v>72</v>
      </c>
      <c r="E89" s="6" t="s">
        <v>44</v>
      </c>
      <c r="F89" s="6" t="s">
        <v>45</v>
      </c>
      <c r="G89" s="6" t="s">
        <v>60</v>
      </c>
      <c r="H89" s="6" t="s">
        <v>55</v>
      </c>
      <c r="I89" s="6" t="s">
        <v>65</v>
      </c>
      <c r="J89" s="6" t="s">
        <v>49</v>
      </c>
      <c r="K89" s="6">
        <v>105.99</v>
      </c>
      <c r="L89" s="6">
        <v>7619.81</v>
      </c>
      <c r="M89" s="9">
        <v>72</v>
      </c>
      <c r="N89" s="9">
        <v>77</v>
      </c>
      <c r="O89" s="5">
        <v>4.7</v>
      </c>
      <c r="P89" s="5" t="s">
        <v>214</v>
      </c>
      <c r="Q89" s="22" t="str">
        <f t="shared" ref="Q89:Q120" si="3">HYPERLINK(P89)</f>
        <v>https://amazon.com/dp/B0FQC32XV7</v>
      </c>
    </row>
    <row r="90" spans="1:17" ht="18.25" customHeight="1" x14ac:dyDescent="0.2">
      <c r="A90" s="7">
        <v>34</v>
      </c>
      <c r="B90" s="5" t="s">
        <v>229</v>
      </c>
      <c r="C90" s="10" t="s">
        <v>230</v>
      </c>
      <c r="D90" s="11" t="s">
        <v>139</v>
      </c>
      <c r="E90" s="6" t="s">
        <v>44</v>
      </c>
      <c r="F90" s="6" t="s">
        <v>45</v>
      </c>
      <c r="G90" s="6" t="s">
        <v>60</v>
      </c>
      <c r="H90" s="6" t="s">
        <v>109</v>
      </c>
      <c r="I90" s="6" t="s">
        <v>48</v>
      </c>
      <c r="J90" s="6" t="s">
        <v>147</v>
      </c>
      <c r="K90" s="6">
        <v>99.99</v>
      </c>
      <c r="L90" s="6">
        <v>6956.24</v>
      </c>
      <c r="M90" s="9">
        <v>70</v>
      </c>
      <c r="N90" s="9">
        <v>182</v>
      </c>
      <c r="O90" s="5">
        <v>4.5999999999999996</v>
      </c>
      <c r="P90" s="5" t="s">
        <v>231</v>
      </c>
      <c r="Q90" s="22" t="str">
        <f t="shared" si="3"/>
        <v>https://amazon.com/dp/B0D8SDT9HT</v>
      </c>
    </row>
    <row r="91" spans="1:17" ht="18.25" customHeight="1" x14ac:dyDescent="0.2">
      <c r="A91" s="7">
        <v>35</v>
      </c>
      <c r="B91" s="5" t="s">
        <v>206</v>
      </c>
      <c r="C91" s="10" t="s">
        <v>207</v>
      </c>
      <c r="D91" s="11" t="s">
        <v>139</v>
      </c>
      <c r="E91" s="6" t="s">
        <v>123</v>
      </c>
      <c r="F91" s="6" t="s">
        <v>45</v>
      </c>
      <c r="G91" s="6" t="s">
        <v>124</v>
      </c>
      <c r="H91" s="6" t="s">
        <v>55</v>
      </c>
      <c r="I91" s="6" t="s">
        <v>48</v>
      </c>
      <c r="J91" s="6" t="s">
        <v>73</v>
      </c>
      <c r="K91" s="6">
        <v>119.99</v>
      </c>
      <c r="L91" s="6">
        <v>7890.41</v>
      </c>
      <c r="M91" s="9">
        <v>64</v>
      </c>
      <c r="N91" s="9">
        <v>206</v>
      </c>
      <c r="O91" s="5">
        <v>4.3</v>
      </c>
      <c r="P91" s="5" t="s">
        <v>208</v>
      </c>
      <c r="Q91" s="22" t="str">
        <f t="shared" si="3"/>
        <v>https://amazon.com/dp/B0DT95GVP1</v>
      </c>
    </row>
    <row r="92" spans="1:17" ht="18.25" customHeight="1" x14ac:dyDescent="0.2">
      <c r="A92" s="7">
        <v>36</v>
      </c>
      <c r="B92" s="5" t="s">
        <v>247</v>
      </c>
      <c r="C92" s="10" t="s">
        <v>248</v>
      </c>
      <c r="D92" s="11" t="s">
        <v>139</v>
      </c>
      <c r="E92" s="6" t="s">
        <v>123</v>
      </c>
      <c r="F92" s="6" t="s">
        <v>45</v>
      </c>
      <c r="G92" s="6" t="s">
        <v>124</v>
      </c>
      <c r="H92" s="6" t="s">
        <v>55</v>
      </c>
      <c r="I92" s="6" t="s">
        <v>48</v>
      </c>
      <c r="J92" s="6" t="s">
        <v>49</v>
      </c>
      <c r="K92" s="6">
        <v>99.99</v>
      </c>
      <c r="L92" s="6">
        <v>6379.32</v>
      </c>
      <c r="M92" s="9">
        <v>64</v>
      </c>
      <c r="N92" s="9">
        <v>206</v>
      </c>
      <c r="O92" s="5">
        <v>4.3</v>
      </c>
      <c r="P92" s="5" t="s">
        <v>249</v>
      </c>
      <c r="Q92" s="22" t="str">
        <f t="shared" si="3"/>
        <v>https://amazon.com/dp/B08Y5S32YV</v>
      </c>
    </row>
    <row r="93" spans="1:17" ht="18.25" customHeight="1" x14ac:dyDescent="0.2">
      <c r="A93" s="7">
        <v>37</v>
      </c>
      <c r="B93" s="5" t="s">
        <v>250</v>
      </c>
      <c r="C93" s="10" t="s">
        <v>251</v>
      </c>
      <c r="D93" s="11" t="s">
        <v>252</v>
      </c>
      <c r="E93" s="6" t="s">
        <v>123</v>
      </c>
      <c r="F93" s="6" t="s">
        <v>45</v>
      </c>
      <c r="G93" s="6" t="s">
        <v>124</v>
      </c>
      <c r="H93" s="6" t="s">
        <v>96</v>
      </c>
      <c r="I93" s="6" t="s">
        <v>48</v>
      </c>
      <c r="J93" s="6" t="s">
        <v>49</v>
      </c>
      <c r="K93" s="6">
        <v>56.9</v>
      </c>
      <c r="L93" s="6">
        <v>3596.11</v>
      </c>
      <c r="M93" s="9">
        <v>64</v>
      </c>
      <c r="N93" s="9">
        <v>2</v>
      </c>
      <c r="O93" s="5">
        <v>4.5</v>
      </c>
      <c r="P93" s="5" t="s">
        <v>253</v>
      </c>
      <c r="Q93" s="22" t="str">
        <f t="shared" si="3"/>
        <v>https://amazon.com/dp/B0G1R33CDS</v>
      </c>
    </row>
    <row r="94" spans="1:17" ht="18.25" customHeight="1" x14ac:dyDescent="0.2">
      <c r="A94" s="7">
        <v>38</v>
      </c>
      <c r="B94" s="5" t="s">
        <v>239</v>
      </c>
      <c r="C94" s="10" t="s">
        <v>240</v>
      </c>
      <c r="D94" s="11" t="s">
        <v>72</v>
      </c>
      <c r="E94" s="6" t="s">
        <v>44</v>
      </c>
      <c r="F94" s="6" t="s">
        <v>45</v>
      </c>
      <c r="G94" s="6" t="s">
        <v>46</v>
      </c>
      <c r="H94" s="6" t="s">
        <v>82</v>
      </c>
      <c r="I94" s="6" t="s">
        <v>48</v>
      </c>
      <c r="J94" s="6" t="s">
        <v>49</v>
      </c>
      <c r="K94" s="6">
        <v>89.99</v>
      </c>
      <c r="L94" s="6">
        <v>6425.32</v>
      </c>
      <c r="M94" s="9">
        <v>61</v>
      </c>
      <c r="N94" s="9">
        <v>328</v>
      </c>
      <c r="O94" s="5">
        <v>4.5</v>
      </c>
      <c r="P94" s="5" t="s">
        <v>241</v>
      </c>
      <c r="Q94" s="22" t="str">
        <f t="shared" si="3"/>
        <v>https://amazon.com/dp/B0DBZ6Q4YH</v>
      </c>
    </row>
    <row r="95" spans="1:17" ht="18.25" customHeight="1" x14ac:dyDescent="0.2">
      <c r="A95" s="7">
        <v>39</v>
      </c>
      <c r="B95" s="5" t="s">
        <v>254</v>
      </c>
      <c r="C95" s="10" t="s">
        <v>255</v>
      </c>
      <c r="D95" s="11" t="s">
        <v>103</v>
      </c>
      <c r="E95" s="6" t="s">
        <v>44</v>
      </c>
      <c r="F95" s="6" t="s">
        <v>45</v>
      </c>
      <c r="G95" s="6" t="s">
        <v>60</v>
      </c>
      <c r="H95" s="6" t="s">
        <v>96</v>
      </c>
      <c r="I95" s="6" t="s">
        <v>48</v>
      </c>
      <c r="J95" s="6" t="s">
        <v>256</v>
      </c>
      <c r="K95" s="6">
        <v>69.989999999999995</v>
      </c>
      <c r="L95" s="6">
        <v>3665.94</v>
      </c>
      <c r="M95" s="9">
        <v>61</v>
      </c>
      <c r="N95" s="9">
        <v>51</v>
      </c>
      <c r="O95" s="5">
        <v>4.7</v>
      </c>
      <c r="P95" s="5" t="s">
        <v>257</v>
      </c>
      <c r="Q95" s="22" t="str">
        <f t="shared" si="3"/>
        <v>https://amazon.com/dp/B0FLNCK645</v>
      </c>
    </row>
    <row r="96" spans="1:17" ht="18.25" customHeight="1" x14ac:dyDescent="0.2">
      <c r="A96" s="7">
        <v>40</v>
      </c>
      <c r="B96" s="5" t="s">
        <v>130</v>
      </c>
      <c r="C96" s="10" t="s">
        <v>131</v>
      </c>
      <c r="D96" s="11" t="s">
        <v>43</v>
      </c>
      <c r="E96" s="6" t="s">
        <v>44</v>
      </c>
      <c r="F96" s="6" t="s">
        <v>81</v>
      </c>
      <c r="G96" s="6" t="s">
        <v>86</v>
      </c>
      <c r="H96" s="6" t="s">
        <v>132</v>
      </c>
      <c r="I96" s="6" t="s">
        <v>48</v>
      </c>
      <c r="J96" s="6" t="s">
        <v>49</v>
      </c>
      <c r="K96" s="6">
        <v>699.99</v>
      </c>
      <c r="L96" s="6">
        <v>40864.39</v>
      </c>
      <c r="M96" s="9">
        <v>58</v>
      </c>
      <c r="N96" s="9">
        <v>27</v>
      </c>
      <c r="O96" s="5">
        <v>4.0999999999999996</v>
      </c>
      <c r="P96" s="5" t="s">
        <v>133</v>
      </c>
      <c r="Q96" s="22" t="str">
        <f t="shared" si="3"/>
        <v>https://amazon.com/dp/B0D7PYRRKD</v>
      </c>
    </row>
    <row r="97" spans="1:17" ht="18.25" customHeight="1" x14ac:dyDescent="0.2">
      <c r="A97" s="7">
        <v>41</v>
      </c>
      <c r="B97" s="5" t="s">
        <v>232</v>
      </c>
      <c r="C97" s="10" t="s">
        <v>233</v>
      </c>
      <c r="D97" s="11" t="s">
        <v>72</v>
      </c>
      <c r="E97" s="6" t="s">
        <v>44</v>
      </c>
      <c r="F97" s="6" t="s">
        <v>45</v>
      </c>
      <c r="G97" s="6" t="s">
        <v>60</v>
      </c>
      <c r="H97" s="6" t="s">
        <v>96</v>
      </c>
      <c r="I97" s="6" t="s">
        <v>48</v>
      </c>
      <c r="J97" s="6" t="s">
        <v>49</v>
      </c>
      <c r="K97" s="6">
        <v>99.99</v>
      </c>
      <c r="L97" s="6">
        <v>6778.25</v>
      </c>
      <c r="M97" s="9">
        <v>56</v>
      </c>
      <c r="N97" s="9">
        <v>459</v>
      </c>
      <c r="O97" s="5">
        <v>4.7</v>
      </c>
      <c r="P97" s="5" t="s">
        <v>234</v>
      </c>
      <c r="Q97" s="22" t="str">
        <f t="shared" si="3"/>
        <v>https://amazon.com/dp/B0DPX48VZB</v>
      </c>
    </row>
    <row r="98" spans="1:17" ht="18.25" customHeight="1" x14ac:dyDescent="0.2">
      <c r="A98" s="7">
        <v>42</v>
      </c>
      <c r="B98" s="5" t="s">
        <v>258</v>
      </c>
      <c r="C98" s="10" t="s">
        <v>259</v>
      </c>
      <c r="D98" s="11" t="s">
        <v>188</v>
      </c>
      <c r="E98" s="6" t="s">
        <v>44</v>
      </c>
      <c r="F98" s="6" t="s">
        <v>45</v>
      </c>
      <c r="G98" s="6" t="s">
        <v>60</v>
      </c>
      <c r="H98" s="6" t="s">
        <v>109</v>
      </c>
      <c r="I98" s="6" t="s">
        <v>48</v>
      </c>
      <c r="J98" s="6" t="s">
        <v>49</v>
      </c>
      <c r="K98" s="6">
        <v>89.99</v>
      </c>
      <c r="L98" s="6">
        <v>4382.03</v>
      </c>
      <c r="M98" s="9">
        <v>49</v>
      </c>
      <c r="N98" s="9">
        <v>217</v>
      </c>
      <c r="O98" s="5">
        <v>4.4000000000000004</v>
      </c>
      <c r="P98" s="5" t="s">
        <v>260</v>
      </c>
      <c r="Q98" s="22" t="str">
        <f t="shared" si="3"/>
        <v>https://amazon.com/dp/B0F5PNMVD9</v>
      </c>
    </row>
    <row r="99" spans="1:17" ht="18.25" customHeight="1" x14ac:dyDescent="0.2">
      <c r="A99" s="7">
        <v>43</v>
      </c>
      <c r="B99" s="5" t="s">
        <v>261</v>
      </c>
      <c r="C99" s="10" t="s">
        <v>262</v>
      </c>
      <c r="D99" s="11" t="s">
        <v>188</v>
      </c>
      <c r="E99" s="6" t="s">
        <v>44</v>
      </c>
      <c r="F99" s="6" t="s">
        <v>45</v>
      </c>
      <c r="G99" s="6" t="s">
        <v>60</v>
      </c>
      <c r="H99" s="6" t="s">
        <v>109</v>
      </c>
      <c r="I99" s="6" t="s">
        <v>48</v>
      </c>
      <c r="J99" s="6" t="s">
        <v>49</v>
      </c>
      <c r="K99" s="6">
        <v>139.99</v>
      </c>
      <c r="L99" s="6">
        <v>5159.6499999999996</v>
      </c>
      <c r="M99" s="9">
        <v>48</v>
      </c>
      <c r="N99" s="9">
        <v>138</v>
      </c>
      <c r="O99" s="5">
        <v>4.5999999999999996</v>
      </c>
      <c r="P99" s="5" t="s">
        <v>263</v>
      </c>
      <c r="Q99" s="22" t="str">
        <f t="shared" si="3"/>
        <v>https://amazon.com/dp/B0FGXN5HBK</v>
      </c>
    </row>
    <row r="100" spans="1:17" ht="18.25" customHeight="1" x14ac:dyDescent="0.2">
      <c r="A100" s="7">
        <v>44</v>
      </c>
      <c r="B100" s="5" t="s">
        <v>264</v>
      </c>
      <c r="C100" s="10" t="s">
        <v>265</v>
      </c>
      <c r="D100" s="11" t="s">
        <v>266</v>
      </c>
      <c r="E100" s="6" t="s">
        <v>44</v>
      </c>
      <c r="F100" s="6" t="s">
        <v>81</v>
      </c>
      <c r="G100" s="6" t="s">
        <v>60</v>
      </c>
      <c r="H100" s="6" t="s">
        <v>109</v>
      </c>
      <c r="I100" s="6" t="s">
        <v>48</v>
      </c>
      <c r="J100" s="6" t="s">
        <v>49</v>
      </c>
      <c r="K100" s="6">
        <v>77.73</v>
      </c>
      <c r="L100" s="6">
        <v>3353.63</v>
      </c>
      <c r="M100" s="9">
        <v>46</v>
      </c>
      <c r="N100" s="9">
        <v>52</v>
      </c>
      <c r="O100" s="5">
        <v>4.8</v>
      </c>
      <c r="P100" s="5" t="s">
        <v>267</v>
      </c>
      <c r="Q100" s="22" t="str">
        <f t="shared" si="3"/>
        <v>https://amazon.com/dp/B0F8B96XV6</v>
      </c>
    </row>
    <row r="101" spans="1:17" ht="18.25" customHeight="1" x14ac:dyDescent="0.2">
      <c r="A101" s="7">
        <v>45</v>
      </c>
      <c r="B101" s="5" t="s">
        <v>268</v>
      </c>
      <c r="C101" s="10" t="s">
        <v>269</v>
      </c>
      <c r="D101" s="11" t="s">
        <v>270</v>
      </c>
      <c r="E101" s="6" t="s">
        <v>95</v>
      </c>
      <c r="F101" s="6" t="s">
        <v>45</v>
      </c>
      <c r="G101" s="6" t="s">
        <v>60</v>
      </c>
      <c r="H101" s="6" t="s">
        <v>96</v>
      </c>
      <c r="I101" s="6" t="s">
        <v>65</v>
      </c>
      <c r="J101" s="6" t="s">
        <v>49</v>
      </c>
      <c r="K101" s="6">
        <v>29.99</v>
      </c>
      <c r="L101" s="6">
        <v>1356.15</v>
      </c>
      <c r="M101" s="9">
        <v>45</v>
      </c>
      <c r="N101" s="9">
        <v>13</v>
      </c>
      <c r="O101" s="5">
        <v>4.8</v>
      </c>
      <c r="P101" s="5" t="s">
        <v>271</v>
      </c>
      <c r="Q101" s="22" t="str">
        <f t="shared" si="3"/>
        <v>https://amazon.com/dp/B0DLNRQN9J</v>
      </c>
    </row>
    <row r="102" spans="1:17" ht="18.25" customHeight="1" x14ac:dyDescent="0.2">
      <c r="A102" s="7">
        <v>46</v>
      </c>
      <c r="B102" s="5" t="s">
        <v>272</v>
      </c>
      <c r="C102" s="10" t="s">
        <v>273</v>
      </c>
      <c r="D102" s="11" t="s">
        <v>139</v>
      </c>
      <c r="E102" s="6" t="s">
        <v>44</v>
      </c>
      <c r="F102" s="6" t="s">
        <v>45</v>
      </c>
      <c r="G102" s="6" t="s">
        <v>60</v>
      </c>
      <c r="H102" s="6" t="s">
        <v>61</v>
      </c>
      <c r="I102" s="6" t="s">
        <v>48</v>
      </c>
      <c r="J102" s="6" t="s">
        <v>49</v>
      </c>
      <c r="K102" s="6">
        <v>139.99</v>
      </c>
      <c r="L102" s="6">
        <v>6119.82</v>
      </c>
      <c r="M102" s="9">
        <v>44</v>
      </c>
      <c r="N102" s="9">
        <v>56</v>
      </c>
      <c r="O102" s="5">
        <v>4.5999999999999996</v>
      </c>
      <c r="P102" s="5" t="s">
        <v>274</v>
      </c>
      <c r="Q102" s="22" t="str">
        <f t="shared" si="3"/>
        <v>https://amazon.com/dp/B0FHGMHLJR</v>
      </c>
    </row>
    <row r="103" spans="1:17" ht="18.25" customHeight="1" x14ac:dyDescent="0.2">
      <c r="A103" s="7">
        <v>47</v>
      </c>
      <c r="B103" s="5" t="s">
        <v>221</v>
      </c>
      <c r="C103" s="10" t="s">
        <v>222</v>
      </c>
      <c r="D103" s="11" t="s">
        <v>223</v>
      </c>
      <c r="E103" s="6" t="s">
        <v>44</v>
      </c>
      <c r="F103" s="6" t="s">
        <v>45</v>
      </c>
      <c r="G103" s="6" t="s">
        <v>60</v>
      </c>
      <c r="H103" s="6" t="s">
        <v>96</v>
      </c>
      <c r="I103" s="6" t="s">
        <v>48</v>
      </c>
      <c r="J103" s="6" t="s">
        <v>116</v>
      </c>
      <c r="K103" s="6">
        <v>168.98</v>
      </c>
      <c r="L103" s="6">
        <v>7238.91</v>
      </c>
      <c r="M103" s="9">
        <v>43</v>
      </c>
      <c r="N103" s="9">
        <v>47</v>
      </c>
      <c r="O103" s="5">
        <v>4.7</v>
      </c>
      <c r="P103" s="5" t="s">
        <v>224</v>
      </c>
      <c r="Q103" s="22" t="str">
        <f t="shared" si="3"/>
        <v>https://amazon.com/dp/B0FBWTBNTY</v>
      </c>
    </row>
    <row r="104" spans="1:17" ht="18.25" customHeight="1" x14ac:dyDescent="0.2">
      <c r="A104" s="7">
        <v>48</v>
      </c>
      <c r="B104" s="5" t="s">
        <v>275</v>
      </c>
      <c r="C104" s="10" t="s">
        <v>276</v>
      </c>
      <c r="D104" s="11" t="s">
        <v>277</v>
      </c>
      <c r="E104" s="6" t="s">
        <v>95</v>
      </c>
      <c r="F104" s="6" t="s">
        <v>45</v>
      </c>
      <c r="G104" s="6" t="s">
        <v>60</v>
      </c>
      <c r="H104" s="6" t="s">
        <v>96</v>
      </c>
      <c r="I104" s="6" t="s">
        <v>48</v>
      </c>
      <c r="J104" s="6" t="s">
        <v>49</v>
      </c>
      <c r="K104" s="6">
        <v>52.98</v>
      </c>
      <c r="L104" s="6">
        <v>3218.91</v>
      </c>
      <c r="M104" s="9">
        <v>42</v>
      </c>
      <c r="N104" s="9">
        <v>950</v>
      </c>
      <c r="O104" s="5">
        <v>4.5</v>
      </c>
      <c r="P104" s="5" t="s">
        <v>278</v>
      </c>
      <c r="Q104" s="22" t="str">
        <f t="shared" si="3"/>
        <v>https://amazon.com/dp/B0DH1XMKHX</v>
      </c>
    </row>
    <row r="105" spans="1:17" ht="18.25" customHeight="1" x14ac:dyDescent="0.2">
      <c r="A105" s="7">
        <v>49</v>
      </c>
      <c r="B105" s="5" t="s">
        <v>279</v>
      </c>
      <c r="C105" s="10" t="s">
        <v>280</v>
      </c>
      <c r="D105" s="11" t="s">
        <v>281</v>
      </c>
      <c r="E105" s="6" t="s">
        <v>44</v>
      </c>
      <c r="F105" s="6" t="s">
        <v>45</v>
      </c>
      <c r="G105" s="6" t="s">
        <v>60</v>
      </c>
      <c r="H105" s="6" t="s">
        <v>82</v>
      </c>
      <c r="I105" s="6" t="s">
        <v>48</v>
      </c>
      <c r="J105" s="6" t="s">
        <v>49</v>
      </c>
      <c r="K105" s="6">
        <v>62.99</v>
      </c>
      <c r="L105" s="6">
        <v>3079.15</v>
      </c>
      <c r="M105" s="9">
        <v>42</v>
      </c>
      <c r="N105" s="9">
        <v>32</v>
      </c>
      <c r="O105" s="5">
        <v>4.5</v>
      </c>
      <c r="P105" s="5" t="s">
        <v>282</v>
      </c>
      <c r="Q105" s="22" t="str">
        <f t="shared" si="3"/>
        <v>https://amazon.com/dp/B0FH6LPBYH</v>
      </c>
    </row>
    <row r="106" spans="1:17" ht="18.25" customHeight="1" x14ac:dyDescent="0.2">
      <c r="A106" s="7">
        <v>50</v>
      </c>
      <c r="B106" s="5" t="s">
        <v>283</v>
      </c>
      <c r="C106" s="10" t="s">
        <v>284</v>
      </c>
      <c r="D106" s="11" t="s">
        <v>139</v>
      </c>
      <c r="E106" s="6" t="s">
        <v>123</v>
      </c>
      <c r="F106" s="6" t="s">
        <v>45</v>
      </c>
      <c r="G106" s="6" t="s">
        <v>124</v>
      </c>
      <c r="H106" s="6" t="s">
        <v>109</v>
      </c>
      <c r="I106" s="6" t="s">
        <v>48</v>
      </c>
      <c r="J106" s="6" t="s">
        <v>49</v>
      </c>
      <c r="K106" s="6">
        <v>69.989999999999995</v>
      </c>
      <c r="L106" s="6">
        <v>2906.11</v>
      </c>
      <c r="M106" s="9">
        <v>41</v>
      </c>
      <c r="N106" s="9">
        <v>60</v>
      </c>
      <c r="O106" s="5">
        <v>4.2</v>
      </c>
      <c r="P106" s="5" t="s">
        <v>285</v>
      </c>
      <c r="Q106" s="22" t="str">
        <f t="shared" si="3"/>
        <v>https://amazon.com/dp/B0FN38759M</v>
      </c>
    </row>
  </sheetData>
  <mergeCells count="2">
    <mergeCell ref="A55:Q55"/>
    <mergeCell ref="A1:Q1"/>
  </mergeCells>
  <hyperlinks>
    <hyperlink ref="Q3" r:id="rId1" display="https://amazon.com/dp/B0CJY5C9QX" xr:uid="{00000000-0004-0000-0100-000000000000}"/>
    <hyperlink ref="Q4" r:id="rId2" display="https://amazon.com/dp/B0B28HRSBP" xr:uid="{00000000-0004-0000-0100-000001000000}"/>
    <hyperlink ref="Q5" r:id="rId3" display="https://amazon.com/dp/B0DT4H7QQM" xr:uid="{00000000-0004-0000-0100-000002000000}"/>
    <hyperlink ref="Q6" r:id="rId4" display="https://amazon.com/dp/B0CJY6SWBN" xr:uid="{00000000-0004-0000-0100-000003000000}"/>
    <hyperlink ref="Q7" r:id="rId5" display="https://amazon.com/dp/B0C3B32Q9Z" xr:uid="{00000000-0004-0000-0100-000004000000}"/>
    <hyperlink ref="Q8" r:id="rId6" display="https://amazon.com/dp/B0F62WJY8N" xr:uid="{00000000-0004-0000-0100-000005000000}"/>
    <hyperlink ref="Q9" r:id="rId7" display="https://amazon.com/dp/B0CHW4FLS7" xr:uid="{00000000-0004-0000-0100-000006000000}"/>
    <hyperlink ref="Q10" r:id="rId8" display="https://amazon.com/dp/B0DTHZDGYD" xr:uid="{00000000-0004-0000-0100-000007000000}"/>
    <hyperlink ref="Q11" r:id="rId9" display="https://amazon.com/dp/B0CLG67RHF" xr:uid="{00000000-0004-0000-0100-000008000000}"/>
    <hyperlink ref="Q12" r:id="rId10" display="https://amazon.com/dp/B0DFHL8YN5" xr:uid="{00000000-0004-0000-0100-000009000000}"/>
    <hyperlink ref="Q13" r:id="rId11" display="https://amazon.com/dp/B0FZJ4CQB6" xr:uid="{00000000-0004-0000-0100-00000A000000}"/>
    <hyperlink ref="Q14" r:id="rId12" display="https://amazon.com/dp/B09ZV7KJHL" xr:uid="{00000000-0004-0000-0100-00000B000000}"/>
    <hyperlink ref="Q15" r:id="rId13" display="https://amazon.com/dp/B0FGJ8WVGP" xr:uid="{00000000-0004-0000-0100-00000C000000}"/>
    <hyperlink ref="Q16" r:id="rId14" display="https://amazon.com/dp/B0DPHJSPBY" xr:uid="{00000000-0004-0000-0100-00000D000000}"/>
    <hyperlink ref="Q17" r:id="rId15" display="https://amazon.com/dp/B0FFT6SJHW" xr:uid="{00000000-0004-0000-0100-00000E000000}"/>
    <hyperlink ref="Q18" r:id="rId16" display="https://amazon.com/dp/B0DT16R78W" xr:uid="{00000000-0004-0000-0100-00000F000000}"/>
    <hyperlink ref="Q19" r:id="rId17" display="https://amazon.com/dp/B0F2H49C2D" xr:uid="{00000000-0004-0000-0100-000010000000}"/>
    <hyperlink ref="Q20" r:id="rId18" display="https://amazon.com/dp/B0DT98YB3X" xr:uid="{00000000-0004-0000-0100-000011000000}"/>
    <hyperlink ref="Q21" r:id="rId19" display="https://amazon.com/dp/B0D7PYRRKD" xr:uid="{00000000-0004-0000-0100-000012000000}"/>
    <hyperlink ref="Q22" r:id="rId20" display="https://amazon.com/dp/B0F8QLHGZR" xr:uid="{00000000-0004-0000-0100-000013000000}"/>
    <hyperlink ref="Q23" r:id="rId21" display="https://amazon.com/dp/B0DSW1DKTZ" xr:uid="{00000000-0004-0000-0100-000014000000}"/>
    <hyperlink ref="Q24" r:id="rId22" display="https://amazon.com/dp/B0FJFD212D" xr:uid="{00000000-0004-0000-0100-000015000000}"/>
    <hyperlink ref="Q25" r:id="rId23" display="https://amazon.com/dp/B0C64RBKJL" xr:uid="{00000000-0004-0000-0100-000016000000}"/>
    <hyperlink ref="Q26" r:id="rId24" display="https://amazon.com/dp/B0CLG4LHWP" xr:uid="{00000000-0004-0000-0100-000017000000}"/>
    <hyperlink ref="Q27" r:id="rId25" display="https://amazon.com/dp/B0B71PT47Q" xr:uid="{00000000-0004-0000-0100-000018000000}"/>
    <hyperlink ref="Q28" r:id="rId26" display="https://amazon.com/dp/B0DPQ2HV9T" xr:uid="{00000000-0004-0000-0100-000019000000}"/>
    <hyperlink ref="Q29" r:id="rId27" display="https://amazon.com/dp/B0DNFL72B5" xr:uid="{00000000-0004-0000-0100-00001A000000}"/>
    <hyperlink ref="Q30" r:id="rId28" display="https://amazon.com/dp/B0C9GR791B" xr:uid="{00000000-0004-0000-0100-00001B000000}"/>
    <hyperlink ref="Q31" r:id="rId29" display="https://amazon.com/dp/B0FFGZC3WX" xr:uid="{00000000-0004-0000-0100-00001C000000}"/>
    <hyperlink ref="Q32" r:id="rId30" display="https://amazon.com/dp/B0FBX2NSHL" xr:uid="{00000000-0004-0000-0100-00001D000000}"/>
    <hyperlink ref="Q33" r:id="rId31" display="https://amazon.com/dp/B0FJLPG74M" xr:uid="{00000000-0004-0000-0100-00001E000000}"/>
    <hyperlink ref="Q34" r:id="rId32" display="https://amazon.com/dp/B0DSVY5LQD" xr:uid="{00000000-0004-0000-0100-00001F000000}"/>
    <hyperlink ref="Q35" r:id="rId33" display="https://amazon.com/dp/B0F8BN91TL" xr:uid="{00000000-0004-0000-0100-000020000000}"/>
    <hyperlink ref="Q36" r:id="rId34" display="https://amazon.com/dp/B0FD3NRZ5S" xr:uid="{00000000-0004-0000-0100-000021000000}"/>
    <hyperlink ref="Q37" r:id="rId35" display="https://amazon.com/dp/B0F21RD15V" xr:uid="{00000000-0004-0000-0100-000022000000}"/>
    <hyperlink ref="Q38" r:id="rId36" display="https://amazon.com/dp/B0G48WTXYF" xr:uid="{00000000-0004-0000-0100-000023000000}"/>
    <hyperlink ref="Q39" r:id="rId37" display="https://amazon.com/dp/B09QBDSQ19" xr:uid="{00000000-0004-0000-0100-000024000000}"/>
    <hyperlink ref="Q40" r:id="rId38" display="https://amazon.com/dp/B0FQBWRMHQ" xr:uid="{00000000-0004-0000-0100-000025000000}"/>
    <hyperlink ref="Q41" r:id="rId39" display="https://amazon.com/dp/B0FLNJ8CNL" xr:uid="{00000000-0004-0000-0100-000026000000}"/>
    <hyperlink ref="Q42" r:id="rId40" display="https://amazon.com/dp/B0DT95GVP1" xr:uid="{00000000-0004-0000-0100-000027000000}"/>
    <hyperlink ref="Q43" r:id="rId41" display="https://amazon.com/dp/B0FJLL4LY1" xr:uid="{00000000-0004-0000-0100-000028000000}"/>
    <hyperlink ref="Q44" r:id="rId42" display="https://amazon.com/dp/B0FQC32XV7" xr:uid="{00000000-0004-0000-0100-000029000000}"/>
    <hyperlink ref="Q45" r:id="rId43" display="https://amazon.com/dp/B0DZMN1941" xr:uid="{00000000-0004-0000-0100-00002A000000}"/>
    <hyperlink ref="Q46" r:id="rId44" display="https://amazon.com/dp/B0G1MM25PR" xr:uid="{00000000-0004-0000-0100-00002B000000}"/>
    <hyperlink ref="Q47" r:id="rId45" display="https://amazon.com/dp/B0FBWTBNTY" xr:uid="{00000000-0004-0000-0100-00002C000000}"/>
    <hyperlink ref="Q48" r:id="rId46" display="https://amazon.com/dp/B0DHRPXGRL" xr:uid="{00000000-0004-0000-0100-00002D000000}"/>
    <hyperlink ref="Q49" r:id="rId47" display="https://amazon.com/dp/B0D8SDT9HT" xr:uid="{00000000-0004-0000-0100-00002E000000}"/>
    <hyperlink ref="Q50" r:id="rId48" display="https://amazon.com/dp/B0DPX48VZB" xr:uid="{00000000-0004-0000-0100-00002F000000}"/>
    <hyperlink ref="Q51" r:id="rId49" display="https://amazon.com/dp/B0G34PXC7N" xr:uid="{00000000-0004-0000-0100-000030000000}"/>
    <hyperlink ref="Q52" r:id="rId50" display="https://amazon.com/dp/B0DBZ6Q4YH" xr:uid="{00000000-0004-0000-0100-000031000000}"/>
    <hyperlink ref="Q57" r:id="rId51" display="https://amazon.com/dp/B0CJY5C9QX" xr:uid="{00000000-0004-0000-0100-000032000000}"/>
    <hyperlink ref="Q58" r:id="rId52" display="https://amazon.com/dp/B0B28HRSBP" xr:uid="{00000000-0004-0000-0100-000033000000}"/>
    <hyperlink ref="Q59" r:id="rId53" display="https://amazon.com/dp/B0DT4H7QQM" xr:uid="{00000000-0004-0000-0100-000034000000}"/>
    <hyperlink ref="Q60" r:id="rId54" display="https://amazon.com/dp/B0CJY6SWBN" xr:uid="{00000000-0004-0000-0100-000035000000}"/>
    <hyperlink ref="Q61" r:id="rId55" display="https://amazon.com/dp/B0FGJ8WVGP" xr:uid="{00000000-0004-0000-0100-000036000000}"/>
    <hyperlink ref="Q62" r:id="rId56" display="https://amazon.com/dp/B0C3B32Q9Z" xr:uid="{00000000-0004-0000-0100-000037000000}"/>
    <hyperlink ref="Q63" r:id="rId57" display="https://amazon.com/dp/B0DFHL8YN5" xr:uid="{00000000-0004-0000-0100-000038000000}"/>
    <hyperlink ref="Q64" r:id="rId58" display="https://amazon.com/dp/B0F2H49C2D" xr:uid="{00000000-0004-0000-0100-000039000000}"/>
    <hyperlink ref="Q65" r:id="rId59" display="https://amazon.com/dp/B0DT98YB3X" xr:uid="{00000000-0004-0000-0100-00003A000000}"/>
    <hyperlink ref="Q66" r:id="rId60" display="https://amazon.com/dp/B0F62WJY8N" xr:uid="{00000000-0004-0000-0100-00003B000000}"/>
    <hyperlink ref="Q67" r:id="rId61" display="https://amazon.com/dp/B0FZJ4CQB6" xr:uid="{00000000-0004-0000-0100-00003C000000}"/>
    <hyperlink ref="Q68" r:id="rId62" display="https://amazon.com/dp/B0DT16R78W" xr:uid="{00000000-0004-0000-0100-00003D000000}"/>
    <hyperlink ref="Q69" r:id="rId63" display="https://amazon.com/dp/B0FFT6SJHW" xr:uid="{00000000-0004-0000-0100-00003E000000}"/>
    <hyperlink ref="Q70" r:id="rId64" display="https://amazon.com/dp/B0DPHJSPBY" xr:uid="{00000000-0004-0000-0100-00003F000000}"/>
    <hyperlink ref="Q71" r:id="rId65" display="https://amazon.com/dp/B0CHW4FLS7" xr:uid="{00000000-0004-0000-0100-000040000000}"/>
    <hyperlink ref="Q72" r:id="rId66" display="https://amazon.com/dp/B0FBX2NSHL" xr:uid="{00000000-0004-0000-0100-000041000000}"/>
    <hyperlink ref="Q73" r:id="rId67" display="https://amazon.com/dp/B0C9GR791B" xr:uid="{00000000-0004-0000-0100-000042000000}"/>
    <hyperlink ref="Q74" r:id="rId68" display="https://amazon.com/dp/B0DPQ2HV9T" xr:uid="{00000000-0004-0000-0100-000043000000}"/>
    <hyperlink ref="Q75" r:id="rId69" display="https://amazon.com/dp/B0B71PT47Q" xr:uid="{00000000-0004-0000-0100-000044000000}"/>
    <hyperlink ref="Q76" r:id="rId70" display="https://amazon.com/dp/B09ZV7KJHL" xr:uid="{00000000-0004-0000-0100-000045000000}"/>
    <hyperlink ref="Q77" r:id="rId71" display="https://amazon.com/dp/B0F8QLHGZR" xr:uid="{00000000-0004-0000-0100-000046000000}"/>
    <hyperlink ref="Q78" r:id="rId72" display="https://amazon.com/dp/B0DTHZDGYD" xr:uid="{00000000-0004-0000-0100-000047000000}"/>
    <hyperlink ref="Q79" r:id="rId73" display="https://amazon.com/dp/B0DNFL72B5" xr:uid="{00000000-0004-0000-0100-000048000000}"/>
    <hyperlink ref="Q80" r:id="rId74" display="https://amazon.com/dp/B0C64RBKJL" xr:uid="{00000000-0004-0000-0100-000049000000}"/>
    <hyperlink ref="Q81" r:id="rId75" display="https://amazon.com/dp/B0FJFD212D" xr:uid="{00000000-0004-0000-0100-00004A000000}"/>
    <hyperlink ref="Q82" r:id="rId76" display="https://amazon.com/dp/B0DSW1DKTZ" xr:uid="{00000000-0004-0000-0100-00004B000000}"/>
    <hyperlink ref="Q83" r:id="rId77" display="https://amazon.com/dp/B0CLG67RHF" xr:uid="{00000000-0004-0000-0100-00004C000000}"/>
    <hyperlink ref="Q84" r:id="rId78" display="https://amazon.com/dp/B0DHRPXGRL" xr:uid="{00000000-0004-0000-0100-00004D000000}"/>
    <hyperlink ref="Q85" r:id="rId79" display="https://amazon.com/dp/B0CLG4LHWP" xr:uid="{00000000-0004-0000-0100-00004E000000}"/>
    <hyperlink ref="Q86" r:id="rId80" display="https://amazon.com/dp/B0FD3NRZ5S" xr:uid="{00000000-0004-0000-0100-00004F000000}"/>
    <hyperlink ref="Q87" r:id="rId81" display="https://amazon.com/dp/B0DSVY5LQD" xr:uid="{00000000-0004-0000-0100-000050000000}"/>
    <hyperlink ref="Q88" r:id="rId82" display="https://amazon.com/dp/B0FRMFNFHL" xr:uid="{00000000-0004-0000-0100-000051000000}"/>
    <hyperlink ref="Q89" r:id="rId83" display="https://amazon.com/dp/B0FQC32XV7" xr:uid="{00000000-0004-0000-0100-000052000000}"/>
    <hyperlink ref="Q90" r:id="rId84" display="https://amazon.com/dp/B0D8SDT9HT" xr:uid="{00000000-0004-0000-0100-000053000000}"/>
    <hyperlink ref="Q91" r:id="rId85" display="https://amazon.com/dp/B0DT95GVP1" xr:uid="{00000000-0004-0000-0100-000054000000}"/>
    <hyperlink ref="Q92" r:id="rId86" display="https://amazon.com/dp/B08Y5S32YV" xr:uid="{00000000-0004-0000-0100-000055000000}"/>
    <hyperlink ref="Q93" r:id="rId87" display="https://amazon.com/dp/B0G1R33CDS" xr:uid="{00000000-0004-0000-0100-000056000000}"/>
    <hyperlink ref="Q94" r:id="rId88" display="https://amazon.com/dp/B0DBZ6Q4YH" xr:uid="{00000000-0004-0000-0100-000057000000}"/>
    <hyperlink ref="Q95" r:id="rId89" display="https://amazon.com/dp/B0FLNCK645" xr:uid="{00000000-0004-0000-0100-000058000000}"/>
    <hyperlink ref="Q96" r:id="rId90" display="https://amazon.com/dp/B0D7PYRRKD" xr:uid="{00000000-0004-0000-0100-000059000000}"/>
    <hyperlink ref="Q97" r:id="rId91" display="https://amazon.com/dp/B0DPX48VZB" xr:uid="{00000000-0004-0000-0100-00005A000000}"/>
    <hyperlink ref="Q98" r:id="rId92" display="https://amazon.com/dp/B0F5PNMVD9" xr:uid="{00000000-0004-0000-0100-00005B000000}"/>
    <hyperlink ref="Q99" r:id="rId93" display="https://amazon.com/dp/B0FGXN5HBK" xr:uid="{00000000-0004-0000-0100-00005C000000}"/>
    <hyperlink ref="Q100" r:id="rId94" display="https://amazon.com/dp/B0F8B96XV6" xr:uid="{00000000-0004-0000-0100-00005D000000}"/>
    <hyperlink ref="Q101" r:id="rId95" display="https://amazon.com/dp/B0DLNRQN9J" xr:uid="{00000000-0004-0000-0100-00005E000000}"/>
    <hyperlink ref="Q102" r:id="rId96" display="https://amazon.com/dp/B0FHGMHLJR" xr:uid="{00000000-0004-0000-0100-00005F000000}"/>
    <hyperlink ref="Q103" r:id="rId97" display="https://amazon.com/dp/B0FBWTBNTY" xr:uid="{00000000-0004-0000-0100-000060000000}"/>
    <hyperlink ref="Q104" r:id="rId98" display="https://amazon.com/dp/B0DH1XMKHX" xr:uid="{00000000-0004-0000-0100-000061000000}"/>
    <hyperlink ref="Q105" r:id="rId99" display="https://amazon.com/dp/B0FH6LPBYH" xr:uid="{00000000-0004-0000-0100-000062000000}"/>
    <hyperlink ref="Q106" r:id="rId100" display="https://amazon.com/dp/B0FN38759M" xr:uid="{00000000-0004-0000-0100-000063000000}"/>
  </hyperlinks>
  <pageMargins left="0.7" right="0.7" top="0.75" bottom="0.75" header="0.3" footer="0.3"/>
  <tableParts count="2">
    <tablePart r:id="rId101"/>
    <tablePart r:id="rId1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="125" workbookViewId="0">
      <selection activeCell="H39" sqref="H39:I39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28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44</v>
      </c>
      <c r="B3" s="77">
        <v>223.48511111111111</v>
      </c>
      <c r="C3" s="78">
        <v>18633</v>
      </c>
      <c r="D3" s="79">
        <v>0.94091804272079993</v>
      </c>
      <c r="E3" s="80">
        <v>2639534.42</v>
      </c>
      <c r="F3" s="79">
        <v>0.95591494728468518</v>
      </c>
    </row>
    <row r="4" spans="1:6" x14ac:dyDescent="0.2">
      <c r="A4" s="66" t="s">
        <v>95</v>
      </c>
      <c r="B4" s="67">
        <v>139.99</v>
      </c>
      <c r="C4" s="68">
        <v>458</v>
      </c>
      <c r="D4" s="69">
        <v>2.312780891784073E-2</v>
      </c>
      <c r="E4" s="70">
        <v>52946.87</v>
      </c>
      <c r="F4" s="69">
        <v>1.917486055928723E-2</v>
      </c>
    </row>
    <row r="5" spans="1:6" x14ac:dyDescent="0.2">
      <c r="A5" s="76" t="s">
        <v>123</v>
      </c>
      <c r="B5" s="77">
        <v>129.32333333333341</v>
      </c>
      <c r="C5" s="78">
        <v>703</v>
      </c>
      <c r="D5" s="79">
        <v>3.5499671766904002E-2</v>
      </c>
      <c r="E5" s="80">
        <v>59576.82</v>
      </c>
      <c r="F5" s="79">
        <v>2.157591593357179E-2</v>
      </c>
    </row>
    <row r="6" spans="1:6" x14ac:dyDescent="0.2">
      <c r="A6" s="66" t="s">
        <v>196</v>
      </c>
      <c r="B6" s="67">
        <v>999.98</v>
      </c>
      <c r="C6" s="68">
        <v>9</v>
      </c>
      <c r="D6" s="69">
        <v>4.5447659445538562E-4</v>
      </c>
      <c r="E6" s="70">
        <v>9206.82</v>
      </c>
      <c r="F6" s="69">
        <v>3.334276222455771E-3</v>
      </c>
    </row>
    <row r="7" spans="1:6" x14ac:dyDescent="0.2">
      <c r="A7" s="76"/>
      <c r="B7" s="77"/>
      <c r="C7" s="78"/>
      <c r="D7" s="79"/>
      <c r="E7" s="80"/>
      <c r="F7" s="79"/>
    </row>
    <row r="8" spans="1:6" x14ac:dyDescent="0.2">
      <c r="A8" s="76"/>
      <c r="B8" s="77"/>
      <c r="C8" s="78"/>
      <c r="D8" s="79"/>
      <c r="E8" s="80"/>
      <c r="F8" s="79"/>
    </row>
    <row r="9" spans="1:6" x14ac:dyDescent="0.2">
      <c r="A9" s="76"/>
      <c r="B9" s="77"/>
      <c r="C9" s="78"/>
      <c r="D9" s="79"/>
      <c r="E9" s="80"/>
      <c r="F9" s="79"/>
    </row>
    <row r="10" spans="1:6" s="133" customFormat="1" x14ac:dyDescent="0.2">
      <c r="A10" s="128" t="s">
        <v>292</v>
      </c>
      <c r="B10" s="129">
        <v>373.19461111111121</v>
      </c>
      <c r="C10" s="130">
        <v>19803</v>
      </c>
      <c r="D10" s="131">
        <v>1</v>
      </c>
      <c r="E10" s="132">
        <v>2761264.93</v>
      </c>
      <c r="F10" s="131">
        <v>1</v>
      </c>
    </row>
    <row r="28" spans="1:6" ht="26" customHeight="1" x14ac:dyDescent="0.25">
      <c r="A28" s="116" t="s">
        <v>293</v>
      </c>
      <c r="B28" s="117"/>
      <c r="C28" s="117"/>
      <c r="D28" s="118"/>
      <c r="E28" s="117"/>
      <c r="F28" s="117"/>
    </row>
    <row r="29" spans="1:6" x14ac:dyDescent="0.2">
      <c r="A29" s="61" t="s">
        <v>28</v>
      </c>
      <c r="B29" s="62" t="s">
        <v>287</v>
      </c>
      <c r="C29" s="62" t="s">
        <v>288</v>
      </c>
      <c r="D29" s="63" t="s">
        <v>289</v>
      </c>
      <c r="E29" s="64" t="s">
        <v>290</v>
      </c>
      <c r="F29" s="65" t="s">
        <v>291</v>
      </c>
    </row>
    <row r="30" spans="1:6" x14ac:dyDescent="0.2">
      <c r="A30" s="76" t="s">
        <v>44</v>
      </c>
      <c r="B30" s="77">
        <v>168.99023809523811</v>
      </c>
      <c r="C30" s="78">
        <v>18687</v>
      </c>
      <c r="D30" s="79">
        <v>0.93132319960129584</v>
      </c>
      <c r="E30" s="80">
        <v>2568621.42</v>
      </c>
      <c r="F30" s="79">
        <v>0.9544738427483902</v>
      </c>
    </row>
    <row r="31" spans="1:6" x14ac:dyDescent="0.2">
      <c r="A31" s="66" t="s">
        <v>95</v>
      </c>
      <c r="B31" s="67">
        <v>74.320000000000007</v>
      </c>
      <c r="C31" s="68">
        <v>545</v>
      </c>
      <c r="D31" s="69">
        <v>2.7161724395713929E-2</v>
      </c>
      <c r="E31" s="70">
        <v>57521.93</v>
      </c>
      <c r="F31" s="69">
        <v>2.1374569697936999E-2</v>
      </c>
    </row>
    <row r="32" spans="1:6" x14ac:dyDescent="0.2">
      <c r="A32" s="76" t="s">
        <v>123</v>
      </c>
      <c r="B32" s="77">
        <v>82.972000000000008</v>
      </c>
      <c r="C32" s="78">
        <v>833</v>
      </c>
      <c r="D32" s="79">
        <v>4.151507600299028E-2</v>
      </c>
      <c r="E32" s="80">
        <v>64995.27</v>
      </c>
      <c r="F32" s="79">
        <v>2.4151587553672721E-2</v>
      </c>
    </row>
    <row r="33" spans="1:6" x14ac:dyDescent="0.2">
      <c r="A33" s="76"/>
      <c r="B33" s="77"/>
      <c r="C33" s="78"/>
      <c r="D33" s="79"/>
      <c r="E33" s="80"/>
      <c r="F33" s="79"/>
    </row>
    <row r="34" spans="1:6" x14ac:dyDescent="0.2">
      <c r="A34" s="76"/>
      <c r="B34" s="77"/>
      <c r="C34" s="78"/>
      <c r="D34" s="79"/>
      <c r="E34" s="80"/>
      <c r="F34" s="79"/>
    </row>
    <row r="35" spans="1:6" x14ac:dyDescent="0.2">
      <c r="A35" s="111" t="s">
        <v>292</v>
      </c>
      <c r="B35" s="112">
        <v>108.760746031746</v>
      </c>
      <c r="C35" s="113">
        <v>20065</v>
      </c>
      <c r="D35" s="114">
        <v>1</v>
      </c>
      <c r="E35" s="115">
        <v>2691138.62</v>
      </c>
      <c r="F35" s="114">
        <v>1</v>
      </c>
    </row>
  </sheetData>
  <mergeCells count="2">
    <mergeCell ref="A1:F1"/>
    <mergeCell ref="A28:F28"/>
  </mergeCells>
  <conditionalFormatting sqref="C3:F10 C30:F35">
    <cfRule type="expression" dxfId="8" priority="1">
      <formula>C3&lt;0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="91" workbookViewId="0">
      <selection activeCell="J13" sqref="J13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29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45</v>
      </c>
      <c r="B3" s="77">
        <v>184.91444444444451</v>
      </c>
      <c r="C3" s="78">
        <v>18798</v>
      </c>
      <c r="D3" s="79">
        <v>0.94925011361914857</v>
      </c>
      <c r="E3" s="80">
        <v>2399952.13</v>
      </c>
      <c r="F3" s="79">
        <v>0.86914953502849857</v>
      </c>
    </row>
    <row r="4" spans="1:6" x14ac:dyDescent="0.2">
      <c r="A4" s="66" t="s">
        <v>81</v>
      </c>
      <c r="B4" s="67">
        <v>351.98928571428581</v>
      </c>
      <c r="C4" s="68">
        <v>1005</v>
      </c>
      <c r="D4" s="69">
        <v>5.0749886380851393E-2</v>
      </c>
      <c r="E4" s="70">
        <v>361312.8</v>
      </c>
      <c r="F4" s="69">
        <v>0.1308504649715013</v>
      </c>
    </row>
    <row r="5" spans="1:6" x14ac:dyDescent="0.2">
      <c r="A5" s="76"/>
      <c r="B5" s="77"/>
      <c r="C5" s="78"/>
      <c r="D5" s="79"/>
      <c r="E5" s="80"/>
      <c r="F5" s="79"/>
    </row>
    <row r="6" spans="1:6" x14ac:dyDescent="0.2">
      <c r="A6" s="66"/>
      <c r="B6" s="67"/>
      <c r="C6" s="68"/>
      <c r="D6" s="69"/>
      <c r="E6" s="70"/>
      <c r="F6" s="69"/>
    </row>
    <row r="7" spans="1:6" s="133" customFormat="1" x14ac:dyDescent="0.2">
      <c r="A7" s="128" t="s">
        <v>292</v>
      </c>
      <c r="B7" s="129">
        <v>268.45186507936512</v>
      </c>
      <c r="C7" s="130">
        <v>19803</v>
      </c>
      <c r="D7" s="131">
        <v>1</v>
      </c>
      <c r="E7" s="132">
        <v>2761264.93</v>
      </c>
      <c r="F7" s="131">
        <v>1</v>
      </c>
    </row>
    <row r="25" spans="1:6" ht="26" customHeight="1" x14ac:dyDescent="0.25">
      <c r="A25" s="116" t="s">
        <v>293</v>
      </c>
      <c r="B25" s="117"/>
      <c r="C25" s="117"/>
      <c r="D25" s="118"/>
      <c r="E25" s="117"/>
      <c r="F25" s="117"/>
    </row>
    <row r="26" spans="1:6" x14ac:dyDescent="0.2">
      <c r="A26" s="61" t="s">
        <v>29</v>
      </c>
      <c r="B26" s="62" t="s">
        <v>287</v>
      </c>
      <c r="C26" s="62" t="s">
        <v>288</v>
      </c>
      <c r="D26" s="63" t="s">
        <v>289</v>
      </c>
      <c r="E26" s="64" t="s">
        <v>290</v>
      </c>
      <c r="F26" s="65" t="s">
        <v>291</v>
      </c>
    </row>
    <row r="27" spans="1:6" x14ac:dyDescent="0.2">
      <c r="A27" s="76" t="s">
        <v>45</v>
      </c>
      <c r="B27" s="77">
        <v>122.5060465116279</v>
      </c>
      <c r="C27" s="78">
        <v>19289</v>
      </c>
      <c r="D27" s="79">
        <v>0.96132569150261649</v>
      </c>
      <c r="E27" s="80">
        <v>2411627.59</v>
      </c>
      <c r="F27" s="79">
        <v>0.89613651711482623</v>
      </c>
    </row>
    <row r="28" spans="1:6" x14ac:dyDescent="0.2">
      <c r="A28" s="66" t="s">
        <v>81</v>
      </c>
      <c r="B28" s="67">
        <v>352.5214285714286</v>
      </c>
      <c r="C28" s="68">
        <v>776</v>
      </c>
      <c r="D28" s="69">
        <v>3.8674308497383507E-2</v>
      </c>
      <c r="E28" s="70">
        <v>279511.03000000003</v>
      </c>
      <c r="F28" s="69">
        <v>0.10386348288517371</v>
      </c>
    </row>
    <row r="29" spans="1:6" x14ac:dyDescent="0.2">
      <c r="A29" s="76"/>
      <c r="B29" s="77"/>
      <c r="C29" s="78"/>
      <c r="D29" s="79"/>
      <c r="E29" s="80"/>
      <c r="F29" s="79"/>
    </row>
    <row r="30" spans="1:6" x14ac:dyDescent="0.2">
      <c r="A30" s="111" t="s">
        <v>292</v>
      </c>
      <c r="B30" s="112">
        <v>237.51373754152829</v>
      </c>
      <c r="C30" s="113">
        <v>20065</v>
      </c>
      <c r="D30" s="114">
        <v>1</v>
      </c>
      <c r="E30" s="115">
        <v>2691138.62</v>
      </c>
      <c r="F30" s="114">
        <v>1</v>
      </c>
    </row>
  </sheetData>
  <mergeCells count="2">
    <mergeCell ref="A1:F1"/>
    <mergeCell ref="A25:F25"/>
  </mergeCells>
  <conditionalFormatting sqref="C3:F7 C27:F30">
    <cfRule type="expression" dxfId="7" priority="1">
      <formula>C3&lt;0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="85" workbookViewId="0">
      <selection activeCell="I11" sqref="I11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30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54</v>
      </c>
      <c r="B3" s="77">
        <v>132.29</v>
      </c>
      <c r="C3" s="78">
        <v>4662</v>
      </c>
      <c r="D3" s="79">
        <v>0.23541887592788971</v>
      </c>
      <c r="E3" s="80">
        <v>534740.86</v>
      </c>
      <c r="F3" s="79">
        <v>0.19365793343125531</v>
      </c>
    </row>
    <row r="4" spans="1:6" x14ac:dyDescent="0.2">
      <c r="A4" s="66" t="s">
        <v>46</v>
      </c>
      <c r="B4" s="67">
        <v>131.99</v>
      </c>
      <c r="C4" s="68">
        <v>9062</v>
      </c>
      <c r="D4" s="69">
        <v>0.45760743321718927</v>
      </c>
      <c r="E4" s="70">
        <v>1176607.0900000001</v>
      </c>
      <c r="F4" s="69">
        <v>0.42611162631178601</v>
      </c>
    </row>
    <row r="5" spans="1:6" x14ac:dyDescent="0.2">
      <c r="A5" s="76" t="s">
        <v>60</v>
      </c>
      <c r="B5" s="77">
        <v>236.61933333333329</v>
      </c>
      <c r="C5" s="78">
        <v>4963</v>
      </c>
      <c r="D5" s="79">
        <v>0.25061859314245322</v>
      </c>
      <c r="E5" s="80">
        <v>856116.1</v>
      </c>
      <c r="F5" s="79">
        <v>0.31004489670609042</v>
      </c>
    </row>
    <row r="6" spans="1:6" x14ac:dyDescent="0.2">
      <c r="A6" s="66" t="s">
        <v>86</v>
      </c>
      <c r="B6" s="67">
        <v>649.99</v>
      </c>
      <c r="C6" s="68">
        <v>166</v>
      </c>
      <c r="D6" s="69">
        <v>8.3825682977326666E-3</v>
      </c>
      <c r="E6" s="70">
        <v>105950.7</v>
      </c>
      <c r="F6" s="69">
        <v>3.837034934565297E-2</v>
      </c>
    </row>
    <row r="7" spans="1:6" x14ac:dyDescent="0.2">
      <c r="A7" s="76" t="s">
        <v>124</v>
      </c>
      <c r="B7" s="77">
        <v>293.58800000000002</v>
      </c>
      <c r="C7" s="78">
        <v>950</v>
      </c>
      <c r="D7" s="79">
        <v>4.7972529414735142E-2</v>
      </c>
      <c r="E7" s="80">
        <v>87850.18</v>
      </c>
      <c r="F7" s="79">
        <v>3.1815194205215211E-2</v>
      </c>
    </row>
    <row r="8" spans="1:6" x14ac:dyDescent="0.2">
      <c r="A8" s="76"/>
      <c r="B8" s="77"/>
      <c r="C8" s="78"/>
      <c r="D8" s="79"/>
      <c r="E8" s="80"/>
      <c r="F8" s="79"/>
    </row>
    <row r="9" spans="1:6" s="133" customFormat="1" x14ac:dyDescent="0.2">
      <c r="A9" s="128" t="s">
        <v>292</v>
      </c>
      <c r="B9" s="129">
        <v>288.89546666666672</v>
      </c>
      <c r="C9" s="130">
        <v>19803</v>
      </c>
      <c r="D9" s="131">
        <v>1</v>
      </c>
      <c r="E9" s="132">
        <v>2761264.93</v>
      </c>
      <c r="F9" s="131">
        <v>1</v>
      </c>
    </row>
    <row r="27" spans="1:6" ht="26" customHeight="1" x14ac:dyDescent="0.25">
      <c r="A27" s="116" t="s">
        <v>293</v>
      </c>
      <c r="B27" s="117"/>
      <c r="C27" s="117"/>
      <c r="D27" s="118"/>
      <c r="E27" s="117"/>
      <c r="F27" s="117"/>
    </row>
    <row r="28" spans="1:6" x14ac:dyDescent="0.2">
      <c r="A28" s="61" t="s">
        <v>30</v>
      </c>
      <c r="B28" s="62" t="s">
        <v>287</v>
      </c>
      <c r="C28" s="62" t="s">
        <v>288</v>
      </c>
      <c r="D28" s="63" t="s">
        <v>289</v>
      </c>
      <c r="E28" s="64" t="s">
        <v>290</v>
      </c>
      <c r="F28" s="65" t="s">
        <v>291</v>
      </c>
    </row>
    <row r="29" spans="1:6" x14ac:dyDescent="0.2">
      <c r="A29" s="76" t="s">
        <v>54</v>
      </c>
      <c r="B29" s="77">
        <v>132.29</v>
      </c>
      <c r="C29" s="78">
        <v>4662</v>
      </c>
      <c r="D29" s="79">
        <v>0.23234487914278601</v>
      </c>
      <c r="E29" s="80">
        <v>534740.86</v>
      </c>
      <c r="F29" s="79">
        <v>0.1987043164651251</v>
      </c>
    </row>
    <row r="30" spans="1:6" x14ac:dyDescent="0.2">
      <c r="A30" s="66" t="s">
        <v>46</v>
      </c>
      <c r="B30" s="67">
        <v>131.99</v>
      </c>
      <c r="C30" s="68">
        <v>9062</v>
      </c>
      <c r="D30" s="69">
        <v>0.45163219536506349</v>
      </c>
      <c r="E30" s="70">
        <v>1176607.0900000001</v>
      </c>
      <c r="F30" s="69">
        <v>0.43721534121493899</v>
      </c>
    </row>
    <row r="31" spans="1:6" x14ac:dyDescent="0.2">
      <c r="A31" s="76" t="s">
        <v>60</v>
      </c>
      <c r="B31" s="77">
        <v>145.59689655172409</v>
      </c>
      <c r="C31" s="78">
        <v>5104</v>
      </c>
      <c r="D31" s="79">
        <v>0.25437328681784199</v>
      </c>
      <c r="E31" s="80">
        <v>789778.16</v>
      </c>
      <c r="F31" s="79">
        <v>0.29347360783667098</v>
      </c>
    </row>
    <row r="32" spans="1:6" x14ac:dyDescent="0.2">
      <c r="A32" s="66" t="s">
        <v>86</v>
      </c>
      <c r="B32" s="67">
        <v>649.99</v>
      </c>
      <c r="C32" s="68">
        <v>166</v>
      </c>
      <c r="D32" s="69">
        <v>8.2731123847495647E-3</v>
      </c>
      <c r="E32" s="70">
        <v>105950.7</v>
      </c>
      <c r="F32" s="69">
        <v>3.9370212746603142E-2</v>
      </c>
    </row>
    <row r="33" spans="1:6" x14ac:dyDescent="0.2">
      <c r="A33" s="76" t="s">
        <v>124</v>
      </c>
      <c r="B33" s="77">
        <v>82.474999999999994</v>
      </c>
      <c r="C33" s="78">
        <v>1071</v>
      </c>
      <c r="D33" s="79">
        <v>5.3376526289558933E-2</v>
      </c>
      <c r="E33" s="80">
        <v>84061.81</v>
      </c>
      <c r="F33" s="79">
        <v>3.123652173666178E-2</v>
      </c>
    </row>
    <row r="34" spans="1:6" x14ac:dyDescent="0.2">
      <c r="A34" s="111" t="s">
        <v>292</v>
      </c>
      <c r="B34" s="112">
        <v>228.4683793103448</v>
      </c>
      <c r="C34" s="113">
        <v>20065</v>
      </c>
      <c r="D34" s="114">
        <v>1</v>
      </c>
      <c r="E34" s="115">
        <v>2691138.62</v>
      </c>
      <c r="F34" s="114">
        <v>1</v>
      </c>
    </row>
  </sheetData>
  <mergeCells count="2">
    <mergeCell ref="A1:F1"/>
    <mergeCell ref="A27:F27"/>
  </mergeCells>
  <conditionalFormatting sqref="C3:F9 C29:F34">
    <cfRule type="expression" dxfId="6" priority="1">
      <formula>C3&lt;0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zoomScaleNormal="342" workbookViewId="0">
      <selection activeCell="J47" sqref="J47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31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132</v>
      </c>
      <c r="B3" s="77">
        <v>594.98749999999995</v>
      </c>
      <c r="C3" s="78">
        <v>191</v>
      </c>
      <c r="D3" s="79">
        <v>9.6450032823309599E-3</v>
      </c>
      <c r="E3" s="80">
        <v>89441.13</v>
      </c>
      <c r="F3" s="79">
        <v>3.2391361302662111E-2</v>
      </c>
    </row>
    <row r="4" spans="1:6" x14ac:dyDescent="0.2">
      <c r="A4" s="66" t="s">
        <v>204</v>
      </c>
      <c r="B4" s="67">
        <v>799.99</v>
      </c>
      <c r="C4" s="68">
        <v>11</v>
      </c>
      <c r="D4" s="69">
        <v>5.5547139322324897E-4</v>
      </c>
      <c r="E4" s="70">
        <v>8835.99</v>
      </c>
      <c r="F4" s="69">
        <v>3.1999790762561849E-3</v>
      </c>
    </row>
    <row r="5" spans="1:6" x14ac:dyDescent="0.2">
      <c r="A5" s="76" t="s">
        <v>61</v>
      </c>
      <c r="B5" s="77">
        <v>106.49</v>
      </c>
      <c r="C5" s="78">
        <v>2136</v>
      </c>
      <c r="D5" s="79">
        <v>0.1078624450840782</v>
      </c>
      <c r="E5" s="80">
        <v>215932.23</v>
      </c>
      <c r="F5" s="79">
        <v>7.8200475316216753E-2</v>
      </c>
    </row>
    <row r="6" spans="1:6" x14ac:dyDescent="0.2">
      <c r="A6" s="76" t="s">
        <v>109</v>
      </c>
      <c r="B6" s="77">
        <v>207.24125000000001</v>
      </c>
      <c r="C6" s="78">
        <v>1060</v>
      </c>
      <c r="D6" s="79">
        <v>5.352724334696763E-2</v>
      </c>
      <c r="E6" s="80">
        <v>169747.18</v>
      </c>
      <c r="F6" s="79">
        <v>6.1474427229262628E-2</v>
      </c>
    </row>
    <row r="7" spans="1:6" x14ac:dyDescent="0.2">
      <c r="A7" s="76" t="s">
        <v>115</v>
      </c>
      <c r="B7" s="77">
        <v>189.64166666666671</v>
      </c>
      <c r="C7" s="78">
        <v>877</v>
      </c>
      <c r="D7" s="79">
        <v>4.4286219259708118E-2</v>
      </c>
      <c r="E7" s="80">
        <v>131518.76</v>
      </c>
      <c r="F7" s="79">
        <v>4.7629895476925498E-2</v>
      </c>
    </row>
    <row r="8" spans="1:6" x14ac:dyDescent="0.2">
      <c r="A8" s="76" t="s">
        <v>77</v>
      </c>
      <c r="B8" s="77">
        <v>235.32166666666669</v>
      </c>
      <c r="C8" s="78">
        <v>659</v>
      </c>
      <c r="D8" s="79">
        <v>3.3277786194011012E-2</v>
      </c>
      <c r="E8" s="80">
        <v>158308.59</v>
      </c>
      <c r="F8" s="79">
        <v>5.7331909111669348E-2</v>
      </c>
    </row>
    <row r="9" spans="1:6" x14ac:dyDescent="0.2">
      <c r="A9" s="66" t="s">
        <v>82</v>
      </c>
      <c r="B9" s="67">
        <v>289.98666666666668</v>
      </c>
      <c r="C9" s="68">
        <v>690</v>
      </c>
      <c r="D9" s="69">
        <v>3.484320557491289E-2</v>
      </c>
      <c r="E9" s="70">
        <v>191531.08</v>
      </c>
      <c r="F9" s="69">
        <v>6.936352898234939E-2</v>
      </c>
    </row>
    <row r="10" spans="1:6" x14ac:dyDescent="0.2">
      <c r="A10" s="76" t="s">
        <v>55</v>
      </c>
      <c r="B10" s="77">
        <v>121.79</v>
      </c>
      <c r="C10" s="78">
        <v>1657</v>
      </c>
      <c r="D10" s="79">
        <v>8.3674190779174873E-2</v>
      </c>
      <c r="E10" s="80">
        <v>226570.11</v>
      </c>
      <c r="F10" s="79">
        <v>8.2053014014848616E-2</v>
      </c>
    </row>
    <row r="11" spans="1:6" x14ac:dyDescent="0.2">
      <c r="A11" s="76" t="s">
        <v>47</v>
      </c>
      <c r="B11" s="77">
        <v>145.76777777777781</v>
      </c>
      <c r="C11" s="78">
        <v>11269</v>
      </c>
      <c r="D11" s="79">
        <v>0.56905519365752666</v>
      </c>
      <c r="E11" s="80">
        <v>1447695.38</v>
      </c>
      <c r="F11" s="79">
        <v>0.5242870266707802</v>
      </c>
    </row>
    <row r="12" spans="1:6" x14ac:dyDescent="0.2">
      <c r="A12" s="76" t="s">
        <v>96</v>
      </c>
      <c r="B12" s="134">
        <v>113.38800000000001</v>
      </c>
      <c r="C12" s="78">
        <v>1253</v>
      </c>
      <c r="D12" s="135">
        <v>6.3273241428066451E-2</v>
      </c>
      <c r="E12" s="80">
        <v>121684.48</v>
      </c>
      <c r="F12" s="135">
        <v>4.4068382819029243E-2</v>
      </c>
    </row>
    <row r="13" spans="1:6" x14ac:dyDescent="0.2">
      <c r="A13" s="71" t="s">
        <v>292</v>
      </c>
      <c r="B13" s="72">
        <v>280.46045277777768</v>
      </c>
      <c r="C13" s="73">
        <v>19803</v>
      </c>
      <c r="D13" s="74">
        <v>1</v>
      </c>
      <c r="E13" s="75">
        <v>2761264.93</v>
      </c>
      <c r="F13" s="74">
        <v>1</v>
      </c>
    </row>
    <row r="30" spans="1:6" ht="26" customHeight="1" x14ac:dyDescent="0.25">
      <c r="A30" s="116" t="s">
        <v>293</v>
      </c>
      <c r="B30" s="117"/>
      <c r="C30" s="117"/>
      <c r="D30" s="118"/>
      <c r="E30" s="117"/>
      <c r="F30" s="117"/>
    </row>
    <row r="31" spans="1:6" x14ac:dyDescent="0.2">
      <c r="A31" s="61" t="s">
        <v>31</v>
      </c>
      <c r="B31" s="62" t="s">
        <v>287</v>
      </c>
      <c r="C31" s="62" t="s">
        <v>288</v>
      </c>
      <c r="D31" s="63" t="s">
        <v>289</v>
      </c>
      <c r="E31" s="64" t="s">
        <v>290</v>
      </c>
      <c r="F31" s="65" t="s">
        <v>291</v>
      </c>
    </row>
    <row r="32" spans="1:6" x14ac:dyDescent="0.2">
      <c r="A32" s="76" t="s">
        <v>132</v>
      </c>
      <c r="B32" s="77">
        <v>524.99</v>
      </c>
      <c r="C32" s="78">
        <v>158</v>
      </c>
      <c r="D32" s="79">
        <v>7.8744081734363324E-3</v>
      </c>
      <c r="E32" s="80">
        <v>72409.259999999995</v>
      </c>
      <c r="F32" s="79">
        <v>2.6906551547314941E-2</v>
      </c>
    </row>
    <row r="33" spans="1:6" x14ac:dyDescent="0.2">
      <c r="A33" s="66" t="s">
        <v>61</v>
      </c>
      <c r="B33" s="67">
        <v>117.65666666666669</v>
      </c>
      <c r="C33" s="68">
        <v>2180</v>
      </c>
      <c r="D33" s="69">
        <v>0.1086468975828557</v>
      </c>
      <c r="E33" s="70">
        <v>222052.05</v>
      </c>
      <c r="F33" s="69">
        <v>8.2512304773062928E-2</v>
      </c>
    </row>
    <row r="34" spans="1:6" x14ac:dyDescent="0.2">
      <c r="A34" s="76" t="s">
        <v>109</v>
      </c>
      <c r="B34" s="77">
        <v>130.85</v>
      </c>
      <c r="C34" s="78">
        <v>1139</v>
      </c>
      <c r="D34" s="79">
        <v>5.6765512085721413E-2</v>
      </c>
      <c r="E34" s="80">
        <v>158269.01999999999</v>
      </c>
      <c r="F34" s="79">
        <v>5.8811173390986453E-2</v>
      </c>
    </row>
    <row r="35" spans="1:6" x14ac:dyDescent="0.2">
      <c r="A35" s="76" t="s">
        <v>115</v>
      </c>
      <c r="B35" s="77">
        <v>145.29333333333329</v>
      </c>
      <c r="C35" s="78">
        <v>768</v>
      </c>
      <c r="D35" s="79">
        <v>3.8275604286070269E-2</v>
      </c>
      <c r="E35" s="80">
        <v>102744.81</v>
      </c>
      <c r="F35" s="79">
        <v>3.8178936319527082E-2</v>
      </c>
    </row>
    <row r="36" spans="1:6" s="141" customFormat="1" x14ac:dyDescent="0.2">
      <c r="A36" s="136" t="s">
        <v>77</v>
      </c>
      <c r="B36" s="137">
        <v>195.48750000000001</v>
      </c>
      <c r="C36" s="138">
        <v>599</v>
      </c>
      <c r="D36" s="139">
        <v>2.9852977822078249E-2</v>
      </c>
      <c r="E36" s="140">
        <v>141600.98000000001</v>
      </c>
      <c r="F36" s="139">
        <v>5.2617497644918791E-2</v>
      </c>
    </row>
    <row r="37" spans="1:6" x14ac:dyDescent="0.2">
      <c r="A37" s="76" t="s">
        <v>82</v>
      </c>
      <c r="B37" s="77">
        <v>197.55857142857141</v>
      </c>
      <c r="C37" s="78">
        <v>766</v>
      </c>
      <c r="D37" s="79">
        <v>3.8175928233241972E-2</v>
      </c>
      <c r="E37" s="80">
        <v>179896.1</v>
      </c>
      <c r="F37" s="79">
        <v>6.684757844246611E-2</v>
      </c>
    </row>
    <row r="38" spans="1:6" x14ac:dyDescent="0.2">
      <c r="A38" s="136" t="s">
        <v>55</v>
      </c>
      <c r="B38" s="137">
        <v>116.34</v>
      </c>
      <c r="C38" s="138">
        <v>1721</v>
      </c>
      <c r="D38" s="139">
        <v>8.5771243458759028E-2</v>
      </c>
      <c r="E38" s="140">
        <v>232949.43</v>
      </c>
      <c r="F38" s="139">
        <v>8.6561661398178003E-2</v>
      </c>
    </row>
    <row r="39" spans="1:6" x14ac:dyDescent="0.2">
      <c r="A39" s="76" t="s">
        <v>47</v>
      </c>
      <c r="B39" s="77">
        <v>145.76777777777781</v>
      </c>
      <c r="C39" s="78">
        <v>11269</v>
      </c>
      <c r="D39" s="79">
        <v>0.56162471966110139</v>
      </c>
      <c r="E39" s="80">
        <v>1447695.38</v>
      </c>
      <c r="F39" s="79">
        <v>0.53794901876886592</v>
      </c>
    </row>
    <row r="40" spans="1:6" x14ac:dyDescent="0.2">
      <c r="A40" s="136" t="s">
        <v>96</v>
      </c>
      <c r="B40" s="137">
        <v>86.311111111111103</v>
      </c>
      <c r="C40" s="138">
        <v>1465</v>
      </c>
      <c r="D40" s="139">
        <v>7.3012708696735609E-2</v>
      </c>
      <c r="E40" s="140">
        <v>133521.59</v>
      </c>
      <c r="F40" s="139">
        <v>4.9615277714679738E-2</v>
      </c>
    </row>
    <row r="41" spans="1:6" s="133" customFormat="1" x14ac:dyDescent="0.2">
      <c r="A41" s="142" t="s">
        <v>292</v>
      </c>
      <c r="B41" s="143">
        <v>184.47277336860671</v>
      </c>
      <c r="C41" s="144">
        <v>20065</v>
      </c>
      <c r="D41" s="145">
        <v>1</v>
      </c>
      <c r="E41" s="146">
        <v>2691138.62</v>
      </c>
      <c r="F41" s="145">
        <v>1</v>
      </c>
    </row>
  </sheetData>
  <mergeCells count="2">
    <mergeCell ref="A30:F30"/>
    <mergeCell ref="A1:F1"/>
  </mergeCells>
  <conditionalFormatting sqref="C3:F13 C32:F36">
    <cfRule type="expression" dxfId="5" priority="3">
      <formula>C3&lt;0</formula>
    </cfRule>
  </conditionalFormatting>
  <conditionalFormatting sqref="C37:F40">
    <cfRule type="expression" dxfId="4" priority="2">
      <formula>C37&lt;0</formula>
    </cfRule>
  </conditionalFormatting>
  <conditionalFormatting sqref="C41:F41">
    <cfRule type="expression" dxfId="3" priority="1">
      <formula>C41&lt;0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zoomScale="75" workbookViewId="0">
      <selection activeCell="I37" sqref="I37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32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65</v>
      </c>
      <c r="B3" s="77">
        <v>216.1070588235294</v>
      </c>
      <c r="C3" s="78">
        <v>4487</v>
      </c>
      <c r="D3" s="79">
        <v>0.2265818310357017</v>
      </c>
      <c r="E3" s="80">
        <v>688143.48</v>
      </c>
      <c r="F3" s="79">
        <v>0.24921313146145671</v>
      </c>
    </row>
    <row r="4" spans="1:6" x14ac:dyDescent="0.2">
      <c r="A4" s="66" t="s">
        <v>48</v>
      </c>
      <c r="B4" s="67">
        <v>239.7257575757576</v>
      </c>
      <c r="C4" s="68">
        <v>15316</v>
      </c>
      <c r="D4" s="69">
        <v>0.77341816896429838</v>
      </c>
      <c r="E4" s="70">
        <v>2073121.45</v>
      </c>
      <c r="F4" s="69">
        <v>0.75078686853854326</v>
      </c>
    </row>
    <row r="5" spans="1:6" x14ac:dyDescent="0.2">
      <c r="A5" s="76"/>
      <c r="B5" s="77"/>
      <c r="C5" s="78"/>
      <c r="D5" s="79"/>
      <c r="E5" s="80"/>
      <c r="F5" s="79"/>
    </row>
    <row r="6" spans="1:6" x14ac:dyDescent="0.2">
      <c r="A6" s="76"/>
      <c r="B6" s="77"/>
      <c r="C6" s="78"/>
      <c r="D6" s="79"/>
      <c r="E6" s="80"/>
      <c r="F6" s="79"/>
    </row>
    <row r="7" spans="1:6" s="133" customFormat="1" x14ac:dyDescent="0.2">
      <c r="A7" s="128" t="s">
        <v>292</v>
      </c>
      <c r="B7" s="129">
        <v>227.91640819964351</v>
      </c>
      <c r="C7" s="130">
        <v>19803</v>
      </c>
      <c r="D7" s="131">
        <v>1</v>
      </c>
      <c r="E7" s="132">
        <v>2761264.93</v>
      </c>
      <c r="F7" s="131">
        <v>1</v>
      </c>
    </row>
    <row r="25" spans="1:6" ht="26" customHeight="1" x14ac:dyDescent="0.25">
      <c r="A25" s="116" t="s">
        <v>293</v>
      </c>
      <c r="B25" s="117"/>
      <c r="C25" s="117"/>
      <c r="D25" s="118"/>
      <c r="E25" s="117"/>
      <c r="F25" s="117"/>
    </row>
    <row r="26" spans="1:6" x14ac:dyDescent="0.2">
      <c r="A26" s="61" t="s">
        <v>32</v>
      </c>
      <c r="B26" s="62" t="s">
        <v>287</v>
      </c>
      <c r="C26" s="62" t="s">
        <v>288</v>
      </c>
      <c r="D26" s="63" t="s">
        <v>289</v>
      </c>
      <c r="E26" s="64" t="s">
        <v>290</v>
      </c>
      <c r="F26" s="65" t="s">
        <v>291</v>
      </c>
    </row>
    <row r="27" spans="1:6" x14ac:dyDescent="0.2">
      <c r="A27" s="76" t="s">
        <v>65</v>
      </c>
      <c r="B27" s="77">
        <v>151.83538461538461</v>
      </c>
      <c r="C27" s="78">
        <v>4360</v>
      </c>
      <c r="D27" s="79">
        <v>0.2172937951657114</v>
      </c>
      <c r="E27" s="80">
        <v>629262.06000000006</v>
      </c>
      <c r="F27" s="79">
        <v>0.23382744215532089</v>
      </c>
    </row>
    <row r="28" spans="1:6" x14ac:dyDescent="0.2">
      <c r="A28" s="66" t="s">
        <v>48</v>
      </c>
      <c r="B28" s="67">
        <v>155.71756756756761</v>
      </c>
      <c r="C28" s="68">
        <v>15705</v>
      </c>
      <c r="D28" s="69">
        <v>0.78270620483428854</v>
      </c>
      <c r="E28" s="70">
        <v>2061876.56</v>
      </c>
      <c r="F28" s="69">
        <v>0.76617255784467908</v>
      </c>
    </row>
    <row r="29" spans="1:6" x14ac:dyDescent="0.2">
      <c r="A29" s="76"/>
      <c r="B29" s="77"/>
      <c r="C29" s="78"/>
      <c r="D29" s="79"/>
      <c r="E29" s="80"/>
      <c r="F29" s="79"/>
    </row>
    <row r="30" spans="1:6" x14ac:dyDescent="0.2">
      <c r="A30" s="111" t="s">
        <v>292</v>
      </c>
      <c r="B30" s="112">
        <v>153.7764760914761</v>
      </c>
      <c r="C30" s="113">
        <v>20065</v>
      </c>
      <c r="D30" s="114">
        <v>1</v>
      </c>
      <c r="E30" s="115">
        <v>2691138.62</v>
      </c>
      <c r="F30" s="114">
        <v>1</v>
      </c>
    </row>
  </sheetData>
  <mergeCells count="2">
    <mergeCell ref="A1:F1"/>
    <mergeCell ref="A25:F25"/>
  </mergeCells>
  <conditionalFormatting sqref="C3:F7 C27:F30">
    <cfRule type="expression" dxfId="2" priority="1">
      <formula>C3&lt;0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zoomScale="113" workbookViewId="0">
      <selection activeCell="I51" sqref="I51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6" t="s">
        <v>286</v>
      </c>
      <c r="B1" s="117"/>
      <c r="C1" s="117"/>
      <c r="D1" s="118"/>
      <c r="E1" s="117"/>
      <c r="F1" s="117"/>
    </row>
    <row r="2" spans="1:6" x14ac:dyDescent="0.2">
      <c r="A2" s="61" t="s">
        <v>33</v>
      </c>
      <c r="B2" s="62" t="s">
        <v>287</v>
      </c>
      <c r="C2" s="62" t="s">
        <v>288</v>
      </c>
      <c r="D2" s="63" t="s">
        <v>289</v>
      </c>
      <c r="E2" s="64" t="s">
        <v>290</v>
      </c>
      <c r="F2" s="65" t="s">
        <v>291</v>
      </c>
    </row>
    <row r="3" spans="1:6" x14ac:dyDescent="0.2">
      <c r="A3" s="76" t="s">
        <v>73</v>
      </c>
      <c r="B3" s="77">
        <v>143.32333333333341</v>
      </c>
      <c r="C3" s="78">
        <v>837</v>
      </c>
      <c r="D3" s="79">
        <v>4.2266323284350857E-2</v>
      </c>
      <c r="E3" s="80">
        <v>117583.32</v>
      </c>
      <c r="F3" s="79">
        <v>4.2583135983261119E-2</v>
      </c>
    </row>
    <row r="4" spans="1:6" x14ac:dyDescent="0.2">
      <c r="A4" s="66" t="s">
        <v>147</v>
      </c>
      <c r="B4" s="67">
        <v>338.38799999999998</v>
      </c>
      <c r="C4" s="68">
        <v>294</v>
      </c>
      <c r="D4" s="69">
        <v>1.484623541887593E-2</v>
      </c>
      <c r="E4" s="70">
        <v>64135.61</v>
      </c>
      <c r="F4" s="69">
        <v>2.322689478405102E-2</v>
      </c>
    </row>
    <row r="5" spans="1:6" x14ac:dyDescent="0.2">
      <c r="A5" s="76" t="s">
        <v>104</v>
      </c>
      <c r="B5" s="77">
        <v>72.989999999999995</v>
      </c>
      <c r="C5" s="78">
        <v>777</v>
      </c>
      <c r="D5" s="79">
        <v>3.9236479321314952E-2</v>
      </c>
      <c r="E5" s="80">
        <v>52520.15</v>
      </c>
      <c r="F5" s="79">
        <v>1.9020322689572561E-2</v>
      </c>
    </row>
    <row r="6" spans="1:6" x14ac:dyDescent="0.2">
      <c r="A6" s="76" t="s">
        <v>110</v>
      </c>
      <c r="B6" s="77">
        <v>129.99</v>
      </c>
      <c r="C6" s="78">
        <v>374</v>
      </c>
      <c r="D6" s="79">
        <v>1.8886027369590469E-2</v>
      </c>
      <c r="E6" s="80">
        <v>49904.6</v>
      </c>
      <c r="F6" s="79">
        <v>1.8073093768659131E-2</v>
      </c>
    </row>
    <row r="7" spans="1:6" x14ac:dyDescent="0.2">
      <c r="A7" s="76" t="s">
        <v>227</v>
      </c>
      <c r="B7" s="77">
        <v>69.98</v>
      </c>
      <c r="C7" s="78">
        <v>102</v>
      </c>
      <c r="D7" s="79">
        <v>5.1507347371610359E-3</v>
      </c>
      <c r="E7" s="80">
        <v>7138.52</v>
      </c>
      <c r="F7" s="79">
        <v>2.5852354558387118E-3</v>
      </c>
    </row>
    <row r="8" spans="1:6" x14ac:dyDescent="0.2">
      <c r="A8" s="76" t="s">
        <v>116</v>
      </c>
      <c r="B8" s="77">
        <v>169.65333333333331</v>
      </c>
      <c r="C8" s="78">
        <v>595</v>
      </c>
      <c r="D8" s="79">
        <v>3.0045952633439382E-2</v>
      </c>
      <c r="E8" s="80">
        <v>89416.39</v>
      </c>
      <c r="F8" s="79">
        <v>3.2382401640830602E-2</v>
      </c>
    </row>
    <row r="9" spans="1:6" x14ac:dyDescent="0.2">
      <c r="A9" s="76" t="s">
        <v>56</v>
      </c>
      <c r="B9" s="77">
        <v>105.12333333333331</v>
      </c>
      <c r="C9" s="78">
        <v>2712</v>
      </c>
      <c r="D9" s="79">
        <v>0.13694894712922279</v>
      </c>
      <c r="E9" s="80">
        <v>316594.63</v>
      </c>
      <c r="F9" s="79">
        <v>0.1146556516762772</v>
      </c>
    </row>
    <row r="10" spans="1:6" x14ac:dyDescent="0.2">
      <c r="A10" s="66" t="s">
        <v>172</v>
      </c>
      <c r="B10" s="67">
        <v>79.989999999999995</v>
      </c>
      <c r="C10" s="68">
        <v>238</v>
      </c>
      <c r="D10" s="69">
        <v>1.201838105337575E-2</v>
      </c>
      <c r="E10" s="70">
        <v>19066.54</v>
      </c>
      <c r="F10" s="69">
        <v>6.9050020491876526E-3</v>
      </c>
    </row>
    <row r="11" spans="1:6" x14ac:dyDescent="0.2">
      <c r="A11" s="76" t="s">
        <v>49</v>
      </c>
      <c r="B11" s="77">
        <v>259.21258064516132</v>
      </c>
      <c r="C11" s="78">
        <v>13738</v>
      </c>
      <c r="D11" s="79">
        <v>0.69373327273645402</v>
      </c>
      <c r="E11" s="80">
        <v>2011343.62</v>
      </c>
      <c r="F11" s="79">
        <v>0.728413850531901</v>
      </c>
    </row>
    <row r="12" spans="1:6" x14ac:dyDescent="0.2">
      <c r="A12" s="76" t="s">
        <v>143</v>
      </c>
      <c r="B12" s="77">
        <v>249.99</v>
      </c>
      <c r="C12" s="78">
        <v>136</v>
      </c>
      <c r="D12" s="79">
        <v>6.8676463162147148E-3</v>
      </c>
      <c r="E12" s="80">
        <v>33561.550000000003</v>
      </c>
      <c r="F12" s="79">
        <v>1.2154411420421E-2</v>
      </c>
    </row>
    <row r="13" spans="1:6" s="133" customFormat="1" x14ac:dyDescent="0.2">
      <c r="A13" s="128" t="s">
        <v>292</v>
      </c>
      <c r="B13" s="129">
        <v>161.86405806451609</v>
      </c>
      <c r="C13" s="130">
        <v>19803</v>
      </c>
      <c r="D13" s="131">
        <v>1</v>
      </c>
      <c r="E13" s="132">
        <v>2761264.93</v>
      </c>
      <c r="F13" s="131">
        <v>1</v>
      </c>
    </row>
    <row r="31" spans="1:6" ht="26" customHeight="1" x14ac:dyDescent="0.25">
      <c r="A31" s="116" t="s">
        <v>293</v>
      </c>
      <c r="B31" s="117"/>
      <c r="C31" s="117"/>
      <c r="D31" s="118"/>
      <c r="E31" s="117"/>
      <c r="F31" s="117"/>
    </row>
    <row r="32" spans="1:6" x14ac:dyDescent="0.2">
      <c r="A32" s="61" t="s">
        <v>33</v>
      </c>
      <c r="B32" s="62" t="s">
        <v>287</v>
      </c>
      <c r="C32" s="62" t="s">
        <v>288</v>
      </c>
      <c r="D32" s="63" t="s">
        <v>289</v>
      </c>
      <c r="E32" s="64" t="s">
        <v>290</v>
      </c>
      <c r="F32" s="65" t="s">
        <v>291</v>
      </c>
    </row>
    <row r="33" spans="1:6" x14ac:dyDescent="0.2">
      <c r="A33" s="76" t="s">
        <v>73</v>
      </c>
      <c r="B33" s="77">
        <v>143.32333333333341</v>
      </c>
      <c r="C33" s="78">
        <v>837</v>
      </c>
      <c r="D33" s="79">
        <v>4.1714428108646888E-2</v>
      </c>
      <c r="E33" s="80">
        <v>117583.32</v>
      </c>
      <c r="F33" s="79">
        <v>4.3692777148729711E-2</v>
      </c>
    </row>
    <row r="34" spans="1:6" x14ac:dyDescent="0.2">
      <c r="A34" s="66" t="s">
        <v>147</v>
      </c>
      <c r="B34" s="67">
        <v>169.99</v>
      </c>
      <c r="C34" s="68">
        <v>207</v>
      </c>
      <c r="D34" s="69">
        <v>1.031647146772988E-2</v>
      </c>
      <c r="E34" s="70">
        <v>39934.910000000003</v>
      </c>
      <c r="F34" s="69">
        <v>1.483941024189976E-2</v>
      </c>
    </row>
    <row r="35" spans="1:6" x14ac:dyDescent="0.2">
      <c r="A35" s="76" t="s">
        <v>256</v>
      </c>
      <c r="B35" s="77">
        <v>69.989999999999995</v>
      </c>
      <c r="C35" s="78">
        <v>61</v>
      </c>
      <c r="D35" s="79">
        <v>3.040119611263394E-3</v>
      </c>
      <c r="E35" s="80">
        <v>3665.94</v>
      </c>
      <c r="F35" s="79">
        <v>1.3622263724192699E-3</v>
      </c>
    </row>
    <row r="36" spans="1:6" x14ac:dyDescent="0.2">
      <c r="A36" s="76" t="s">
        <v>104</v>
      </c>
      <c r="B36" s="77">
        <v>72.989999999999995</v>
      </c>
      <c r="C36" s="78">
        <v>777</v>
      </c>
      <c r="D36" s="79">
        <v>3.8724146523797659E-2</v>
      </c>
      <c r="E36" s="80">
        <v>52520.15</v>
      </c>
      <c r="F36" s="79">
        <v>1.9515958639098271E-2</v>
      </c>
    </row>
    <row r="37" spans="1:6" x14ac:dyDescent="0.2">
      <c r="A37" s="76" t="s">
        <v>110</v>
      </c>
      <c r="B37" s="77">
        <v>129.99</v>
      </c>
      <c r="C37" s="78">
        <v>374</v>
      </c>
      <c r="D37" s="79">
        <v>1.86394218788936E-2</v>
      </c>
      <c r="E37" s="80">
        <v>49904.6</v>
      </c>
      <c r="F37" s="79">
        <v>1.8544046608791932E-2</v>
      </c>
    </row>
    <row r="38" spans="1:6" x14ac:dyDescent="0.2">
      <c r="A38" s="76" t="s">
        <v>227</v>
      </c>
      <c r="B38" s="77">
        <v>69.98</v>
      </c>
      <c r="C38" s="78">
        <v>102</v>
      </c>
      <c r="D38" s="79">
        <v>5.0834786942437083E-3</v>
      </c>
      <c r="E38" s="80">
        <v>7138.52</v>
      </c>
      <c r="F38" s="79">
        <v>2.6526021167947119E-3</v>
      </c>
    </row>
    <row r="39" spans="1:6" x14ac:dyDescent="0.2">
      <c r="A39" s="66" t="s">
        <v>116</v>
      </c>
      <c r="B39" s="67">
        <v>147.23750000000001</v>
      </c>
      <c r="C39" s="68">
        <v>669</v>
      </c>
      <c r="D39" s="69">
        <v>3.3341639671069033E-2</v>
      </c>
      <c r="E39" s="70">
        <v>94627.31</v>
      </c>
      <c r="F39" s="69">
        <v>3.5162555097217538E-2</v>
      </c>
    </row>
    <row r="40" spans="1:6" x14ac:dyDescent="0.2">
      <c r="A40" s="76" t="s">
        <v>56</v>
      </c>
      <c r="B40" s="77">
        <v>105.12333333333331</v>
      </c>
      <c r="C40" s="78">
        <v>2712</v>
      </c>
      <c r="D40" s="79">
        <v>0.13516072763518561</v>
      </c>
      <c r="E40" s="80">
        <v>316594.63</v>
      </c>
      <c r="F40" s="79">
        <v>0.1176433750558713</v>
      </c>
    </row>
    <row r="41" spans="1:6" x14ac:dyDescent="0.2">
      <c r="A41" s="66" t="s">
        <v>172</v>
      </c>
      <c r="B41" s="67">
        <v>79.989999999999995</v>
      </c>
      <c r="C41" s="68">
        <v>238</v>
      </c>
      <c r="D41" s="69">
        <v>1.186145028656865E-2</v>
      </c>
      <c r="E41" s="70">
        <v>19066.54</v>
      </c>
      <c r="F41" s="69">
        <v>7.0849341829890573E-3</v>
      </c>
    </row>
    <row r="42" spans="1:6" x14ac:dyDescent="0.2">
      <c r="A42" s="76" t="s">
        <v>49</v>
      </c>
      <c r="B42" s="77">
        <v>168.3815625</v>
      </c>
      <c r="C42" s="78">
        <v>13952</v>
      </c>
      <c r="D42" s="79">
        <v>0.69534014453027659</v>
      </c>
      <c r="E42" s="80">
        <v>1956541.15</v>
      </c>
      <c r="F42" s="79">
        <v>0.72703098066349325</v>
      </c>
    </row>
    <row r="43" spans="1:6" x14ac:dyDescent="0.2">
      <c r="A43" s="66" t="s">
        <v>143</v>
      </c>
      <c r="B43" s="67">
        <v>249.99</v>
      </c>
      <c r="C43" s="68">
        <v>136</v>
      </c>
      <c r="D43" s="69">
        <v>6.7779715923249441E-3</v>
      </c>
      <c r="E43" s="70">
        <v>33561.550000000003</v>
      </c>
      <c r="F43" s="69">
        <v>1.247113387269512E-2</v>
      </c>
    </row>
    <row r="44" spans="1:6" x14ac:dyDescent="0.2">
      <c r="A44" s="128" t="s">
        <v>292</v>
      </c>
      <c r="B44" s="129">
        <v>127.90779356060609</v>
      </c>
      <c r="C44" s="130">
        <v>20065</v>
      </c>
      <c r="D44" s="131">
        <v>1</v>
      </c>
      <c r="E44" s="132">
        <v>2691138.62</v>
      </c>
      <c r="F44" s="131">
        <v>1</v>
      </c>
    </row>
  </sheetData>
  <mergeCells count="2">
    <mergeCell ref="A31:F31"/>
    <mergeCell ref="A1:F1"/>
  </mergeCells>
  <conditionalFormatting sqref="C3:F13 C33:F43">
    <cfRule type="expression" dxfId="1" priority="2">
      <formula>C3&lt;0</formula>
    </cfRule>
  </conditionalFormatting>
  <conditionalFormatting sqref="C44:F44">
    <cfRule type="expression" dxfId="0" priority="1">
      <formula>C44&lt;0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0"/>
  <sheetViews>
    <sheetView zoomScale="87" workbookViewId="0">
      <selection activeCell="E14" sqref="E14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3320312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ht="16" customHeight="1" x14ac:dyDescent="0.2">
      <c r="A1" s="120" t="e">
        <v>#VALUE!</v>
      </c>
      <c r="B1" s="121"/>
      <c r="C1" s="122"/>
      <c r="D1" s="121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1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1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1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1"/>
      <c r="E5" s="123"/>
      <c r="F5" s="123"/>
      <c r="G5" s="123"/>
      <c r="H5" s="124"/>
      <c r="I5" s="121"/>
      <c r="J5" s="121"/>
      <c r="K5" s="121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5" t="s">
        <v>294</v>
      </c>
      <c r="B7" s="121"/>
      <c r="C7" s="122"/>
      <c r="D7" s="121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42</v>
      </c>
      <c r="B9" s="18" t="s">
        <v>41</v>
      </c>
      <c r="C9" s="41">
        <v>129.99</v>
      </c>
      <c r="D9" s="42">
        <v>10746139.800000001</v>
      </c>
      <c r="E9" s="43">
        <v>895511.65</v>
      </c>
      <c r="F9" s="44">
        <v>82668</v>
      </c>
      <c r="G9" s="44">
        <v>6889</v>
      </c>
      <c r="H9" s="44">
        <v>1347</v>
      </c>
      <c r="I9" s="45">
        <v>4.7</v>
      </c>
      <c r="J9" s="45" t="s">
        <v>50</v>
      </c>
      <c r="K9" s="56" t="str">
        <f t="shared" ref="K9:K21" si="0">HYPERLINK(J9)</f>
        <v>https://amazon.com/dp/B0CJY5C9QX</v>
      </c>
    </row>
    <row r="10" spans="1:11" ht="45" customHeight="1" x14ac:dyDescent="0.2">
      <c r="A10" s="18" t="s">
        <v>59</v>
      </c>
      <c r="B10" s="18" t="s">
        <v>58</v>
      </c>
      <c r="C10" s="41">
        <v>139.99</v>
      </c>
      <c r="D10" s="42">
        <v>1960944.96</v>
      </c>
      <c r="E10" s="43">
        <v>163412.07999999999</v>
      </c>
      <c r="F10" s="44">
        <v>16308</v>
      </c>
      <c r="G10" s="44">
        <v>1359</v>
      </c>
      <c r="H10" s="44">
        <v>263</v>
      </c>
      <c r="I10" s="45">
        <v>4.5999999999999996</v>
      </c>
      <c r="J10" s="45" t="s">
        <v>62</v>
      </c>
      <c r="K10" s="56" t="str">
        <f t="shared" si="0"/>
        <v>https://amazon.com/dp/B0DT4H7QQM</v>
      </c>
    </row>
    <row r="11" spans="1:11" ht="45" customHeight="1" x14ac:dyDescent="0.2">
      <c r="A11" s="18" t="s">
        <v>64</v>
      </c>
      <c r="B11" s="18" t="s">
        <v>63</v>
      </c>
      <c r="C11" s="41">
        <v>149.99</v>
      </c>
      <c r="D11" s="42">
        <v>1794015.36</v>
      </c>
      <c r="E11" s="43">
        <v>149501.28</v>
      </c>
      <c r="F11" s="44">
        <v>13512</v>
      </c>
      <c r="G11" s="44">
        <v>1126</v>
      </c>
      <c r="H11" s="44">
        <v>403</v>
      </c>
      <c r="I11" s="45">
        <v>4.5</v>
      </c>
      <c r="J11" s="45" t="s">
        <v>66</v>
      </c>
      <c r="K11" s="56" t="str">
        <f t="shared" si="0"/>
        <v>https://amazon.com/dp/B0CJY6SWBN</v>
      </c>
    </row>
    <row r="12" spans="1:11" ht="60" customHeight="1" x14ac:dyDescent="0.2">
      <c r="A12" s="18" t="s">
        <v>76</v>
      </c>
      <c r="B12" s="18" t="s">
        <v>75</v>
      </c>
      <c r="C12" s="41">
        <v>241.99</v>
      </c>
      <c r="D12" s="42">
        <v>851411.52</v>
      </c>
      <c r="E12" s="43">
        <v>70950.960000000006</v>
      </c>
      <c r="F12" s="44">
        <v>2856</v>
      </c>
      <c r="G12" s="44">
        <v>238</v>
      </c>
      <c r="H12" s="44">
        <v>203</v>
      </c>
      <c r="I12" s="45">
        <v>4.2</v>
      </c>
      <c r="J12" s="45" t="s">
        <v>78</v>
      </c>
      <c r="K12" s="56" t="str">
        <f t="shared" si="0"/>
        <v>https://amazon.com/dp/B0CHW4FLS7</v>
      </c>
    </row>
    <row r="13" spans="1:11" ht="45" customHeight="1" x14ac:dyDescent="0.2">
      <c r="A13" s="18" t="s">
        <v>80</v>
      </c>
      <c r="B13" s="18" t="s">
        <v>79</v>
      </c>
      <c r="C13" s="41">
        <v>359.98</v>
      </c>
      <c r="D13" s="42">
        <v>829030.32000000007</v>
      </c>
      <c r="E13" s="43">
        <v>69085.86</v>
      </c>
      <c r="F13" s="44">
        <v>1992</v>
      </c>
      <c r="G13" s="44">
        <v>166</v>
      </c>
      <c r="H13" s="44">
        <v>39</v>
      </c>
      <c r="I13" s="45">
        <v>4.8</v>
      </c>
      <c r="J13" s="45" t="s">
        <v>83</v>
      </c>
      <c r="K13" s="56" t="str">
        <f t="shared" si="0"/>
        <v>https://amazon.com/dp/B0DTHZDGYD</v>
      </c>
    </row>
    <row r="14" spans="1:11" ht="45" customHeight="1" x14ac:dyDescent="0.2">
      <c r="A14" s="18" t="s">
        <v>85</v>
      </c>
      <c r="B14" s="18" t="s">
        <v>84</v>
      </c>
      <c r="C14" s="41">
        <v>599.99</v>
      </c>
      <c r="D14" s="42">
        <v>781035.72</v>
      </c>
      <c r="E14" s="43">
        <v>65086.31</v>
      </c>
      <c r="F14" s="44">
        <v>1296</v>
      </c>
      <c r="G14" s="44">
        <v>108</v>
      </c>
      <c r="H14" s="44">
        <v>49</v>
      </c>
      <c r="I14" s="45">
        <v>4.4000000000000004</v>
      </c>
      <c r="J14" s="45" t="s">
        <v>87</v>
      </c>
      <c r="K14" s="56" t="str">
        <f t="shared" si="0"/>
        <v>https://amazon.com/dp/B0CLG67RHF</v>
      </c>
    </row>
    <row r="15" spans="1:11" ht="45" customHeight="1" x14ac:dyDescent="0.2">
      <c r="A15" s="18" t="s">
        <v>99</v>
      </c>
      <c r="B15" s="18" t="s">
        <v>98</v>
      </c>
      <c r="C15" s="41">
        <v>279.99</v>
      </c>
      <c r="D15" s="42">
        <v>634106.88</v>
      </c>
      <c r="E15" s="43">
        <v>52842.239999999998</v>
      </c>
      <c r="F15" s="44">
        <v>2268</v>
      </c>
      <c r="G15" s="44">
        <v>189</v>
      </c>
      <c r="H15" s="44">
        <v>564</v>
      </c>
      <c r="I15" s="45">
        <v>4.7</v>
      </c>
      <c r="J15" s="45" t="s">
        <v>100</v>
      </c>
      <c r="K15" s="56" t="str">
        <f t="shared" si="0"/>
        <v>https://amazon.com/dp/B09ZV7KJHL</v>
      </c>
    </row>
    <row r="16" spans="1:11" ht="45" customHeight="1" x14ac:dyDescent="0.2">
      <c r="A16" s="18" t="s">
        <v>122</v>
      </c>
      <c r="B16" s="18" t="s">
        <v>121</v>
      </c>
      <c r="C16" s="41">
        <v>67.989999999999995</v>
      </c>
      <c r="D16" s="42">
        <v>530679.84</v>
      </c>
      <c r="E16" s="43">
        <v>44223.32</v>
      </c>
      <c r="F16" s="44">
        <v>7200</v>
      </c>
      <c r="G16" s="44">
        <v>600</v>
      </c>
      <c r="H16" s="44">
        <v>125</v>
      </c>
      <c r="I16" s="45">
        <v>4.3</v>
      </c>
      <c r="J16" s="45" t="s">
        <v>125</v>
      </c>
      <c r="K16" s="56" t="str">
        <f t="shared" si="0"/>
        <v>https://amazon.com/dp/B0F2H49C2D</v>
      </c>
    </row>
    <row r="17" spans="1:11" ht="45" customHeight="1" x14ac:dyDescent="0.2">
      <c r="A17" s="18" t="s">
        <v>131</v>
      </c>
      <c r="B17" s="18" t="s">
        <v>130</v>
      </c>
      <c r="C17" s="41">
        <v>699.99</v>
      </c>
      <c r="D17" s="42">
        <v>490372.68</v>
      </c>
      <c r="E17" s="43">
        <v>40864.39</v>
      </c>
      <c r="F17" s="44">
        <v>696</v>
      </c>
      <c r="G17" s="44">
        <v>58</v>
      </c>
      <c r="H17" s="44">
        <v>27</v>
      </c>
      <c r="I17" s="45">
        <v>4.0999999999999996</v>
      </c>
      <c r="J17" s="45" t="s">
        <v>133</v>
      </c>
      <c r="K17" s="56" t="str">
        <f t="shared" si="0"/>
        <v>https://amazon.com/dp/B0D7PYRRKD</v>
      </c>
    </row>
    <row r="18" spans="1:11" ht="45" customHeight="1" x14ac:dyDescent="0.2">
      <c r="A18" s="18" t="s">
        <v>150</v>
      </c>
      <c r="B18" s="18" t="s">
        <v>149</v>
      </c>
      <c r="C18" s="41">
        <v>349.99</v>
      </c>
      <c r="D18" s="42">
        <v>378538.44</v>
      </c>
      <c r="E18" s="43">
        <v>31544.87</v>
      </c>
      <c r="F18" s="44">
        <v>1200</v>
      </c>
      <c r="G18" s="44">
        <v>100</v>
      </c>
      <c r="H18" s="44">
        <v>103</v>
      </c>
      <c r="I18" s="45">
        <v>4</v>
      </c>
      <c r="J18" s="45" t="s">
        <v>151</v>
      </c>
      <c r="K18" s="56" t="str">
        <f t="shared" si="0"/>
        <v>https://amazon.com/dp/B0CLG4LHWP</v>
      </c>
    </row>
    <row r="19" spans="1:11" ht="45" customHeight="1" x14ac:dyDescent="0.2">
      <c r="A19" s="18" t="s">
        <v>167</v>
      </c>
      <c r="B19" s="18" t="s">
        <v>166</v>
      </c>
      <c r="C19" s="41">
        <v>499.99</v>
      </c>
      <c r="D19" s="42">
        <v>239100.6</v>
      </c>
      <c r="E19" s="43">
        <v>19925.05</v>
      </c>
      <c r="F19" s="44">
        <v>480</v>
      </c>
      <c r="G19" s="44">
        <v>40</v>
      </c>
      <c r="H19" s="44">
        <v>19</v>
      </c>
      <c r="I19" s="45">
        <v>4</v>
      </c>
      <c r="J19" s="45" t="s">
        <v>168</v>
      </c>
      <c r="K19" s="56" t="str">
        <f t="shared" si="0"/>
        <v>https://amazon.com/dp/B0FFGZC3WX</v>
      </c>
    </row>
    <row r="20" spans="1:11" ht="45" customHeight="1" x14ac:dyDescent="0.2">
      <c r="A20" s="18" t="s">
        <v>297</v>
      </c>
      <c r="B20" s="18" t="s">
        <v>298</v>
      </c>
      <c r="C20" s="41">
        <v>309.99</v>
      </c>
      <c r="D20" s="42">
        <v>45653.279999999999</v>
      </c>
      <c r="E20" s="43">
        <v>3804.44</v>
      </c>
      <c r="F20" s="44">
        <v>144</v>
      </c>
      <c r="G20" s="44">
        <v>12</v>
      </c>
      <c r="H20" s="44">
        <v>45</v>
      </c>
      <c r="I20" s="45">
        <v>4.2</v>
      </c>
      <c r="J20" s="45" t="s">
        <v>299</v>
      </c>
      <c r="K20" s="56" t="str">
        <f t="shared" si="0"/>
        <v>https://amazon.com/dp/B0D97DVVN3</v>
      </c>
    </row>
    <row r="21" spans="1:11" ht="45" customHeight="1" x14ac:dyDescent="0.2">
      <c r="A21" s="18" t="s">
        <v>300</v>
      </c>
      <c r="B21" s="18" t="s">
        <v>301</v>
      </c>
      <c r="C21" s="41">
        <v>289.99</v>
      </c>
      <c r="D21" s="42">
        <v>19572.48</v>
      </c>
      <c r="E21" s="43">
        <v>1631.04</v>
      </c>
      <c r="F21" s="44">
        <v>72</v>
      </c>
      <c r="G21" s="44">
        <v>6</v>
      </c>
      <c r="H21" s="44">
        <v>22</v>
      </c>
      <c r="I21" s="45">
        <v>4.9000000000000004</v>
      </c>
      <c r="J21" s="45" t="s">
        <v>302</v>
      </c>
      <c r="K21" s="56" t="str">
        <f t="shared" si="0"/>
        <v>https://amazon.com/dp/B0D9JFTZX5</v>
      </c>
    </row>
    <row r="22" spans="1:11" ht="17" customHeight="1" x14ac:dyDescent="0.2">
      <c r="A22" s="21" t="s">
        <v>292</v>
      </c>
      <c r="B22" s="21"/>
      <c r="C22" s="57"/>
      <c r="D22" s="58">
        <f>SUM(D9:D21)</f>
        <v>19300601.880000003</v>
      </c>
      <c r="E22" s="58">
        <f>SUM(E9:E21)</f>
        <v>1608383.4900000002</v>
      </c>
      <c r="F22" s="59"/>
      <c r="G22" s="59"/>
      <c r="H22" s="59"/>
      <c r="I22" s="60"/>
      <c r="J22" s="21"/>
    </row>
    <row r="23" spans="1:11" x14ac:dyDescent="0.2">
      <c r="A23" s="18"/>
      <c r="B23" s="18"/>
      <c r="C23" s="42"/>
      <c r="D23" s="42"/>
      <c r="E23" s="44"/>
      <c r="F23" s="44"/>
      <c r="G23" s="44"/>
      <c r="H23" s="45"/>
      <c r="I23" s="18"/>
    </row>
    <row r="24" spans="1:11" x14ac:dyDescent="0.2">
      <c r="A24" s="18"/>
      <c r="B24" s="18"/>
      <c r="C24" s="42"/>
      <c r="D24" s="42"/>
      <c r="E24" s="44"/>
      <c r="F24" s="44"/>
      <c r="G24" s="44"/>
      <c r="H24" s="45"/>
      <c r="I24" s="18"/>
    </row>
    <row r="25" spans="1:11" x14ac:dyDescent="0.2">
      <c r="A25" s="125" t="s">
        <v>303</v>
      </c>
      <c r="B25" s="121"/>
      <c r="C25" s="122"/>
      <c r="D25" s="121"/>
      <c r="E25" s="123"/>
      <c r="F25" s="123"/>
      <c r="G25" s="123"/>
      <c r="H25" s="124"/>
      <c r="I25" s="121"/>
      <c r="J25" s="121"/>
      <c r="K25" s="121"/>
    </row>
    <row r="26" spans="1:11" ht="17" customHeight="1" x14ac:dyDescent="0.2">
      <c r="A26" s="24" t="s">
        <v>27</v>
      </c>
      <c r="B26" s="25" t="s">
        <v>26</v>
      </c>
      <c r="C26" s="26" t="s">
        <v>287</v>
      </c>
      <c r="D26" s="27" t="s">
        <v>4</v>
      </c>
      <c r="E26" s="25" t="s">
        <v>3</v>
      </c>
      <c r="F26" s="29" t="s">
        <v>22</v>
      </c>
      <c r="G26" s="32" t="s">
        <v>5</v>
      </c>
      <c r="H26" s="29" t="s">
        <v>37</v>
      </c>
      <c r="I26" s="30" t="s">
        <v>295</v>
      </c>
      <c r="J26" s="30" t="s">
        <v>296</v>
      </c>
      <c r="K26" s="31" t="s">
        <v>40</v>
      </c>
    </row>
    <row r="27" spans="1:11" ht="45" customHeight="1" x14ac:dyDescent="0.2">
      <c r="A27" s="18" t="s">
        <v>42</v>
      </c>
      <c r="B27" s="18" t="s">
        <v>41</v>
      </c>
      <c r="C27" s="41">
        <v>129.99</v>
      </c>
      <c r="D27" s="42">
        <v>10746139.800000001</v>
      </c>
      <c r="E27" s="42">
        <v>895511.65</v>
      </c>
      <c r="F27" s="44">
        <v>82668</v>
      </c>
      <c r="G27" s="46">
        <v>6889</v>
      </c>
      <c r="H27" s="44">
        <v>1347</v>
      </c>
      <c r="I27" s="45">
        <v>4.7</v>
      </c>
      <c r="J27" s="45" t="s">
        <v>50</v>
      </c>
      <c r="K27" s="22" t="str">
        <f t="shared" ref="K27:K39" si="1">HYPERLINK(J27)</f>
        <v>https://amazon.com/dp/B0CJY5C9QX</v>
      </c>
    </row>
    <row r="28" spans="1:11" ht="45" customHeight="1" x14ac:dyDescent="0.2">
      <c r="A28" s="18" t="s">
        <v>59</v>
      </c>
      <c r="B28" s="18" t="s">
        <v>58</v>
      </c>
      <c r="C28" s="41">
        <v>139.99</v>
      </c>
      <c r="D28" s="42">
        <v>1960944.96</v>
      </c>
      <c r="E28" s="42">
        <v>163412.07999999999</v>
      </c>
      <c r="F28" s="44">
        <v>16308</v>
      </c>
      <c r="G28" s="46">
        <v>1359</v>
      </c>
      <c r="H28" s="44">
        <v>263</v>
      </c>
      <c r="I28" s="45">
        <v>4.5999999999999996</v>
      </c>
      <c r="J28" s="45" t="s">
        <v>62</v>
      </c>
      <c r="K28" s="22" t="str">
        <f t="shared" si="1"/>
        <v>https://amazon.com/dp/B0DT4H7QQM</v>
      </c>
    </row>
    <row r="29" spans="1:11" ht="45" customHeight="1" x14ac:dyDescent="0.2">
      <c r="A29" s="18" t="s">
        <v>64</v>
      </c>
      <c r="B29" s="18" t="s">
        <v>63</v>
      </c>
      <c r="C29" s="41">
        <v>149.99</v>
      </c>
      <c r="D29" s="42">
        <v>1794015.36</v>
      </c>
      <c r="E29" s="42">
        <v>149501.28</v>
      </c>
      <c r="F29" s="44">
        <v>13512</v>
      </c>
      <c r="G29" s="46">
        <v>1126</v>
      </c>
      <c r="H29" s="44">
        <v>403</v>
      </c>
      <c r="I29" s="45">
        <v>4.5</v>
      </c>
      <c r="J29" s="45" t="s">
        <v>66</v>
      </c>
      <c r="K29" s="22" t="str">
        <f t="shared" si="1"/>
        <v>https://amazon.com/dp/B0CJY6SWBN</v>
      </c>
    </row>
    <row r="30" spans="1:11" ht="45" customHeight="1" x14ac:dyDescent="0.2">
      <c r="A30" s="18" t="s">
        <v>122</v>
      </c>
      <c r="B30" s="18" t="s">
        <v>121</v>
      </c>
      <c r="C30" s="41">
        <v>67.989999999999995</v>
      </c>
      <c r="D30" s="42">
        <v>530679.84</v>
      </c>
      <c r="E30" s="42">
        <v>44223.32</v>
      </c>
      <c r="F30" s="44">
        <v>7200</v>
      </c>
      <c r="G30" s="46">
        <v>600</v>
      </c>
      <c r="H30" s="44">
        <v>125</v>
      </c>
      <c r="I30" s="45">
        <v>4.3</v>
      </c>
      <c r="J30" s="45" t="s">
        <v>125</v>
      </c>
      <c r="K30" s="22" t="str">
        <f t="shared" si="1"/>
        <v>https://amazon.com/dp/B0F2H49C2D</v>
      </c>
    </row>
    <row r="31" spans="1:11" ht="45" customHeight="1" x14ac:dyDescent="0.2">
      <c r="A31" s="18" t="s">
        <v>76</v>
      </c>
      <c r="B31" s="18" t="s">
        <v>75</v>
      </c>
      <c r="C31" s="41">
        <v>241.99</v>
      </c>
      <c r="D31" s="42">
        <v>851411.52</v>
      </c>
      <c r="E31" s="42">
        <v>70950.960000000006</v>
      </c>
      <c r="F31" s="44">
        <v>2856</v>
      </c>
      <c r="G31" s="46">
        <v>238</v>
      </c>
      <c r="H31" s="44">
        <v>203</v>
      </c>
      <c r="I31" s="45">
        <v>4.2</v>
      </c>
      <c r="J31" s="45" t="s">
        <v>78</v>
      </c>
      <c r="K31" s="22" t="str">
        <f t="shared" si="1"/>
        <v>https://amazon.com/dp/B0CHW4FLS7</v>
      </c>
    </row>
    <row r="32" spans="1:11" ht="60" customHeight="1" x14ac:dyDescent="0.2">
      <c r="A32" s="18" t="s">
        <v>99</v>
      </c>
      <c r="B32" s="18" t="s">
        <v>98</v>
      </c>
      <c r="C32" s="41">
        <v>279.99</v>
      </c>
      <c r="D32" s="42">
        <v>634106.88</v>
      </c>
      <c r="E32" s="42">
        <v>52842.239999999998</v>
      </c>
      <c r="F32" s="44">
        <v>2268</v>
      </c>
      <c r="G32" s="46">
        <v>189</v>
      </c>
      <c r="H32" s="44">
        <v>564</v>
      </c>
      <c r="I32" s="45">
        <v>4.7</v>
      </c>
      <c r="J32" s="45" t="s">
        <v>100</v>
      </c>
      <c r="K32" s="22" t="str">
        <f t="shared" si="1"/>
        <v>https://amazon.com/dp/B09ZV7KJHL</v>
      </c>
    </row>
    <row r="33" spans="1:11" ht="45" customHeight="1" x14ac:dyDescent="0.2">
      <c r="A33" s="18" t="s">
        <v>80</v>
      </c>
      <c r="B33" s="18" t="s">
        <v>79</v>
      </c>
      <c r="C33" s="41">
        <v>359.98</v>
      </c>
      <c r="D33" s="42">
        <v>829030.32000000007</v>
      </c>
      <c r="E33" s="42">
        <v>69085.86</v>
      </c>
      <c r="F33" s="44">
        <v>1992</v>
      </c>
      <c r="G33" s="46">
        <v>166</v>
      </c>
      <c r="H33" s="44">
        <v>39</v>
      </c>
      <c r="I33" s="45">
        <v>4.8</v>
      </c>
      <c r="J33" s="45" t="s">
        <v>83</v>
      </c>
      <c r="K33" s="22" t="str">
        <f t="shared" si="1"/>
        <v>https://amazon.com/dp/B0DTHZDGYD</v>
      </c>
    </row>
    <row r="34" spans="1:11" ht="45" customHeight="1" x14ac:dyDescent="0.2">
      <c r="A34" s="18" t="s">
        <v>85</v>
      </c>
      <c r="B34" s="18" t="s">
        <v>84</v>
      </c>
      <c r="C34" s="41">
        <v>599.99</v>
      </c>
      <c r="D34" s="42">
        <v>781035.72</v>
      </c>
      <c r="E34" s="42">
        <v>65086.31</v>
      </c>
      <c r="F34" s="44">
        <v>1296</v>
      </c>
      <c r="G34" s="46">
        <v>108</v>
      </c>
      <c r="H34" s="44">
        <v>49</v>
      </c>
      <c r="I34" s="45">
        <v>4.4000000000000004</v>
      </c>
      <c r="J34" s="45" t="s">
        <v>87</v>
      </c>
      <c r="K34" s="22" t="str">
        <f t="shared" si="1"/>
        <v>https://amazon.com/dp/B0CLG67RHF</v>
      </c>
    </row>
    <row r="35" spans="1:11" ht="45" customHeight="1" x14ac:dyDescent="0.2">
      <c r="A35" s="18" t="s">
        <v>150</v>
      </c>
      <c r="B35" s="18" t="s">
        <v>149</v>
      </c>
      <c r="C35" s="41">
        <v>349.99</v>
      </c>
      <c r="D35" s="42">
        <v>378538.44</v>
      </c>
      <c r="E35" s="42">
        <v>31544.87</v>
      </c>
      <c r="F35" s="44">
        <v>1200</v>
      </c>
      <c r="G35" s="46">
        <v>100</v>
      </c>
      <c r="H35" s="44">
        <v>103</v>
      </c>
      <c r="I35" s="45">
        <v>4</v>
      </c>
      <c r="J35" s="45" t="s">
        <v>151</v>
      </c>
      <c r="K35" s="22" t="str">
        <f t="shared" si="1"/>
        <v>https://amazon.com/dp/B0CLG4LHWP</v>
      </c>
    </row>
    <row r="36" spans="1:11" ht="45" customHeight="1" x14ac:dyDescent="0.2">
      <c r="A36" s="18" t="s">
        <v>131</v>
      </c>
      <c r="B36" s="18" t="s">
        <v>130</v>
      </c>
      <c r="C36" s="41">
        <v>699.99</v>
      </c>
      <c r="D36" s="42">
        <v>490372.68</v>
      </c>
      <c r="E36" s="42">
        <v>40864.39</v>
      </c>
      <c r="F36" s="44">
        <v>696</v>
      </c>
      <c r="G36" s="46">
        <v>58</v>
      </c>
      <c r="H36" s="44">
        <v>27</v>
      </c>
      <c r="I36" s="45">
        <v>4.0999999999999996</v>
      </c>
      <c r="J36" s="45" t="s">
        <v>133</v>
      </c>
      <c r="K36" s="22" t="str">
        <f t="shared" si="1"/>
        <v>https://amazon.com/dp/B0D7PYRRKD</v>
      </c>
    </row>
    <row r="37" spans="1:11" ht="45" customHeight="1" x14ac:dyDescent="0.2">
      <c r="A37" s="18" t="s">
        <v>167</v>
      </c>
      <c r="B37" s="18" t="s">
        <v>166</v>
      </c>
      <c r="C37" s="41">
        <v>499.99</v>
      </c>
      <c r="D37" s="42">
        <v>239100.6</v>
      </c>
      <c r="E37" s="42">
        <v>19925.05</v>
      </c>
      <c r="F37" s="44">
        <v>480</v>
      </c>
      <c r="G37" s="46">
        <v>40</v>
      </c>
      <c r="H37" s="44">
        <v>19</v>
      </c>
      <c r="I37" s="45">
        <v>4</v>
      </c>
      <c r="J37" s="45" t="s">
        <v>168</v>
      </c>
      <c r="K37" s="22" t="str">
        <f t="shared" si="1"/>
        <v>https://amazon.com/dp/B0FFGZC3WX</v>
      </c>
    </row>
    <row r="38" spans="1:11" ht="45" customHeight="1" x14ac:dyDescent="0.2">
      <c r="A38" s="18" t="s">
        <v>297</v>
      </c>
      <c r="B38" s="18" t="s">
        <v>298</v>
      </c>
      <c r="C38" s="41">
        <v>309.99</v>
      </c>
      <c r="D38" s="42">
        <v>45653.279999999999</v>
      </c>
      <c r="E38" s="42">
        <v>3804.44</v>
      </c>
      <c r="F38" s="44">
        <v>144</v>
      </c>
      <c r="G38" s="46">
        <v>12</v>
      </c>
      <c r="H38" s="44">
        <v>45</v>
      </c>
      <c r="I38" s="45">
        <v>4.2</v>
      </c>
      <c r="J38" s="45" t="s">
        <v>299</v>
      </c>
      <c r="K38" s="22" t="str">
        <f t="shared" si="1"/>
        <v>https://amazon.com/dp/B0D97DVVN3</v>
      </c>
    </row>
    <row r="39" spans="1:11" ht="45" customHeight="1" x14ac:dyDescent="0.2">
      <c r="A39" s="18" t="s">
        <v>300</v>
      </c>
      <c r="B39" s="18" t="s">
        <v>301</v>
      </c>
      <c r="C39" s="41">
        <v>289.99</v>
      </c>
      <c r="D39" s="42">
        <v>19572.48</v>
      </c>
      <c r="E39" s="42">
        <v>1631.04</v>
      </c>
      <c r="F39" s="44">
        <v>72</v>
      </c>
      <c r="G39" s="46">
        <v>6</v>
      </c>
      <c r="H39" s="44">
        <v>22</v>
      </c>
      <c r="I39" s="45">
        <v>4.9000000000000004</v>
      </c>
      <c r="J39" s="45" t="s">
        <v>302</v>
      </c>
      <c r="K39" s="22" t="str">
        <f t="shared" si="1"/>
        <v>https://amazon.com/dp/B0D9JFTZX5</v>
      </c>
    </row>
    <row r="40" spans="1:11" ht="17" customHeight="1" x14ac:dyDescent="0.2">
      <c r="A40" s="21" t="s">
        <v>292</v>
      </c>
      <c r="B40" s="21"/>
      <c r="C40" s="58"/>
      <c r="D40" s="58"/>
      <c r="E40" s="58"/>
      <c r="F40" s="59">
        <f>SUM(Teslong!F27:F39)</f>
        <v>130692</v>
      </c>
      <c r="G40" s="59">
        <f>SUM(Teslong!G27:G39)</f>
        <v>10891</v>
      </c>
      <c r="H40" s="59"/>
      <c r="I40" s="60"/>
      <c r="J40" s="21"/>
    </row>
  </sheetData>
  <mergeCells count="3">
    <mergeCell ref="A1:K5"/>
    <mergeCell ref="A7:K7"/>
    <mergeCell ref="A25:K25"/>
  </mergeCells>
  <hyperlinks>
    <hyperlink ref="K27" r:id="rId1" display="https://amazon.com/dp/B07S7H86Z1" xr:uid="{00000000-0004-0000-0800-000000000000}"/>
  </hyperlinks>
  <pageMargins left="0.7" right="0.7" top="0.75" bottom="0.75" header="0.3" footer="0.3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zoomScale="59" workbookViewId="0">
      <selection activeCell="C62" sqref="C62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164062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ht="16" customHeight="1" x14ac:dyDescent="0.2">
      <c r="A1" s="120" t="e">
        <v>#VALUE!</v>
      </c>
      <c r="B1" s="121"/>
      <c r="C1" s="122"/>
      <c r="D1" s="121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1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1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1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1"/>
      <c r="E5" s="123"/>
      <c r="F5" s="123"/>
      <c r="G5" s="123"/>
      <c r="H5" s="124"/>
      <c r="I5" s="121"/>
      <c r="J5" s="121"/>
      <c r="K5" s="121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5" t="s">
        <v>294</v>
      </c>
      <c r="B7" s="121"/>
      <c r="C7" s="122"/>
      <c r="D7" s="121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71</v>
      </c>
      <c r="B9" s="18" t="s">
        <v>70</v>
      </c>
      <c r="C9" s="41">
        <v>159.99</v>
      </c>
      <c r="D9" s="42">
        <v>965758.20000000007</v>
      </c>
      <c r="E9" s="43">
        <v>80479.850000000006</v>
      </c>
      <c r="F9" s="44">
        <v>6816</v>
      </c>
      <c r="G9" s="44">
        <v>568</v>
      </c>
      <c r="H9" s="44">
        <v>338</v>
      </c>
      <c r="I9" s="45">
        <v>4.5999999999999996</v>
      </c>
      <c r="J9" s="45" t="s">
        <v>74</v>
      </c>
      <c r="K9" s="56" t="str">
        <f t="shared" ref="K9:K15" si="0">HYPERLINK(J9)</f>
        <v>https://amazon.com/dp/B0F62WJY8N</v>
      </c>
    </row>
    <row r="10" spans="1:11" ht="45" customHeight="1" x14ac:dyDescent="0.2">
      <c r="A10" s="18" t="s">
        <v>119</v>
      </c>
      <c r="B10" s="18" t="s">
        <v>118</v>
      </c>
      <c r="C10" s="41">
        <v>129.99</v>
      </c>
      <c r="D10" s="42">
        <v>536267.88</v>
      </c>
      <c r="E10" s="43">
        <v>44688.99</v>
      </c>
      <c r="F10" s="44">
        <v>5016</v>
      </c>
      <c r="G10" s="44">
        <v>418</v>
      </c>
      <c r="H10" s="44">
        <v>340</v>
      </c>
      <c r="I10" s="45">
        <v>4.5999999999999996</v>
      </c>
      <c r="J10" s="45" t="s">
        <v>120</v>
      </c>
      <c r="K10" s="56" t="str">
        <f t="shared" si="0"/>
        <v>https://amazon.com/dp/B0DT16R78W</v>
      </c>
    </row>
    <row r="11" spans="1:11" ht="45" customHeight="1" x14ac:dyDescent="0.2">
      <c r="A11" s="18" t="s">
        <v>184</v>
      </c>
      <c r="B11" s="18" t="s">
        <v>183</v>
      </c>
      <c r="C11" s="41">
        <v>89.99</v>
      </c>
      <c r="D11" s="42">
        <v>125965.56</v>
      </c>
      <c r="E11" s="43">
        <v>10497.13</v>
      </c>
      <c r="F11" s="44">
        <v>1152</v>
      </c>
      <c r="G11" s="44">
        <v>96</v>
      </c>
      <c r="H11" s="44">
        <v>101</v>
      </c>
      <c r="I11" s="45">
        <v>4.5999999999999996</v>
      </c>
      <c r="J11" s="45" t="s">
        <v>185</v>
      </c>
      <c r="K11" s="56" t="str">
        <f t="shared" si="0"/>
        <v>https://amazon.com/dp/B0FD3NRZ5S</v>
      </c>
    </row>
    <row r="12" spans="1:11" ht="45" customHeight="1" x14ac:dyDescent="0.2">
      <c r="A12" s="18" t="s">
        <v>213</v>
      </c>
      <c r="B12" s="18" t="s">
        <v>212</v>
      </c>
      <c r="C12" s="41">
        <v>105.99</v>
      </c>
      <c r="D12" s="42">
        <v>91437.72</v>
      </c>
      <c r="E12" s="43">
        <v>7619.81</v>
      </c>
      <c r="F12" s="44">
        <v>864</v>
      </c>
      <c r="G12" s="44">
        <v>72</v>
      </c>
      <c r="H12" s="44">
        <v>77</v>
      </c>
      <c r="I12" s="45">
        <v>4.7</v>
      </c>
      <c r="J12" s="45" t="s">
        <v>214</v>
      </c>
      <c r="K12" s="56" t="str">
        <f t="shared" si="0"/>
        <v>https://amazon.com/dp/B0FQC32XV7</v>
      </c>
    </row>
    <row r="13" spans="1:11" ht="45" customHeight="1" x14ac:dyDescent="0.2">
      <c r="A13" s="18" t="s">
        <v>233</v>
      </c>
      <c r="B13" s="18" t="s">
        <v>232</v>
      </c>
      <c r="C13" s="41">
        <v>99.99</v>
      </c>
      <c r="D13" s="42">
        <v>81339</v>
      </c>
      <c r="E13" s="43">
        <v>6778.25</v>
      </c>
      <c r="F13" s="44">
        <v>672</v>
      </c>
      <c r="G13" s="44">
        <v>56</v>
      </c>
      <c r="H13" s="44">
        <v>459</v>
      </c>
      <c r="I13" s="45">
        <v>4.7</v>
      </c>
      <c r="J13" s="45" t="s">
        <v>234</v>
      </c>
      <c r="K13" s="56" t="str">
        <f t="shared" si="0"/>
        <v>https://amazon.com/dp/B0DPX48VZB</v>
      </c>
    </row>
    <row r="14" spans="1:11" ht="60" customHeight="1" x14ac:dyDescent="0.2">
      <c r="A14" s="18" t="s">
        <v>240</v>
      </c>
      <c r="B14" s="18" t="s">
        <v>239</v>
      </c>
      <c r="C14" s="41">
        <v>89.99</v>
      </c>
      <c r="D14" s="42">
        <v>77103.839999999997</v>
      </c>
      <c r="E14" s="43">
        <v>6425.32</v>
      </c>
      <c r="F14" s="44">
        <v>732</v>
      </c>
      <c r="G14" s="44">
        <v>61</v>
      </c>
      <c r="H14" s="44">
        <v>328</v>
      </c>
      <c r="I14" s="45">
        <v>4.5</v>
      </c>
      <c r="J14" s="45" t="s">
        <v>241</v>
      </c>
      <c r="K14" s="56" t="str">
        <f t="shared" si="0"/>
        <v>https://amazon.com/dp/B0DBZ6Q4YH</v>
      </c>
    </row>
    <row r="15" spans="1:11" ht="45" customHeight="1" x14ac:dyDescent="0.2">
      <c r="A15" s="18" t="s">
        <v>304</v>
      </c>
      <c r="B15" s="18" t="s">
        <v>305</v>
      </c>
      <c r="C15" s="41">
        <v>149.97999999999999</v>
      </c>
      <c r="D15" s="42">
        <v>33571.919999999998</v>
      </c>
      <c r="E15" s="43">
        <v>2797.66</v>
      </c>
      <c r="F15" s="44">
        <v>228</v>
      </c>
      <c r="G15" s="44">
        <v>19</v>
      </c>
      <c r="H15" s="44">
        <v>440</v>
      </c>
      <c r="I15" s="45">
        <v>4.7</v>
      </c>
      <c r="J15" s="45" t="s">
        <v>306</v>
      </c>
      <c r="K15" s="56" t="str">
        <f t="shared" si="0"/>
        <v>https://amazon.com/dp/B0CXSTNWTW</v>
      </c>
    </row>
    <row r="16" spans="1:11" ht="17" customHeight="1" x14ac:dyDescent="0.2">
      <c r="A16" s="21" t="s">
        <v>292</v>
      </c>
      <c r="B16" s="21"/>
      <c r="C16" s="57"/>
      <c r="D16" s="58">
        <f>SUM(D9:D15)</f>
        <v>1911444.12</v>
      </c>
      <c r="E16" s="58">
        <f>SUM(E9:E15)</f>
        <v>159287.01</v>
      </c>
      <c r="F16" s="59"/>
      <c r="G16" s="59"/>
      <c r="H16" s="59"/>
      <c r="I16" s="60"/>
      <c r="J16" s="21"/>
    </row>
    <row r="17" spans="1:11" x14ac:dyDescent="0.2">
      <c r="A17" s="18"/>
      <c r="B17" s="18"/>
      <c r="C17" s="42"/>
      <c r="D17" s="42"/>
      <c r="E17" s="44"/>
      <c r="F17" s="44"/>
      <c r="G17" s="44"/>
      <c r="H17" s="45"/>
      <c r="I17" s="18"/>
    </row>
    <row r="18" spans="1:11" x14ac:dyDescent="0.2">
      <c r="A18" s="18"/>
      <c r="B18" s="18"/>
      <c r="C18" s="42"/>
      <c r="D18" s="42"/>
      <c r="E18" s="44"/>
      <c r="F18" s="44"/>
      <c r="G18" s="44"/>
      <c r="H18" s="45"/>
      <c r="I18" s="18"/>
    </row>
    <row r="19" spans="1:11" x14ac:dyDescent="0.2">
      <c r="A19" s="125" t="s">
        <v>303</v>
      </c>
      <c r="B19" s="121"/>
      <c r="C19" s="122"/>
      <c r="D19" s="121"/>
      <c r="E19" s="123"/>
      <c r="F19" s="123"/>
      <c r="G19" s="123"/>
      <c r="H19" s="124"/>
      <c r="I19" s="121"/>
      <c r="J19" s="121"/>
      <c r="K19" s="121"/>
    </row>
    <row r="20" spans="1:11" ht="17" customHeight="1" x14ac:dyDescent="0.2">
      <c r="A20" s="24" t="s">
        <v>27</v>
      </c>
      <c r="B20" s="25" t="s">
        <v>26</v>
      </c>
      <c r="C20" s="26" t="s">
        <v>287</v>
      </c>
      <c r="D20" s="27" t="s">
        <v>4</v>
      </c>
      <c r="E20" s="25" t="s">
        <v>3</v>
      </c>
      <c r="F20" s="29" t="s">
        <v>22</v>
      </c>
      <c r="G20" s="32" t="s">
        <v>5</v>
      </c>
      <c r="H20" s="29" t="s">
        <v>37</v>
      </c>
      <c r="I20" s="30" t="s">
        <v>295</v>
      </c>
      <c r="J20" s="30" t="s">
        <v>296</v>
      </c>
      <c r="K20" s="31" t="s">
        <v>40</v>
      </c>
    </row>
    <row r="21" spans="1:11" ht="45" customHeight="1" x14ac:dyDescent="0.2">
      <c r="A21" s="18" t="s">
        <v>71</v>
      </c>
      <c r="B21" s="18" t="s">
        <v>70</v>
      </c>
      <c r="C21" s="41">
        <v>159.99</v>
      </c>
      <c r="D21" s="42">
        <v>965758.20000000007</v>
      </c>
      <c r="E21" s="42">
        <v>80479.850000000006</v>
      </c>
      <c r="F21" s="44">
        <v>6816</v>
      </c>
      <c r="G21" s="46">
        <v>568</v>
      </c>
      <c r="H21" s="44">
        <v>338</v>
      </c>
      <c r="I21" s="45">
        <v>4.5999999999999996</v>
      </c>
      <c r="J21" s="45" t="s">
        <v>74</v>
      </c>
      <c r="K21" s="22" t="str">
        <f t="shared" ref="K21:K27" si="1">HYPERLINK(J21)</f>
        <v>https://amazon.com/dp/B0F62WJY8N</v>
      </c>
    </row>
    <row r="22" spans="1:11" ht="45" customHeight="1" x14ac:dyDescent="0.2">
      <c r="A22" s="18" t="s">
        <v>119</v>
      </c>
      <c r="B22" s="18" t="s">
        <v>118</v>
      </c>
      <c r="C22" s="41">
        <v>129.99</v>
      </c>
      <c r="D22" s="42">
        <v>536267.88</v>
      </c>
      <c r="E22" s="42">
        <v>44688.99</v>
      </c>
      <c r="F22" s="44">
        <v>5016</v>
      </c>
      <c r="G22" s="46">
        <v>418</v>
      </c>
      <c r="H22" s="44">
        <v>340</v>
      </c>
      <c r="I22" s="45">
        <v>4.5999999999999996</v>
      </c>
      <c r="J22" s="45" t="s">
        <v>120</v>
      </c>
      <c r="K22" s="22" t="str">
        <f t="shared" si="1"/>
        <v>https://amazon.com/dp/B0DT16R78W</v>
      </c>
    </row>
    <row r="23" spans="1:11" ht="45" customHeight="1" x14ac:dyDescent="0.2">
      <c r="A23" s="18" t="s">
        <v>184</v>
      </c>
      <c r="B23" s="18" t="s">
        <v>183</v>
      </c>
      <c r="C23" s="41">
        <v>89.99</v>
      </c>
      <c r="D23" s="42">
        <v>125965.56</v>
      </c>
      <c r="E23" s="42">
        <v>10497.13</v>
      </c>
      <c r="F23" s="44">
        <v>1152</v>
      </c>
      <c r="G23" s="46">
        <v>96</v>
      </c>
      <c r="H23" s="44">
        <v>101</v>
      </c>
      <c r="I23" s="45">
        <v>4.5999999999999996</v>
      </c>
      <c r="J23" s="45" t="s">
        <v>185</v>
      </c>
      <c r="K23" s="101" t="str">
        <f t="shared" si="1"/>
        <v>https://amazon.com/dp/B0FD3NRZ5S</v>
      </c>
    </row>
    <row r="24" spans="1:11" ht="60" customHeight="1" x14ac:dyDescent="0.2">
      <c r="A24" s="18" t="s">
        <v>213</v>
      </c>
      <c r="B24" s="18" t="s">
        <v>212</v>
      </c>
      <c r="C24" s="41">
        <v>105.99</v>
      </c>
      <c r="D24" s="42">
        <v>91437.72</v>
      </c>
      <c r="E24" s="42">
        <v>7619.81</v>
      </c>
      <c r="F24" s="44">
        <v>864</v>
      </c>
      <c r="G24" s="46">
        <v>72</v>
      </c>
      <c r="H24" s="44">
        <v>77</v>
      </c>
      <c r="I24" s="45">
        <v>4.7</v>
      </c>
      <c r="J24" s="45" t="s">
        <v>214</v>
      </c>
      <c r="K24" s="22" t="str">
        <f t="shared" si="1"/>
        <v>https://amazon.com/dp/B0FQC32XV7</v>
      </c>
    </row>
    <row r="25" spans="1:11" ht="45" customHeight="1" x14ac:dyDescent="0.2">
      <c r="A25" s="18" t="s">
        <v>240</v>
      </c>
      <c r="B25" s="18" t="s">
        <v>239</v>
      </c>
      <c r="C25" s="41">
        <v>89.99</v>
      </c>
      <c r="D25" s="42">
        <v>77103.839999999997</v>
      </c>
      <c r="E25" s="42">
        <v>6425.32</v>
      </c>
      <c r="F25" s="44">
        <v>732</v>
      </c>
      <c r="G25" s="46">
        <v>61</v>
      </c>
      <c r="H25" s="44">
        <v>328</v>
      </c>
      <c r="I25" s="45">
        <v>4.5</v>
      </c>
      <c r="J25" s="45" t="s">
        <v>241</v>
      </c>
      <c r="K25" s="22" t="str">
        <f t="shared" si="1"/>
        <v>https://amazon.com/dp/B0DBZ6Q4YH</v>
      </c>
    </row>
    <row r="26" spans="1:11" ht="45" customHeight="1" x14ac:dyDescent="0.2">
      <c r="A26" s="18" t="s">
        <v>233</v>
      </c>
      <c r="B26" s="18" t="s">
        <v>232</v>
      </c>
      <c r="C26" s="41">
        <v>99.99</v>
      </c>
      <c r="D26" s="42">
        <v>81339</v>
      </c>
      <c r="E26" s="42">
        <v>6778.25</v>
      </c>
      <c r="F26" s="44">
        <v>672</v>
      </c>
      <c r="G26" s="46">
        <v>56</v>
      </c>
      <c r="H26" s="44">
        <v>459</v>
      </c>
      <c r="I26" s="45">
        <v>4.7</v>
      </c>
      <c r="J26" s="45" t="s">
        <v>234</v>
      </c>
      <c r="K26" s="22" t="str">
        <f t="shared" si="1"/>
        <v>https://amazon.com/dp/B0DPX48VZB</v>
      </c>
    </row>
    <row r="27" spans="1:11" ht="45" customHeight="1" x14ac:dyDescent="0.2">
      <c r="A27" s="18" t="s">
        <v>304</v>
      </c>
      <c r="B27" s="18" t="s">
        <v>305</v>
      </c>
      <c r="C27" s="41">
        <v>149.97999999999999</v>
      </c>
      <c r="D27" s="42">
        <v>33571.919999999998</v>
      </c>
      <c r="E27" s="42">
        <v>2797.66</v>
      </c>
      <c r="F27" s="44">
        <v>228</v>
      </c>
      <c r="G27" s="46">
        <v>19</v>
      </c>
      <c r="H27" s="44">
        <v>440</v>
      </c>
      <c r="I27" s="45">
        <v>4.7</v>
      </c>
      <c r="J27" s="45" t="s">
        <v>306</v>
      </c>
      <c r="K27" s="22" t="str">
        <f t="shared" si="1"/>
        <v>https://amazon.com/dp/B0CXSTNWTW</v>
      </c>
    </row>
    <row r="28" spans="1:11" ht="17" customHeight="1" x14ac:dyDescent="0.2">
      <c r="A28" s="21" t="s">
        <v>292</v>
      </c>
      <c r="B28" s="21"/>
      <c r="C28" s="58"/>
      <c r="D28" s="58"/>
      <c r="E28" s="58"/>
      <c r="F28" s="59">
        <f>SUM(DEPSTECH!F21:F27)</f>
        <v>15480</v>
      </c>
      <c r="G28" s="59">
        <f>SUM(DEPSTECH!G21:G27)</f>
        <v>1290</v>
      </c>
      <c r="H28" s="59"/>
      <c r="I28" s="60"/>
      <c r="J28" s="21"/>
    </row>
  </sheetData>
  <mergeCells count="3">
    <mergeCell ref="A19:K19"/>
    <mergeCell ref="A7:K7"/>
    <mergeCell ref="A1:K5"/>
  </mergeCells>
  <hyperlinks>
    <hyperlink ref="K21" r:id="rId1" display="https://amazon.com/dp/B07S7H86Z1" xr:uid="{00000000-0004-0000-0900-000000000000}"/>
    <hyperlink ref="K22" r:id="rId2" display="https://amazon.com/dp/B07S7H86Z1" xr:uid="{00000000-0004-0000-0900-000001000000}"/>
  </hyperlinks>
  <pageMargins left="0.7" right="0.7" top="0.75" bottom="0.75" header="0.3" footer="0.3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>
      <selection activeCell="K9" sqref="K9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3" style="19" bestFit="1" customWidth="1"/>
    <col min="10" max="10" width="28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ht="16" customHeight="1" x14ac:dyDescent="0.2">
      <c r="A1" s="120" t="e">
        <v>#VALUE!</v>
      </c>
      <c r="B1" s="121"/>
      <c r="C1" s="122"/>
      <c r="D1" s="121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1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1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1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1"/>
      <c r="E5" s="123"/>
      <c r="F5" s="123"/>
      <c r="G5" s="123"/>
      <c r="H5" s="124"/>
      <c r="I5" s="121"/>
      <c r="J5" s="121"/>
      <c r="K5" s="121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5" t="s">
        <v>294</v>
      </c>
      <c r="B7" s="121"/>
      <c r="C7" s="122"/>
      <c r="D7" s="121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89</v>
      </c>
      <c r="B9" s="18" t="s">
        <v>88</v>
      </c>
      <c r="C9" s="41">
        <v>105.99</v>
      </c>
      <c r="D9" s="42">
        <v>743470.2</v>
      </c>
      <c r="E9" s="43">
        <v>61955.85</v>
      </c>
      <c r="F9" s="44">
        <v>7440</v>
      </c>
      <c r="G9" s="44">
        <v>620</v>
      </c>
      <c r="H9" s="44">
        <v>424</v>
      </c>
      <c r="I9" s="45">
        <v>4.5999999999999996</v>
      </c>
      <c r="J9" s="45" t="s">
        <v>91</v>
      </c>
      <c r="K9" s="56" t="str">
        <f>HYPERLINK(J9)</f>
        <v>https://amazon.com/dp/B0DFHL8YN5</v>
      </c>
    </row>
    <row r="10" spans="1:11" ht="17" customHeight="1" x14ac:dyDescent="0.2">
      <c r="A10" s="21" t="s">
        <v>292</v>
      </c>
      <c r="B10" s="21"/>
      <c r="C10" s="57"/>
      <c r="D10" s="105">
        <f>SUM(D9:D9)</f>
        <v>743470.2</v>
      </c>
      <c r="E10" s="105">
        <f>SUM(E9:E9)</f>
        <v>61955.85</v>
      </c>
      <c r="F10" s="59"/>
      <c r="G10" s="59"/>
      <c r="H10" s="59"/>
      <c r="I10" s="60"/>
      <c r="J10" s="21"/>
    </row>
    <row r="11" spans="1:11" x14ac:dyDescent="0.2">
      <c r="A11" s="18"/>
      <c r="B11" s="18"/>
      <c r="C11" s="42"/>
      <c r="D11" s="42"/>
      <c r="E11" s="44"/>
      <c r="F11" s="44"/>
      <c r="G11" s="44"/>
      <c r="H11" s="45"/>
      <c r="I11" s="18"/>
    </row>
    <row r="12" spans="1:11" x14ac:dyDescent="0.2">
      <c r="A12" s="18"/>
      <c r="B12" s="18"/>
      <c r="C12" s="42"/>
      <c r="D12" s="42"/>
      <c r="E12" s="44"/>
      <c r="F12" s="44"/>
      <c r="G12" s="44"/>
      <c r="H12" s="45"/>
      <c r="I12" s="18"/>
    </row>
    <row r="13" spans="1:11" x14ac:dyDescent="0.2">
      <c r="A13" s="125" t="s">
        <v>303</v>
      </c>
      <c r="B13" s="121"/>
      <c r="C13" s="122"/>
      <c r="D13" s="121"/>
      <c r="E13" s="123"/>
      <c r="F13" s="123"/>
      <c r="G13" s="123"/>
      <c r="H13" s="124"/>
      <c r="I13" s="121"/>
      <c r="J13" s="121"/>
      <c r="K13" s="121"/>
    </row>
    <row r="14" spans="1:11" ht="17" customHeight="1" x14ac:dyDescent="0.2">
      <c r="A14" s="24" t="s">
        <v>27</v>
      </c>
      <c r="B14" s="25" t="s">
        <v>26</v>
      </c>
      <c r="C14" s="26" t="s">
        <v>287</v>
      </c>
      <c r="D14" s="27" t="s">
        <v>4</v>
      </c>
      <c r="E14" s="25" t="s">
        <v>3</v>
      </c>
      <c r="F14" s="29" t="s">
        <v>22</v>
      </c>
      <c r="G14" s="32" t="s">
        <v>5</v>
      </c>
      <c r="H14" s="29" t="s">
        <v>37</v>
      </c>
      <c r="I14" s="30" t="s">
        <v>295</v>
      </c>
      <c r="J14" s="30" t="s">
        <v>296</v>
      </c>
      <c r="K14" s="31" t="s">
        <v>40</v>
      </c>
    </row>
    <row r="15" spans="1:11" ht="45" customHeight="1" x14ac:dyDescent="0.2">
      <c r="A15" s="18" t="s">
        <v>89</v>
      </c>
      <c r="B15" s="18" t="s">
        <v>88</v>
      </c>
      <c r="C15" s="41">
        <v>105.99</v>
      </c>
      <c r="D15" s="42">
        <v>743470.2</v>
      </c>
      <c r="E15" s="42">
        <v>61955.85</v>
      </c>
      <c r="F15" s="44">
        <v>7440</v>
      </c>
      <c r="G15" s="46">
        <v>620</v>
      </c>
      <c r="H15" s="44">
        <v>424</v>
      </c>
      <c r="I15" s="45">
        <v>4.5999999999999996</v>
      </c>
      <c r="J15" s="45" t="s">
        <v>91</v>
      </c>
      <c r="K15" s="22" t="str">
        <f>HYPERLINK(J15)</f>
        <v>https://amazon.com/dp/B0DFHL8YN5</v>
      </c>
    </row>
    <row r="16" spans="1:11" ht="17" customHeight="1" x14ac:dyDescent="0.2">
      <c r="A16" s="21" t="s">
        <v>292</v>
      </c>
      <c r="B16" s="21"/>
      <c r="C16" s="58"/>
      <c r="D16" s="58"/>
      <c r="E16" s="58"/>
      <c r="F16" s="59">
        <f>SUM(UJOYOK!F15:F15)</f>
        <v>7440</v>
      </c>
      <c r="G16" s="59">
        <f>SUM(UJOYOK!G15:G15)</f>
        <v>620</v>
      </c>
      <c r="H16" s="59"/>
      <c r="I16" s="60"/>
      <c r="J16" s="21"/>
    </row>
  </sheetData>
  <mergeCells count="3">
    <mergeCell ref="A1:K5"/>
    <mergeCell ref="A7:K7"/>
    <mergeCell ref="A13:K13"/>
  </mergeCells>
  <hyperlinks>
    <hyperlink ref="K15" r:id="rId1" display="https://amazon.com/dp/B07S7H86Z1" xr:uid="{00000000-0004-0000-0A00-000000000000}"/>
  </hyperlinks>
  <pageMargins left="0.7" right="0.7" top="0.75" bottom="0.75" header="0.3" footer="0.3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>
      <selection activeCell="C36" sqref="C36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664062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x14ac:dyDescent="0.2">
      <c r="A1" s="126" t="e">
        <v>#VALUE!</v>
      </c>
      <c r="B1" s="121"/>
      <c r="C1" s="122"/>
      <c r="D1" s="122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2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2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2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2"/>
      <c r="E5" s="123"/>
      <c r="F5" s="123"/>
      <c r="G5" s="123"/>
      <c r="H5" s="124"/>
      <c r="I5" s="121"/>
      <c r="J5" s="121"/>
      <c r="K5" s="121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5" t="s">
        <v>307</v>
      </c>
      <c r="B7" s="121"/>
      <c r="C7" s="122"/>
      <c r="D7" s="122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93</v>
      </c>
      <c r="B9" s="18" t="s">
        <v>92</v>
      </c>
      <c r="C9" s="41">
        <v>139.99</v>
      </c>
      <c r="D9" s="42">
        <v>635362.44000000006</v>
      </c>
      <c r="E9" s="43">
        <v>52946.87</v>
      </c>
      <c r="F9" s="44">
        <v>5496</v>
      </c>
      <c r="G9" s="44">
        <v>458</v>
      </c>
      <c r="H9" s="44">
        <v>322</v>
      </c>
      <c r="I9" s="45">
        <v>4.5999999999999996</v>
      </c>
      <c r="J9" s="45" t="s">
        <v>97</v>
      </c>
      <c r="K9" s="56" t="str">
        <f>HYPERLINK(J9)</f>
        <v>https://amazon.com/dp/B0FZJ4CQB6</v>
      </c>
    </row>
    <row r="10" spans="1:11" ht="17" customHeight="1" x14ac:dyDescent="0.2">
      <c r="A10" s="21" t="s">
        <v>292</v>
      </c>
      <c r="B10" s="21"/>
      <c r="C10" s="57"/>
      <c r="D10" s="58">
        <f>SUM(D9:D9)</f>
        <v>635362.44000000006</v>
      </c>
      <c r="E10" s="58">
        <f>SUM(E9:E9)</f>
        <v>52946.87</v>
      </c>
      <c r="F10" s="59"/>
      <c r="G10" s="59"/>
      <c r="H10" s="59"/>
      <c r="I10" s="60"/>
      <c r="J10" s="21"/>
      <c r="K10" s="20"/>
    </row>
    <row r="13" spans="1:11" x14ac:dyDescent="0.2">
      <c r="A13" s="125" t="s">
        <v>303</v>
      </c>
      <c r="B13" s="121"/>
      <c r="C13" s="122"/>
      <c r="D13" s="122"/>
      <c r="E13" s="123"/>
      <c r="F13" s="123"/>
      <c r="G13" s="123"/>
      <c r="H13" s="124"/>
      <c r="I13" s="121"/>
      <c r="J13" s="121"/>
      <c r="K13" s="121"/>
    </row>
    <row r="14" spans="1:11" ht="17" customHeight="1" x14ac:dyDescent="0.2">
      <c r="A14" s="24" t="s">
        <v>27</v>
      </c>
      <c r="B14" s="25" t="s">
        <v>26</v>
      </c>
      <c r="C14" s="26" t="s">
        <v>287</v>
      </c>
      <c r="D14" s="27" t="s">
        <v>4</v>
      </c>
      <c r="E14" s="25" t="s">
        <v>3</v>
      </c>
      <c r="F14" s="29" t="s">
        <v>22</v>
      </c>
      <c r="G14" s="32" t="s">
        <v>5</v>
      </c>
      <c r="H14" s="29" t="s">
        <v>37</v>
      </c>
      <c r="I14" s="30" t="s">
        <v>295</v>
      </c>
      <c r="J14" s="30" t="s">
        <v>296</v>
      </c>
      <c r="K14" s="31" t="s">
        <v>40</v>
      </c>
    </row>
    <row r="15" spans="1:11" ht="45" customHeight="1" x14ac:dyDescent="0.2">
      <c r="A15" s="18" t="s">
        <v>93</v>
      </c>
      <c r="B15" s="18" t="s">
        <v>92</v>
      </c>
      <c r="C15" s="41">
        <v>139.99</v>
      </c>
      <c r="D15" s="42">
        <v>635362.44000000006</v>
      </c>
      <c r="E15" s="42">
        <v>52946.87</v>
      </c>
      <c r="F15" s="44">
        <v>5496</v>
      </c>
      <c r="G15" s="46">
        <v>458</v>
      </c>
      <c r="H15" s="44">
        <v>322</v>
      </c>
      <c r="I15" s="45">
        <v>4.5999999999999996</v>
      </c>
      <c r="J15" s="45" t="s">
        <v>97</v>
      </c>
      <c r="K15" s="56" t="str">
        <f>HYPERLINK(J15)</f>
        <v>https://amazon.com/dp/B0FZJ4CQB6</v>
      </c>
    </row>
    <row r="16" spans="1:11" ht="17" customHeight="1" x14ac:dyDescent="0.2">
      <c r="A16" s="21" t="s">
        <v>292</v>
      </c>
      <c r="B16" s="21"/>
      <c r="C16" s="58"/>
      <c r="D16" s="58"/>
      <c r="E16" s="58"/>
      <c r="F16" s="59">
        <f>SUM(Acoath!F15:F15)</f>
        <v>5496</v>
      </c>
      <c r="G16" s="59">
        <f>SUM(Acoath!G15:G15)</f>
        <v>458</v>
      </c>
      <c r="H16" s="59"/>
      <c r="I16" s="60"/>
      <c r="J16" s="21"/>
      <c r="K16" s="20"/>
    </row>
  </sheetData>
  <mergeCells count="3">
    <mergeCell ref="A1:K5"/>
    <mergeCell ref="A7:K7"/>
    <mergeCell ref="A13:K13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8"/>
  <sheetViews>
    <sheetView zoomScale="75" workbookViewId="0">
      <selection activeCell="F49" sqref="F49"/>
    </sheetView>
  </sheetViews>
  <sheetFormatPr baseColWidth="10" defaultColWidth="11.1640625" defaultRowHeight="16" x14ac:dyDescent="0.2"/>
  <cols>
    <col min="1" max="1" width="50.6640625" style="19" customWidth="1"/>
    <col min="2" max="2" width="12.6640625" style="19" customWidth="1"/>
    <col min="3" max="3" width="10.83203125" style="19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33" style="19" hidden="1" customWidth="1"/>
    <col min="11" max="11" width="35.6640625" style="19" customWidth="1"/>
    <col min="12" max="12" width="12.6640625" style="19" customWidth="1"/>
    <col min="13" max="14" width="11.1640625" style="19" customWidth="1"/>
    <col min="15" max="16384" width="11.1640625" style="19"/>
  </cols>
  <sheetData>
    <row r="1" spans="1:11" ht="15.75" customHeight="1" x14ac:dyDescent="0.2">
      <c r="A1" s="127" t="e">
        <v>#VALUE!</v>
      </c>
      <c r="B1" s="121"/>
      <c r="C1" s="121"/>
      <c r="D1" s="121"/>
      <c r="E1" s="123"/>
      <c r="F1" s="123"/>
      <c r="G1" s="123"/>
      <c r="H1" s="124"/>
      <c r="I1" s="121"/>
      <c r="J1" s="121"/>
      <c r="K1" s="121"/>
    </row>
    <row r="2" spans="1:11" ht="15.75" customHeight="1" x14ac:dyDescent="0.2">
      <c r="A2" s="121"/>
      <c r="B2" s="121"/>
      <c r="C2" s="121"/>
      <c r="D2" s="121"/>
      <c r="E2" s="123"/>
      <c r="F2" s="123"/>
      <c r="G2" s="123"/>
      <c r="H2" s="124"/>
      <c r="I2" s="121"/>
      <c r="J2" s="121"/>
      <c r="K2" s="121"/>
    </row>
    <row r="3" spans="1:11" ht="15.75" customHeight="1" x14ac:dyDescent="0.2">
      <c r="A3" s="121"/>
      <c r="B3" s="121"/>
      <c r="C3" s="121"/>
      <c r="D3" s="121"/>
      <c r="E3" s="123"/>
      <c r="F3" s="123"/>
      <c r="G3" s="123"/>
      <c r="H3" s="124"/>
      <c r="I3" s="121"/>
      <c r="J3" s="121"/>
      <c r="K3" s="121"/>
    </row>
    <row r="4" spans="1:11" ht="15.75" customHeight="1" x14ac:dyDescent="0.2">
      <c r="A4" s="121"/>
      <c r="B4" s="121"/>
      <c r="C4" s="121"/>
      <c r="D4" s="121"/>
      <c r="E4" s="123"/>
      <c r="F4" s="123"/>
      <c r="G4" s="123"/>
      <c r="H4" s="124"/>
      <c r="I4" s="121"/>
      <c r="J4" s="121"/>
      <c r="K4" s="121"/>
    </row>
    <row r="5" spans="1:11" ht="15.75" customHeight="1" x14ac:dyDescent="0.2">
      <c r="A5" s="121"/>
      <c r="B5" s="121"/>
      <c r="C5" s="121"/>
      <c r="D5" s="121"/>
      <c r="E5" s="123"/>
      <c r="F5" s="123"/>
      <c r="G5" s="123"/>
      <c r="H5" s="124"/>
      <c r="I5" s="121"/>
      <c r="J5" s="121"/>
      <c r="K5" s="121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5" t="s">
        <v>294</v>
      </c>
      <c r="B7" s="121"/>
      <c r="C7" s="121"/>
      <c r="D7" s="121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8" t="s">
        <v>3</v>
      </c>
      <c r="F8" s="29" t="s">
        <v>22</v>
      </c>
      <c r="G8" s="29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102</v>
      </c>
      <c r="B9" s="18" t="s">
        <v>101</v>
      </c>
      <c r="C9" s="41">
        <v>72.989999999999995</v>
      </c>
      <c r="D9" s="42">
        <v>503011.68</v>
      </c>
      <c r="E9" s="43">
        <v>41917.64</v>
      </c>
      <c r="F9" s="44">
        <v>7560</v>
      </c>
      <c r="G9" s="44">
        <v>630</v>
      </c>
      <c r="H9" s="44">
        <v>34</v>
      </c>
      <c r="I9" s="45">
        <v>4.5999999999999996</v>
      </c>
      <c r="J9" s="81" t="s">
        <v>105</v>
      </c>
      <c r="K9" s="22" t="str">
        <f t="shared" ref="K9:K25" si="0">HYPERLINK(J9)</f>
        <v>https://amazon.com/dp/B0FGJ8WVGP</v>
      </c>
    </row>
    <row r="10" spans="1:11" ht="60" customHeight="1" x14ac:dyDescent="0.2">
      <c r="A10" s="18" t="s">
        <v>361</v>
      </c>
      <c r="B10" s="18" t="s">
        <v>362</v>
      </c>
      <c r="C10" s="41">
        <v>39.99</v>
      </c>
      <c r="D10" s="42">
        <v>353871.72</v>
      </c>
      <c r="E10" s="43">
        <v>29489.31</v>
      </c>
      <c r="F10" s="44">
        <v>8304</v>
      </c>
      <c r="G10" s="44">
        <v>692</v>
      </c>
      <c r="H10" s="44">
        <v>598</v>
      </c>
      <c r="I10" s="45">
        <v>4.5</v>
      </c>
      <c r="J10" s="106" t="s">
        <v>363</v>
      </c>
      <c r="K10" s="22" t="str">
        <f t="shared" si="0"/>
        <v>https://amazon.com/dp/B0C9L96KF7</v>
      </c>
    </row>
    <row r="11" spans="1:11" ht="45" customHeight="1" x14ac:dyDescent="0.2">
      <c r="A11" s="18" t="s">
        <v>364</v>
      </c>
      <c r="B11" s="18" t="s">
        <v>365</v>
      </c>
      <c r="C11" s="41">
        <v>27.99</v>
      </c>
      <c r="D11" s="42">
        <v>314760.36</v>
      </c>
      <c r="E11" s="43">
        <v>26230.03</v>
      </c>
      <c r="F11" s="44">
        <v>11256</v>
      </c>
      <c r="G11" s="44">
        <v>938</v>
      </c>
      <c r="H11" s="44">
        <v>255</v>
      </c>
      <c r="I11" s="45">
        <v>4.5</v>
      </c>
      <c r="J11" s="106" t="s">
        <v>366</v>
      </c>
      <c r="K11" s="22" t="str">
        <f t="shared" si="0"/>
        <v>https://amazon.com/dp/B0DQW68W1T</v>
      </c>
    </row>
    <row r="12" spans="1:11" ht="45" customHeight="1" x14ac:dyDescent="0.2">
      <c r="A12" s="18" t="s">
        <v>255</v>
      </c>
      <c r="B12" s="18" t="s">
        <v>254</v>
      </c>
      <c r="C12" s="41">
        <v>55.99</v>
      </c>
      <c r="D12" s="42">
        <v>280636.08</v>
      </c>
      <c r="E12" s="43">
        <v>23386.34</v>
      </c>
      <c r="F12" s="44">
        <v>4872</v>
      </c>
      <c r="G12" s="44">
        <v>406</v>
      </c>
      <c r="H12" s="44">
        <v>46</v>
      </c>
      <c r="I12" s="45">
        <v>4.7</v>
      </c>
      <c r="J12" s="106" t="s">
        <v>257</v>
      </c>
      <c r="K12" s="22" t="str">
        <f t="shared" si="0"/>
        <v>https://amazon.com/dp/B0FLNCK645</v>
      </c>
    </row>
    <row r="13" spans="1:11" ht="45" customHeight="1" x14ac:dyDescent="0.2">
      <c r="A13" s="18" t="s">
        <v>367</v>
      </c>
      <c r="B13" s="18" t="s">
        <v>368</v>
      </c>
      <c r="C13" s="41">
        <v>49.99</v>
      </c>
      <c r="D13" s="42">
        <v>259798.8</v>
      </c>
      <c r="E13" s="43">
        <v>21649.9</v>
      </c>
      <c r="F13" s="44">
        <v>5352</v>
      </c>
      <c r="G13" s="44">
        <v>446</v>
      </c>
      <c r="H13" s="44">
        <v>255</v>
      </c>
      <c r="I13" s="45">
        <v>4.5</v>
      </c>
      <c r="J13" s="106" t="s">
        <v>369</v>
      </c>
      <c r="K13" s="22" t="str">
        <f t="shared" si="0"/>
        <v>https://amazon.com/dp/B0FGDC15DP</v>
      </c>
    </row>
    <row r="14" spans="1:11" ht="45" customHeight="1" x14ac:dyDescent="0.2">
      <c r="A14" s="18" t="s">
        <v>370</v>
      </c>
      <c r="B14" s="18" t="s">
        <v>371</v>
      </c>
      <c r="C14" s="41">
        <v>16.100000000000001</v>
      </c>
      <c r="D14" s="42">
        <v>237107.76</v>
      </c>
      <c r="E14" s="43">
        <v>19758.98</v>
      </c>
      <c r="F14" s="44">
        <v>12036</v>
      </c>
      <c r="G14" s="44">
        <v>1003</v>
      </c>
      <c r="H14" s="44">
        <v>151</v>
      </c>
      <c r="I14" s="45">
        <v>4.5</v>
      </c>
      <c r="J14" s="106" t="s">
        <v>372</v>
      </c>
      <c r="K14" s="22" t="str">
        <f t="shared" si="0"/>
        <v>https://amazon.com/dp/B0CKPG2P7F</v>
      </c>
    </row>
    <row r="15" spans="1:11" ht="60" customHeight="1" x14ac:dyDescent="0.2">
      <c r="A15" s="18" t="s">
        <v>373</v>
      </c>
      <c r="B15" s="18" t="s">
        <v>374</v>
      </c>
      <c r="C15" s="41">
        <v>26.15</v>
      </c>
      <c r="D15" s="42">
        <v>133592.88</v>
      </c>
      <c r="E15" s="43">
        <v>11132.74</v>
      </c>
      <c r="F15" s="44">
        <v>3576</v>
      </c>
      <c r="G15" s="44">
        <v>298</v>
      </c>
      <c r="H15" s="44">
        <v>727</v>
      </c>
      <c r="I15" s="45">
        <v>4.4000000000000004</v>
      </c>
      <c r="J15" s="106" t="s">
        <v>375</v>
      </c>
      <c r="K15" s="22" t="str">
        <f t="shared" si="0"/>
        <v>https://amazon.com/dp/B0C9C4H2ZH</v>
      </c>
    </row>
    <row r="16" spans="1:11" ht="60" customHeight="1" x14ac:dyDescent="0.2">
      <c r="A16" s="18" t="s">
        <v>376</v>
      </c>
      <c r="B16" s="18" t="s">
        <v>377</v>
      </c>
      <c r="C16" s="41">
        <v>79.989999999999995</v>
      </c>
      <c r="D16" s="42">
        <v>110436.36</v>
      </c>
      <c r="E16" s="43">
        <v>9203.0300000000007</v>
      </c>
      <c r="F16" s="44">
        <v>1380</v>
      </c>
      <c r="G16" s="44">
        <v>115</v>
      </c>
      <c r="H16" s="44">
        <v>141</v>
      </c>
      <c r="I16" s="45">
        <v>4.4000000000000004</v>
      </c>
      <c r="J16" s="106" t="s">
        <v>378</v>
      </c>
      <c r="K16" s="22" t="str">
        <f t="shared" si="0"/>
        <v>https://amazon.com/dp/B0C9L5V3J9</v>
      </c>
    </row>
    <row r="17" spans="1:11" ht="60" customHeight="1" x14ac:dyDescent="0.2">
      <c r="A17" s="18" t="s">
        <v>379</v>
      </c>
      <c r="B17" s="18" t="s">
        <v>380</v>
      </c>
      <c r="C17" s="41">
        <v>25.19</v>
      </c>
      <c r="D17" s="42">
        <v>98095.92</v>
      </c>
      <c r="E17" s="43">
        <v>8174.66</v>
      </c>
      <c r="F17" s="44">
        <v>2688</v>
      </c>
      <c r="G17" s="44">
        <v>224</v>
      </c>
      <c r="H17" s="44">
        <v>723</v>
      </c>
      <c r="I17" s="45">
        <v>4.4000000000000004</v>
      </c>
      <c r="J17" s="106" t="s">
        <v>381</v>
      </c>
      <c r="K17" s="22" t="str">
        <f t="shared" si="0"/>
        <v>https://amazon.com/dp/B0C9D8MTNC</v>
      </c>
    </row>
    <row r="18" spans="1:11" ht="60" customHeight="1" x14ac:dyDescent="0.2">
      <c r="A18" s="18" t="s">
        <v>219</v>
      </c>
      <c r="B18" s="18" t="s">
        <v>308</v>
      </c>
      <c r="C18" s="41">
        <v>472.46</v>
      </c>
      <c r="D18" s="42">
        <v>64182.48</v>
      </c>
      <c r="E18" s="43">
        <v>5348.54</v>
      </c>
      <c r="F18" s="44">
        <v>180</v>
      </c>
      <c r="G18" s="44">
        <v>15</v>
      </c>
      <c r="H18" s="44">
        <v>84</v>
      </c>
      <c r="I18" s="45">
        <v>4.2</v>
      </c>
      <c r="J18" s="106" t="s">
        <v>309</v>
      </c>
      <c r="K18" s="22" t="str">
        <f t="shared" si="0"/>
        <v>https://amazon.com/dp/B0B74SDPH4</v>
      </c>
    </row>
    <row r="19" spans="1:11" ht="45" customHeight="1" x14ac:dyDescent="0.2">
      <c r="A19" s="18" t="s">
        <v>382</v>
      </c>
      <c r="B19" s="18" t="s">
        <v>383</v>
      </c>
      <c r="C19" s="41">
        <v>49.98</v>
      </c>
      <c r="D19" s="42">
        <v>39294.600000000013</v>
      </c>
      <c r="E19" s="43">
        <v>3274.55</v>
      </c>
      <c r="F19" s="44">
        <v>792</v>
      </c>
      <c r="G19" s="44">
        <v>66</v>
      </c>
      <c r="H19" s="44">
        <v>601</v>
      </c>
      <c r="I19" s="45">
        <v>4.5</v>
      </c>
      <c r="J19" s="106" t="s">
        <v>384</v>
      </c>
      <c r="K19" s="22" t="str">
        <f t="shared" si="0"/>
        <v>https://amazon.com/dp/B0DCNM5MGW</v>
      </c>
    </row>
    <row r="20" spans="1:11" ht="45" customHeight="1" x14ac:dyDescent="0.2">
      <c r="A20" s="18" t="s">
        <v>216</v>
      </c>
      <c r="B20" s="18" t="s">
        <v>215</v>
      </c>
      <c r="C20" s="41">
        <v>199.99</v>
      </c>
      <c r="D20" s="42">
        <v>17047.8</v>
      </c>
      <c r="E20" s="43">
        <v>1420.65</v>
      </c>
      <c r="F20" s="44">
        <v>84</v>
      </c>
      <c r="G20" s="44">
        <v>7</v>
      </c>
      <c r="H20" s="44">
        <v>3</v>
      </c>
      <c r="I20" s="45">
        <v>4.5999999999999996</v>
      </c>
      <c r="J20" s="106" t="s">
        <v>217</v>
      </c>
      <c r="K20" s="22" t="str">
        <f t="shared" si="0"/>
        <v>https://amazon.com/dp/B0DZMN1941</v>
      </c>
    </row>
    <row r="21" spans="1:11" ht="45" customHeight="1" x14ac:dyDescent="0.2">
      <c r="A21" s="18" t="s">
        <v>385</v>
      </c>
      <c r="B21" s="18" t="s">
        <v>386</v>
      </c>
      <c r="C21" s="41">
        <v>119.99</v>
      </c>
      <c r="D21" s="42">
        <v>4022.04</v>
      </c>
      <c r="E21" s="43">
        <v>335.17</v>
      </c>
      <c r="F21" s="44">
        <v>36</v>
      </c>
      <c r="G21" s="44">
        <v>3</v>
      </c>
      <c r="H21" s="44">
        <v>22</v>
      </c>
      <c r="I21" s="45">
        <v>4.7</v>
      </c>
      <c r="J21" s="106" t="s">
        <v>387</v>
      </c>
      <c r="K21" s="22" t="str">
        <f t="shared" si="0"/>
        <v>https://amazon.com/dp/B0CHH8NY8G</v>
      </c>
    </row>
    <row r="22" spans="1:11" ht="45" customHeight="1" x14ac:dyDescent="0.2">
      <c r="A22" s="18" t="s">
        <v>388</v>
      </c>
      <c r="B22" s="18" t="s">
        <v>389</v>
      </c>
      <c r="C22" s="41">
        <v>16.100000000000001</v>
      </c>
      <c r="D22" s="42"/>
      <c r="E22" s="43"/>
      <c r="F22" s="44">
        <v>0</v>
      </c>
      <c r="G22" s="44">
        <v>0</v>
      </c>
      <c r="H22" s="44">
        <v>151</v>
      </c>
      <c r="I22" s="45">
        <v>4.5</v>
      </c>
      <c r="J22" s="106" t="s">
        <v>390</v>
      </c>
      <c r="K22" s="22" t="str">
        <f t="shared" si="0"/>
        <v>https://amazon.com/dp/B0CKPHBXXT</v>
      </c>
    </row>
    <row r="23" spans="1:11" ht="45" customHeight="1" x14ac:dyDescent="0.2">
      <c r="A23" s="18" t="s">
        <v>391</v>
      </c>
      <c r="B23" s="18" t="s">
        <v>392</v>
      </c>
      <c r="C23" s="41">
        <v>16.100000000000001</v>
      </c>
      <c r="D23" s="42"/>
      <c r="E23" s="43"/>
      <c r="F23" s="44">
        <v>0</v>
      </c>
      <c r="G23" s="44">
        <v>0</v>
      </c>
      <c r="H23" s="44">
        <v>151</v>
      </c>
      <c r="I23" s="45">
        <v>4.5</v>
      </c>
      <c r="J23" s="106" t="s">
        <v>393</v>
      </c>
      <c r="K23" s="22" t="str">
        <f t="shared" si="0"/>
        <v>https://amazon.com/dp/B0CKPG4WCV</v>
      </c>
    </row>
    <row r="24" spans="1:11" ht="45" customHeight="1" x14ac:dyDescent="0.2">
      <c r="A24" s="18" t="s">
        <v>219</v>
      </c>
      <c r="B24" s="18" t="s">
        <v>218</v>
      </c>
      <c r="C24" s="41">
        <v>169.99</v>
      </c>
      <c r="D24" s="42"/>
      <c r="E24" s="43"/>
      <c r="F24" s="44">
        <v>0</v>
      </c>
      <c r="G24" s="44">
        <v>0</v>
      </c>
      <c r="H24" s="44"/>
      <c r="I24" s="45"/>
      <c r="J24" s="106" t="s">
        <v>220</v>
      </c>
      <c r="K24" s="22" t="str">
        <f t="shared" si="0"/>
        <v>https://amazon.com/dp/B0G1MM25PR</v>
      </c>
    </row>
    <row r="25" spans="1:11" ht="45" customHeight="1" x14ac:dyDescent="0.2">
      <c r="A25" s="18" t="s">
        <v>394</v>
      </c>
      <c r="B25" s="18" t="s">
        <v>395</v>
      </c>
      <c r="C25" s="41">
        <v>33.99</v>
      </c>
      <c r="D25" s="42"/>
      <c r="E25" s="43"/>
      <c r="F25" s="44">
        <v>0</v>
      </c>
      <c r="G25" s="44">
        <v>0</v>
      </c>
      <c r="H25" s="44">
        <v>141</v>
      </c>
      <c r="I25" s="45">
        <v>4.4000000000000004</v>
      </c>
      <c r="J25" s="106" t="s">
        <v>396</v>
      </c>
      <c r="K25" s="22" t="str">
        <f t="shared" si="0"/>
        <v>https://amazon.com/dp/B0CN69DJFX</v>
      </c>
    </row>
    <row r="26" spans="1:11" ht="17" customHeight="1" x14ac:dyDescent="0.2">
      <c r="A26" s="21" t="s">
        <v>292</v>
      </c>
      <c r="B26" s="20"/>
      <c r="C26" s="20"/>
      <c r="D26" s="47">
        <f>SUM(D9:D25)</f>
        <v>2415858.4799999995</v>
      </c>
      <c r="E26" s="47">
        <f>SUM(E9:E25)</f>
        <v>201321.54</v>
      </c>
      <c r="H26" s="48"/>
      <c r="I26" s="23"/>
    </row>
    <row r="29" spans="1:11" x14ac:dyDescent="0.2">
      <c r="A29" s="125" t="s">
        <v>303</v>
      </c>
      <c r="B29" s="121"/>
      <c r="C29" s="121"/>
      <c r="D29" s="121"/>
      <c r="E29" s="123"/>
      <c r="F29" s="123"/>
      <c r="G29" s="123"/>
      <c r="H29" s="124"/>
      <c r="I29" s="121"/>
      <c r="J29" s="121"/>
      <c r="K29" s="121"/>
    </row>
    <row r="30" spans="1:11" ht="17" customHeight="1" x14ac:dyDescent="0.2">
      <c r="A30" s="24" t="s">
        <v>27</v>
      </c>
      <c r="B30" s="25" t="s">
        <v>26</v>
      </c>
      <c r="C30" s="26" t="s">
        <v>287</v>
      </c>
      <c r="D30" s="27" t="s">
        <v>4</v>
      </c>
      <c r="E30" s="25" t="s">
        <v>3</v>
      </c>
      <c r="F30" s="29" t="s">
        <v>22</v>
      </c>
      <c r="G30" s="32" t="s">
        <v>5</v>
      </c>
      <c r="H30" s="29" t="s">
        <v>37</v>
      </c>
      <c r="I30" s="30" t="s">
        <v>295</v>
      </c>
      <c r="J30" s="30" t="s">
        <v>296</v>
      </c>
      <c r="K30" s="31" t="s">
        <v>40</v>
      </c>
    </row>
    <row r="31" spans="1:11" ht="60" customHeight="1" x14ac:dyDescent="0.2">
      <c r="A31" s="18" t="s">
        <v>370</v>
      </c>
      <c r="B31" s="18" t="s">
        <v>371</v>
      </c>
      <c r="C31" s="41">
        <v>16.100000000000001</v>
      </c>
      <c r="D31" s="42">
        <v>237107.76</v>
      </c>
      <c r="E31" s="42">
        <v>19758.98</v>
      </c>
      <c r="F31" s="44">
        <v>12036</v>
      </c>
      <c r="G31" s="46">
        <v>1003</v>
      </c>
      <c r="H31" s="44">
        <v>151</v>
      </c>
      <c r="I31" s="45">
        <v>4.5</v>
      </c>
      <c r="J31" s="45" t="s">
        <v>372</v>
      </c>
      <c r="K31" s="22" t="str">
        <f t="shared" ref="K31:K47" si="1">HYPERLINK(J31)</f>
        <v>https://amazon.com/dp/B0CKPG2P7F</v>
      </c>
    </row>
    <row r="32" spans="1:11" ht="45" customHeight="1" x14ac:dyDescent="0.2">
      <c r="A32" s="18" t="s">
        <v>364</v>
      </c>
      <c r="B32" s="18" t="s">
        <v>365</v>
      </c>
      <c r="C32" s="41">
        <v>27.99</v>
      </c>
      <c r="D32" s="42">
        <v>314760.36</v>
      </c>
      <c r="E32" s="42">
        <v>26230.03</v>
      </c>
      <c r="F32" s="44">
        <v>11256</v>
      </c>
      <c r="G32" s="46">
        <v>938</v>
      </c>
      <c r="H32" s="44">
        <v>255</v>
      </c>
      <c r="I32" s="45">
        <v>4.5</v>
      </c>
      <c r="J32" s="45" t="s">
        <v>366</v>
      </c>
      <c r="K32" s="22" t="str">
        <f t="shared" si="1"/>
        <v>https://amazon.com/dp/B0DQW68W1T</v>
      </c>
    </row>
    <row r="33" spans="1:11" ht="45" customHeight="1" x14ac:dyDescent="0.2">
      <c r="A33" s="18" t="s">
        <v>361</v>
      </c>
      <c r="B33" s="18" t="s">
        <v>362</v>
      </c>
      <c r="C33" s="41">
        <v>39.99</v>
      </c>
      <c r="D33" s="42">
        <v>353871.72</v>
      </c>
      <c r="E33" s="42">
        <v>29489.31</v>
      </c>
      <c r="F33" s="44">
        <v>8304</v>
      </c>
      <c r="G33" s="46">
        <v>692</v>
      </c>
      <c r="H33" s="44">
        <v>598</v>
      </c>
      <c r="I33" s="45">
        <v>4.5</v>
      </c>
      <c r="J33" s="45" t="s">
        <v>363</v>
      </c>
      <c r="K33" s="22" t="str">
        <f t="shared" si="1"/>
        <v>https://amazon.com/dp/B0C9L96KF7</v>
      </c>
    </row>
    <row r="34" spans="1:11" ht="45" customHeight="1" x14ac:dyDescent="0.2">
      <c r="A34" s="18" t="s">
        <v>102</v>
      </c>
      <c r="B34" s="18" t="s">
        <v>101</v>
      </c>
      <c r="C34" s="41">
        <v>72.989999999999995</v>
      </c>
      <c r="D34" s="42">
        <v>503011.68</v>
      </c>
      <c r="E34" s="42">
        <v>41917.64</v>
      </c>
      <c r="F34" s="44">
        <v>7560</v>
      </c>
      <c r="G34" s="46">
        <v>630</v>
      </c>
      <c r="H34" s="44">
        <v>34</v>
      </c>
      <c r="I34" s="45">
        <v>4.5999999999999996</v>
      </c>
      <c r="J34" s="45" t="s">
        <v>105</v>
      </c>
      <c r="K34" s="22" t="str">
        <f t="shared" si="1"/>
        <v>https://amazon.com/dp/B0FGJ8WVGP</v>
      </c>
    </row>
    <row r="35" spans="1:11" ht="60" customHeight="1" x14ac:dyDescent="0.2">
      <c r="A35" s="18" t="s">
        <v>367</v>
      </c>
      <c r="B35" s="18" t="s">
        <v>368</v>
      </c>
      <c r="C35" s="41">
        <v>49.99</v>
      </c>
      <c r="D35" s="42">
        <v>259798.8</v>
      </c>
      <c r="E35" s="42">
        <v>21649.9</v>
      </c>
      <c r="F35" s="44">
        <v>5352</v>
      </c>
      <c r="G35" s="46">
        <v>446</v>
      </c>
      <c r="H35" s="44">
        <v>255</v>
      </c>
      <c r="I35" s="45">
        <v>4.5</v>
      </c>
      <c r="J35" s="45" t="s">
        <v>369</v>
      </c>
      <c r="K35" s="22" t="str">
        <f t="shared" si="1"/>
        <v>https://amazon.com/dp/B0FGDC15DP</v>
      </c>
    </row>
    <row r="36" spans="1:11" ht="45" customHeight="1" x14ac:dyDescent="0.2">
      <c r="A36" s="18" t="s">
        <v>255</v>
      </c>
      <c r="B36" s="18" t="s">
        <v>254</v>
      </c>
      <c r="C36" s="41">
        <v>55.99</v>
      </c>
      <c r="D36" s="42">
        <v>280636.08</v>
      </c>
      <c r="E36" s="42">
        <v>23386.34</v>
      </c>
      <c r="F36" s="44">
        <v>4872</v>
      </c>
      <c r="G36" s="46">
        <v>406</v>
      </c>
      <c r="H36" s="44">
        <v>46</v>
      </c>
      <c r="I36" s="45">
        <v>4.7</v>
      </c>
      <c r="J36" s="45" t="s">
        <v>257</v>
      </c>
      <c r="K36" s="22" t="str">
        <f t="shared" si="1"/>
        <v>https://amazon.com/dp/B0FLNCK645</v>
      </c>
    </row>
    <row r="37" spans="1:11" ht="45" customHeight="1" x14ac:dyDescent="0.2">
      <c r="A37" s="18" t="s">
        <v>373</v>
      </c>
      <c r="B37" s="18" t="s">
        <v>374</v>
      </c>
      <c r="C37" s="41">
        <v>26.15</v>
      </c>
      <c r="D37" s="42">
        <v>133592.88</v>
      </c>
      <c r="E37" s="42">
        <v>11132.74</v>
      </c>
      <c r="F37" s="44">
        <v>3576</v>
      </c>
      <c r="G37" s="46">
        <v>298</v>
      </c>
      <c r="H37" s="44">
        <v>727</v>
      </c>
      <c r="I37" s="45">
        <v>4.4000000000000004</v>
      </c>
      <c r="J37" s="45" t="s">
        <v>375</v>
      </c>
      <c r="K37" s="22" t="str">
        <f t="shared" si="1"/>
        <v>https://amazon.com/dp/B0C9C4H2ZH</v>
      </c>
    </row>
    <row r="38" spans="1:11" ht="45" customHeight="1" x14ac:dyDescent="0.2">
      <c r="A38" s="18" t="s">
        <v>379</v>
      </c>
      <c r="B38" s="18" t="s">
        <v>380</v>
      </c>
      <c r="C38" s="41">
        <v>25.19</v>
      </c>
      <c r="D38" s="42">
        <v>98095.92</v>
      </c>
      <c r="E38" s="42">
        <v>8174.66</v>
      </c>
      <c r="F38" s="44">
        <v>2688</v>
      </c>
      <c r="G38" s="46">
        <v>224</v>
      </c>
      <c r="H38" s="44">
        <v>723</v>
      </c>
      <c r="I38" s="45">
        <v>4.4000000000000004</v>
      </c>
      <c r="J38" s="45" t="s">
        <v>381</v>
      </c>
      <c r="K38" s="22" t="str">
        <f t="shared" si="1"/>
        <v>https://amazon.com/dp/B0C9D8MTNC</v>
      </c>
    </row>
    <row r="39" spans="1:11" ht="45" customHeight="1" x14ac:dyDescent="0.2">
      <c r="A39" s="18" t="s">
        <v>376</v>
      </c>
      <c r="B39" s="18" t="s">
        <v>377</v>
      </c>
      <c r="C39" s="41">
        <v>79.989999999999995</v>
      </c>
      <c r="D39" s="42">
        <v>110436.36</v>
      </c>
      <c r="E39" s="42">
        <v>9203.0300000000007</v>
      </c>
      <c r="F39" s="44">
        <v>1380</v>
      </c>
      <c r="G39" s="46">
        <v>115</v>
      </c>
      <c r="H39" s="44">
        <v>141</v>
      </c>
      <c r="I39" s="45">
        <v>4.4000000000000004</v>
      </c>
      <c r="J39" s="45" t="s">
        <v>378</v>
      </c>
      <c r="K39" s="22" t="str">
        <f t="shared" si="1"/>
        <v>https://amazon.com/dp/B0C9L5V3J9</v>
      </c>
    </row>
    <row r="40" spans="1:11" ht="60" customHeight="1" x14ac:dyDescent="0.2">
      <c r="A40" s="18" t="s">
        <v>382</v>
      </c>
      <c r="B40" s="18" t="s">
        <v>383</v>
      </c>
      <c r="C40" s="41">
        <v>49.98</v>
      </c>
      <c r="D40" s="42">
        <v>39294.600000000013</v>
      </c>
      <c r="E40" s="42">
        <v>3274.55</v>
      </c>
      <c r="F40" s="44">
        <v>792</v>
      </c>
      <c r="G40" s="46">
        <v>66</v>
      </c>
      <c r="H40" s="44">
        <v>601</v>
      </c>
      <c r="I40" s="45">
        <v>4.5</v>
      </c>
      <c r="J40" s="45" t="s">
        <v>384</v>
      </c>
      <c r="K40" s="22" t="str">
        <f t="shared" si="1"/>
        <v>https://amazon.com/dp/B0DCNM5MGW</v>
      </c>
    </row>
    <row r="41" spans="1:11" ht="60" customHeight="1" x14ac:dyDescent="0.2">
      <c r="A41" s="18" t="s">
        <v>219</v>
      </c>
      <c r="B41" s="18" t="s">
        <v>308</v>
      </c>
      <c r="C41" s="41">
        <v>472.46</v>
      </c>
      <c r="D41" s="42">
        <v>64182.48</v>
      </c>
      <c r="E41" s="42">
        <v>5348.54</v>
      </c>
      <c r="F41" s="44">
        <v>180</v>
      </c>
      <c r="G41" s="46">
        <v>15</v>
      </c>
      <c r="H41" s="44">
        <v>84</v>
      </c>
      <c r="I41" s="45">
        <v>4.2</v>
      </c>
      <c r="J41" s="45" t="s">
        <v>309</v>
      </c>
      <c r="K41" s="22" t="str">
        <f t="shared" si="1"/>
        <v>https://amazon.com/dp/B0B74SDPH4</v>
      </c>
    </row>
    <row r="42" spans="1:11" ht="30" customHeight="1" x14ac:dyDescent="0.2">
      <c r="A42" s="18" t="s">
        <v>216</v>
      </c>
      <c r="B42" s="18" t="s">
        <v>215</v>
      </c>
      <c r="C42" s="41">
        <v>199.99</v>
      </c>
      <c r="D42" s="42">
        <v>17047.8</v>
      </c>
      <c r="E42" s="42">
        <v>1420.65</v>
      </c>
      <c r="F42" s="44">
        <v>84</v>
      </c>
      <c r="G42" s="46">
        <v>7</v>
      </c>
      <c r="H42" s="44">
        <v>3</v>
      </c>
      <c r="I42" s="45">
        <v>4.5999999999999996</v>
      </c>
      <c r="J42" s="45" t="s">
        <v>217</v>
      </c>
      <c r="K42" s="22" t="str">
        <f t="shared" si="1"/>
        <v>https://amazon.com/dp/B0DZMN1941</v>
      </c>
    </row>
    <row r="43" spans="1:11" ht="45" customHeight="1" x14ac:dyDescent="0.2">
      <c r="A43" s="18" t="s">
        <v>385</v>
      </c>
      <c r="B43" s="18" t="s">
        <v>386</v>
      </c>
      <c r="C43" s="41">
        <v>119.99</v>
      </c>
      <c r="D43" s="42">
        <v>4022.04</v>
      </c>
      <c r="E43" s="42">
        <v>335.17</v>
      </c>
      <c r="F43" s="44">
        <v>36</v>
      </c>
      <c r="G43" s="46">
        <v>3</v>
      </c>
      <c r="H43" s="44">
        <v>22</v>
      </c>
      <c r="I43" s="45">
        <v>4.7</v>
      </c>
      <c r="J43" s="45" t="s">
        <v>387</v>
      </c>
      <c r="K43" s="22" t="str">
        <f t="shared" si="1"/>
        <v>https://amazon.com/dp/B0CHH8NY8G</v>
      </c>
    </row>
    <row r="44" spans="1:11" ht="45" customHeight="1" x14ac:dyDescent="0.2">
      <c r="A44" s="18" t="s">
        <v>388</v>
      </c>
      <c r="B44" s="18" t="s">
        <v>389</v>
      </c>
      <c r="C44" s="41">
        <v>16.100000000000001</v>
      </c>
      <c r="D44" s="42"/>
      <c r="E44" s="42"/>
      <c r="F44" s="44">
        <v>0</v>
      </c>
      <c r="G44" s="46">
        <v>0</v>
      </c>
      <c r="H44" s="44">
        <v>151</v>
      </c>
      <c r="I44" s="45">
        <v>4.5</v>
      </c>
      <c r="J44" s="45" t="s">
        <v>390</v>
      </c>
      <c r="K44" s="22" t="str">
        <f t="shared" si="1"/>
        <v>https://amazon.com/dp/B0CKPHBXXT</v>
      </c>
    </row>
    <row r="45" spans="1:11" ht="60" customHeight="1" x14ac:dyDescent="0.2">
      <c r="A45" s="18" t="s">
        <v>391</v>
      </c>
      <c r="B45" s="18" t="s">
        <v>392</v>
      </c>
      <c r="C45" s="41">
        <v>16.100000000000001</v>
      </c>
      <c r="D45" s="42"/>
      <c r="E45" s="42"/>
      <c r="F45" s="44">
        <v>0</v>
      </c>
      <c r="G45" s="46">
        <v>0</v>
      </c>
      <c r="H45" s="44">
        <v>151</v>
      </c>
      <c r="I45" s="45">
        <v>4.5</v>
      </c>
      <c r="J45" s="45" t="s">
        <v>393</v>
      </c>
      <c r="K45" s="22" t="str">
        <f t="shared" si="1"/>
        <v>https://amazon.com/dp/B0CKPG4WCV</v>
      </c>
    </row>
    <row r="46" spans="1:11" ht="45" customHeight="1" x14ac:dyDescent="0.2">
      <c r="A46" s="18" t="s">
        <v>219</v>
      </c>
      <c r="B46" s="18" t="s">
        <v>218</v>
      </c>
      <c r="C46" s="41">
        <v>169.99</v>
      </c>
      <c r="D46" s="42"/>
      <c r="E46" s="42"/>
      <c r="F46" s="44">
        <v>0</v>
      </c>
      <c r="G46" s="46">
        <v>0</v>
      </c>
      <c r="H46" s="44"/>
      <c r="I46" s="45"/>
      <c r="J46" s="45" t="s">
        <v>220</v>
      </c>
      <c r="K46" s="22" t="str">
        <f t="shared" si="1"/>
        <v>https://amazon.com/dp/B0G1MM25PR</v>
      </c>
    </row>
    <row r="47" spans="1:11" ht="45" customHeight="1" x14ac:dyDescent="0.2">
      <c r="A47" s="18" t="s">
        <v>394</v>
      </c>
      <c r="B47" s="18" t="s">
        <v>395</v>
      </c>
      <c r="C47" s="41">
        <v>33.99</v>
      </c>
      <c r="D47" s="42"/>
      <c r="E47" s="42"/>
      <c r="F47" s="44">
        <v>0</v>
      </c>
      <c r="G47" s="46">
        <v>0</v>
      </c>
      <c r="H47" s="44">
        <v>141</v>
      </c>
      <c r="I47" s="45">
        <v>4.4000000000000004</v>
      </c>
      <c r="J47" s="45" t="s">
        <v>396</v>
      </c>
      <c r="K47" s="22" t="str">
        <f t="shared" si="1"/>
        <v>https://amazon.com/dp/B0CN69DJFX</v>
      </c>
    </row>
    <row r="48" spans="1:11" ht="17" customHeight="1" x14ac:dyDescent="0.2">
      <c r="A48" s="21" t="s">
        <v>292</v>
      </c>
      <c r="B48" s="20"/>
      <c r="C48" s="20"/>
      <c r="D48" s="20"/>
      <c r="E48" s="20"/>
      <c r="F48" s="48">
        <f>SUM(Anykit!F31:F47)</f>
        <v>58116</v>
      </c>
      <c r="G48" s="48">
        <f>SUM(Anykit!G31:G47)</f>
        <v>4843</v>
      </c>
      <c r="H48" s="48"/>
      <c r="I48" s="23"/>
    </row>
  </sheetData>
  <mergeCells count="3">
    <mergeCell ref="A29:K29"/>
    <mergeCell ref="A7:K7"/>
    <mergeCell ref="A1:K5"/>
  </mergeCells>
  <hyperlinks>
    <hyperlink ref="J9" r:id="rId1" display="https://amazon.com/dp/B0CFF8Z1NF" xr:uid="{00000000-0004-0000-1100-000000000000}"/>
    <hyperlink ref="K9" r:id="rId2" display="https://amazon.com/dp/B07S7H86Z1" xr:uid="{00000000-0004-0000-1100-000001000000}"/>
    <hyperlink ref="K31" r:id="rId3" display="https://amazon.com/dp/B07S7H86Z1" xr:uid="{00000000-0004-0000-1100-000002000000}"/>
  </hyperlinks>
  <pageMargins left="0.7" right="0.7" top="0.75" bottom="0.75" header="0.3" footer="0.3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topLeftCell="D1" zoomScaleNormal="100" workbookViewId="0">
      <selection activeCell="K11" sqref="K11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3320312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x14ac:dyDescent="0.2">
      <c r="A1" s="126" t="e">
        <v>#VALUE!</v>
      </c>
      <c r="B1" s="121"/>
      <c r="C1" s="122"/>
      <c r="D1" s="122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2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2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2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2"/>
      <c r="E5" s="123"/>
      <c r="F5" s="123"/>
      <c r="G5" s="123"/>
      <c r="H5" s="124"/>
      <c r="I5" s="121"/>
      <c r="J5" s="121"/>
      <c r="K5" s="121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5" t="s">
        <v>307</v>
      </c>
      <c r="B7" s="121"/>
      <c r="C7" s="122"/>
      <c r="D7" s="122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52</v>
      </c>
      <c r="B9" s="18" t="s">
        <v>51</v>
      </c>
      <c r="C9" s="41">
        <v>139.38999999999999</v>
      </c>
      <c r="D9" s="42">
        <v>2532718.6800000002</v>
      </c>
      <c r="E9" s="43">
        <v>211059.89</v>
      </c>
      <c r="F9" s="44">
        <v>18252</v>
      </c>
      <c r="G9" s="44">
        <v>1521</v>
      </c>
      <c r="H9" s="44">
        <v>1621</v>
      </c>
      <c r="I9" s="45">
        <v>4.5999999999999996</v>
      </c>
      <c r="J9" s="45" t="s">
        <v>57</v>
      </c>
      <c r="K9" s="56" t="str">
        <f>HYPERLINK(J9)</f>
        <v>https://amazon.com/dp/B0B28HRSBP</v>
      </c>
    </row>
    <row r="10" spans="1:11" ht="45" customHeight="1" x14ac:dyDescent="0.2">
      <c r="A10" s="18" t="s">
        <v>68</v>
      </c>
      <c r="B10" s="18" t="s">
        <v>67</v>
      </c>
      <c r="C10" s="41">
        <v>135.99</v>
      </c>
      <c r="D10" s="42">
        <v>1079082.8400000001</v>
      </c>
      <c r="E10" s="43">
        <v>89923.57</v>
      </c>
      <c r="F10" s="44">
        <v>8196</v>
      </c>
      <c r="G10" s="44">
        <v>683</v>
      </c>
      <c r="H10" s="44">
        <v>506</v>
      </c>
      <c r="I10" s="45">
        <v>4.5</v>
      </c>
      <c r="J10" s="45" t="s">
        <v>69</v>
      </c>
      <c r="K10" s="56" t="str">
        <f>HYPERLINK(J10)</f>
        <v>https://amazon.com/dp/B0C3B32Q9Z</v>
      </c>
    </row>
    <row r="11" spans="1:11" ht="45" customHeight="1" x14ac:dyDescent="0.2">
      <c r="A11" s="18" t="s">
        <v>153</v>
      </c>
      <c r="B11" s="18" t="s">
        <v>152</v>
      </c>
      <c r="C11" s="41">
        <v>149.99</v>
      </c>
      <c r="D11" s="42">
        <v>350556.72</v>
      </c>
      <c r="E11" s="43">
        <v>29213.06</v>
      </c>
      <c r="F11" s="44">
        <v>2460</v>
      </c>
      <c r="G11" s="44">
        <v>205</v>
      </c>
      <c r="H11" s="44">
        <v>198</v>
      </c>
      <c r="I11" s="45">
        <v>4.3</v>
      </c>
      <c r="J11" s="45" t="s">
        <v>154</v>
      </c>
      <c r="K11" s="56" t="str">
        <f>HYPERLINK(J11)</f>
        <v>https://amazon.com/dp/B0B71PT47Q</v>
      </c>
    </row>
    <row r="12" spans="1:11" ht="45" customHeight="1" x14ac:dyDescent="0.2">
      <c r="A12" s="18" t="s">
        <v>160</v>
      </c>
      <c r="B12" s="18" t="s">
        <v>159</v>
      </c>
      <c r="C12" s="41">
        <v>159.99</v>
      </c>
      <c r="D12" s="42">
        <v>286435.56</v>
      </c>
      <c r="E12" s="43">
        <v>23869.63</v>
      </c>
      <c r="F12" s="44">
        <v>1788</v>
      </c>
      <c r="G12" s="44">
        <v>149</v>
      </c>
      <c r="H12" s="44">
        <v>39</v>
      </c>
      <c r="I12" s="45">
        <v>4.7</v>
      </c>
      <c r="J12" s="45" t="s">
        <v>161</v>
      </c>
      <c r="K12" s="56" t="str">
        <f>HYPERLINK(J12)</f>
        <v>https://amazon.com/dp/B0DNFL72B5</v>
      </c>
    </row>
    <row r="13" spans="1:11" ht="17" customHeight="1" x14ac:dyDescent="0.2">
      <c r="A13" s="21" t="s">
        <v>292</v>
      </c>
      <c r="B13" s="21"/>
      <c r="C13" s="57"/>
      <c r="D13" s="58">
        <f>SUM(D9:D12)</f>
        <v>4248793.8</v>
      </c>
      <c r="E13" s="58">
        <f>SUM(E9:E12)</f>
        <v>354066.15</v>
      </c>
      <c r="F13" s="59"/>
      <c r="G13" s="59"/>
      <c r="H13" s="59"/>
      <c r="I13" s="60"/>
      <c r="J13" s="21"/>
      <c r="K13" s="20"/>
    </row>
    <row r="16" spans="1:11" x14ac:dyDescent="0.2">
      <c r="A16" s="125" t="s">
        <v>303</v>
      </c>
      <c r="B16" s="121"/>
      <c r="C16" s="122"/>
      <c r="D16" s="122"/>
      <c r="E16" s="123"/>
      <c r="F16" s="123"/>
      <c r="G16" s="123"/>
      <c r="H16" s="124"/>
      <c r="I16" s="121"/>
      <c r="J16" s="121"/>
      <c r="K16" s="121"/>
    </row>
    <row r="17" spans="1:11" ht="17" customHeight="1" x14ac:dyDescent="0.2">
      <c r="A17" s="24" t="s">
        <v>27</v>
      </c>
      <c r="B17" s="25" t="s">
        <v>26</v>
      </c>
      <c r="C17" s="26" t="s">
        <v>287</v>
      </c>
      <c r="D17" s="27" t="s">
        <v>4</v>
      </c>
      <c r="E17" s="25" t="s">
        <v>3</v>
      </c>
      <c r="F17" s="29" t="s">
        <v>22</v>
      </c>
      <c r="G17" s="32" t="s">
        <v>5</v>
      </c>
      <c r="H17" s="29" t="s">
        <v>37</v>
      </c>
      <c r="I17" s="30" t="s">
        <v>295</v>
      </c>
      <c r="J17" s="30" t="s">
        <v>296</v>
      </c>
      <c r="K17" s="31" t="s">
        <v>40</v>
      </c>
    </row>
    <row r="18" spans="1:11" ht="45" customHeight="1" x14ac:dyDescent="0.2">
      <c r="A18" s="18" t="s">
        <v>52</v>
      </c>
      <c r="B18" s="18" t="s">
        <v>51</v>
      </c>
      <c r="C18" s="41">
        <v>139.38999999999999</v>
      </c>
      <c r="D18" s="42">
        <v>2532718.6800000002</v>
      </c>
      <c r="E18" s="42">
        <v>211059.89</v>
      </c>
      <c r="F18" s="44">
        <v>18252</v>
      </c>
      <c r="G18" s="46">
        <v>1521</v>
      </c>
      <c r="H18" s="44">
        <v>1621</v>
      </c>
      <c r="I18" s="45">
        <v>4.5999999999999996</v>
      </c>
      <c r="J18" s="45" t="s">
        <v>57</v>
      </c>
      <c r="K18" s="56" t="str">
        <f>HYPERLINK(J18)</f>
        <v>https://amazon.com/dp/B0B28HRSBP</v>
      </c>
    </row>
    <row r="19" spans="1:11" ht="45" customHeight="1" x14ac:dyDescent="0.2">
      <c r="A19" s="18" t="s">
        <v>68</v>
      </c>
      <c r="B19" s="18" t="s">
        <v>67</v>
      </c>
      <c r="C19" s="41">
        <v>135.99</v>
      </c>
      <c r="D19" s="42">
        <v>1079082.8400000001</v>
      </c>
      <c r="E19" s="42">
        <v>89923.57</v>
      </c>
      <c r="F19" s="44">
        <v>8196</v>
      </c>
      <c r="G19" s="46">
        <v>683</v>
      </c>
      <c r="H19" s="44">
        <v>506</v>
      </c>
      <c r="I19" s="45">
        <v>4.5</v>
      </c>
      <c r="J19" s="45" t="s">
        <v>69</v>
      </c>
      <c r="K19" s="56" t="str">
        <f>HYPERLINK(J19)</f>
        <v>https://amazon.com/dp/B0C3B32Q9Z</v>
      </c>
    </row>
    <row r="20" spans="1:11" ht="45" customHeight="1" x14ac:dyDescent="0.2">
      <c r="A20" s="18" t="s">
        <v>153</v>
      </c>
      <c r="B20" s="18" t="s">
        <v>152</v>
      </c>
      <c r="C20" s="41">
        <v>149.99</v>
      </c>
      <c r="D20" s="42">
        <v>350556.72</v>
      </c>
      <c r="E20" s="42">
        <v>29213.06</v>
      </c>
      <c r="F20" s="44">
        <v>2460</v>
      </c>
      <c r="G20" s="46">
        <v>205</v>
      </c>
      <c r="H20" s="44">
        <v>198</v>
      </c>
      <c r="I20" s="45">
        <v>4.3</v>
      </c>
      <c r="J20" s="45" t="s">
        <v>154</v>
      </c>
      <c r="K20" s="56" t="str">
        <f>HYPERLINK(J20)</f>
        <v>https://amazon.com/dp/B0B71PT47Q</v>
      </c>
    </row>
    <row r="21" spans="1:11" ht="45" customHeight="1" x14ac:dyDescent="0.2">
      <c r="A21" s="18" t="s">
        <v>160</v>
      </c>
      <c r="B21" s="18" t="s">
        <v>159</v>
      </c>
      <c r="C21" s="41">
        <v>159.99</v>
      </c>
      <c r="D21" s="42">
        <v>286435.56</v>
      </c>
      <c r="E21" s="42">
        <v>23869.63</v>
      </c>
      <c r="F21" s="44">
        <v>1788</v>
      </c>
      <c r="G21" s="46">
        <v>149</v>
      </c>
      <c r="H21" s="44">
        <v>39</v>
      </c>
      <c r="I21" s="45">
        <v>4.7</v>
      </c>
      <c r="J21" s="45" t="s">
        <v>161</v>
      </c>
      <c r="K21" s="56" t="str">
        <f>HYPERLINK(J21)</f>
        <v>https://amazon.com/dp/B0DNFL72B5</v>
      </c>
    </row>
    <row r="22" spans="1:11" ht="17" customHeight="1" x14ac:dyDescent="0.2">
      <c r="A22" s="21" t="s">
        <v>292</v>
      </c>
      <c r="B22" s="21"/>
      <c r="C22" s="58"/>
      <c r="D22" s="58"/>
      <c r="E22" s="58"/>
      <c r="F22" s="59">
        <f>SUM(DZXtoz!F18:F21)</f>
        <v>30696</v>
      </c>
      <c r="G22" s="59">
        <f>SUM(DZXtoz!G18:G21)</f>
        <v>2558</v>
      </c>
      <c r="H22" s="59"/>
      <c r="I22" s="60"/>
      <c r="J22" s="21"/>
      <c r="K22" s="20"/>
    </row>
  </sheetData>
  <mergeCells count="3">
    <mergeCell ref="A16:K16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4"/>
  <sheetViews>
    <sheetView workbookViewId="0">
      <selection activeCell="F25" sqref="F25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x14ac:dyDescent="0.2">
      <c r="A1" s="126" t="e">
        <v>#VALUE!</v>
      </c>
      <c r="B1" s="121"/>
      <c r="C1" s="122"/>
      <c r="D1" s="122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2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2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2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2"/>
      <c r="E5" s="123"/>
      <c r="F5" s="123"/>
      <c r="G5" s="123"/>
      <c r="H5" s="124"/>
      <c r="I5" s="121"/>
      <c r="J5" s="121"/>
      <c r="K5" s="121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5" t="s">
        <v>307</v>
      </c>
      <c r="B7" s="121"/>
      <c r="C7" s="122"/>
      <c r="D7" s="122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310</v>
      </c>
      <c r="B9" s="18" t="s">
        <v>311</v>
      </c>
      <c r="C9" s="41">
        <v>31.96</v>
      </c>
      <c r="D9" s="42">
        <v>1036676.16</v>
      </c>
      <c r="E9" s="43">
        <v>86389.68</v>
      </c>
      <c r="F9" s="44">
        <v>30696</v>
      </c>
      <c r="G9" s="44">
        <v>2558</v>
      </c>
      <c r="H9" s="44">
        <v>1179</v>
      </c>
      <c r="I9" s="45">
        <v>4.5</v>
      </c>
      <c r="J9" s="45" t="s">
        <v>312</v>
      </c>
      <c r="K9" s="56" t="str">
        <f>HYPERLINK(J9)</f>
        <v>https://amazon.com/dp/B0CP538LN1</v>
      </c>
    </row>
    <row r="10" spans="1:11" ht="45" customHeight="1" x14ac:dyDescent="0.2">
      <c r="A10" s="18" t="s">
        <v>313</v>
      </c>
      <c r="B10" s="18" t="s">
        <v>314</v>
      </c>
      <c r="C10" s="41">
        <v>33.9</v>
      </c>
      <c r="D10" s="42">
        <v>399353.04</v>
      </c>
      <c r="E10" s="43">
        <v>33279.42</v>
      </c>
      <c r="F10" s="44">
        <v>12780</v>
      </c>
      <c r="G10" s="44">
        <v>1065</v>
      </c>
      <c r="H10" s="44">
        <v>363</v>
      </c>
      <c r="I10" s="45">
        <v>4.5</v>
      </c>
      <c r="J10" s="45" t="s">
        <v>315</v>
      </c>
      <c r="K10" s="56" t="str">
        <f>HYPERLINK(J10)</f>
        <v>https://amazon.com/dp/B0CW65T636</v>
      </c>
    </row>
    <row r="11" spans="1:11" ht="45" customHeight="1" x14ac:dyDescent="0.2">
      <c r="A11" s="18" t="s">
        <v>316</v>
      </c>
      <c r="B11" s="18" t="s">
        <v>317</v>
      </c>
      <c r="C11" s="41">
        <v>47.46</v>
      </c>
      <c r="D11" s="42">
        <v>26674.799999999999</v>
      </c>
      <c r="E11" s="43">
        <v>2222.9</v>
      </c>
      <c r="F11" s="44">
        <v>540</v>
      </c>
      <c r="G11" s="44">
        <v>45</v>
      </c>
      <c r="H11" s="44">
        <v>48</v>
      </c>
      <c r="I11" s="45">
        <v>4.4000000000000004</v>
      </c>
      <c r="J11" s="45" t="s">
        <v>318</v>
      </c>
      <c r="K11" s="56" t="str">
        <f>HYPERLINK(J11)</f>
        <v>https://amazon.com/dp/B0DXP6S228</v>
      </c>
    </row>
    <row r="12" spans="1:11" ht="45" customHeight="1" x14ac:dyDescent="0.2">
      <c r="A12" s="18" t="s">
        <v>319</v>
      </c>
      <c r="B12" s="18" t="s">
        <v>320</v>
      </c>
      <c r="C12" s="41">
        <v>29.99</v>
      </c>
      <c r="D12" s="42">
        <v>4597.5599999999986</v>
      </c>
      <c r="E12" s="43">
        <v>383.13</v>
      </c>
      <c r="F12" s="44">
        <v>156</v>
      </c>
      <c r="G12" s="44">
        <v>13</v>
      </c>
      <c r="H12" s="44">
        <v>25</v>
      </c>
      <c r="I12" s="45">
        <v>4.4000000000000004</v>
      </c>
      <c r="J12" s="45" t="s">
        <v>321</v>
      </c>
      <c r="K12" s="56" t="str">
        <f>HYPERLINK(J12)</f>
        <v>https://amazon.com/dp/B0DYNS468T</v>
      </c>
    </row>
    <row r="13" spans="1:11" ht="45" customHeight="1" x14ac:dyDescent="0.2">
      <c r="A13" s="18" t="s">
        <v>322</v>
      </c>
      <c r="B13" s="18" t="s">
        <v>323</v>
      </c>
      <c r="C13" s="41">
        <v>29.99</v>
      </c>
      <c r="D13" s="42">
        <v>900</v>
      </c>
      <c r="E13" s="43">
        <v>75</v>
      </c>
      <c r="F13" s="44">
        <v>24</v>
      </c>
      <c r="G13" s="44">
        <v>2</v>
      </c>
      <c r="H13" s="44">
        <v>24</v>
      </c>
      <c r="I13" s="45">
        <v>4.3</v>
      </c>
      <c r="J13" s="45" t="s">
        <v>324</v>
      </c>
      <c r="K13" s="56" t="str">
        <f>HYPERLINK(J13)</f>
        <v>https://amazon.com/dp/B0DYNM86H2</v>
      </c>
    </row>
    <row r="14" spans="1:11" ht="17" customHeight="1" x14ac:dyDescent="0.2">
      <c r="A14" s="21" t="s">
        <v>292</v>
      </c>
      <c r="B14" s="21"/>
      <c r="C14" s="57"/>
      <c r="D14" s="58">
        <f>SUM(D9:D13)</f>
        <v>1468201.56</v>
      </c>
      <c r="E14" s="58">
        <f>SUM(E9:E13)</f>
        <v>122350.12999999999</v>
      </c>
      <c r="F14" s="59"/>
      <c r="G14" s="59"/>
      <c r="H14" s="59"/>
      <c r="I14" s="60"/>
      <c r="J14" s="21"/>
      <c r="K14" s="20"/>
    </row>
    <row r="17" spans="1:11" x14ac:dyDescent="0.2">
      <c r="A17" s="125" t="s">
        <v>303</v>
      </c>
      <c r="B17" s="121"/>
      <c r="C17" s="122"/>
      <c r="D17" s="122"/>
      <c r="E17" s="123"/>
      <c r="F17" s="123"/>
      <c r="G17" s="123"/>
      <c r="H17" s="124"/>
      <c r="I17" s="121"/>
      <c r="J17" s="121"/>
      <c r="K17" s="121"/>
    </row>
    <row r="18" spans="1:11" ht="17" customHeight="1" x14ac:dyDescent="0.2">
      <c r="A18" s="24" t="s">
        <v>27</v>
      </c>
      <c r="B18" s="25" t="s">
        <v>26</v>
      </c>
      <c r="C18" s="26" t="s">
        <v>287</v>
      </c>
      <c r="D18" s="27" t="s">
        <v>4</v>
      </c>
      <c r="E18" s="25" t="s">
        <v>3</v>
      </c>
      <c r="F18" s="29" t="s">
        <v>22</v>
      </c>
      <c r="G18" s="32" t="s">
        <v>5</v>
      </c>
      <c r="H18" s="29" t="s">
        <v>37</v>
      </c>
      <c r="I18" s="30" t="s">
        <v>295</v>
      </c>
      <c r="J18" s="30" t="s">
        <v>296</v>
      </c>
      <c r="K18" s="31" t="s">
        <v>40</v>
      </c>
    </row>
    <row r="19" spans="1:11" ht="45" customHeight="1" x14ac:dyDescent="0.2">
      <c r="A19" s="18" t="s">
        <v>310</v>
      </c>
      <c r="B19" s="18" t="s">
        <v>311</v>
      </c>
      <c r="C19" s="41">
        <v>31.96</v>
      </c>
      <c r="D19" s="42">
        <v>1036676.16</v>
      </c>
      <c r="E19" s="42">
        <v>86389.68</v>
      </c>
      <c r="F19" s="44">
        <v>30696</v>
      </c>
      <c r="G19" s="46">
        <v>2558</v>
      </c>
      <c r="H19" s="44">
        <v>1179</v>
      </c>
      <c r="I19" s="45">
        <v>4.5</v>
      </c>
      <c r="J19" s="45" t="s">
        <v>312</v>
      </c>
      <c r="K19" s="56" t="str">
        <f>HYPERLINK(J19)</f>
        <v>https://amazon.com/dp/B0CP538LN1</v>
      </c>
    </row>
    <row r="20" spans="1:11" ht="45" customHeight="1" x14ac:dyDescent="0.2">
      <c r="A20" s="18" t="s">
        <v>313</v>
      </c>
      <c r="B20" s="18" t="s">
        <v>314</v>
      </c>
      <c r="C20" s="41">
        <v>33.9</v>
      </c>
      <c r="D20" s="42">
        <v>399353.04</v>
      </c>
      <c r="E20" s="42">
        <v>33279.42</v>
      </c>
      <c r="F20" s="44">
        <v>12780</v>
      </c>
      <c r="G20" s="46">
        <v>1065</v>
      </c>
      <c r="H20" s="44">
        <v>363</v>
      </c>
      <c r="I20" s="45">
        <v>4.5</v>
      </c>
      <c r="J20" s="45" t="s">
        <v>315</v>
      </c>
      <c r="K20" s="56" t="str">
        <f>HYPERLINK(J20)</f>
        <v>https://amazon.com/dp/B0CW65T636</v>
      </c>
    </row>
    <row r="21" spans="1:11" ht="45" customHeight="1" x14ac:dyDescent="0.2">
      <c r="A21" s="18" t="s">
        <v>316</v>
      </c>
      <c r="B21" s="18" t="s">
        <v>317</v>
      </c>
      <c r="C21" s="41">
        <v>47.46</v>
      </c>
      <c r="D21" s="42">
        <v>26674.799999999999</v>
      </c>
      <c r="E21" s="42">
        <v>2222.9</v>
      </c>
      <c r="F21" s="44">
        <v>540</v>
      </c>
      <c r="G21" s="46">
        <v>45</v>
      </c>
      <c r="H21" s="44">
        <v>48</v>
      </c>
      <c r="I21" s="45">
        <v>4.4000000000000004</v>
      </c>
      <c r="J21" s="45" t="s">
        <v>318</v>
      </c>
      <c r="K21" s="56" t="str">
        <f>HYPERLINK(J21)</f>
        <v>https://amazon.com/dp/B0DXP6S228</v>
      </c>
    </row>
    <row r="22" spans="1:11" ht="45" customHeight="1" x14ac:dyDescent="0.2">
      <c r="A22" s="18" t="s">
        <v>319</v>
      </c>
      <c r="B22" s="18" t="s">
        <v>320</v>
      </c>
      <c r="C22" s="41">
        <v>29.99</v>
      </c>
      <c r="D22" s="42">
        <v>4597.5599999999986</v>
      </c>
      <c r="E22" s="42">
        <v>383.13</v>
      </c>
      <c r="F22" s="44">
        <v>156</v>
      </c>
      <c r="G22" s="46">
        <v>13</v>
      </c>
      <c r="H22" s="44">
        <v>25</v>
      </c>
      <c r="I22" s="45">
        <v>4.4000000000000004</v>
      </c>
      <c r="J22" s="45" t="s">
        <v>321</v>
      </c>
      <c r="K22" s="56" t="str">
        <f>HYPERLINK(J22)</f>
        <v>https://amazon.com/dp/B0DYNS468T</v>
      </c>
    </row>
    <row r="23" spans="1:11" ht="45" customHeight="1" x14ac:dyDescent="0.2">
      <c r="A23" s="18" t="s">
        <v>322</v>
      </c>
      <c r="B23" s="18" t="s">
        <v>323</v>
      </c>
      <c r="C23" s="41">
        <v>29.99</v>
      </c>
      <c r="D23" s="42">
        <v>900</v>
      </c>
      <c r="E23" s="42">
        <v>75</v>
      </c>
      <c r="F23" s="44">
        <v>24</v>
      </c>
      <c r="G23" s="46">
        <v>2</v>
      </c>
      <c r="H23" s="44">
        <v>24</v>
      </c>
      <c r="I23" s="45">
        <v>4.3</v>
      </c>
      <c r="J23" s="45" t="s">
        <v>324</v>
      </c>
      <c r="K23" s="56" t="str">
        <f>HYPERLINK(J23)</f>
        <v>https://amazon.com/dp/B0DYNM86H2</v>
      </c>
    </row>
    <row r="24" spans="1:11" ht="17" customHeight="1" x14ac:dyDescent="0.2">
      <c r="A24" s="21" t="s">
        <v>292</v>
      </c>
      <c r="B24" s="21"/>
      <c r="C24" s="58"/>
      <c r="D24" s="58"/>
      <c r="E24" s="58"/>
      <c r="F24" s="102">
        <f>SUM(WINWEND!F19:F23)</f>
        <v>44196</v>
      </c>
      <c r="G24" s="102">
        <f>SUM(WINWEND!G19:G23)</f>
        <v>3683</v>
      </c>
      <c r="H24" s="59"/>
      <c r="I24" s="60"/>
      <c r="J24" s="21"/>
      <c r="K24" s="20"/>
    </row>
  </sheetData>
  <mergeCells count="3">
    <mergeCell ref="A17:K17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2"/>
  <sheetViews>
    <sheetView workbookViewId="0">
      <selection activeCell="B64" sqref="B64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1640625" style="19" hidden="1" customWidth="1"/>
    <col min="11" max="11" width="35.6640625" style="19" customWidth="1"/>
    <col min="12" max="13" width="12.6640625" style="19" customWidth="1"/>
    <col min="14" max="16384" width="12.6640625" style="19"/>
  </cols>
  <sheetData>
    <row r="1" spans="1:11" x14ac:dyDescent="0.2">
      <c r="A1" s="126" t="e">
        <v>#VALUE!</v>
      </c>
      <c r="B1" s="121"/>
      <c r="C1" s="122"/>
      <c r="D1" s="122"/>
      <c r="E1" s="123"/>
      <c r="F1" s="123"/>
      <c r="G1" s="123"/>
      <c r="H1" s="124"/>
      <c r="I1" s="121"/>
      <c r="J1" s="121"/>
      <c r="K1" s="121"/>
    </row>
    <row r="2" spans="1:11" x14ac:dyDescent="0.2">
      <c r="A2" s="121"/>
      <c r="B2" s="121"/>
      <c r="C2" s="122"/>
      <c r="D2" s="122"/>
      <c r="E2" s="123"/>
      <c r="F2" s="123"/>
      <c r="G2" s="123"/>
      <c r="H2" s="124"/>
      <c r="I2" s="121"/>
      <c r="J2" s="121"/>
      <c r="K2" s="121"/>
    </row>
    <row r="3" spans="1:11" x14ac:dyDescent="0.2">
      <c r="A3" s="121"/>
      <c r="B3" s="121"/>
      <c r="C3" s="122"/>
      <c r="D3" s="122"/>
      <c r="E3" s="123"/>
      <c r="F3" s="123"/>
      <c r="G3" s="123"/>
      <c r="H3" s="124"/>
      <c r="I3" s="121"/>
      <c r="J3" s="121"/>
      <c r="K3" s="121"/>
    </row>
    <row r="4" spans="1:11" x14ac:dyDescent="0.2">
      <c r="A4" s="121"/>
      <c r="B4" s="121"/>
      <c r="C4" s="122"/>
      <c r="D4" s="122"/>
      <c r="E4" s="123"/>
      <c r="F4" s="123"/>
      <c r="G4" s="123"/>
      <c r="H4" s="124"/>
      <c r="I4" s="121"/>
      <c r="J4" s="121"/>
      <c r="K4" s="121"/>
    </row>
    <row r="5" spans="1:11" x14ac:dyDescent="0.2">
      <c r="A5" s="121"/>
      <c r="B5" s="121"/>
      <c r="C5" s="122"/>
      <c r="D5" s="122"/>
      <c r="E5" s="123"/>
      <c r="F5" s="123"/>
      <c r="G5" s="123"/>
      <c r="H5" s="124"/>
      <c r="I5" s="121"/>
      <c r="J5" s="121"/>
      <c r="K5" s="121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5" t="s">
        <v>307</v>
      </c>
      <c r="B7" s="121"/>
      <c r="C7" s="122"/>
      <c r="D7" s="122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138</v>
      </c>
      <c r="B9" s="18" t="s">
        <v>137</v>
      </c>
      <c r="C9" s="41">
        <v>239.98</v>
      </c>
      <c r="D9" s="42">
        <v>414967.44000000012</v>
      </c>
      <c r="E9" s="43">
        <v>34580.620000000003</v>
      </c>
      <c r="F9" s="44">
        <v>1500</v>
      </c>
      <c r="G9" s="44">
        <v>125</v>
      </c>
      <c r="H9" s="44">
        <v>189</v>
      </c>
      <c r="I9" s="45">
        <v>4.2</v>
      </c>
      <c r="J9" s="45" t="s">
        <v>140</v>
      </c>
      <c r="K9" s="56" t="str">
        <f t="shared" ref="K9:K32" si="0">HYPERLINK(J9)</f>
        <v>https://amazon.com/dp/B0DSW1DKTZ</v>
      </c>
    </row>
    <row r="10" spans="1:11" ht="45" customHeight="1" x14ac:dyDescent="0.2">
      <c r="A10" s="18" t="s">
        <v>142</v>
      </c>
      <c r="B10" s="18" t="s">
        <v>141</v>
      </c>
      <c r="C10" s="41">
        <v>249.99</v>
      </c>
      <c r="D10" s="42">
        <v>402738.6</v>
      </c>
      <c r="E10" s="43">
        <v>33561.550000000003</v>
      </c>
      <c r="F10" s="44">
        <v>1632</v>
      </c>
      <c r="G10" s="44">
        <v>136</v>
      </c>
      <c r="H10" s="44">
        <v>545</v>
      </c>
      <c r="I10" s="45">
        <v>4.4000000000000004</v>
      </c>
      <c r="J10" s="45" t="s">
        <v>144</v>
      </c>
      <c r="K10" s="56" t="str">
        <f t="shared" si="0"/>
        <v>https://amazon.com/dp/B0FJFD212D</v>
      </c>
    </row>
    <row r="11" spans="1:11" ht="45" customHeight="1" x14ac:dyDescent="0.2">
      <c r="A11" s="18" t="s">
        <v>146</v>
      </c>
      <c r="B11" s="18" t="s">
        <v>145</v>
      </c>
      <c r="C11" s="41">
        <v>239.99</v>
      </c>
      <c r="D11" s="42">
        <v>395744.04</v>
      </c>
      <c r="E11" s="43">
        <v>32978.67</v>
      </c>
      <c r="F11" s="44">
        <v>1644</v>
      </c>
      <c r="G11" s="44">
        <v>137</v>
      </c>
      <c r="H11" s="44">
        <v>542</v>
      </c>
      <c r="I11" s="45">
        <v>4.4000000000000004</v>
      </c>
      <c r="J11" s="45" t="s">
        <v>148</v>
      </c>
      <c r="K11" s="56" t="str">
        <f t="shared" si="0"/>
        <v>https://amazon.com/dp/B0C64RBKJL</v>
      </c>
    </row>
    <row r="12" spans="1:11" ht="45" customHeight="1" x14ac:dyDescent="0.2">
      <c r="A12" s="18" t="s">
        <v>175</v>
      </c>
      <c r="B12" s="18" t="s">
        <v>174</v>
      </c>
      <c r="C12" s="41">
        <v>239.99</v>
      </c>
      <c r="D12" s="42">
        <v>147904.92000000001</v>
      </c>
      <c r="E12" s="43">
        <v>12325.41</v>
      </c>
      <c r="F12" s="44">
        <v>492</v>
      </c>
      <c r="G12" s="44">
        <v>41</v>
      </c>
      <c r="H12" s="44">
        <v>189</v>
      </c>
      <c r="I12" s="45">
        <v>4.2</v>
      </c>
      <c r="J12" s="45" t="s">
        <v>176</v>
      </c>
      <c r="K12" s="56" t="str">
        <f t="shared" si="0"/>
        <v>https://amazon.com/dp/B0FJLPG74M</v>
      </c>
    </row>
    <row r="13" spans="1:11" ht="45" customHeight="1" x14ac:dyDescent="0.2">
      <c r="A13" s="18" t="s">
        <v>178</v>
      </c>
      <c r="B13" s="18" t="s">
        <v>177</v>
      </c>
      <c r="C13" s="41">
        <v>139.99</v>
      </c>
      <c r="D13" s="42">
        <v>146397.24</v>
      </c>
      <c r="E13" s="43">
        <v>12199.77</v>
      </c>
      <c r="F13" s="44">
        <v>1044</v>
      </c>
      <c r="G13" s="44">
        <v>87</v>
      </c>
      <c r="H13" s="44">
        <v>99</v>
      </c>
      <c r="I13" s="45">
        <v>4.7</v>
      </c>
      <c r="J13" s="45" t="s">
        <v>179</v>
      </c>
      <c r="K13" s="56" t="str">
        <f t="shared" si="0"/>
        <v>https://amazon.com/dp/B0DSVY5LQD</v>
      </c>
    </row>
    <row r="14" spans="1:11" ht="45" customHeight="1" x14ac:dyDescent="0.2">
      <c r="A14" s="18" t="s">
        <v>181</v>
      </c>
      <c r="B14" s="18" t="s">
        <v>180</v>
      </c>
      <c r="C14" s="41">
        <v>379.99</v>
      </c>
      <c r="D14" s="42">
        <v>128849.16</v>
      </c>
      <c r="E14" s="43">
        <v>10737.43</v>
      </c>
      <c r="F14" s="44">
        <v>396</v>
      </c>
      <c r="G14" s="44">
        <v>33</v>
      </c>
      <c r="H14" s="44">
        <v>39</v>
      </c>
      <c r="I14" s="45">
        <v>4.5</v>
      </c>
      <c r="J14" s="45" t="s">
        <v>182</v>
      </c>
      <c r="K14" s="56" t="str">
        <f t="shared" si="0"/>
        <v>https://amazon.com/dp/B0F8BN91TL</v>
      </c>
    </row>
    <row r="15" spans="1:11" ht="45" customHeight="1" x14ac:dyDescent="0.2">
      <c r="A15" s="18" t="s">
        <v>191</v>
      </c>
      <c r="B15" s="18" t="s">
        <v>190</v>
      </c>
      <c r="C15" s="41">
        <v>429.99</v>
      </c>
      <c r="D15" s="42">
        <v>110934.24</v>
      </c>
      <c r="E15" s="43">
        <v>9244.52</v>
      </c>
      <c r="F15" s="44">
        <v>252</v>
      </c>
      <c r="G15" s="44">
        <v>21</v>
      </c>
      <c r="H15" s="44">
        <v>38</v>
      </c>
      <c r="I15" s="45">
        <v>4.5</v>
      </c>
      <c r="J15" s="45" t="s">
        <v>192</v>
      </c>
      <c r="K15" s="56" t="str">
        <f t="shared" si="0"/>
        <v>https://amazon.com/dp/B0G48WTXYF</v>
      </c>
    </row>
    <row r="16" spans="1:11" ht="45" customHeight="1" x14ac:dyDescent="0.2">
      <c r="A16" s="18" t="s">
        <v>203</v>
      </c>
      <c r="B16" s="18" t="s">
        <v>202</v>
      </c>
      <c r="C16" s="41">
        <v>799.99</v>
      </c>
      <c r="D16" s="42">
        <v>106031.88</v>
      </c>
      <c r="E16" s="43">
        <v>8835.99</v>
      </c>
      <c r="F16" s="44">
        <v>132</v>
      </c>
      <c r="G16" s="44">
        <v>11</v>
      </c>
      <c r="H16" s="44">
        <v>55</v>
      </c>
      <c r="I16" s="45">
        <v>4.4000000000000004</v>
      </c>
      <c r="J16" s="45" t="s">
        <v>205</v>
      </c>
      <c r="K16" s="56" t="str">
        <f t="shared" si="0"/>
        <v>https://amazon.com/dp/B0FLNJ8CNL</v>
      </c>
    </row>
    <row r="17" spans="1:11" ht="60" customHeight="1" x14ac:dyDescent="0.2">
      <c r="A17" s="18" t="s">
        <v>207</v>
      </c>
      <c r="B17" s="18" t="s">
        <v>206</v>
      </c>
      <c r="C17" s="41">
        <v>119.99</v>
      </c>
      <c r="D17" s="42">
        <v>94684.92</v>
      </c>
      <c r="E17" s="43">
        <v>7890.41</v>
      </c>
      <c r="F17" s="44">
        <v>768</v>
      </c>
      <c r="G17" s="44">
        <v>64</v>
      </c>
      <c r="H17" s="44">
        <v>206</v>
      </c>
      <c r="I17" s="45">
        <v>4.3</v>
      </c>
      <c r="J17" s="45" t="s">
        <v>208</v>
      </c>
      <c r="K17" s="56" t="str">
        <f t="shared" si="0"/>
        <v>https://amazon.com/dp/B0DT95GVP1</v>
      </c>
    </row>
    <row r="18" spans="1:11" ht="45" customHeight="1" x14ac:dyDescent="0.2">
      <c r="A18" s="18" t="s">
        <v>210</v>
      </c>
      <c r="B18" s="18" t="s">
        <v>209</v>
      </c>
      <c r="C18" s="41">
        <v>329.99</v>
      </c>
      <c r="D18" s="42">
        <v>93900.6</v>
      </c>
      <c r="E18" s="43">
        <v>7825.05</v>
      </c>
      <c r="F18" s="44">
        <v>288</v>
      </c>
      <c r="G18" s="44">
        <v>24</v>
      </c>
      <c r="H18" s="44">
        <v>55</v>
      </c>
      <c r="I18" s="45">
        <v>4.4000000000000004</v>
      </c>
      <c r="J18" s="45" t="s">
        <v>211</v>
      </c>
      <c r="K18" s="56" t="str">
        <f t="shared" si="0"/>
        <v>https://amazon.com/dp/B0FJLL4LY1</v>
      </c>
    </row>
    <row r="19" spans="1:11" ht="45" customHeight="1" x14ac:dyDescent="0.2">
      <c r="A19" s="18" t="s">
        <v>230</v>
      </c>
      <c r="B19" s="18" t="s">
        <v>229</v>
      </c>
      <c r="C19" s="41">
        <v>99.99</v>
      </c>
      <c r="D19" s="42">
        <v>83474.880000000005</v>
      </c>
      <c r="E19" s="43">
        <v>6956.24</v>
      </c>
      <c r="F19" s="44">
        <v>840</v>
      </c>
      <c r="G19" s="44">
        <v>70</v>
      </c>
      <c r="H19" s="44">
        <v>182</v>
      </c>
      <c r="I19" s="45">
        <v>4.5999999999999996</v>
      </c>
      <c r="J19" s="45" t="s">
        <v>231</v>
      </c>
      <c r="K19" s="56" t="str">
        <f t="shared" si="0"/>
        <v>https://amazon.com/dp/B0D8SDT9HT</v>
      </c>
    </row>
    <row r="20" spans="1:11" ht="30" customHeight="1" x14ac:dyDescent="0.2">
      <c r="A20" s="18" t="s">
        <v>248</v>
      </c>
      <c r="B20" s="18" t="s">
        <v>247</v>
      </c>
      <c r="C20" s="41">
        <v>99.99</v>
      </c>
      <c r="D20" s="42">
        <v>76551.839999999997</v>
      </c>
      <c r="E20" s="43">
        <v>6379.32</v>
      </c>
      <c r="F20" s="44">
        <v>768</v>
      </c>
      <c r="G20" s="44">
        <v>64</v>
      </c>
      <c r="H20" s="44">
        <v>206</v>
      </c>
      <c r="I20" s="45">
        <v>4.3</v>
      </c>
      <c r="J20" s="45" t="s">
        <v>249</v>
      </c>
      <c r="K20" s="56" t="str">
        <f t="shared" si="0"/>
        <v>https://amazon.com/dp/B08Y5S32YV</v>
      </c>
    </row>
    <row r="21" spans="1:11" ht="45" customHeight="1" x14ac:dyDescent="0.2">
      <c r="A21" s="18" t="s">
        <v>273</v>
      </c>
      <c r="B21" s="18" t="s">
        <v>272</v>
      </c>
      <c r="C21" s="41">
        <v>139.99</v>
      </c>
      <c r="D21" s="42">
        <v>73437.84</v>
      </c>
      <c r="E21" s="43">
        <v>6119.82</v>
      </c>
      <c r="F21" s="44">
        <v>528</v>
      </c>
      <c r="G21" s="44">
        <v>44</v>
      </c>
      <c r="H21" s="44">
        <v>56</v>
      </c>
      <c r="I21" s="45">
        <v>4.5999999999999996</v>
      </c>
      <c r="J21" s="45" t="s">
        <v>274</v>
      </c>
      <c r="K21" s="56" t="str">
        <f t="shared" si="0"/>
        <v>https://amazon.com/dp/B0FHGMHLJR</v>
      </c>
    </row>
    <row r="22" spans="1:11" ht="45" customHeight="1" x14ac:dyDescent="0.2">
      <c r="A22" s="18" t="s">
        <v>325</v>
      </c>
      <c r="B22" s="18" t="s">
        <v>326</v>
      </c>
      <c r="C22" s="41">
        <v>179.99</v>
      </c>
      <c r="D22" s="42">
        <v>64055.040000000001</v>
      </c>
      <c r="E22" s="43">
        <v>5337.92</v>
      </c>
      <c r="F22" s="44">
        <v>360</v>
      </c>
      <c r="G22" s="44">
        <v>30</v>
      </c>
      <c r="H22" s="44">
        <v>99</v>
      </c>
      <c r="I22" s="45">
        <v>4.7</v>
      </c>
      <c r="J22" s="45" t="s">
        <v>327</v>
      </c>
      <c r="K22" s="56" t="str">
        <f t="shared" si="0"/>
        <v>https://amazon.com/dp/B0FZTB97PN</v>
      </c>
    </row>
    <row r="23" spans="1:11" ht="45" customHeight="1" x14ac:dyDescent="0.2">
      <c r="A23" s="18" t="s">
        <v>328</v>
      </c>
      <c r="B23" s="18" t="s">
        <v>329</v>
      </c>
      <c r="C23" s="41">
        <v>129.99</v>
      </c>
      <c r="D23" s="42">
        <v>60310.44</v>
      </c>
      <c r="E23" s="43">
        <v>5025.87</v>
      </c>
      <c r="F23" s="44">
        <v>468</v>
      </c>
      <c r="G23" s="44">
        <v>39</v>
      </c>
      <c r="H23" s="44">
        <v>55</v>
      </c>
      <c r="I23" s="45">
        <v>4.4000000000000004</v>
      </c>
      <c r="J23" s="45" t="s">
        <v>330</v>
      </c>
      <c r="K23" s="56" t="str">
        <f t="shared" si="0"/>
        <v>https://amazon.com/dp/B0G43L1BD9</v>
      </c>
    </row>
    <row r="24" spans="1:11" ht="45" customHeight="1" x14ac:dyDescent="0.2">
      <c r="A24" s="18" t="s">
        <v>331</v>
      </c>
      <c r="B24" s="18" t="s">
        <v>332</v>
      </c>
      <c r="C24" s="41">
        <v>129.99</v>
      </c>
      <c r="D24" s="42">
        <v>55299.240000000013</v>
      </c>
      <c r="E24" s="43">
        <v>4608.2700000000004</v>
      </c>
      <c r="F24" s="44">
        <v>420</v>
      </c>
      <c r="G24" s="44">
        <v>35</v>
      </c>
      <c r="H24" s="44">
        <v>56</v>
      </c>
      <c r="I24" s="45">
        <v>4.5999999999999996</v>
      </c>
      <c r="J24" s="45" t="s">
        <v>333</v>
      </c>
      <c r="K24" s="56" t="str">
        <f t="shared" si="0"/>
        <v>https://amazon.com/dp/B0FZT8LXG2</v>
      </c>
    </row>
    <row r="25" spans="1:11" ht="45" customHeight="1" x14ac:dyDescent="0.2">
      <c r="A25" s="18" t="s">
        <v>334</v>
      </c>
      <c r="B25" s="18" t="s">
        <v>335</v>
      </c>
      <c r="C25" s="41">
        <v>108.99</v>
      </c>
      <c r="D25" s="42">
        <v>43156.08</v>
      </c>
      <c r="E25" s="43">
        <v>3596.34</v>
      </c>
      <c r="F25" s="44">
        <v>384</v>
      </c>
      <c r="G25" s="44">
        <v>32</v>
      </c>
      <c r="H25" s="44">
        <v>89</v>
      </c>
      <c r="I25" s="45">
        <v>4.5999999999999996</v>
      </c>
      <c r="J25" s="45" t="s">
        <v>336</v>
      </c>
      <c r="K25" s="56" t="str">
        <f t="shared" si="0"/>
        <v>https://amazon.com/dp/B0FX4FQC6Y</v>
      </c>
    </row>
    <row r="26" spans="1:11" ht="45" customHeight="1" x14ac:dyDescent="0.2">
      <c r="A26" s="18" t="s">
        <v>284</v>
      </c>
      <c r="B26" s="18" t="s">
        <v>283</v>
      </c>
      <c r="C26" s="41">
        <v>69.989999999999995</v>
      </c>
      <c r="D26" s="42">
        <v>34873.32</v>
      </c>
      <c r="E26" s="43">
        <v>2906.11</v>
      </c>
      <c r="F26" s="44">
        <v>492</v>
      </c>
      <c r="G26" s="44">
        <v>41</v>
      </c>
      <c r="H26" s="44">
        <v>60</v>
      </c>
      <c r="I26" s="45">
        <v>4.2</v>
      </c>
      <c r="J26" s="45" t="s">
        <v>285</v>
      </c>
      <c r="K26" s="56" t="str">
        <f t="shared" si="0"/>
        <v>https://amazon.com/dp/B0FN38759M</v>
      </c>
    </row>
    <row r="27" spans="1:11" ht="45" customHeight="1" x14ac:dyDescent="0.2">
      <c r="A27" s="18" t="s">
        <v>337</v>
      </c>
      <c r="B27" s="18" t="s">
        <v>338</v>
      </c>
      <c r="C27" s="41">
        <v>109.99</v>
      </c>
      <c r="D27" s="42">
        <v>29507.64</v>
      </c>
      <c r="E27" s="43">
        <v>2458.9699999999998</v>
      </c>
      <c r="F27" s="44">
        <v>288</v>
      </c>
      <c r="G27" s="44">
        <v>24</v>
      </c>
      <c r="H27" s="44">
        <v>206</v>
      </c>
      <c r="I27" s="45">
        <v>4.3</v>
      </c>
      <c r="J27" s="45" t="s">
        <v>339</v>
      </c>
      <c r="K27" s="56" t="str">
        <f t="shared" si="0"/>
        <v>https://amazon.com/dp/B0F5W6HJF8</v>
      </c>
    </row>
    <row r="28" spans="1:11" ht="17" customHeight="1" x14ac:dyDescent="0.2">
      <c r="A28" s="18" t="s">
        <v>340</v>
      </c>
      <c r="B28" s="18" t="s">
        <v>341</v>
      </c>
      <c r="C28" s="41">
        <v>139.99</v>
      </c>
      <c r="D28" s="42">
        <v>11859.84</v>
      </c>
      <c r="E28" s="43">
        <v>988.32</v>
      </c>
      <c r="F28" s="44">
        <v>84</v>
      </c>
      <c r="G28" s="44">
        <v>7</v>
      </c>
      <c r="H28" s="44">
        <v>99</v>
      </c>
      <c r="I28" s="45">
        <v>4.7</v>
      </c>
      <c r="J28" s="45" t="s">
        <v>342</v>
      </c>
      <c r="K28" s="56" t="str">
        <f t="shared" si="0"/>
        <v>https://amazon.com/dp/B0FJLQJ18V</v>
      </c>
    </row>
    <row r="29" spans="1:11" ht="45" customHeight="1" x14ac:dyDescent="0.2">
      <c r="A29" s="18" t="s">
        <v>343</v>
      </c>
      <c r="B29" s="18" t="s">
        <v>344</v>
      </c>
      <c r="C29" s="41">
        <v>399.99</v>
      </c>
      <c r="D29" s="42">
        <v>11798.52</v>
      </c>
      <c r="E29" s="43">
        <v>983.21</v>
      </c>
      <c r="F29" s="44">
        <v>24</v>
      </c>
      <c r="G29" s="44">
        <v>2</v>
      </c>
      <c r="H29" s="44">
        <v>38</v>
      </c>
      <c r="I29" s="45">
        <v>4.5</v>
      </c>
      <c r="J29" s="45" t="s">
        <v>345</v>
      </c>
      <c r="K29" s="56" t="str">
        <f t="shared" si="0"/>
        <v>https://amazon.com/dp/B0CP6P5C3M</v>
      </c>
    </row>
    <row r="30" spans="1:11" ht="45" customHeight="1" x14ac:dyDescent="0.2">
      <c r="A30" s="18" t="s">
        <v>346</v>
      </c>
      <c r="B30" s="18" t="s">
        <v>347</v>
      </c>
      <c r="C30" s="41">
        <v>99.99</v>
      </c>
      <c r="D30" s="42">
        <v>1405.2</v>
      </c>
      <c r="E30" s="43">
        <v>117.1</v>
      </c>
      <c r="F30" s="44">
        <v>12</v>
      </c>
      <c r="G30" s="44">
        <v>1</v>
      </c>
      <c r="H30" s="44">
        <v>24</v>
      </c>
      <c r="I30" s="45">
        <v>4.3</v>
      </c>
      <c r="J30" s="45" t="s">
        <v>348</v>
      </c>
      <c r="K30" s="56" t="str">
        <f t="shared" si="0"/>
        <v>https://amazon.com/dp/B0CRYP32ZM</v>
      </c>
    </row>
    <row r="31" spans="1:11" ht="45" customHeight="1" x14ac:dyDescent="0.2">
      <c r="A31" s="18" t="s">
        <v>349</v>
      </c>
      <c r="B31" s="18" t="s">
        <v>350</v>
      </c>
      <c r="C31" s="41">
        <v>89.99</v>
      </c>
      <c r="D31" s="42"/>
      <c r="E31" s="43"/>
      <c r="F31" s="44">
        <v>0</v>
      </c>
      <c r="G31" s="44">
        <v>0</v>
      </c>
      <c r="H31" s="44">
        <v>4</v>
      </c>
      <c r="I31" s="45">
        <v>3.4</v>
      </c>
      <c r="J31" s="45" t="s">
        <v>351</v>
      </c>
      <c r="K31" s="56" t="str">
        <f t="shared" si="0"/>
        <v>https://amazon.com/dp/B0FPX7QDCS</v>
      </c>
    </row>
    <row r="32" spans="1:11" ht="45" customHeight="1" x14ac:dyDescent="0.2">
      <c r="A32" s="18" t="s">
        <v>352</v>
      </c>
      <c r="B32" s="18" t="s">
        <v>353</v>
      </c>
      <c r="C32" s="41">
        <v>239.99</v>
      </c>
      <c r="D32" s="42"/>
      <c r="E32" s="43"/>
      <c r="F32" s="44">
        <v>0</v>
      </c>
      <c r="G32" s="44">
        <v>0</v>
      </c>
      <c r="H32" s="44">
        <v>545</v>
      </c>
      <c r="I32" s="45">
        <v>4.4000000000000004</v>
      </c>
      <c r="J32" s="45" t="s">
        <v>354</v>
      </c>
      <c r="K32" s="56" t="str">
        <f t="shared" si="0"/>
        <v>https://amazon.com/dp/B0DH2HNP3M</v>
      </c>
    </row>
    <row r="33" spans="1:11" ht="17" customHeight="1" x14ac:dyDescent="0.2">
      <c r="A33" s="21" t="s">
        <v>292</v>
      </c>
      <c r="B33" s="21"/>
      <c r="C33" s="57"/>
      <c r="D33" s="105">
        <f>SUM(D9:D32)</f>
        <v>2587882.92</v>
      </c>
      <c r="E33" s="105">
        <f>SUM(E9:E32)</f>
        <v>215656.90999999997</v>
      </c>
      <c r="F33" s="59"/>
      <c r="G33" s="59"/>
      <c r="H33" s="59"/>
      <c r="I33" s="60"/>
      <c r="J33" s="21"/>
      <c r="K33" s="20"/>
    </row>
    <row r="36" spans="1:11" x14ac:dyDescent="0.2">
      <c r="A36" s="125" t="s">
        <v>303</v>
      </c>
      <c r="B36" s="121"/>
      <c r="C36" s="122"/>
      <c r="D36" s="122"/>
      <c r="E36" s="123"/>
      <c r="F36" s="123"/>
      <c r="G36" s="123"/>
      <c r="H36" s="124"/>
      <c r="I36" s="121"/>
      <c r="J36" s="121"/>
      <c r="K36" s="121"/>
    </row>
    <row r="37" spans="1:11" ht="17" customHeight="1" x14ac:dyDescent="0.2">
      <c r="A37" s="24" t="s">
        <v>27</v>
      </c>
      <c r="B37" s="25" t="s">
        <v>26</v>
      </c>
      <c r="C37" s="26" t="s">
        <v>287</v>
      </c>
      <c r="D37" s="27" t="s">
        <v>4</v>
      </c>
      <c r="E37" s="25" t="s">
        <v>3</v>
      </c>
      <c r="F37" s="29" t="s">
        <v>22</v>
      </c>
      <c r="G37" s="32" t="s">
        <v>5</v>
      </c>
      <c r="H37" s="29" t="s">
        <v>37</v>
      </c>
      <c r="I37" s="30" t="s">
        <v>295</v>
      </c>
      <c r="J37" s="30" t="s">
        <v>296</v>
      </c>
      <c r="K37" s="31" t="s">
        <v>40</v>
      </c>
    </row>
    <row r="38" spans="1:11" ht="45" customHeight="1" x14ac:dyDescent="0.2">
      <c r="A38" s="18" t="s">
        <v>146</v>
      </c>
      <c r="B38" s="18" t="s">
        <v>145</v>
      </c>
      <c r="C38" s="41">
        <v>239.99</v>
      </c>
      <c r="D38" s="42">
        <v>395744.04</v>
      </c>
      <c r="E38" s="42">
        <v>32978.67</v>
      </c>
      <c r="F38" s="44">
        <v>1644</v>
      </c>
      <c r="G38" s="46">
        <v>137</v>
      </c>
      <c r="H38" s="44">
        <v>542</v>
      </c>
      <c r="I38" s="45">
        <v>4.4000000000000004</v>
      </c>
      <c r="J38" s="45" t="s">
        <v>148</v>
      </c>
      <c r="K38" s="56" t="str">
        <f t="shared" ref="K38:K61" si="1">HYPERLINK(J38)</f>
        <v>https://amazon.com/dp/B0C64RBKJL</v>
      </c>
    </row>
    <row r="39" spans="1:11" ht="45" customHeight="1" x14ac:dyDescent="0.2">
      <c r="A39" s="18" t="s">
        <v>142</v>
      </c>
      <c r="B39" s="18" t="s">
        <v>141</v>
      </c>
      <c r="C39" s="41">
        <v>249.99</v>
      </c>
      <c r="D39" s="42">
        <v>402738.6</v>
      </c>
      <c r="E39" s="42">
        <v>33561.550000000003</v>
      </c>
      <c r="F39" s="44">
        <v>1632</v>
      </c>
      <c r="G39" s="46">
        <v>136</v>
      </c>
      <c r="H39" s="44">
        <v>545</v>
      </c>
      <c r="I39" s="45">
        <v>4.4000000000000004</v>
      </c>
      <c r="J39" s="45" t="s">
        <v>144</v>
      </c>
      <c r="K39" s="56" t="str">
        <f t="shared" si="1"/>
        <v>https://amazon.com/dp/B0FJFD212D</v>
      </c>
    </row>
    <row r="40" spans="1:11" ht="17" customHeight="1" x14ac:dyDescent="0.2">
      <c r="A40" s="18" t="s">
        <v>138</v>
      </c>
      <c r="B40" s="18" t="s">
        <v>137</v>
      </c>
      <c r="C40" s="41">
        <v>239.98</v>
      </c>
      <c r="D40" s="42">
        <v>414967.44000000012</v>
      </c>
      <c r="E40" s="42">
        <v>34580.620000000003</v>
      </c>
      <c r="F40" s="44">
        <v>1500</v>
      </c>
      <c r="G40" s="46">
        <v>125</v>
      </c>
      <c r="H40" s="44">
        <v>189</v>
      </c>
      <c r="I40" s="45">
        <v>4.2</v>
      </c>
      <c r="J40" s="45" t="s">
        <v>140</v>
      </c>
      <c r="K40" s="56" t="str">
        <f t="shared" si="1"/>
        <v>https://amazon.com/dp/B0DSW1DKTZ</v>
      </c>
    </row>
    <row r="41" spans="1:11" ht="45" customHeight="1" x14ac:dyDescent="0.2">
      <c r="A41" s="18" t="s">
        <v>178</v>
      </c>
      <c r="B41" s="18" t="s">
        <v>177</v>
      </c>
      <c r="C41" s="41">
        <v>139.99</v>
      </c>
      <c r="D41" s="42">
        <v>146397.24</v>
      </c>
      <c r="E41" s="42">
        <v>12199.77</v>
      </c>
      <c r="F41" s="44">
        <v>1044</v>
      </c>
      <c r="G41" s="46">
        <v>87</v>
      </c>
      <c r="H41" s="44">
        <v>99</v>
      </c>
      <c r="I41" s="45">
        <v>4.7</v>
      </c>
      <c r="J41" s="45" t="s">
        <v>179</v>
      </c>
      <c r="K41" s="56" t="str">
        <f t="shared" si="1"/>
        <v>https://amazon.com/dp/B0DSVY5LQD</v>
      </c>
    </row>
    <row r="42" spans="1:11" ht="30" customHeight="1" x14ac:dyDescent="0.2">
      <c r="A42" s="18" t="s">
        <v>230</v>
      </c>
      <c r="B42" s="18" t="s">
        <v>229</v>
      </c>
      <c r="C42" s="41">
        <v>99.99</v>
      </c>
      <c r="D42" s="42">
        <v>83474.880000000005</v>
      </c>
      <c r="E42" s="42">
        <v>6956.24</v>
      </c>
      <c r="F42" s="44">
        <v>840</v>
      </c>
      <c r="G42" s="46">
        <v>70</v>
      </c>
      <c r="H42" s="44">
        <v>182</v>
      </c>
      <c r="I42" s="45">
        <v>4.5999999999999996</v>
      </c>
      <c r="J42" s="45" t="s">
        <v>231</v>
      </c>
      <c r="K42" s="56" t="str">
        <f t="shared" si="1"/>
        <v>https://amazon.com/dp/B0D8SDT9HT</v>
      </c>
    </row>
    <row r="43" spans="1:11" ht="45" customHeight="1" x14ac:dyDescent="0.2">
      <c r="A43" s="18" t="s">
        <v>248</v>
      </c>
      <c r="B43" s="18" t="s">
        <v>247</v>
      </c>
      <c r="C43" s="41">
        <v>99.99</v>
      </c>
      <c r="D43" s="42">
        <v>76551.839999999997</v>
      </c>
      <c r="E43" s="42">
        <v>6379.32</v>
      </c>
      <c r="F43" s="44">
        <v>768</v>
      </c>
      <c r="G43" s="46">
        <v>64</v>
      </c>
      <c r="H43" s="44">
        <v>206</v>
      </c>
      <c r="I43" s="45">
        <v>4.3</v>
      </c>
      <c r="J43" s="45" t="s">
        <v>249</v>
      </c>
      <c r="K43" s="56" t="str">
        <f t="shared" si="1"/>
        <v>https://amazon.com/dp/B08Y5S32YV</v>
      </c>
    </row>
    <row r="44" spans="1:11" ht="45" customHeight="1" x14ac:dyDescent="0.2">
      <c r="A44" s="18" t="s">
        <v>207</v>
      </c>
      <c r="B44" s="18" t="s">
        <v>206</v>
      </c>
      <c r="C44" s="41">
        <v>119.99</v>
      </c>
      <c r="D44" s="42">
        <v>94684.92</v>
      </c>
      <c r="E44" s="42">
        <v>7890.41</v>
      </c>
      <c r="F44" s="44">
        <v>768</v>
      </c>
      <c r="G44" s="46">
        <v>64</v>
      </c>
      <c r="H44" s="44">
        <v>206</v>
      </c>
      <c r="I44" s="45">
        <v>4.3</v>
      </c>
      <c r="J44" s="45" t="s">
        <v>208</v>
      </c>
      <c r="K44" s="56" t="str">
        <f t="shared" si="1"/>
        <v>https://amazon.com/dp/B0DT95GVP1</v>
      </c>
    </row>
    <row r="45" spans="1:11" ht="45" customHeight="1" x14ac:dyDescent="0.2">
      <c r="A45" s="18" t="s">
        <v>273</v>
      </c>
      <c r="B45" s="18" t="s">
        <v>272</v>
      </c>
      <c r="C45" s="41">
        <v>139.99</v>
      </c>
      <c r="D45" s="42">
        <v>73437.84</v>
      </c>
      <c r="E45" s="42">
        <v>6119.82</v>
      </c>
      <c r="F45" s="44">
        <v>528</v>
      </c>
      <c r="G45" s="46">
        <v>44</v>
      </c>
      <c r="H45" s="44">
        <v>56</v>
      </c>
      <c r="I45" s="45">
        <v>4.5999999999999996</v>
      </c>
      <c r="J45" s="45" t="s">
        <v>274</v>
      </c>
      <c r="K45" s="56" t="str">
        <f t="shared" si="1"/>
        <v>https://amazon.com/dp/B0FHGMHLJR</v>
      </c>
    </row>
    <row r="46" spans="1:11" ht="45" customHeight="1" x14ac:dyDescent="0.2">
      <c r="A46" s="18" t="s">
        <v>175</v>
      </c>
      <c r="B46" s="18" t="s">
        <v>174</v>
      </c>
      <c r="C46" s="41">
        <v>239.99</v>
      </c>
      <c r="D46" s="42">
        <v>147904.92000000001</v>
      </c>
      <c r="E46" s="42">
        <v>12325.41</v>
      </c>
      <c r="F46" s="44">
        <v>492</v>
      </c>
      <c r="G46" s="46">
        <v>41</v>
      </c>
      <c r="H46" s="44">
        <v>189</v>
      </c>
      <c r="I46" s="45">
        <v>4.2</v>
      </c>
      <c r="J46" s="45" t="s">
        <v>176</v>
      </c>
      <c r="K46" s="56" t="str">
        <f t="shared" si="1"/>
        <v>https://amazon.com/dp/B0FJLPG74M</v>
      </c>
    </row>
    <row r="47" spans="1:11" ht="45" customHeight="1" x14ac:dyDescent="0.2">
      <c r="A47" s="18" t="s">
        <v>284</v>
      </c>
      <c r="B47" s="18" t="s">
        <v>283</v>
      </c>
      <c r="C47" s="41">
        <v>69.989999999999995</v>
      </c>
      <c r="D47" s="42">
        <v>34873.32</v>
      </c>
      <c r="E47" s="42">
        <v>2906.11</v>
      </c>
      <c r="F47" s="44">
        <v>492</v>
      </c>
      <c r="G47" s="46">
        <v>41</v>
      </c>
      <c r="H47" s="44">
        <v>60</v>
      </c>
      <c r="I47" s="45">
        <v>4.2</v>
      </c>
      <c r="J47" s="45" t="s">
        <v>285</v>
      </c>
      <c r="K47" s="56" t="str">
        <f t="shared" si="1"/>
        <v>https://amazon.com/dp/B0FN38759M</v>
      </c>
    </row>
    <row r="48" spans="1:11" ht="45" customHeight="1" x14ac:dyDescent="0.2">
      <c r="A48" s="18" t="s">
        <v>328</v>
      </c>
      <c r="B48" s="18" t="s">
        <v>329</v>
      </c>
      <c r="C48" s="41">
        <v>129.99</v>
      </c>
      <c r="D48" s="42">
        <v>60310.44</v>
      </c>
      <c r="E48" s="42">
        <v>5025.87</v>
      </c>
      <c r="F48" s="44">
        <v>468</v>
      </c>
      <c r="G48" s="46">
        <v>39</v>
      </c>
      <c r="H48" s="44">
        <v>55</v>
      </c>
      <c r="I48" s="45">
        <v>4.4000000000000004</v>
      </c>
      <c r="J48" s="45" t="s">
        <v>330</v>
      </c>
      <c r="K48" s="56" t="str">
        <f t="shared" si="1"/>
        <v>https://amazon.com/dp/B0G43L1BD9</v>
      </c>
    </row>
    <row r="49" spans="1:11" ht="45" customHeight="1" x14ac:dyDescent="0.2">
      <c r="A49" s="18" t="s">
        <v>331</v>
      </c>
      <c r="B49" s="18" t="s">
        <v>332</v>
      </c>
      <c r="C49" s="41">
        <v>129.99</v>
      </c>
      <c r="D49" s="42">
        <v>55299.240000000013</v>
      </c>
      <c r="E49" s="42">
        <v>4608.2700000000004</v>
      </c>
      <c r="F49" s="44">
        <v>420</v>
      </c>
      <c r="G49" s="46">
        <v>35</v>
      </c>
      <c r="H49" s="44">
        <v>56</v>
      </c>
      <c r="I49" s="45">
        <v>4.5999999999999996</v>
      </c>
      <c r="J49" s="45" t="s">
        <v>333</v>
      </c>
      <c r="K49" s="56" t="str">
        <f t="shared" si="1"/>
        <v>https://amazon.com/dp/B0FZT8LXG2</v>
      </c>
    </row>
    <row r="50" spans="1:11" ht="45" customHeight="1" x14ac:dyDescent="0.2">
      <c r="A50" s="18" t="s">
        <v>181</v>
      </c>
      <c r="B50" s="18" t="s">
        <v>180</v>
      </c>
      <c r="C50" s="41">
        <v>379.99</v>
      </c>
      <c r="D50" s="42">
        <v>128849.16</v>
      </c>
      <c r="E50" s="42">
        <v>10737.43</v>
      </c>
      <c r="F50" s="44">
        <v>396</v>
      </c>
      <c r="G50" s="46">
        <v>33</v>
      </c>
      <c r="H50" s="44">
        <v>39</v>
      </c>
      <c r="I50" s="45">
        <v>4.5</v>
      </c>
      <c r="J50" s="45" t="s">
        <v>182</v>
      </c>
      <c r="K50" s="56" t="str">
        <f t="shared" si="1"/>
        <v>https://amazon.com/dp/B0F8BN91TL</v>
      </c>
    </row>
    <row r="51" spans="1:11" ht="45" customHeight="1" x14ac:dyDescent="0.2">
      <c r="A51" s="18" t="s">
        <v>334</v>
      </c>
      <c r="B51" s="18" t="s">
        <v>335</v>
      </c>
      <c r="C51" s="41">
        <v>108.99</v>
      </c>
      <c r="D51" s="42">
        <v>43156.08</v>
      </c>
      <c r="E51" s="42">
        <v>3596.34</v>
      </c>
      <c r="F51" s="44">
        <v>384</v>
      </c>
      <c r="G51" s="46">
        <v>32</v>
      </c>
      <c r="H51" s="44">
        <v>89</v>
      </c>
      <c r="I51" s="45">
        <v>4.5999999999999996</v>
      </c>
      <c r="J51" s="45" t="s">
        <v>336</v>
      </c>
      <c r="K51" s="56" t="str">
        <f t="shared" si="1"/>
        <v>https://amazon.com/dp/B0FX4FQC6Y</v>
      </c>
    </row>
    <row r="52" spans="1:11" ht="45" customHeight="1" x14ac:dyDescent="0.2">
      <c r="A52" s="18" t="s">
        <v>325</v>
      </c>
      <c r="B52" s="18" t="s">
        <v>326</v>
      </c>
      <c r="C52" s="41">
        <v>179.99</v>
      </c>
      <c r="D52" s="42">
        <v>64055.040000000001</v>
      </c>
      <c r="E52" s="42">
        <v>5337.92</v>
      </c>
      <c r="F52" s="44">
        <v>360</v>
      </c>
      <c r="G52" s="46">
        <v>30</v>
      </c>
      <c r="H52" s="44">
        <v>99</v>
      </c>
      <c r="I52" s="45">
        <v>4.7</v>
      </c>
      <c r="J52" s="45" t="s">
        <v>327</v>
      </c>
      <c r="K52" s="56" t="str">
        <f t="shared" si="1"/>
        <v>https://amazon.com/dp/B0FZTB97PN</v>
      </c>
    </row>
    <row r="53" spans="1:11" ht="45" customHeight="1" x14ac:dyDescent="0.2">
      <c r="A53" s="18" t="s">
        <v>337</v>
      </c>
      <c r="B53" s="18" t="s">
        <v>338</v>
      </c>
      <c r="C53" s="41">
        <v>109.99</v>
      </c>
      <c r="D53" s="42">
        <v>29507.64</v>
      </c>
      <c r="E53" s="42">
        <v>2458.9699999999998</v>
      </c>
      <c r="F53" s="44">
        <v>288</v>
      </c>
      <c r="G53" s="46">
        <v>24</v>
      </c>
      <c r="H53" s="44">
        <v>206</v>
      </c>
      <c r="I53" s="45">
        <v>4.3</v>
      </c>
      <c r="J53" s="45" t="s">
        <v>339</v>
      </c>
      <c r="K53" s="56" t="str">
        <f t="shared" si="1"/>
        <v>https://amazon.com/dp/B0F5W6HJF8</v>
      </c>
    </row>
    <row r="54" spans="1:11" ht="45" customHeight="1" x14ac:dyDescent="0.2">
      <c r="A54" s="18" t="s">
        <v>210</v>
      </c>
      <c r="B54" s="18" t="s">
        <v>209</v>
      </c>
      <c r="C54" s="41">
        <v>329.99</v>
      </c>
      <c r="D54" s="42">
        <v>93900.6</v>
      </c>
      <c r="E54" s="42">
        <v>7825.05</v>
      </c>
      <c r="F54" s="44">
        <v>288</v>
      </c>
      <c r="G54" s="46">
        <v>24</v>
      </c>
      <c r="H54" s="44">
        <v>55</v>
      </c>
      <c r="I54" s="45">
        <v>4.4000000000000004</v>
      </c>
      <c r="J54" s="45" t="s">
        <v>211</v>
      </c>
      <c r="K54" s="56" t="str">
        <f t="shared" si="1"/>
        <v>https://amazon.com/dp/B0FJLL4LY1</v>
      </c>
    </row>
    <row r="55" spans="1:11" ht="60" customHeight="1" x14ac:dyDescent="0.2">
      <c r="A55" s="18" t="s">
        <v>191</v>
      </c>
      <c r="B55" s="18" t="s">
        <v>190</v>
      </c>
      <c r="C55" s="41">
        <v>429.99</v>
      </c>
      <c r="D55" s="42">
        <v>110934.24</v>
      </c>
      <c r="E55" s="42">
        <v>9244.52</v>
      </c>
      <c r="F55" s="44">
        <v>252</v>
      </c>
      <c r="G55" s="46">
        <v>21</v>
      </c>
      <c r="H55" s="44">
        <v>38</v>
      </c>
      <c r="I55" s="45">
        <v>4.5</v>
      </c>
      <c r="J55" s="45" t="s">
        <v>192</v>
      </c>
      <c r="K55" s="56" t="str">
        <f t="shared" si="1"/>
        <v>https://amazon.com/dp/B0G48WTXYF</v>
      </c>
    </row>
    <row r="56" spans="1:11" ht="45" customHeight="1" x14ac:dyDescent="0.2">
      <c r="A56" s="18" t="s">
        <v>203</v>
      </c>
      <c r="B56" s="18" t="s">
        <v>202</v>
      </c>
      <c r="C56" s="41">
        <v>799.99</v>
      </c>
      <c r="D56" s="42">
        <v>106031.88</v>
      </c>
      <c r="E56" s="42">
        <v>8835.99</v>
      </c>
      <c r="F56" s="44">
        <v>132</v>
      </c>
      <c r="G56" s="46">
        <v>11</v>
      </c>
      <c r="H56" s="44">
        <v>55</v>
      </c>
      <c r="I56" s="45">
        <v>4.4000000000000004</v>
      </c>
      <c r="J56" s="45" t="s">
        <v>205</v>
      </c>
      <c r="K56" s="56" t="str">
        <f t="shared" si="1"/>
        <v>https://amazon.com/dp/B0FLNJ8CNL</v>
      </c>
    </row>
    <row r="57" spans="1:11" ht="45" customHeight="1" x14ac:dyDescent="0.2">
      <c r="A57" s="18" t="s">
        <v>340</v>
      </c>
      <c r="B57" s="18" t="s">
        <v>341</v>
      </c>
      <c r="C57" s="41">
        <v>139.99</v>
      </c>
      <c r="D57" s="42">
        <v>11859.84</v>
      </c>
      <c r="E57" s="42">
        <v>988.32</v>
      </c>
      <c r="F57" s="44">
        <v>84</v>
      </c>
      <c r="G57" s="46">
        <v>7</v>
      </c>
      <c r="H57" s="44">
        <v>99</v>
      </c>
      <c r="I57" s="45">
        <v>4.7</v>
      </c>
      <c r="J57" s="45" t="s">
        <v>342</v>
      </c>
      <c r="K57" s="56" t="str">
        <f t="shared" si="1"/>
        <v>https://amazon.com/dp/B0FJLQJ18V</v>
      </c>
    </row>
    <row r="58" spans="1:11" ht="45" customHeight="1" x14ac:dyDescent="0.2">
      <c r="A58" s="18" t="s">
        <v>343</v>
      </c>
      <c r="B58" s="18" t="s">
        <v>344</v>
      </c>
      <c r="C58" s="41">
        <v>399.99</v>
      </c>
      <c r="D58" s="42">
        <v>11798.52</v>
      </c>
      <c r="E58" s="42">
        <v>983.21</v>
      </c>
      <c r="F58" s="44">
        <v>24</v>
      </c>
      <c r="G58" s="46">
        <v>2</v>
      </c>
      <c r="H58" s="44">
        <v>38</v>
      </c>
      <c r="I58" s="45">
        <v>4.5</v>
      </c>
      <c r="J58" s="45" t="s">
        <v>345</v>
      </c>
      <c r="K58" s="56" t="str">
        <f t="shared" si="1"/>
        <v>https://amazon.com/dp/B0CP6P5C3M</v>
      </c>
    </row>
    <row r="59" spans="1:11" ht="45" customHeight="1" x14ac:dyDescent="0.2">
      <c r="A59" s="18" t="s">
        <v>346</v>
      </c>
      <c r="B59" s="18" t="s">
        <v>347</v>
      </c>
      <c r="C59" s="41">
        <v>99.99</v>
      </c>
      <c r="D59" s="42">
        <v>1405.2</v>
      </c>
      <c r="E59" s="42">
        <v>117.1</v>
      </c>
      <c r="F59" s="44">
        <v>12</v>
      </c>
      <c r="G59" s="46">
        <v>1</v>
      </c>
      <c r="H59" s="44">
        <v>24</v>
      </c>
      <c r="I59" s="45">
        <v>4.3</v>
      </c>
      <c r="J59" s="45" t="s">
        <v>348</v>
      </c>
      <c r="K59" s="56" t="str">
        <f t="shared" si="1"/>
        <v>https://amazon.com/dp/B0CRYP32ZM</v>
      </c>
    </row>
    <row r="60" spans="1:11" ht="45" customHeight="1" x14ac:dyDescent="0.2">
      <c r="A60" s="18" t="s">
        <v>349</v>
      </c>
      <c r="B60" s="18" t="s">
        <v>350</v>
      </c>
      <c r="C60" s="41">
        <v>89.99</v>
      </c>
      <c r="D60" s="42"/>
      <c r="E60" s="42"/>
      <c r="F60" s="44">
        <v>0</v>
      </c>
      <c r="G60" s="46">
        <v>0</v>
      </c>
      <c r="H60" s="44">
        <v>4</v>
      </c>
      <c r="I60" s="45">
        <v>3.4</v>
      </c>
      <c r="J60" s="45" t="s">
        <v>351</v>
      </c>
      <c r="K60" s="56" t="str">
        <f t="shared" si="1"/>
        <v>https://amazon.com/dp/B0FPX7QDCS</v>
      </c>
    </row>
    <row r="61" spans="1:11" ht="45" customHeight="1" x14ac:dyDescent="0.2">
      <c r="A61" s="18" t="s">
        <v>352</v>
      </c>
      <c r="B61" s="18" t="s">
        <v>353</v>
      </c>
      <c r="C61" s="41">
        <v>239.99</v>
      </c>
      <c r="D61" s="42"/>
      <c r="E61" s="42"/>
      <c r="F61" s="44">
        <v>0</v>
      </c>
      <c r="G61" s="46">
        <v>0</v>
      </c>
      <c r="H61" s="44">
        <v>545</v>
      </c>
      <c r="I61" s="45">
        <v>4.4000000000000004</v>
      </c>
      <c r="J61" s="45" t="s">
        <v>354</v>
      </c>
      <c r="K61" s="56" t="str">
        <f t="shared" si="1"/>
        <v>https://amazon.com/dp/B0DH2HNP3M</v>
      </c>
    </row>
    <row r="62" spans="1:11" ht="17" customHeight="1" x14ac:dyDescent="0.2">
      <c r="A62" s="21" t="s">
        <v>292</v>
      </c>
      <c r="B62" s="21"/>
      <c r="C62" s="58"/>
      <c r="D62" s="58"/>
      <c r="E62" s="58"/>
      <c r="F62" s="102">
        <f>SUM(Ralcam!F38:F61)</f>
        <v>12816</v>
      </c>
      <c r="G62" s="102">
        <f>SUM(Ralcam!G38:G61)</f>
        <v>1068</v>
      </c>
      <c r="H62" s="59"/>
      <c r="I62" s="60"/>
      <c r="J62" s="21"/>
      <c r="K62" s="20"/>
    </row>
  </sheetData>
  <mergeCells count="3">
    <mergeCell ref="A36:K36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K22"/>
  <sheetViews>
    <sheetView workbookViewId="0">
      <selection activeCell="F25" sqref="F25"/>
    </sheetView>
  </sheetViews>
  <sheetFormatPr baseColWidth="10" defaultColWidth="11.1640625" defaultRowHeight="16" x14ac:dyDescent="0.2"/>
  <cols>
    <col min="1" max="1" width="50.6640625" style="19" customWidth="1"/>
    <col min="2" max="2" width="12.6640625" style="19" customWidth="1"/>
    <col min="3" max="3" width="10.83203125" style="19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34.33203125" style="19" hidden="1" customWidth="1"/>
    <col min="11" max="11" width="35.6640625" style="19" customWidth="1"/>
    <col min="12" max="12" width="12.6640625" style="19" customWidth="1"/>
    <col min="13" max="14" width="11.1640625" style="19" customWidth="1"/>
    <col min="15" max="16384" width="11.1640625" style="19"/>
  </cols>
  <sheetData>
    <row r="1" spans="1:11" ht="15.75" customHeight="1" x14ac:dyDescent="0.2">
      <c r="A1" s="127" t="e">
        <v>#VALUE!</v>
      </c>
      <c r="B1" s="121"/>
      <c r="C1" s="121"/>
      <c r="D1" s="121"/>
      <c r="E1" s="123"/>
      <c r="F1" s="123"/>
      <c r="G1" s="123"/>
      <c r="H1" s="124"/>
      <c r="I1" s="121"/>
      <c r="J1" s="121"/>
      <c r="K1" s="121"/>
    </row>
    <row r="2" spans="1:11" ht="15.75" customHeight="1" x14ac:dyDescent="0.2">
      <c r="A2" s="121"/>
      <c r="B2" s="121"/>
      <c r="C2" s="121"/>
      <c r="D2" s="121"/>
      <c r="E2" s="123"/>
      <c r="F2" s="123"/>
      <c r="G2" s="123"/>
      <c r="H2" s="124"/>
      <c r="I2" s="121"/>
      <c r="J2" s="121"/>
      <c r="K2" s="121"/>
    </row>
    <row r="3" spans="1:11" ht="15.75" customHeight="1" x14ac:dyDescent="0.2">
      <c r="A3" s="121"/>
      <c r="B3" s="121"/>
      <c r="C3" s="121"/>
      <c r="D3" s="121"/>
      <c r="E3" s="123"/>
      <c r="F3" s="123"/>
      <c r="G3" s="123"/>
      <c r="H3" s="124"/>
      <c r="I3" s="121"/>
      <c r="J3" s="121"/>
      <c r="K3" s="121"/>
    </row>
    <row r="4" spans="1:11" ht="15.75" customHeight="1" x14ac:dyDescent="0.2">
      <c r="A4" s="121"/>
      <c r="B4" s="121"/>
      <c r="C4" s="121"/>
      <c r="D4" s="121"/>
      <c r="E4" s="123"/>
      <c r="F4" s="123"/>
      <c r="G4" s="123"/>
      <c r="H4" s="124"/>
      <c r="I4" s="121"/>
      <c r="J4" s="121"/>
      <c r="K4" s="121"/>
    </row>
    <row r="5" spans="1:11" ht="15.75" customHeight="1" x14ac:dyDescent="0.2">
      <c r="A5" s="121"/>
      <c r="B5" s="121"/>
      <c r="C5" s="121"/>
      <c r="D5" s="121"/>
      <c r="E5" s="123"/>
      <c r="F5" s="123"/>
      <c r="G5" s="123"/>
      <c r="H5" s="124"/>
      <c r="I5" s="121"/>
      <c r="J5" s="121"/>
      <c r="K5" s="121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5" t="s">
        <v>294</v>
      </c>
      <c r="B7" s="121"/>
      <c r="C7" s="121"/>
      <c r="D7" s="121"/>
      <c r="E7" s="123"/>
      <c r="F7" s="123"/>
      <c r="G7" s="123"/>
      <c r="H7" s="124"/>
      <c r="I7" s="121"/>
      <c r="J7" s="121"/>
      <c r="K7" s="121"/>
    </row>
    <row r="8" spans="1:11" ht="17" customHeight="1" x14ac:dyDescent="0.2">
      <c r="A8" s="24" t="s">
        <v>27</v>
      </c>
      <c r="B8" s="25" t="s">
        <v>26</v>
      </c>
      <c r="C8" s="26" t="s">
        <v>287</v>
      </c>
      <c r="D8" s="27" t="s">
        <v>4</v>
      </c>
      <c r="E8" s="28" t="s">
        <v>3</v>
      </c>
      <c r="F8" s="29" t="s">
        <v>22</v>
      </c>
      <c r="G8" s="29" t="s">
        <v>5</v>
      </c>
      <c r="H8" s="29" t="s">
        <v>37</v>
      </c>
      <c r="I8" s="30" t="s">
        <v>295</v>
      </c>
      <c r="J8" s="30" t="s">
        <v>296</v>
      </c>
      <c r="K8" s="31" t="s">
        <v>40</v>
      </c>
    </row>
    <row r="9" spans="1:11" ht="45" customHeight="1" x14ac:dyDescent="0.2">
      <c r="A9" s="18" t="s">
        <v>107</v>
      </c>
      <c r="B9" s="18" t="s">
        <v>106</v>
      </c>
      <c r="C9" s="41">
        <v>129.99</v>
      </c>
      <c r="D9" s="42">
        <v>598855.19999999995</v>
      </c>
      <c r="E9" s="43">
        <v>49904.6</v>
      </c>
      <c r="F9" s="44">
        <v>4488</v>
      </c>
      <c r="G9" s="44">
        <v>374</v>
      </c>
      <c r="H9" s="44">
        <v>185</v>
      </c>
      <c r="I9" s="45">
        <v>4.5999999999999996</v>
      </c>
      <c r="J9" s="81" t="s">
        <v>111</v>
      </c>
      <c r="K9" s="22" t="str">
        <f>HYPERLINK(J9)</f>
        <v>https://amazon.com/dp/B0DPHJSPBY</v>
      </c>
    </row>
    <row r="10" spans="1:11" ht="45" customHeight="1" x14ac:dyDescent="0.2">
      <c r="A10" s="18" t="s">
        <v>135</v>
      </c>
      <c r="B10" s="18" t="s">
        <v>134</v>
      </c>
      <c r="C10" s="41">
        <v>219.99</v>
      </c>
      <c r="D10" s="42">
        <v>447294.48</v>
      </c>
      <c r="E10" s="43">
        <v>37274.54</v>
      </c>
      <c r="F10" s="44">
        <v>2136</v>
      </c>
      <c r="G10" s="44">
        <v>178</v>
      </c>
      <c r="H10" s="44">
        <v>178</v>
      </c>
      <c r="I10" s="45">
        <v>4.7</v>
      </c>
      <c r="J10" s="106" t="s">
        <v>136</v>
      </c>
      <c r="K10" s="22" t="str">
        <f>HYPERLINK(J10)</f>
        <v>https://amazon.com/dp/B0F8QLHGZR</v>
      </c>
    </row>
    <row r="11" spans="1:11" ht="45" customHeight="1" x14ac:dyDescent="0.2">
      <c r="A11" s="18" t="s">
        <v>355</v>
      </c>
      <c r="B11" s="18" t="s">
        <v>356</v>
      </c>
      <c r="C11" s="41">
        <v>219.99</v>
      </c>
      <c r="D11" s="42">
        <v>59763.72</v>
      </c>
      <c r="E11" s="43">
        <v>4980.3100000000004</v>
      </c>
      <c r="F11" s="44">
        <v>276</v>
      </c>
      <c r="G11" s="44">
        <v>23</v>
      </c>
      <c r="H11" s="44">
        <v>4</v>
      </c>
      <c r="I11" s="45">
        <v>4.7</v>
      </c>
      <c r="J11" s="106" t="s">
        <v>357</v>
      </c>
      <c r="K11" s="22" t="str">
        <f>HYPERLINK(J11)</f>
        <v>https://amazon.com/dp/B0GDFG41PS</v>
      </c>
    </row>
    <row r="12" spans="1:11" ht="45" customHeight="1" x14ac:dyDescent="0.2">
      <c r="A12" s="18" t="s">
        <v>358</v>
      </c>
      <c r="B12" s="18" t="s">
        <v>359</v>
      </c>
      <c r="C12" s="41">
        <v>199.99</v>
      </c>
      <c r="D12" s="42">
        <v>23998.68</v>
      </c>
      <c r="E12" s="43">
        <v>1999.89</v>
      </c>
      <c r="F12" s="44">
        <v>120</v>
      </c>
      <c r="G12" s="44">
        <v>10</v>
      </c>
      <c r="H12" s="44">
        <v>6</v>
      </c>
      <c r="I12" s="45">
        <v>4.8</v>
      </c>
      <c r="J12" s="106" t="s">
        <v>360</v>
      </c>
      <c r="K12" s="22" t="str">
        <f>HYPERLINK(J12)</f>
        <v>https://amazon.com/dp/B0GDFRH4J8</v>
      </c>
    </row>
    <row r="13" spans="1:11" ht="17" customHeight="1" x14ac:dyDescent="0.2">
      <c r="A13" s="21" t="s">
        <v>292</v>
      </c>
      <c r="B13" s="20"/>
      <c r="C13" s="20"/>
      <c r="D13" s="40">
        <f>SUM(D9:D12)</f>
        <v>1129912.0799999998</v>
      </c>
      <c r="E13" s="40">
        <f>SUM(E9:E12)</f>
        <v>94159.34</v>
      </c>
      <c r="H13" s="48"/>
      <c r="I13" s="23"/>
    </row>
    <row r="16" spans="1:11" x14ac:dyDescent="0.2">
      <c r="A16" s="125" t="s">
        <v>303</v>
      </c>
      <c r="B16" s="121"/>
      <c r="C16" s="121"/>
      <c r="D16" s="121"/>
      <c r="E16" s="123"/>
      <c r="F16" s="123"/>
      <c r="G16" s="123"/>
      <c r="H16" s="124"/>
      <c r="I16" s="121"/>
      <c r="J16" s="121"/>
      <c r="K16" s="121"/>
    </row>
    <row r="17" spans="1:11" ht="17" customHeight="1" x14ac:dyDescent="0.2">
      <c r="A17" s="24" t="s">
        <v>27</v>
      </c>
      <c r="B17" s="25" t="s">
        <v>26</v>
      </c>
      <c r="C17" s="26" t="s">
        <v>287</v>
      </c>
      <c r="D17" s="27" t="s">
        <v>4</v>
      </c>
      <c r="E17" s="25" t="s">
        <v>3</v>
      </c>
      <c r="F17" s="29" t="s">
        <v>22</v>
      </c>
      <c r="G17" s="32" t="s">
        <v>5</v>
      </c>
      <c r="H17" s="29" t="s">
        <v>37</v>
      </c>
      <c r="I17" s="30" t="s">
        <v>295</v>
      </c>
      <c r="J17" s="30" t="s">
        <v>296</v>
      </c>
      <c r="K17" s="31" t="s">
        <v>40</v>
      </c>
    </row>
    <row r="18" spans="1:11" ht="45" customHeight="1" x14ac:dyDescent="0.2">
      <c r="A18" s="18" t="s">
        <v>107</v>
      </c>
      <c r="B18" s="18" t="s">
        <v>106</v>
      </c>
      <c r="C18" s="41">
        <v>129.99</v>
      </c>
      <c r="D18" s="42">
        <v>598855.19999999995</v>
      </c>
      <c r="E18" s="42">
        <v>49904.6</v>
      </c>
      <c r="F18" s="44">
        <v>4488</v>
      </c>
      <c r="G18" s="46">
        <v>374</v>
      </c>
      <c r="H18" s="44">
        <v>185</v>
      </c>
      <c r="I18" s="45">
        <v>4.5999999999999996</v>
      </c>
      <c r="J18" s="45" t="s">
        <v>111</v>
      </c>
      <c r="K18" s="22" t="str">
        <f>HYPERLINK(J18)</f>
        <v>https://amazon.com/dp/B0DPHJSPBY</v>
      </c>
    </row>
    <row r="19" spans="1:11" ht="45" customHeight="1" x14ac:dyDescent="0.2">
      <c r="A19" s="18" t="s">
        <v>135</v>
      </c>
      <c r="B19" s="18" t="s">
        <v>134</v>
      </c>
      <c r="C19" s="41">
        <v>219.99</v>
      </c>
      <c r="D19" s="42">
        <v>447294.48</v>
      </c>
      <c r="E19" s="42">
        <v>37274.54</v>
      </c>
      <c r="F19" s="44">
        <v>2136</v>
      </c>
      <c r="G19" s="46">
        <v>178</v>
      </c>
      <c r="H19" s="44">
        <v>178</v>
      </c>
      <c r="I19" s="45">
        <v>4.7</v>
      </c>
      <c r="J19" s="45" t="s">
        <v>136</v>
      </c>
      <c r="K19" s="22" t="str">
        <f>HYPERLINK(J19)</f>
        <v>https://amazon.com/dp/B0F8QLHGZR</v>
      </c>
    </row>
    <row r="20" spans="1:11" ht="45" customHeight="1" x14ac:dyDescent="0.2">
      <c r="A20" s="18" t="s">
        <v>355</v>
      </c>
      <c r="B20" s="18" t="s">
        <v>356</v>
      </c>
      <c r="C20" s="41">
        <v>219.99</v>
      </c>
      <c r="D20" s="42">
        <v>59763.72</v>
      </c>
      <c r="E20" s="42">
        <v>4980.3100000000004</v>
      </c>
      <c r="F20" s="44">
        <v>276</v>
      </c>
      <c r="G20" s="46">
        <v>23</v>
      </c>
      <c r="H20" s="44">
        <v>4</v>
      </c>
      <c r="I20" s="45">
        <v>4.7</v>
      </c>
      <c r="J20" s="45" t="s">
        <v>357</v>
      </c>
      <c r="K20" s="22" t="str">
        <f>HYPERLINK(J20)</f>
        <v>https://amazon.com/dp/B0GDFG41PS</v>
      </c>
    </row>
    <row r="21" spans="1:11" ht="45" customHeight="1" x14ac:dyDescent="0.2">
      <c r="A21" s="18" t="s">
        <v>358</v>
      </c>
      <c r="B21" s="18" t="s">
        <v>359</v>
      </c>
      <c r="C21" s="41">
        <v>199.99</v>
      </c>
      <c r="D21" s="42">
        <v>23998.68</v>
      </c>
      <c r="E21" s="42">
        <v>1999.89</v>
      </c>
      <c r="F21" s="44">
        <v>120</v>
      </c>
      <c r="G21" s="46">
        <v>10</v>
      </c>
      <c r="H21" s="44">
        <v>6</v>
      </c>
      <c r="I21" s="45">
        <v>4.8</v>
      </c>
      <c r="J21" s="45" t="s">
        <v>360</v>
      </c>
      <c r="K21" s="22" t="str">
        <f>HYPERLINK(J21)</f>
        <v>https://amazon.com/dp/B0GDFRH4J8</v>
      </c>
    </row>
    <row r="22" spans="1:11" ht="17" customHeight="1" x14ac:dyDescent="0.2">
      <c r="A22" s="21" t="s">
        <v>292</v>
      </c>
      <c r="B22" s="20"/>
      <c r="C22" s="20"/>
      <c r="D22" s="20"/>
      <c r="E22" s="20"/>
      <c r="F22" s="48">
        <f>SUM(FOXWELL!F18:F21)</f>
        <v>7020</v>
      </c>
      <c r="G22" s="48">
        <f>SUM(FOXWELL!G18:G21)</f>
        <v>585</v>
      </c>
      <c r="H22" s="48"/>
      <c r="I22" s="23"/>
    </row>
  </sheetData>
  <mergeCells count="3">
    <mergeCell ref="A16:K16"/>
    <mergeCell ref="A7:K7"/>
    <mergeCell ref="A1:K5"/>
  </mergeCells>
  <hyperlinks>
    <hyperlink ref="J9" r:id="rId1" xr:uid="{00000000-0004-0000-1000-000000000000}"/>
    <hyperlink ref="K9" r:id="rId2" display="https://amazon.com/dp/B07S7H86Z1" xr:uid="{00000000-0004-0000-1000-000001000000}"/>
    <hyperlink ref="K18" r:id="rId3" display="https://amazon.com/dp/B07S7H86Z1" xr:uid="{00000000-0004-0000-1000-000005000000}"/>
  </hyperlinks>
  <pageMargins left="0.7" right="0.7" top="0.75" bottom="0.75" header="0.3" footer="0.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Top 50</vt:lpstr>
      <vt:lpstr>Top 50 Type Summary</vt:lpstr>
      <vt:lpstr>Top50 2or4way Summary </vt:lpstr>
      <vt:lpstr>Top 50 Display Summary </vt:lpstr>
      <vt:lpstr>Top50 Lensdiameter Summary  </vt:lpstr>
      <vt:lpstr>Top50 Lens count Summary </vt:lpstr>
      <vt:lpstr>Top50 Cable length Summary  </vt:lpstr>
      <vt:lpstr>Teslong</vt:lpstr>
      <vt:lpstr>DEPSTECH</vt:lpstr>
      <vt:lpstr>UJOYOK</vt:lpstr>
      <vt:lpstr>Acoath</vt:lpstr>
      <vt:lpstr>Anykit</vt:lpstr>
      <vt:lpstr>DZXtoz</vt:lpstr>
      <vt:lpstr>WINWEND</vt:lpstr>
      <vt:lpstr>Ralcam</vt:lpstr>
      <vt:lpstr>FOXWELL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Bruce</dc:creator>
  <cp:lastModifiedBy>Ginny Chen</cp:lastModifiedBy>
  <dcterms:created xsi:type="dcterms:W3CDTF">2023-02-23T16:09:11Z</dcterms:created>
  <dcterms:modified xsi:type="dcterms:W3CDTF">2026-02-20T00:31:01Z</dcterms:modified>
</cp:coreProperties>
</file>