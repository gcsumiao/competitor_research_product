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sumiaoc/competitor_research_product/NewProductCategory/Borescope/outputs/"/>
    </mc:Choice>
  </mc:AlternateContent>
  <xr:revisionPtr revIDLastSave="0" documentId="13_ncr:1_{75585A9D-EAF4-8543-84FA-178F40A7ECC9}" xr6:coauthVersionLast="47" xr6:coauthVersionMax="47" xr10:uidLastSave="{00000000-0000-0000-0000-000000000000}"/>
  <bookViews>
    <workbookView xWindow="0" yWindow="660" windowWidth="34560" windowHeight="21680" xr2:uid="{00000000-000D-0000-FFFF-FFFF00000000}"/>
  </bookViews>
  <sheets>
    <sheet name="Summary" sheetId="1" r:id="rId1"/>
    <sheet name="Top 50 Revenue" sheetId="2" r:id="rId2"/>
    <sheet name="Top 50 Units" sheetId="3" r:id="rId3"/>
    <sheet name="Top 50 Summary" sheetId="4" r:id="rId4"/>
    <sheet name="Price Tiers" sheetId="5" r:id="rId5"/>
    <sheet name="All ASINs" sheetId="6" r:id="rId6"/>
  </sheets>
  <definedNames>
    <definedName name="_xlnm._FilterDatabase" localSheetId="5" hidden="1">'All ASINs'!$A$2:$O$1595</definedName>
    <definedName name="_xlnm._FilterDatabase" localSheetId="1" hidden="1">'Top 50 Revenue'!$A$2:$O$52</definedName>
    <definedName name="_xlnm._FilterDatabase" localSheetId="2" hidden="1">'Top 50 Units'!$A$2:$O$52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3" i="1" l="1"/>
  <c r="J1595" i="6"/>
  <c r="J1594" i="6"/>
  <c r="J1593" i="6"/>
  <c r="J1592" i="6"/>
  <c r="J1591" i="6"/>
  <c r="J1590" i="6"/>
  <c r="J1589" i="6"/>
  <c r="J1588" i="6"/>
  <c r="J1587" i="6"/>
  <c r="J1586" i="6"/>
  <c r="J1585" i="6"/>
  <c r="J1584" i="6"/>
  <c r="J1583" i="6"/>
  <c r="J1582" i="6"/>
  <c r="J1581" i="6"/>
  <c r="J1580" i="6"/>
  <c r="J1579" i="6"/>
  <c r="J1578" i="6"/>
  <c r="J1577" i="6"/>
  <c r="J1576" i="6"/>
  <c r="J1575" i="6"/>
  <c r="J1574" i="6"/>
  <c r="J1573" i="6"/>
  <c r="J1572" i="6"/>
  <c r="J1571" i="6"/>
  <c r="J1570" i="6"/>
  <c r="J1569" i="6"/>
  <c r="J1568" i="6"/>
  <c r="J1567" i="6"/>
  <c r="J1566" i="6"/>
  <c r="J1565" i="6"/>
  <c r="J1564" i="6"/>
  <c r="J1563" i="6"/>
  <c r="J1562" i="6"/>
  <c r="J1561" i="6"/>
  <c r="J1560" i="6"/>
  <c r="J1559" i="6"/>
  <c r="J1558" i="6"/>
  <c r="J1557" i="6"/>
  <c r="J1556" i="6"/>
  <c r="J1555" i="6"/>
  <c r="J1554" i="6"/>
  <c r="J1553" i="6"/>
  <c r="J1552" i="6"/>
  <c r="J1551" i="6"/>
  <c r="J1550" i="6"/>
  <c r="J1549" i="6"/>
  <c r="J1548" i="6"/>
  <c r="J1547" i="6"/>
  <c r="J1546" i="6"/>
  <c r="J1545" i="6"/>
  <c r="J1544" i="6"/>
  <c r="J1543" i="6"/>
  <c r="J1542" i="6"/>
  <c r="J1541" i="6"/>
  <c r="J1540" i="6"/>
  <c r="J1539" i="6"/>
  <c r="J1538" i="6"/>
  <c r="J1537" i="6"/>
  <c r="J1536" i="6"/>
  <c r="J1535" i="6"/>
  <c r="J1534" i="6"/>
  <c r="J1533" i="6"/>
  <c r="J1532" i="6"/>
  <c r="J1531" i="6"/>
  <c r="J1530" i="6"/>
  <c r="J1529" i="6"/>
  <c r="J1528" i="6"/>
  <c r="J1527" i="6"/>
  <c r="J1526" i="6"/>
  <c r="J1525" i="6"/>
  <c r="J1524" i="6"/>
  <c r="J1523" i="6"/>
  <c r="J1522" i="6"/>
  <c r="J1521" i="6"/>
  <c r="J1520" i="6"/>
  <c r="J1519" i="6"/>
  <c r="J1518" i="6"/>
  <c r="J1517" i="6"/>
  <c r="J1516" i="6"/>
  <c r="J1515" i="6"/>
  <c r="J1514" i="6"/>
  <c r="J1513" i="6"/>
  <c r="J1512" i="6"/>
  <c r="J1511" i="6"/>
  <c r="J1510" i="6"/>
  <c r="J1509" i="6"/>
  <c r="J1508" i="6"/>
  <c r="J1507" i="6"/>
  <c r="J1506" i="6"/>
  <c r="J1505" i="6"/>
  <c r="J1504" i="6"/>
  <c r="J1503" i="6"/>
  <c r="J1502" i="6"/>
  <c r="J1501" i="6"/>
  <c r="J1500" i="6"/>
  <c r="J1499" i="6"/>
  <c r="J1498" i="6"/>
  <c r="J1497" i="6"/>
  <c r="J1496" i="6"/>
  <c r="J1495" i="6"/>
  <c r="J1494" i="6"/>
  <c r="J1493" i="6"/>
  <c r="J1492" i="6"/>
  <c r="J1491" i="6"/>
  <c r="J1490" i="6"/>
  <c r="J1489" i="6"/>
  <c r="J1488" i="6"/>
  <c r="J1487" i="6"/>
  <c r="J1486" i="6"/>
  <c r="J1485" i="6"/>
  <c r="J1484" i="6"/>
  <c r="J1483" i="6"/>
  <c r="J1482" i="6"/>
  <c r="J1481" i="6"/>
  <c r="J1480" i="6"/>
  <c r="J1479" i="6"/>
  <c r="J1478" i="6"/>
  <c r="J1477" i="6"/>
  <c r="J1476" i="6"/>
  <c r="J1475" i="6"/>
  <c r="J1474" i="6"/>
  <c r="J1473" i="6"/>
  <c r="J1472" i="6"/>
  <c r="J1471" i="6"/>
  <c r="J1470" i="6"/>
  <c r="J1469" i="6"/>
  <c r="J1468" i="6"/>
  <c r="J1467" i="6"/>
  <c r="J1466" i="6"/>
  <c r="J1465" i="6"/>
  <c r="J1464" i="6"/>
  <c r="J1463" i="6"/>
  <c r="J1462" i="6"/>
  <c r="J1461" i="6"/>
  <c r="J1460" i="6"/>
  <c r="J1459" i="6"/>
  <c r="J1458" i="6"/>
  <c r="J1457" i="6"/>
  <c r="J1456" i="6"/>
  <c r="J1455" i="6"/>
  <c r="J1454" i="6"/>
  <c r="J1453" i="6"/>
  <c r="J1452" i="6"/>
  <c r="J1451" i="6"/>
  <c r="J1450" i="6"/>
  <c r="J1449" i="6"/>
  <c r="J1448" i="6"/>
  <c r="J1447" i="6"/>
  <c r="J1446" i="6"/>
  <c r="J1445" i="6"/>
  <c r="J1444" i="6"/>
  <c r="J1443" i="6"/>
  <c r="J1442" i="6"/>
  <c r="J1441" i="6"/>
  <c r="J1440" i="6"/>
  <c r="J1439" i="6"/>
  <c r="J1438" i="6"/>
  <c r="J1437" i="6"/>
  <c r="J1436" i="6"/>
  <c r="J1435" i="6"/>
  <c r="J1434" i="6"/>
  <c r="J1433" i="6"/>
  <c r="J1432" i="6"/>
  <c r="J1431" i="6"/>
  <c r="J1430" i="6"/>
  <c r="J1429" i="6"/>
  <c r="J1428" i="6"/>
  <c r="J1427" i="6"/>
  <c r="J1426" i="6"/>
  <c r="J1425" i="6"/>
  <c r="J1424" i="6"/>
  <c r="J1423" i="6"/>
  <c r="J1422" i="6"/>
  <c r="J1421" i="6"/>
  <c r="J1420" i="6"/>
  <c r="J1419" i="6"/>
  <c r="J1418" i="6"/>
  <c r="J1417" i="6"/>
  <c r="J1416" i="6"/>
  <c r="J1415" i="6"/>
  <c r="J1414" i="6"/>
  <c r="J1413" i="6"/>
  <c r="J1412" i="6"/>
  <c r="J1411" i="6"/>
  <c r="J1410" i="6"/>
  <c r="J1409" i="6"/>
  <c r="J1408" i="6"/>
  <c r="J1407" i="6"/>
  <c r="J1406" i="6"/>
  <c r="J1405" i="6"/>
  <c r="J1404" i="6"/>
  <c r="J1403" i="6"/>
  <c r="J1402" i="6"/>
  <c r="J1401" i="6"/>
  <c r="J1400" i="6"/>
  <c r="J1399" i="6"/>
  <c r="J1398" i="6"/>
  <c r="J1397" i="6"/>
  <c r="J1396" i="6"/>
  <c r="J1395" i="6"/>
  <c r="J1394" i="6"/>
  <c r="J1393" i="6"/>
  <c r="J1392" i="6"/>
  <c r="J1391" i="6"/>
  <c r="J1390" i="6"/>
  <c r="J1389" i="6"/>
  <c r="J1388" i="6"/>
  <c r="J1387" i="6"/>
  <c r="J1386" i="6"/>
  <c r="J1385" i="6"/>
  <c r="J1384" i="6"/>
  <c r="J1383" i="6"/>
  <c r="J1382" i="6"/>
  <c r="J1381" i="6"/>
  <c r="J1380" i="6"/>
  <c r="J1379" i="6"/>
  <c r="J1378" i="6"/>
  <c r="J1377" i="6"/>
  <c r="J1376" i="6"/>
  <c r="J1375" i="6"/>
  <c r="J1374" i="6"/>
  <c r="J1373" i="6"/>
  <c r="J1372" i="6"/>
  <c r="J1371" i="6"/>
  <c r="J1370" i="6"/>
  <c r="J1369" i="6"/>
  <c r="J1368" i="6"/>
  <c r="J1367" i="6"/>
  <c r="J1366" i="6"/>
  <c r="J1365" i="6"/>
  <c r="J1364" i="6"/>
  <c r="J1363" i="6"/>
  <c r="J1362" i="6"/>
  <c r="J1361" i="6"/>
  <c r="J1360" i="6"/>
  <c r="J1359" i="6"/>
  <c r="J1358" i="6"/>
  <c r="J1357" i="6"/>
  <c r="J1356" i="6"/>
  <c r="J1355" i="6"/>
  <c r="J1354" i="6"/>
  <c r="J1353" i="6"/>
  <c r="J1352" i="6"/>
  <c r="J1351" i="6"/>
  <c r="J1350" i="6"/>
  <c r="J1349" i="6"/>
  <c r="J1348" i="6"/>
  <c r="J1347" i="6"/>
  <c r="J1346" i="6"/>
  <c r="J1345" i="6"/>
  <c r="J1344" i="6"/>
  <c r="J1343" i="6"/>
  <c r="J1342" i="6"/>
  <c r="J1341" i="6"/>
  <c r="J1340" i="6"/>
  <c r="J1339" i="6"/>
  <c r="J1338" i="6"/>
  <c r="J1337" i="6"/>
  <c r="J1336" i="6"/>
  <c r="J1335" i="6"/>
  <c r="J1334" i="6"/>
  <c r="J1333" i="6"/>
  <c r="J1332" i="6"/>
  <c r="J1331" i="6"/>
  <c r="J1330" i="6"/>
  <c r="J1329" i="6"/>
  <c r="J1328" i="6"/>
  <c r="J1327" i="6"/>
  <c r="J1326" i="6"/>
  <c r="J1325" i="6"/>
  <c r="J1324" i="6"/>
  <c r="J1323" i="6"/>
  <c r="J1322" i="6"/>
  <c r="J1321" i="6"/>
  <c r="J1320" i="6"/>
  <c r="J1319" i="6"/>
  <c r="J1318" i="6"/>
  <c r="J1317" i="6"/>
  <c r="J1316" i="6"/>
  <c r="J1315" i="6"/>
  <c r="J1314" i="6"/>
  <c r="J1313" i="6"/>
  <c r="J1312" i="6"/>
  <c r="J1311" i="6"/>
  <c r="J1310" i="6"/>
  <c r="J1309" i="6"/>
  <c r="J1308" i="6"/>
  <c r="J1307" i="6"/>
  <c r="J1306" i="6"/>
  <c r="J1305" i="6"/>
  <c r="J1304" i="6"/>
  <c r="J1303" i="6"/>
  <c r="J1302" i="6"/>
  <c r="J1301" i="6"/>
  <c r="J1300" i="6"/>
  <c r="J1299" i="6"/>
  <c r="J1298" i="6"/>
  <c r="J1297" i="6"/>
  <c r="J1296" i="6"/>
  <c r="J1295" i="6"/>
  <c r="J1294" i="6"/>
  <c r="J1293" i="6"/>
  <c r="J1292" i="6"/>
  <c r="J1291" i="6"/>
  <c r="J1290" i="6"/>
  <c r="J1289" i="6"/>
  <c r="J1288" i="6"/>
  <c r="J1287" i="6"/>
  <c r="J1286" i="6"/>
  <c r="J1285" i="6"/>
  <c r="J1284" i="6"/>
  <c r="J1283" i="6"/>
  <c r="J1282" i="6"/>
  <c r="J1281" i="6"/>
  <c r="J1280" i="6"/>
  <c r="J1279" i="6"/>
  <c r="J1278" i="6"/>
  <c r="J1277" i="6"/>
  <c r="J1276" i="6"/>
  <c r="J1275" i="6"/>
  <c r="J1274" i="6"/>
  <c r="J1273" i="6"/>
  <c r="J1272" i="6"/>
  <c r="J1271" i="6"/>
  <c r="J1270" i="6"/>
  <c r="J1269" i="6"/>
  <c r="J1268" i="6"/>
  <c r="J1267" i="6"/>
  <c r="J1266" i="6"/>
  <c r="J1265" i="6"/>
  <c r="J1264" i="6"/>
  <c r="J1263" i="6"/>
  <c r="J1262" i="6"/>
  <c r="J1261" i="6"/>
  <c r="J1260" i="6"/>
  <c r="J1259" i="6"/>
  <c r="J1258" i="6"/>
  <c r="J1257" i="6"/>
  <c r="J1256" i="6"/>
  <c r="J1255" i="6"/>
  <c r="J1254" i="6"/>
  <c r="J1253" i="6"/>
  <c r="J1252" i="6"/>
  <c r="J1251" i="6"/>
  <c r="J1250" i="6"/>
  <c r="J1249" i="6"/>
  <c r="J1248" i="6"/>
  <c r="J1247" i="6"/>
  <c r="J1246" i="6"/>
  <c r="J1245" i="6"/>
  <c r="J1244" i="6"/>
  <c r="J1243" i="6"/>
  <c r="J1242" i="6"/>
  <c r="J1241" i="6"/>
  <c r="J1240" i="6"/>
  <c r="J1239" i="6"/>
  <c r="J1238" i="6"/>
  <c r="J1237" i="6"/>
  <c r="J1236" i="6"/>
  <c r="J1235" i="6"/>
  <c r="J1234" i="6"/>
  <c r="J1233" i="6"/>
  <c r="J1232" i="6"/>
  <c r="J1231" i="6"/>
  <c r="J1230" i="6"/>
  <c r="J1229" i="6"/>
  <c r="J1228" i="6"/>
  <c r="J1227" i="6"/>
  <c r="J1226" i="6"/>
  <c r="J1225" i="6"/>
  <c r="J1224" i="6"/>
  <c r="J1223" i="6"/>
  <c r="J1222" i="6"/>
  <c r="J1221" i="6"/>
  <c r="J1220" i="6"/>
  <c r="J1219" i="6"/>
  <c r="J1218" i="6"/>
  <c r="J1217" i="6"/>
  <c r="J1216" i="6"/>
  <c r="J1215" i="6"/>
  <c r="J1214" i="6"/>
  <c r="J1213" i="6"/>
  <c r="J1212" i="6"/>
  <c r="J1211" i="6"/>
  <c r="J1210" i="6"/>
  <c r="J1209" i="6"/>
  <c r="J1208" i="6"/>
  <c r="J1207" i="6"/>
  <c r="J1206" i="6"/>
  <c r="J1205" i="6"/>
  <c r="J1204" i="6"/>
  <c r="J1203" i="6"/>
  <c r="J1202" i="6"/>
  <c r="J1201" i="6"/>
  <c r="J1200" i="6"/>
  <c r="J1199" i="6"/>
  <c r="J1198" i="6"/>
  <c r="J1197" i="6"/>
  <c r="J1196" i="6"/>
  <c r="J1195" i="6"/>
  <c r="J1194" i="6"/>
  <c r="J1193" i="6"/>
  <c r="J1192" i="6"/>
  <c r="J1191" i="6"/>
  <c r="J1190" i="6"/>
  <c r="J1189" i="6"/>
  <c r="J1188" i="6"/>
  <c r="J1187" i="6"/>
  <c r="J1186" i="6"/>
  <c r="J1185" i="6"/>
  <c r="J1184" i="6"/>
  <c r="J1183" i="6"/>
  <c r="J1182" i="6"/>
  <c r="J1181" i="6"/>
  <c r="J1180" i="6"/>
  <c r="J1179" i="6"/>
  <c r="J1178" i="6"/>
  <c r="J1177" i="6"/>
  <c r="J1176" i="6"/>
  <c r="J1175" i="6"/>
  <c r="J1174" i="6"/>
  <c r="J1173" i="6"/>
  <c r="J1172" i="6"/>
  <c r="J1171" i="6"/>
  <c r="J1170" i="6"/>
  <c r="J1169" i="6"/>
  <c r="J1168" i="6"/>
  <c r="J1167" i="6"/>
  <c r="J1166" i="6"/>
  <c r="J1165" i="6"/>
  <c r="J1164" i="6"/>
  <c r="J1163" i="6"/>
  <c r="J1162" i="6"/>
  <c r="J1161" i="6"/>
  <c r="J1160" i="6"/>
  <c r="J1159" i="6"/>
  <c r="J1158" i="6"/>
  <c r="J1157" i="6"/>
  <c r="J1156" i="6"/>
  <c r="J1155" i="6"/>
  <c r="J1154" i="6"/>
  <c r="J1153" i="6"/>
  <c r="J1152" i="6"/>
  <c r="J1151" i="6"/>
  <c r="J1150" i="6"/>
  <c r="J1149" i="6"/>
  <c r="J1148" i="6"/>
  <c r="J1147" i="6"/>
  <c r="J1146" i="6"/>
  <c r="J1145" i="6"/>
  <c r="J1144" i="6"/>
  <c r="J1143" i="6"/>
  <c r="J1142" i="6"/>
  <c r="J1141" i="6"/>
  <c r="J1140" i="6"/>
  <c r="J1139" i="6"/>
  <c r="J1138" i="6"/>
  <c r="J1137" i="6"/>
  <c r="J1136" i="6"/>
  <c r="J1135" i="6"/>
  <c r="J1134" i="6"/>
  <c r="J1133" i="6"/>
  <c r="J1132" i="6"/>
  <c r="J1131" i="6"/>
  <c r="J1130" i="6"/>
  <c r="J1129" i="6"/>
  <c r="J1128" i="6"/>
  <c r="J1127" i="6"/>
  <c r="J1126" i="6"/>
  <c r="J1125" i="6"/>
  <c r="J1124" i="6"/>
  <c r="J1123" i="6"/>
  <c r="J1122" i="6"/>
  <c r="J1121" i="6"/>
  <c r="J1120" i="6"/>
  <c r="J1119" i="6"/>
  <c r="J1118" i="6"/>
  <c r="J1117" i="6"/>
  <c r="J1116" i="6"/>
  <c r="J1115" i="6"/>
  <c r="J1114" i="6"/>
  <c r="J1113" i="6"/>
  <c r="J1112" i="6"/>
  <c r="J1111" i="6"/>
  <c r="J1110" i="6"/>
  <c r="J1109" i="6"/>
  <c r="J1108" i="6"/>
  <c r="J1107" i="6"/>
  <c r="J1106" i="6"/>
  <c r="J1105" i="6"/>
  <c r="J1104" i="6"/>
  <c r="J1103" i="6"/>
  <c r="J1102" i="6"/>
  <c r="J1101" i="6"/>
  <c r="J1100" i="6"/>
  <c r="J1099" i="6"/>
  <c r="J1098" i="6"/>
  <c r="J1097" i="6"/>
  <c r="J1096" i="6"/>
  <c r="J1095" i="6"/>
  <c r="J1094" i="6"/>
  <c r="J1093" i="6"/>
  <c r="J1092" i="6"/>
  <c r="J1091" i="6"/>
  <c r="J1090" i="6"/>
  <c r="J1089" i="6"/>
  <c r="J1088" i="6"/>
  <c r="J1087" i="6"/>
  <c r="J1086" i="6"/>
  <c r="J1085" i="6"/>
  <c r="J1084" i="6"/>
  <c r="J1083" i="6"/>
  <c r="J1082" i="6"/>
  <c r="J1081" i="6"/>
  <c r="J1080" i="6"/>
  <c r="J1079" i="6"/>
  <c r="J1078" i="6"/>
  <c r="J1077" i="6"/>
  <c r="J1076" i="6"/>
  <c r="J1075" i="6"/>
  <c r="J1074" i="6"/>
  <c r="J1073" i="6"/>
  <c r="J1072" i="6"/>
  <c r="J1071" i="6"/>
  <c r="J1070" i="6"/>
  <c r="J1069" i="6"/>
  <c r="J1068" i="6"/>
  <c r="J1067" i="6"/>
  <c r="J1066" i="6"/>
  <c r="J1065" i="6"/>
  <c r="J1064" i="6"/>
  <c r="J1063" i="6"/>
  <c r="J1062" i="6"/>
  <c r="J1061" i="6"/>
  <c r="J1060" i="6"/>
  <c r="J1059" i="6"/>
  <c r="J1058" i="6"/>
  <c r="J1057" i="6"/>
  <c r="J1056" i="6"/>
  <c r="J1055" i="6"/>
  <c r="J1054" i="6"/>
  <c r="J1053" i="6"/>
  <c r="J1052" i="6"/>
  <c r="J1051" i="6"/>
  <c r="J1050" i="6"/>
  <c r="J1049" i="6"/>
  <c r="J1048" i="6"/>
  <c r="J1047" i="6"/>
  <c r="J1046" i="6"/>
  <c r="J1045" i="6"/>
  <c r="J1044" i="6"/>
  <c r="J1043" i="6"/>
  <c r="J1042" i="6"/>
  <c r="J1041" i="6"/>
  <c r="J1040" i="6"/>
  <c r="J1039" i="6"/>
  <c r="J1038" i="6"/>
  <c r="J1037" i="6"/>
  <c r="J1036" i="6"/>
  <c r="J1035" i="6"/>
  <c r="J1034" i="6"/>
  <c r="J1033" i="6"/>
  <c r="J1032" i="6"/>
  <c r="J1031" i="6"/>
  <c r="J1030" i="6"/>
  <c r="J1029" i="6"/>
  <c r="J1028" i="6"/>
  <c r="J1027" i="6"/>
  <c r="J1026" i="6"/>
  <c r="J1025" i="6"/>
  <c r="J1024" i="6"/>
  <c r="J1023" i="6"/>
  <c r="J1022" i="6"/>
  <c r="J1021" i="6"/>
  <c r="J1020" i="6"/>
  <c r="J1019" i="6"/>
  <c r="J1018" i="6"/>
  <c r="J1017" i="6"/>
  <c r="J1016" i="6"/>
  <c r="J1015" i="6"/>
  <c r="J1014" i="6"/>
  <c r="J1013" i="6"/>
  <c r="J1012" i="6"/>
  <c r="J1011" i="6"/>
  <c r="J1010" i="6"/>
  <c r="J1009" i="6"/>
  <c r="J1008" i="6"/>
  <c r="J1007" i="6"/>
  <c r="J1006" i="6"/>
  <c r="J1005" i="6"/>
  <c r="J1004" i="6"/>
  <c r="J1003" i="6"/>
  <c r="J1002" i="6"/>
  <c r="J1001" i="6"/>
  <c r="J1000" i="6"/>
  <c r="J999" i="6"/>
  <c r="J998" i="6"/>
  <c r="J997" i="6"/>
  <c r="J996" i="6"/>
  <c r="J995" i="6"/>
  <c r="J994" i="6"/>
  <c r="J993" i="6"/>
  <c r="J992" i="6"/>
  <c r="J991" i="6"/>
  <c r="J990" i="6"/>
  <c r="J989" i="6"/>
  <c r="J988" i="6"/>
  <c r="J987" i="6"/>
  <c r="J986" i="6"/>
  <c r="J985" i="6"/>
  <c r="J984" i="6"/>
  <c r="J983" i="6"/>
  <c r="J982" i="6"/>
  <c r="J981" i="6"/>
  <c r="J980" i="6"/>
  <c r="J979" i="6"/>
  <c r="J978" i="6"/>
  <c r="J977" i="6"/>
  <c r="J976" i="6"/>
  <c r="J975" i="6"/>
  <c r="J974" i="6"/>
  <c r="J973" i="6"/>
  <c r="J972" i="6"/>
  <c r="J971" i="6"/>
  <c r="J970" i="6"/>
  <c r="J969" i="6"/>
  <c r="J968" i="6"/>
  <c r="J967" i="6"/>
  <c r="J966" i="6"/>
  <c r="J965" i="6"/>
  <c r="J964" i="6"/>
  <c r="J963" i="6"/>
  <c r="J962" i="6"/>
  <c r="J961" i="6"/>
  <c r="J960" i="6"/>
  <c r="J959" i="6"/>
  <c r="J958" i="6"/>
  <c r="J957" i="6"/>
  <c r="J956" i="6"/>
  <c r="J955" i="6"/>
  <c r="J954" i="6"/>
  <c r="J953" i="6"/>
  <c r="J952" i="6"/>
  <c r="J951" i="6"/>
  <c r="J950" i="6"/>
  <c r="J949" i="6"/>
  <c r="J948" i="6"/>
  <c r="J947" i="6"/>
  <c r="J946" i="6"/>
  <c r="J945" i="6"/>
  <c r="J944" i="6"/>
  <c r="J943" i="6"/>
  <c r="J942" i="6"/>
  <c r="J941" i="6"/>
  <c r="J940" i="6"/>
  <c r="J939" i="6"/>
  <c r="J938" i="6"/>
  <c r="J937" i="6"/>
  <c r="J936" i="6"/>
  <c r="J935" i="6"/>
  <c r="J934" i="6"/>
  <c r="J933" i="6"/>
  <c r="J932" i="6"/>
  <c r="J931" i="6"/>
  <c r="J930" i="6"/>
  <c r="J929" i="6"/>
  <c r="J928" i="6"/>
  <c r="J927" i="6"/>
  <c r="J926" i="6"/>
  <c r="J925" i="6"/>
  <c r="J924" i="6"/>
  <c r="J923" i="6"/>
  <c r="J922" i="6"/>
  <c r="J921" i="6"/>
  <c r="J920" i="6"/>
  <c r="J919" i="6"/>
  <c r="J918" i="6"/>
  <c r="J917" i="6"/>
  <c r="J916" i="6"/>
  <c r="J915" i="6"/>
  <c r="J914" i="6"/>
  <c r="J913" i="6"/>
  <c r="J912" i="6"/>
  <c r="J911" i="6"/>
  <c r="J910" i="6"/>
  <c r="J909" i="6"/>
  <c r="J908" i="6"/>
  <c r="J907" i="6"/>
  <c r="J906" i="6"/>
  <c r="J905" i="6"/>
  <c r="J904" i="6"/>
  <c r="J903" i="6"/>
  <c r="J902" i="6"/>
  <c r="J901" i="6"/>
  <c r="J900" i="6"/>
  <c r="J899" i="6"/>
  <c r="J898" i="6"/>
  <c r="J897" i="6"/>
  <c r="J896" i="6"/>
  <c r="J895" i="6"/>
  <c r="J894" i="6"/>
  <c r="J893" i="6"/>
  <c r="J892" i="6"/>
  <c r="J891" i="6"/>
  <c r="J890" i="6"/>
  <c r="J889" i="6"/>
  <c r="J888" i="6"/>
  <c r="J887" i="6"/>
  <c r="J886" i="6"/>
  <c r="J885" i="6"/>
  <c r="J884" i="6"/>
  <c r="J883" i="6"/>
  <c r="J882" i="6"/>
  <c r="J881" i="6"/>
  <c r="J880" i="6"/>
  <c r="J879" i="6"/>
  <c r="J878" i="6"/>
  <c r="J877" i="6"/>
  <c r="J876" i="6"/>
  <c r="J875" i="6"/>
  <c r="J874" i="6"/>
  <c r="J873" i="6"/>
  <c r="J872" i="6"/>
  <c r="J871" i="6"/>
  <c r="J870" i="6"/>
  <c r="J869" i="6"/>
  <c r="J868" i="6"/>
  <c r="J867" i="6"/>
  <c r="J866" i="6"/>
  <c r="J865" i="6"/>
  <c r="J864" i="6"/>
  <c r="J863" i="6"/>
  <c r="J862" i="6"/>
  <c r="J861" i="6"/>
  <c r="J860" i="6"/>
  <c r="J859" i="6"/>
  <c r="J858" i="6"/>
  <c r="J857" i="6"/>
  <c r="J856" i="6"/>
  <c r="J855" i="6"/>
  <c r="J854" i="6"/>
  <c r="J853" i="6"/>
  <c r="J852" i="6"/>
  <c r="J851" i="6"/>
  <c r="J850" i="6"/>
  <c r="J849" i="6"/>
  <c r="J848" i="6"/>
  <c r="J847" i="6"/>
  <c r="J846" i="6"/>
  <c r="J845" i="6"/>
  <c r="J844" i="6"/>
  <c r="J843" i="6"/>
  <c r="J842" i="6"/>
  <c r="J841" i="6"/>
  <c r="J840" i="6"/>
  <c r="J839" i="6"/>
  <c r="J838" i="6"/>
  <c r="J837" i="6"/>
  <c r="J836" i="6"/>
  <c r="J835" i="6"/>
  <c r="J834" i="6"/>
  <c r="J833" i="6"/>
  <c r="J832" i="6"/>
  <c r="J831" i="6"/>
  <c r="J830" i="6"/>
  <c r="J829" i="6"/>
  <c r="J828" i="6"/>
  <c r="J827" i="6"/>
  <c r="J826" i="6"/>
  <c r="J825" i="6"/>
  <c r="J824" i="6"/>
  <c r="J823" i="6"/>
  <c r="J822" i="6"/>
  <c r="J821" i="6"/>
  <c r="J820" i="6"/>
  <c r="J819" i="6"/>
  <c r="J818" i="6"/>
  <c r="J817" i="6"/>
  <c r="J816" i="6"/>
  <c r="J815" i="6"/>
  <c r="J814" i="6"/>
  <c r="J813" i="6"/>
  <c r="J812" i="6"/>
  <c r="J811" i="6"/>
  <c r="J810" i="6"/>
  <c r="J809" i="6"/>
  <c r="J808" i="6"/>
  <c r="J807" i="6"/>
  <c r="J806" i="6"/>
  <c r="J805" i="6"/>
  <c r="J804" i="6"/>
  <c r="J803" i="6"/>
  <c r="J802" i="6"/>
  <c r="J801" i="6"/>
  <c r="J800" i="6"/>
  <c r="J799" i="6"/>
  <c r="J798" i="6"/>
  <c r="J797" i="6"/>
  <c r="J796" i="6"/>
  <c r="J795" i="6"/>
  <c r="J794" i="6"/>
  <c r="J793" i="6"/>
  <c r="J792" i="6"/>
  <c r="J791" i="6"/>
  <c r="J790" i="6"/>
  <c r="J789" i="6"/>
  <c r="J788" i="6"/>
  <c r="J787" i="6"/>
  <c r="J786" i="6"/>
  <c r="J785" i="6"/>
  <c r="J784" i="6"/>
  <c r="J783" i="6"/>
  <c r="J782" i="6"/>
  <c r="J781" i="6"/>
  <c r="J780" i="6"/>
  <c r="J779" i="6"/>
  <c r="J778" i="6"/>
  <c r="J777" i="6"/>
  <c r="J776" i="6"/>
  <c r="J775" i="6"/>
  <c r="J774" i="6"/>
  <c r="J773" i="6"/>
  <c r="J772" i="6"/>
  <c r="J771" i="6"/>
  <c r="J770" i="6"/>
  <c r="J769" i="6"/>
  <c r="J768" i="6"/>
  <c r="J767" i="6"/>
  <c r="J766" i="6"/>
  <c r="J765" i="6"/>
  <c r="J764" i="6"/>
  <c r="J763" i="6"/>
  <c r="J762" i="6"/>
  <c r="J761" i="6"/>
  <c r="J760" i="6"/>
  <c r="J759" i="6"/>
  <c r="J758" i="6"/>
  <c r="J757" i="6"/>
  <c r="J756" i="6"/>
  <c r="J755" i="6"/>
  <c r="J754" i="6"/>
  <c r="J753" i="6"/>
  <c r="J752" i="6"/>
  <c r="J751" i="6"/>
  <c r="J750" i="6"/>
  <c r="J749" i="6"/>
  <c r="J748" i="6"/>
  <c r="J747" i="6"/>
  <c r="J746" i="6"/>
  <c r="J745" i="6"/>
  <c r="J744" i="6"/>
  <c r="J743" i="6"/>
  <c r="J742" i="6"/>
  <c r="J741" i="6"/>
  <c r="J740" i="6"/>
  <c r="J739" i="6"/>
  <c r="J738" i="6"/>
  <c r="J737" i="6"/>
  <c r="J736" i="6"/>
  <c r="J735" i="6"/>
  <c r="J734" i="6"/>
  <c r="J733" i="6"/>
  <c r="J732" i="6"/>
  <c r="J731" i="6"/>
  <c r="J730" i="6"/>
  <c r="J729" i="6"/>
  <c r="J728" i="6"/>
  <c r="J727" i="6"/>
  <c r="J726" i="6"/>
  <c r="J725" i="6"/>
  <c r="J724" i="6"/>
  <c r="J723" i="6"/>
  <c r="J722" i="6"/>
  <c r="J721" i="6"/>
  <c r="J720" i="6"/>
  <c r="J719" i="6"/>
  <c r="J718" i="6"/>
  <c r="J717" i="6"/>
  <c r="J716" i="6"/>
  <c r="J715" i="6"/>
  <c r="J714" i="6"/>
  <c r="J713" i="6"/>
  <c r="J712" i="6"/>
  <c r="J711" i="6"/>
  <c r="J710" i="6"/>
  <c r="J709" i="6"/>
  <c r="J708" i="6"/>
  <c r="J707" i="6"/>
  <c r="J706" i="6"/>
  <c r="J705" i="6"/>
  <c r="J704" i="6"/>
  <c r="J703" i="6"/>
  <c r="J702" i="6"/>
  <c r="J701" i="6"/>
  <c r="J700" i="6"/>
  <c r="J699" i="6"/>
  <c r="J698" i="6"/>
  <c r="J697" i="6"/>
  <c r="J696" i="6"/>
  <c r="J695" i="6"/>
  <c r="J694" i="6"/>
  <c r="J693" i="6"/>
  <c r="J692" i="6"/>
  <c r="J691" i="6"/>
  <c r="J690" i="6"/>
  <c r="J689" i="6"/>
  <c r="J688" i="6"/>
  <c r="J687" i="6"/>
  <c r="J686" i="6"/>
  <c r="J685" i="6"/>
  <c r="J684" i="6"/>
  <c r="J683" i="6"/>
  <c r="J682" i="6"/>
  <c r="J681" i="6"/>
  <c r="J680" i="6"/>
  <c r="J679" i="6"/>
  <c r="J678" i="6"/>
  <c r="J677" i="6"/>
  <c r="J676" i="6"/>
  <c r="J675" i="6"/>
  <c r="J674" i="6"/>
  <c r="J673" i="6"/>
  <c r="J672" i="6"/>
  <c r="J671" i="6"/>
  <c r="J670" i="6"/>
  <c r="J669" i="6"/>
  <c r="J668" i="6"/>
  <c r="J667" i="6"/>
  <c r="J666" i="6"/>
  <c r="J665" i="6"/>
  <c r="J664" i="6"/>
  <c r="J663" i="6"/>
  <c r="J662" i="6"/>
  <c r="J661" i="6"/>
  <c r="J660" i="6"/>
  <c r="J659" i="6"/>
  <c r="J658" i="6"/>
  <c r="J657" i="6"/>
  <c r="J656" i="6"/>
  <c r="J655" i="6"/>
  <c r="J654" i="6"/>
  <c r="J653" i="6"/>
  <c r="J652" i="6"/>
  <c r="J651" i="6"/>
  <c r="J650" i="6"/>
  <c r="J649" i="6"/>
  <c r="J648" i="6"/>
  <c r="J647" i="6"/>
  <c r="J646" i="6"/>
  <c r="J645" i="6"/>
  <c r="J644" i="6"/>
  <c r="J643" i="6"/>
  <c r="J642" i="6"/>
  <c r="J641" i="6"/>
  <c r="J640" i="6"/>
  <c r="J639" i="6"/>
  <c r="J638" i="6"/>
  <c r="J637" i="6"/>
  <c r="J636" i="6"/>
  <c r="J635" i="6"/>
  <c r="J634" i="6"/>
  <c r="J633" i="6"/>
  <c r="J632" i="6"/>
  <c r="J631" i="6"/>
  <c r="J630" i="6"/>
  <c r="J629" i="6"/>
  <c r="J628" i="6"/>
  <c r="J627" i="6"/>
  <c r="J626" i="6"/>
  <c r="J625" i="6"/>
  <c r="J624" i="6"/>
  <c r="J623" i="6"/>
  <c r="J622" i="6"/>
  <c r="J621" i="6"/>
  <c r="J620" i="6"/>
  <c r="J619" i="6"/>
  <c r="J618" i="6"/>
  <c r="J617" i="6"/>
  <c r="J616" i="6"/>
  <c r="J615" i="6"/>
  <c r="J614" i="6"/>
  <c r="J613" i="6"/>
  <c r="J612" i="6"/>
  <c r="J611" i="6"/>
  <c r="J610" i="6"/>
  <c r="J609" i="6"/>
  <c r="J608" i="6"/>
  <c r="J607" i="6"/>
  <c r="J606" i="6"/>
  <c r="J605" i="6"/>
  <c r="J604" i="6"/>
  <c r="J603" i="6"/>
  <c r="J602" i="6"/>
  <c r="J601" i="6"/>
  <c r="J600" i="6"/>
  <c r="J599" i="6"/>
  <c r="J598" i="6"/>
  <c r="J597" i="6"/>
  <c r="J596" i="6"/>
  <c r="J595" i="6"/>
  <c r="J594" i="6"/>
  <c r="J593" i="6"/>
  <c r="J592" i="6"/>
  <c r="J591" i="6"/>
  <c r="J590" i="6"/>
  <c r="J589" i="6"/>
  <c r="J588" i="6"/>
  <c r="J587" i="6"/>
  <c r="J586" i="6"/>
  <c r="J585" i="6"/>
  <c r="J584" i="6"/>
  <c r="J583" i="6"/>
  <c r="J582" i="6"/>
  <c r="J581" i="6"/>
  <c r="J580" i="6"/>
  <c r="J579" i="6"/>
  <c r="J578" i="6"/>
  <c r="J577" i="6"/>
  <c r="J576" i="6"/>
  <c r="J575" i="6"/>
  <c r="J574" i="6"/>
  <c r="J573" i="6"/>
  <c r="J572" i="6"/>
  <c r="J571" i="6"/>
  <c r="J570" i="6"/>
  <c r="J569" i="6"/>
  <c r="J568" i="6"/>
  <c r="J567" i="6"/>
  <c r="J566" i="6"/>
  <c r="J565" i="6"/>
  <c r="J564" i="6"/>
  <c r="J563" i="6"/>
  <c r="J562" i="6"/>
  <c r="J561" i="6"/>
  <c r="J560" i="6"/>
  <c r="J559" i="6"/>
  <c r="J558" i="6"/>
  <c r="J557" i="6"/>
  <c r="J556" i="6"/>
  <c r="J555" i="6"/>
  <c r="J554" i="6"/>
  <c r="J553" i="6"/>
  <c r="J552" i="6"/>
  <c r="J551" i="6"/>
  <c r="J550" i="6"/>
  <c r="J549" i="6"/>
  <c r="J548" i="6"/>
  <c r="J547" i="6"/>
  <c r="J546" i="6"/>
  <c r="J545" i="6"/>
  <c r="J544" i="6"/>
  <c r="J543" i="6"/>
  <c r="J542" i="6"/>
  <c r="J541" i="6"/>
  <c r="J540" i="6"/>
  <c r="J539" i="6"/>
  <c r="J538" i="6"/>
  <c r="J537" i="6"/>
  <c r="J536" i="6"/>
  <c r="J535" i="6"/>
  <c r="J534" i="6"/>
  <c r="J533" i="6"/>
  <c r="J532" i="6"/>
  <c r="J531" i="6"/>
  <c r="J530" i="6"/>
  <c r="J529" i="6"/>
  <c r="J528" i="6"/>
  <c r="J527" i="6"/>
  <c r="J526" i="6"/>
  <c r="J525" i="6"/>
  <c r="J524" i="6"/>
  <c r="J523" i="6"/>
  <c r="J522" i="6"/>
  <c r="J521" i="6"/>
  <c r="J520" i="6"/>
  <c r="J519" i="6"/>
  <c r="J518" i="6"/>
  <c r="J517" i="6"/>
  <c r="J516" i="6"/>
  <c r="J515" i="6"/>
  <c r="J514" i="6"/>
  <c r="J513" i="6"/>
  <c r="J512" i="6"/>
  <c r="J511" i="6"/>
  <c r="J510" i="6"/>
  <c r="J509" i="6"/>
  <c r="J508" i="6"/>
  <c r="J507" i="6"/>
  <c r="J506" i="6"/>
  <c r="J505" i="6"/>
  <c r="J504" i="6"/>
  <c r="J503" i="6"/>
  <c r="J502" i="6"/>
  <c r="J501" i="6"/>
  <c r="J500" i="6"/>
  <c r="J499" i="6"/>
  <c r="J498" i="6"/>
  <c r="J497" i="6"/>
  <c r="J496" i="6"/>
  <c r="J495" i="6"/>
  <c r="J494" i="6"/>
  <c r="J493" i="6"/>
  <c r="J492" i="6"/>
  <c r="J491" i="6"/>
  <c r="J490" i="6"/>
  <c r="J489" i="6"/>
  <c r="J488" i="6"/>
  <c r="J487" i="6"/>
  <c r="J486" i="6"/>
  <c r="J485" i="6"/>
  <c r="J484" i="6"/>
  <c r="J483" i="6"/>
  <c r="J482" i="6"/>
  <c r="J481" i="6"/>
  <c r="J480" i="6"/>
  <c r="J479" i="6"/>
  <c r="J478" i="6"/>
  <c r="J477" i="6"/>
  <c r="J476" i="6"/>
  <c r="J475" i="6"/>
  <c r="J474" i="6"/>
  <c r="J473" i="6"/>
  <c r="J472" i="6"/>
  <c r="J471" i="6"/>
  <c r="J470" i="6"/>
  <c r="J469" i="6"/>
  <c r="J468" i="6"/>
  <c r="J467" i="6"/>
  <c r="J466" i="6"/>
  <c r="J465" i="6"/>
  <c r="J464" i="6"/>
  <c r="J463" i="6"/>
  <c r="J462" i="6"/>
  <c r="J461" i="6"/>
  <c r="J460" i="6"/>
  <c r="J459" i="6"/>
  <c r="J458" i="6"/>
  <c r="J457" i="6"/>
  <c r="J456" i="6"/>
  <c r="J455" i="6"/>
  <c r="J454" i="6"/>
  <c r="J453" i="6"/>
  <c r="J452" i="6"/>
  <c r="J451" i="6"/>
  <c r="J450" i="6"/>
  <c r="J449" i="6"/>
  <c r="J448" i="6"/>
  <c r="J447" i="6"/>
  <c r="J446" i="6"/>
  <c r="J445" i="6"/>
  <c r="J444" i="6"/>
  <c r="J443" i="6"/>
  <c r="J442" i="6"/>
  <c r="J441" i="6"/>
  <c r="J440" i="6"/>
  <c r="J439" i="6"/>
  <c r="J438" i="6"/>
  <c r="J437" i="6"/>
  <c r="J436" i="6"/>
  <c r="J435" i="6"/>
  <c r="J434" i="6"/>
  <c r="J433" i="6"/>
  <c r="J432" i="6"/>
  <c r="J431" i="6"/>
  <c r="J430" i="6"/>
  <c r="J429" i="6"/>
  <c r="J428" i="6"/>
  <c r="J427" i="6"/>
  <c r="J426" i="6"/>
  <c r="J425" i="6"/>
  <c r="J424" i="6"/>
  <c r="J423" i="6"/>
  <c r="J422" i="6"/>
  <c r="J421" i="6"/>
  <c r="J420" i="6"/>
  <c r="J419" i="6"/>
  <c r="J418" i="6"/>
  <c r="J417" i="6"/>
  <c r="J416" i="6"/>
  <c r="J415" i="6"/>
  <c r="J414" i="6"/>
  <c r="J413" i="6"/>
  <c r="J412" i="6"/>
  <c r="J411" i="6"/>
  <c r="J410" i="6"/>
  <c r="J409" i="6"/>
  <c r="J408" i="6"/>
  <c r="J407" i="6"/>
  <c r="J406" i="6"/>
  <c r="J405" i="6"/>
  <c r="J404" i="6"/>
  <c r="J403" i="6"/>
  <c r="J402" i="6"/>
  <c r="J401" i="6"/>
  <c r="J400" i="6"/>
  <c r="J399" i="6"/>
  <c r="J398" i="6"/>
  <c r="J397" i="6"/>
  <c r="J396" i="6"/>
  <c r="J395" i="6"/>
  <c r="J394" i="6"/>
  <c r="J393" i="6"/>
  <c r="J392" i="6"/>
  <c r="J391" i="6"/>
  <c r="J390" i="6"/>
  <c r="J389" i="6"/>
  <c r="J388" i="6"/>
  <c r="J387" i="6"/>
  <c r="J386" i="6"/>
  <c r="J385" i="6"/>
  <c r="J384" i="6"/>
  <c r="J383" i="6"/>
  <c r="J382" i="6"/>
  <c r="J381" i="6"/>
  <c r="J380" i="6"/>
  <c r="J379" i="6"/>
  <c r="J378" i="6"/>
  <c r="J377" i="6"/>
  <c r="J376" i="6"/>
  <c r="J375" i="6"/>
  <c r="J374" i="6"/>
  <c r="J373" i="6"/>
  <c r="J372" i="6"/>
  <c r="J371" i="6"/>
  <c r="J370" i="6"/>
  <c r="J369" i="6"/>
  <c r="J368" i="6"/>
  <c r="J367" i="6"/>
  <c r="J366" i="6"/>
  <c r="J365" i="6"/>
  <c r="J364" i="6"/>
  <c r="J363" i="6"/>
  <c r="J362" i="6"/>
  <c r="J361" i="6"/>
  <c r="J360" i="6"/>
  <c r="J359" i="6"/>
  <c r="J358" i="6"/>
  <c r="J357" i="6"/>
  <c r="J356" i="6"/>
  <c r="J355" i="6"/>
  <c r="J354" i="6"/>
  <c r="J353" i="6"/>
  <c r="J352" i="6"/>
  <c r="J351" i="6"/>
  <c r="J350" i="6"/>
  <c r="J349" i="6"/>
  <c r="J348" i="6"/>
  <c r="J347" i="6"/>
  <c r="J346" i="6"/>
  <c r="J345" i="6"/>
  <c r="J344" i="6"/>
  <c r="J343" i="6"/>
  <c r="J342" i="6"/>
  <c r="J341" i="6"/>
  <c r="J340" i="6"/>
  <c r="J339" i="6"/>
  <c r="J338" i="6"/>
  <c r="J337" i="6"/>
  <c r="J336" i="6"/>
  <c r="J335" i="6"/>
  <c r="J334" i="6"/>
  <c r="J333" i="6"/>
  <c r="J332" i="6"/>
  <c r="J331" i="6"/>
  <c r="J330" i="6"/>
  <c r="J329" i="6"/>
  <c r="J328" i="6"/>
  <c r="J327" i="6"/>
  <c r="J326" i="6"/>
  <c r="J325" i="6"/>
  <c r="J324" i="6"/>
  <c r="J323" i="6"/>
  <c r="J322" i="6"/>
  <c r="J321" i="6"/>
  <c r="J320" i="6"/>
  <c r="J319" i="6"/>
  <c r="J318" i="6"/>
  <c r="J317" i="6"/>
  <c r="J316" i="6"/>
  <c r="J315" i="6"/>
  <c r="J314" i="6"/>
  <c r="J313" i="6"/>
  <c r="J312" i="6"/>
  <c r="J311" i="6"/>
  <c r="J310" i="6"/>
  <c r="J309" i="6"/>
  <c r="J308" i="6"/>
  <c r="J307" i="6"/>
  <c r="J306" i="6"/>
  <c r="J305" i="6"/>
  <c r="J304" i="6"/>
  <c r="J303" i="6"/>
  <c r="J302" i="6"/>
  <c r="J301" i="6"/>
  <c r="J300" i="6"/>
  <c r="J299" i="6"/>
  <c r="J298" i="6"/>
  <c r="J297" i="6"/>
  <c r="J296" i="6"/>
  <c r="J295" i="6"/>
  <c r="J294" i="6"/>
  <c r="J293" i="6"/>
  <c r="J292" i="6"/>
  <c r="J291" i="6"/>
  <c r="J290" i="6"/>
  <c r="J289" i="6"/>
  <c r="J288" i="6"/>
  <c r="J287" i="6"/>
  <c r="J286" i="6"/>
  <c r="J285" i="6"/>
  <c r="J284" i="6"/>
  <c r="J283" i="6"/>
  <c r="J282" i="6"/>
  <c r="J281" i="6"/>
  <c r="J280" i="6"/>
  <c r="J279" i="6"/>
  <c r="J278" i="6"/>
  <c r="J277" i="6"/>
  <c r="J276" i="6"/>
  <c r="J275" i="6"/>
  <c r="J274" i="6"/>
  <c r="J273" i="6"/>
  <c r="J272" i="6"/>
  <c r="J271" i="6"/>
  <c r="J270" i="6"/>
  <c r="J269" i="6"/>
  <c r="J268" i="6"/>
  <c r="J267" i="6"/>
  <c r="J266" i="6"/>
  <c r="J265" i="6"/>
  <c r="J264" i="6"/>
  <c r="J263" i="6"/>
  <c r="J262" i="6"/>
  <c r="J261" i="6"/>
  <c r="J260" i="6"/>
  <c r="J259" i="6"/>
  <c r="J258" i="6"/>
  <c r="J257" i="6"/>
  <c r="J256" i="6"/>
  <c r="J255" i="6"/>
  <c r="J254" i="6"/>
  <c r="J253" i="6"/>
  <c r="J252" i="6"/>
  <c r="J251" i="6"/>
  <c r="J250" i="6"/>
  <c r="J249" i="6"/>
  <c r="J248" i="6"/>
  <c r="J247" i="6"/>
  <c r="J246" i="6"/>
  <c r="J245" i="6"/>
  <c r="J244" i="6"/>
  <c r="J243" i="6"/>
  <c r="J242" i="6"/>
  <c r="J241" i="6"/>
  <c r="J240" i="6"/>
  <c r="J239" i="6"/>
  <c r="J238" i="6"/>
  <c r="J237" i="6"/>
  <c r="J236" i="6"/>
  <c r="J235" i="6"/>
  <c r="J234" i="6"/>
  <c r="J233" i="6"/>
  <c r="J232" i="6"/>
  <c r="J231" i="6"/>
  <c r="J230" i="6"/>
  <c r="J229" i="6"/>
  <c r="J228" i="6"/>
  <c r="J227" i="6"/>
  <c r="J226" i="6"/>
  <c r="J225" i="6"/>
  <c r="J224" i="6"/>
  <c r="J223" i="6"/>
  <c r="J222" i="6"/>
  <c r="J221" i="6"/>
  <c r="J220" i="6"/>
  <c r="J219" i="6"/>
  <c r="J218" i="6"/>
  <c r="J217" i="6"/>
  <c r="J216" i="6"/>
  <c r="J215" i="6"/>
  <c r="J214" i="6"/>
  <c r="J213" i="6"/>
  <c r="J212" i="6"/>
  <c r="J211" i="6"/>
  <c r="J210" i="6"/>
  <c r="J209" i="6"/>
  <c r="J208" i="6"/>
  <c r="J207" i="6"/>
  <c r="J206" i="6"/>
  <c r="J205" i="6"/>
  <c r="J204" i="6"/>
  <c r="J203" i="6"/>
  <c r="J202" i="6"/>
  <c r="J201" i="6"/>
  <c r="J200" i="6"/>
  <c r="J199" i="6"/>
  <c r="J198" i="6"/>
  <c r="J197" i="6"/>
  <c r="J196" i="6"/>
  <c r="J195" i="6"/>
  <c r="J194" i="6"/>
  <c r="J193" i="6"/>
  <c r="J192" i="6"/>
  <c r="J191" i="6"/>
  <c r="J190" i="6"/>
  <c r="J189" i="6"/>
  <c r="J188" i="6"/>
  <c r="J187" i="6"/>
  <c r="J186" i="6"/>
  <c r="J185" i="6"/>
  <c r="J184" i="6"/>
  <c r="J183" i="6"/>
  <c r="J182" i="6"/>
  <c r="J181" i="6"/>
  <c r="J180" i="6"/>
  <c r="J179" i="6"/>
  <c r="J178" i="6"/>
  <c r="J177" i="6"/>
  <c r="J176" i="6"/>
  <c r="J175" i="6"/>
  <c r="J174" i="6"/>
  <c r="J173" i="6"/>
  <c r="J172" i="6"/>
  <c r="J171" i="6"/>
  <c r="J170" i="6"/>
  <c r="J169" i="6"/>
  <c r="J168" i="6"/>
  <c r="J167" i="6"/>
  <c r="J166" i="6"/>
  <c r="J165" i="6"/>
  <c r="J164" i="6"/>
  <c r="J163" i="6"/>
  <c r="J162" i="6"/>
  <c r="J161" i="6"/>
  <c r="J160" i="6"/>
  <c r="J159" i="6"/>
  <c r="J158" i="6"/>
  <c r="J157" i="6"/>
  <c r="J156" i="6"/>
  <c r="J155" i="6"/>
  <c r="J154" i="6"/>
  <c r="J153" i="6"/>
  <c r="J152" i="6"/>
  <c r="J1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J3" i="6"/>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alcChain>
</file>

<file path=xl/sharedStrings.xml><?xml version="1.0" encoding="utf-8"?>
<sst xmlns="http://schemas.openxmlformats.org/spreadsheetml/2006/main" count="15808" uniqueCount="3734">
  <si>
    <t>Borescope Market Analysis 202603 - Summary</t>
  </si>
  <si>
    <t>Brand</t>
  </si>
  <si>
    <t># of Listings</t>
  </si>
  <si>
    <t>Monthly Rev</t>
  </si>
  <si>
    <t>Monthly Units</t>
  </si>
  <si>
    <t>Monthly Rev Market Share %</t>
  </si>
  <si>
    <t>Price Per Unit</t>
  </si>
  <si>
    <t>Avg Rating</t>
  </si>
  <si>
    <t>Teslong</t>
  </si>
  <si>
    <t>DEPSTECH</t>
  </si>
  <si>
    <t>Kinpthy</t>
  </si>
  <si>
    <t>VEVOR</t>
  </si>
  <si>
    <t>DXZtoz</t>
  </si>
  <si>
    <t>anysun</t>
  </si>
  <si>
    <t>Sanyipace</t>
  </si>
  <si>
    <t>Ralcam</t>
  </si>
  <si>
    <t>Anykit</t>
  </si>
  <si>
    <t>Daxiongmao</t>
  </si>
  <si>
    <t>Acoath</t>
  </si>
  <si>
    <t>KLEIN TOOLS</t>
  </si>
  <si>
    <t>TGJOR</t>
  </si>
  <si>
    <t>ChoosePRO</t>
  </si>
  <si>
    <t>Elecshion</t>
  </si>
  <si>
    <t>JQKJCAM</t>
  </si>
  <si>
    <t>NIDAGE</t>
  </si>
  <si>
    <t>FOXWELL</t>
  </si>
  <si>
    <t>AukonVee</t>
  </si>
  <si>
    <t>ONDASHCAM</t>
  </si>
  <si>
    <t>Ferdiiz</t>
  </si>
  <si>
    <t>ESANHAO</t>
  </si>
  <si>
    <t>epicmate</t>
  </si>
  <si>
    <t>WINWEND</t>
  </si>
  <si>
    <t>T TAKMLY</t>
  </si>
  <si>
    <t>JINXINEBAY</t>
  </si>
  <si>
    <t>PAPIBLU</t>
  </si>
  <si>
    <t>Innova</t>
  </si>
  <si>
    <t>KAIWEETS</t>
  </si>
  <si>
    <t>SKYBASIC</t>
  </si>
  <si>
    <t>BESTISAN</t>
  </si>
  <si>
    <t>Hialemi</t>
  </si>
  <si>
    <t>SYANSPAN</t>
  </si>
  <si>
    <t>Ennovor</t>
  </si>
  <si>
    <t>Gatebig</t>
  </si>
  <si>
    <t>SYOWNFS</t>
  </si>
  <si>
    <t>Vafafinder</t>
  </si>
  <si>
    <t>Vorth</t>
  </si>
  <si>
    <t>MugEasy</t>
  </si>
  <si>
    <t>ZELCAN</t>
  </si>
  <si>
    <t>Zorlet</t>
  </si>
  <si>
    <t>Lightswim</t>
  </si>
  <si>
    <t>okk</t>
  </si>
  <si>
    <t>VIVIDIA</t>
  </si>
  <si>
    <t>zealtron</t>
  </si>
  <si>
    <t>ILIHOME</t>
  </si>
  <si>
    <t>Ditomil</t>
  </si>
  <si>
    <t>HBUDS</t>
  </si>
  <si>
    <t>CTEOUNPT</t>
  </si>
  <si>
    <t>FDGSAB</t>
  </si>
  <si>
    <t>EIXAUP</t>
  </si>
  <si>
    <t>FFXET</t>
  </si>
  <si>
    <t>KCapyn</t>
  </si>
  <si>
    <t>Oiiwak</t>
  </si>
  <si>
    <t>Autel</t>
  </si>
  <si>
    <t>SCOPIX</t>
  </si>
  <si>
    <t>Holdwell S</t>
  </si>
  <si>
    <t>COOVIE</t>
  </si>
  <si>
    <t>GAMWATER</t>
  </si>
  <si>
    <t>KEEMIKA</t>
  </si>
  <si>
    <t>TURN RAISE</t>
  </si>
  <si>
    <t>SPRIDRAIN</t>
  </si>
  <si>
    <t>FishPro</t>
  </si>
  <si>
    <t>EASTBEAR</t>
  </si>
  <si>
    <t>Seenezader</t>
  </si>
  <si>
    <t>UJOYOK</t>
  </si>
  <si>
    <t>GinoCaco</t>
  </si>
  <si>
    <t>Yamokizy</t>
  </si>
  <si>
    <t>LumenScope</t>
  </si>
  <si>
    <t>BlessFly</t>
  </si>
  <si>
    <t>Milwaukee</t>
  </si>
  <si>
    <t>PRANITE</t>
  </si>
  <si>
    <t>mucar</t>
  </si>
  <si>
    <t>Danculpe</t>
  </si>
  <si>
    <t>Festisoul</t>
  </si>
  <si>
    <t>RIDGID</t>
  </si>
  <si>
    <t>AUTOOL</t>
  </si>
  <si>
    <t>LAUNCH</t>
  </si>
  <si>
    <t>Level Up Auto</t>
  </si>
  <si>
    <t>Boresoeil</t>
  </si>
  <si>
    <t>Jeseral</t>
  </si>
  <si>
    <t>ZOIOT</t>
  </si>
  <si>
    <t>pemamnov</t>
  </si>
  <si>
    <t>CMRVBNQ</t>
  </si>
  <si>
    <t>AMYLAC</t>
  </si>
  <si>
    <t>CARPDIM</t>
  </si>
  <si>
    <t>KOMSHINE</t>
  </si>
  <si>
    <t>Klaray</t>
  </si>
  <si>
    <t>ZEENSUY</t>
  </si>
  <si>
    <t>SAIVXIAN</t>
  </si>
  <si>
    <t>SIBOST</t>
  </si>
  <si>
    <t>HertzEagle</t>
  </si>
  <si>
    <t>KIRFEIHT</t>
  </si>
  <si>
    <t>Generic</t>
  </si>
  <si>
    <t>wohuole</t>
  </si>
  <si>
    <t>WANAWONG K</t>
  </si>
  <si>
    <t>Liwogi</t>
  </si>
  <si>
    <t>KeFvoer</t>
  </si>
  <si>
    <t>ClarVise</t>
  </si>
  <si>
    <t>SVBONY</t>
  </si>
  <si>
    <t>PeachLeaf</t>
  </si>
  <si>
    <t>BlueFire</t>
  </si>
  <si>
    <t>TOPDC</t>
  </si>
  <si>
    <t>Cal-Van Tools</t>
  </si>
  <si>
    <t>Mrcartool</t>
  </si>
  <si>
    <t>Hopefox</t>
  </si>
  <si>
    <t>POLEDY</t>
  </si>
  <si>
    <t>thinkcar</t>
  </si>
  <si>
    <t>QiQiBaby</t>
  </si>
  <si>
    <t>Forbest</t>
  </si>
  <si>
    <t>T SHAREXE</t>
  </si>
  <si>
    <t>gogolux</t>
  </si>
  <si>
    <t>Nfutreon</t>
  </si>
  <si>
    <t>HANMATEK</t>
  </si>
  <si>
    <t>Walfront</t>
  </si>
  <si>
    <t>GearView</t>
  </si>
  <si>
    <t>Milwoukee</t>
  </si>
  <si>
    <t>FBLFOBELI</t>
  </si>
  <si>
    <t>Pilarmuture</t>
  </si>
  <si>
    <t>ZZQIN</t>
  </si>
  <si>
    <t>Ulefone</t>
  </si>
  <si>
    <t>WOSHIJIE</t>
  </si>
  <si>
    <t>ExploreHorizon</t>
  </si>
  <si>
    <t>TLMUSE</t>
  </si>
  <si>
    <t>Jonard Tools</t>
  </si>
  <si>
    <t>LANTOTEK</t>
  </si>
  <si>
    <t>Sunvasagoo</t>
  </si>
  <si>
    <t>NOUSV</t>
  </si>
  <si>
    <t>Pipirich</t>
  </si>
  <si>
    <t>Triplett</t>
  </si>
  <si>
    <t>ALIESTFDNO</t>
  </si>
  <si>
    <t>Hyuduo</t>
  </si>
  <si>
    <t>Luxonis</t>
  </si>
  <si>
    <t>VicSec</t>
  </si>
  <si>
    <t>XTOOL</t>
  </si>
  <si>
    <t>JSE</t>
  </si>
  <si>
    <t>JYTONE</t>
  </si>
  <si>
    <t>ludotline</t>
  </si>
  <si>
    <t>LUKZATEN</t>
  </si>
  <si>
    <t>MZYSKJ</t>
  </si>
  <si>
    <t>Anhendeler</t>
  </si>
  <si>
    <t>Stove Stoppaz</t>
  </si>
  <si>
    <t>Yiko</t>
  </si>
  <si>
    <t>LiebeWH</t>
  </si>
  <si>
    <t>ADvancore</t>
  </si>
  <si>
    <t>Binazon</t>
  </si>
  <si>
    <t>FANTRONICS</t>
  </si>
  <si>
    <t>CPI Products</t>
  </si>
  <si>
    <t>GODIAG</t>
  </si>
  <si>
    <t>MACMORE</t>
  </si>
  <si>
    <t>PLAYOCCAR</t>
  </si>
  <si>
    <t>Julaiwy</t>
  </si>
  <si>
    <t>BAOSHLA</t>
  </si>
  <si>
    <t>MR CARTOOL</t>
  </si>
  <si>
    <t>AMTorin</t>
  </si>
  <si>
    <t>MAIYIS</t>
  </si>
  <si>
    <t>Marhynchus</t>
  </si>
  <si>
    <t>Dearsee</t>
  </si>
  <si>
    <t>UNAZZUE</t>
  </si>
  <si>
    <t>SKYEAR</t>
  </si>
  <si>
    <t>THCLUS</t>
  </si>
  <si>
    <t>ToolVigyrx</t>
  </si>
  <si>
    <t>KAOLALI</t>
  </si>
  <si>
    <t>SXHELECOK</t>
  </si>
  <si>
    <t>Camii</t>
  </si>
  <si>
    <t>Supereyes</t>
  </si>
  <si>
    <t>OnBeam</t>
  </si>
  <si>
    <t>medclimber</t>
  </si>
  <si>
    <t>SIUKE</t>
  </si>
  <si>
    <t>AKaSping</t>
  </si>
  <si>
    <t>General Tools</t>
  </si>
  <si>
    <t>Preciva</t>
  </si>
  <si>
    <t>StrongTools</t>
  </si>
  <si>
    <t>Extech</t>
  </si>
  <si>
    <t>DynamiKsounds</t>
  </si>
  <si>
    <t>Luqeeg</t>
  </si>
  <si>
    <t>JINMEI</t>
  </si>
  <si>
    <t>Hayve</t>
  </si>
  <si>
    <t>LAUREII</t>
  </si>
  <si>
    <t>YZQMGCXG</t>
  </si>
  <si>
    <t>MATRIXCAMP</t>
  </si>
  <si>
    <t>Trizotek</t>
  </si>
  <si>
    <t>VNisenllc</t>
  </si>
  <si>
    <t>LSOSVSEU</t>
  </si>
  <si>
    <t>hyxghBU</t>
  </si>
  <si>
    <t>Asixxsix</t>
  </si>
  <si>
    <t>HOAYVKJ</t>
  </si>
  <si>
    <t>JIOTV</t>
  </si>
  <si>
    <t>Zooke</t>
  </si>
  <si>
    <t>UNIOJO</t>
  </si>
  <si>
    <t>BaiTTang</t>
  </si>
  <si>
    <t>LIIAMOAR</t>
  </si>
  <si>
    <t>HTENG VISHI</t>
  </si>
  <si>
    <t>EFUTONPRO</t>
  </si>
  <si>
    <t>KOOPOOL</t>
  </si>
  <si>
    <t>DEFLECTAIR</t>
  </si>
  <si>
    <t>Akozon</t>
  </si>
  <si>
    <t>MOTOCOCHE</t>
  </si>
  <si>
    <t>KozyOne</t>
  </si>
  <si>
    <t>KERUI</t>
  </si>
  <si>
    <t>Suntony</t>
  </si>
  <si>
    <t>ELROTONEG</t>
  </si>
  <si>
    <t>Ddewing</t>
  </si>
  <si>
    <t>Hilitand</t>
  </si>
  <si>
    <t>HEAXIY</t>
  </si>
  <si>
    <t>gzpce</t>
  </si>
  <si>
    <t>Performance Tool</t>
  </si>
  <si>
    <t>Twxfzl</t>
  </si>
  <si>
    <t>MEIBAOGE</t>
  </si>
  <si>
    <t>DTVSUBS</t>
  </si>
  <si>
    <t>Yuecoom</t>
  </si>
  <si>
    <t>Smartfly info</t>
  </si>
  <si>
    <t>GuliTech</t>
  </si>
  <si>
    <t>AURTEC</t>
  </si>
  <si>
    <t>Willsily</t>
  </si>
  <si>
    <t>Jebousike</t>
  </si>
  <si>
    <t>CaseSack</t>
  </si>
  <si>
    <t>iiazimps</t>
  </si>
  <si>
    <t>Sunicon</t>
  </si>
  <si>
    <t>Ymiko</t>
  </si>
  <si>
    <t>medetayi</t>
  </si>
  <si>
    <t>Vornetil</t>
  </si>
  <si>
    <t>CYTGOUPER</t>
  </si>
  <si>
    <t>Lixada</t>
  </si>
  <si>
    <t>VELATEMOR</t>
  </si>
  <si>
    <t>FOLOSAFENAR</t>
  </si>
  <si>
    <t>Milltrip</t>
  </si>
  <si>
    <t>Kircuit</t>
  </si>
  <si>
    <t>OKUBOX</t>
  </si>
  <si>
    <t>HOERCAAL</t>
  </si>
  <si>
    <t>Mephwiuo</t>
  </si>
  <si>
    <t>BNYTXV</t>
  </si>
  <si>
    <t>UNI-T</t>
  </si>
  <si>
    <t>bopopo</t>
  </si>
  <si>
    <t>lvifloae</t>
  </si>
  <si>
    <t>Tiansiao</t>
  </si>
  <si>
    <t>Sweet taize</t>
  </si>
  <si>
    <t>MagnetPAL</t>
  </si>
  <si>
    <t>DIKHEE</t>
  </si>
  <si>
    <t>LotaTools</t>
  </si>
  <si>
    <t>Oumefar</t>
  </si>
  <si>
    <t>Dpofirs</t>
  </si>
  <si>
    <t>Heayzoki</t>
  </si>
  <si>
    <t>Maoershan</t>
  </si>
  <si>
    <t>beertoy</t>
  </si>
  <si>
    <t>GreceYou</t>
  </si>
  <si>
    <t>SUNGOOYUE</t>
  </si>
  <si>
    <t>YUELER</t>
  </si>
  <si>
    <t>YINCORD</t>
  </si>
  <si>
    <t>HUIOP</t>
  </si>
  <si>
    <t>QWQJ</t>
  </si>
  <si>
    <t>CHEOTIME</t>
  </si>
  <si>
    <t>Yunseity</t>
  </si>
  <si>
    <t>Raguso</t>
  </si>
  <si>
    <t>iW899Bytto</t>
  </si>
  <si>
    <t>SereneLife</t>
  </si>
  <si>
    <t>Bifrgmy</t>
  </si>
  <si>
    <t>EmbraceYe</t>
  </si>
  <si>
    <t>AOPICK</t>
  </si>
  <si>
    <t>Zerone</t>
  </si>
  <si>
    <t>BusoTh</t>
  </si>
  <si>
    <t>KUUAUX</t>
  </si>
  <si>
    <t>Fydun</t>
  </si>
  <si>
    <t>Yoidesu</t>
  </si>
  <si>
    <t>Respicefinem</t>
  </si>
  <si>
    <t>Salaty</t>
  </si>
  <si>
    <t>BoxWave</t>
  </si>
  <si>
    <t>Jadeshay</t>
  </si>
  <si>
    <t>Yosoo Health Gear</t>
  </si>
  <si>
    <t>Amailtom</t>
  </si>
  <si>
    <t>ihreesy</t>
  </si>
  <si>
    <t>Pilipane</t>
  </si>
  <si>
    <t>Airshi</t>
  </si>
  <si>
    <t>SG Store</t>
  </si>
  <si>
    <t>BYDGUMEI</t>
  </si>
  <si>
    <t>GUY-TECH</t>
  </si>
  <si>
    <t>KOHUIPU</t>
  </si>
  <si>
    <t>axGear</t>
  </si>
  <si>
    <t>DIIOOMIEEU</t>
  </si>
  <si>
    <t>MAJIAOFANG</t>
  </si>
  <si>
    <t>PETCHOR</t>
  </si>
  <si>
    <t>GAOSHA</t>
  </si>
  <si>
    <t>IPG</t>
  </si>
  <si>
    <t>Eujgoov</t>
  </si>
  <si>
    <t>Douevo</t>
  </si>
  <si>
    <t>NSKI</t>
  </si>
  <si>
    <t>SING F LTD</t>
  </si>
  <si>
    <t>DazzyD</t>
  </si>
  <si>
    <t>onerbl</t>
  </si>
  <si>
    <t>KONKIN BOO</t>
  </si>
  <si>
    <t>FTVOGUE</t>
  </si>
  <si>
    <t>Ubxvamm</t>
  </si>
  <si>
    <t>ioseecj</t>
  </si>
  <si>
    <t>Basyurity</t>
  </si>
  <si>
    <t>Topyond</t>
  </si>
  <si>
    <t>Unknown</t>
  </si>
  <si>
    <t>zatagen</t>
  </si>
  <si>
    <t>Wohler</t>
  </si>
  <si>
    <t>wengjack</t>
  </si>
  <si>
    <t>weapengsen</t>
  </si>
  <si>
    <t>visiPower</t>
  </si>
  <si>
    <t>YDuupxe</t>
  </si>
  <si>
    <t>VISIOPROBE</t>
  </si>
  <si>
    <t>YWBL-WH</t>
  </si>
  <si>
    <t>prabensei</t>
  </si>
  <si>
    <t>UrbanHui</t>
  </si>
  <si>
    <t>Sunydog</t>
  </si>
  <si>
    <t>THE PERFECT PART</t>
  </si>
  <si>
    <t>aqxreight</t>
  </si>
  <si>
    <t>Unifizz</t>
  </si>
  <si>
    <t>Yosoo</t>
  </si>
  <si>
    <t>ZDETGU</t>
  </si>
  <si>
    <t>ZGHQHCDRH</t>
  </si>
  <si>
    <t>UDBU</t>
  </si>
  <si>
    <t>Zerodis</t>
  </si>
  <si>
    <t>aokiinn</t>
  </si>
  <si>
    <t>WILDERNESSHOME</t>
  </si>
  <si>
    <t>WAYVOSE</t>
  </si>
  <si>
    <t>WGear</t>
  </si>
  <si>
    <t>3T6B</t>
  </si>
  <si>
    <t>SumKea</t>
  </si>
  <si>
    <t>Gernie</t>
  </si>
  <si>
    <t>EIMSOAH</t>
  </si>
  <si>
    <t>ERYUE</t>
  </si>
  <si>
    <t>FHISD</t>
  </si>
  <si>
    <t>Fafeicy</t>
  </si>
  <si>
    <t>FeiYeup</t>
  </si>
  <si>
    <t>Flyrivergo</t>
  </si>
  <si>
    <t>Futchoy</t>
  </si>
  <si>
    <t>GAOMON</t>
  </si>
  <si>
    <t>GEYOPMID</t>
  </si>
  <si>
    <t>GOLDEN BLUE</t>
  </si>
  <si>
    <t>Gugxiom</t>
  </si>
  <si>
    <t>StarNY</t>
  </si>
  <si>
    <t>HCYHSLH</t>
  </si>
  <si>
    <t>HGIYA</t>
  </si>
  <si>
    <t>HHIP</t>
  </si>
  <si>
    <t>HMWOKPOT</t>
  </si>
  <si>
    <t>Hamwesh</t>
  </si>
  <si>
    <t>Happybuy</t>
  </si>
  <si>
    <t>InvRio10ML</t>
  </si>
  <si>
    <t>Irosiy</t>
  </si>
  <si>
    <t>JOSKAA</t>
  </si>
  <si>
    <t>Jopwkuin</t>
  </si>
  <si>
    <t>Dodoam</t>
  </si>
  <si>
    <t>Dino-Lite</t>
  </si>
  <si>
    <t>Denpetec</t>
  </si>
  <si>
    <t>Ddkxndb</t>
  </si>
  <si>
    <t>ACAGALA</t>
  </si>
  <si>
    <t>ADBEN</t>
  </si>
  <si>
    <t>AOERWEI</t>
  </si>
  <si>
    <t>AYNEFY</t>
  </si>
  <si>
    <t>Acekool</t>
  </si>
  <si>
    <t>Acrbiutu</t>
  </si>
  <si>
    <t>Aprafie</t>
  </si>
  <si>
    <t>Auttoop</t>
  </si>
  <si>
    <t>BENBOR</t>
  </si>
  <si>
    <t>BINBINNIAO</t>
  </si>
  <si>
    <t>Bewinner</t>
  </si>
  <si>
    <t>Broaden your eyes</t>
  </si>
  <si>
    <t>CCYLEZ</t>
  </si>
  <si>
    <t>CHICIRIS</t>
  </si>
  <si>
    <t>COMOAEW</t>
  </si>
  <si>
    <t>Caruner</t>
  </si>
  <si>
    <t>ChuyTrading</t>
  </si>
  <si>
    <t>Comstex</t>
  </si>
  <si>
    <t>Cuifati</t>
  </si>
  <si>
    <t>DIMITU</t>
  </si>
  <si>
    <t>DYTesa</t>
  </si>
  <si>
    <t>JzcsdkSIL</t>
  </si>
  <si>
    <t>K Tool International</t>
  </si>
  <si>
    <t>KAPRO</t>
  </si>
  <si>
    <t>NIHUIFA</t>
  </si>
  <si>
    <t>Natudeco</t>
  </si>
  <si>
    <t>OMNIHIL</t>
  </si>
  <si>
    <t>ONEUNG</t>
  </si>
  <si>
    <t>Oumij1</t>
  </si>
  <si>
    <t>PCE Instruments</t>
  </si>
  <si>
    <t>PKPOWER</t>
  </si>
  <si>
    <t>Powerwill</t>
  </si>
  <si>
    <t>Probe360</t>
  </si>
  <si>
    <t>QIUFANGM</t>
  </si>
  <si>
    <t>QPKING</t>
  </si>
  <si>
    <t>Qiilu</t>
  </si>
  <si>
    <t>RAINPOT</t>
  </si>
  <si>
    <t>ROYALEAD</t>
  </si>
  <si>
    <t>SMARTKLIK</t>
  </si>
  <si>
    <t>Saker</t>
  </si>
  <si>
    <t>Sanpyl</t>
  </si>
  <si>
    <t>Serounder</t>
  </si>
  <si>
    <t>SmartFly info</t>
  </si>
  <si>
    <t>Solar Eclipse</t>
  </si>
  <si>
    <t>Soufyuane</t>
  </si>
  <si>
    <t>Splenssy</t>
  </si>
  <si>
    <t>Naroote</t>
  </si>
  <si>
    <t>NGCG</t>
  </si>
  <si>
    <t>KIMISS</t>
  </si>
  <si>
    <t>NDNCZDHC</t>
  </si>
  <si>
    <t>KIMORE</t>
  </si>
  <si>
    <t>KPfaster</t>
  </si>
  <si>
    <t>L LIMINK</t>
  </si>
  <si>
    <t>LANRU</t>
  </si>
  <si>
    <t>LOUBOL</t>
  </si>
  <si>
    <t>LQMEILI</t>
  </si>
  <si>
    <t>LZKW</t>
  </si>
  <si>
    <t>Larlarsa</t>
  </si>
  <si>
    <t>Launch Tech USA</t>
  </si>
  <si>
    <t>Leipan</t>
  </si>
  <si>
    <t>4UCAM EXTEND YOUR VISION</t>
  </si>
  <si>
    <t>Luejnbogty</t>
  </si>
  <si>
    <t>Lumiscp</t>
  </si>
  <si>
    <t>Luocute</t>
  </si>
  <si>
    <t>Lyman</t>
  </si>
  <si>
    <t>MASO</t>
  </si>
  <si>
    <t>MeetChanning</t>
  </si>
  <si>
    <t>MekUk</t>
  </si>
  <si>
    <t>MeterTo</t>
  </si>
  <si>
    <t>Moman</t>
  </si>
  <si>
    <t>Mulcort</t>
  </si>
  <si>
    <t>Total</t>
  </si>
  <si>
    <t>Borescope Market Analysis 202603 - Top 50 Revenue</t>
  </si>
  <si>
    <t>ASIN</t>
  </si>
  <si>
    <t>Title</t>
  </si>
  <si>
    <t>Type</t>
  </si>
  <si>
    <t>Price</t>
  </si>
  <si>
    <t># of Reviews</t>
  </si>
  <si>
    <t>Link</t>
  </si>
  <si>
    <t>2/4-way</t>
  </si>
  <si>
    <t>Display</t>
  </si>
  <si>
    <t>Lens Diameter</t>
  </si>
  <si>
    <t>Lens Count</t>
  </si>
  <si>
    <t>Cable Length</t>
  </si>
  <si>
    <t>B0CJY5C9QX</t>
  </si>
  <si>
    <t>Teslong Two-Way Articulating Borescope with Light, Industrial Endoscope Inspection Camera with Articulated Probe, Flexible Mechanic Fiber Optic Snake Scope Cam for Wall Automotive Engine Inspect-5FT</t>
  </si>
  <si>
    <t>Articulation</t>
  </si>
  <si>
    <t>2-way</t>
  </si>
  <si>
    <t>4.5"</t>
  </si>
  <si>
    <t>8mm</t>
  </si>
  <si>
    <t>Single</t>
  </si>
  <si>
    <t>5ft</t>
  </si>
  <si>
    <t>B0C9JR3N4W</t>
  </si>
  <si>
    <t>Endoscope Camera with Light,1920P HD Borescope Tools with 8 Adjustable LED Lights, Endoscope with Semi-Rigid Snake Camera, IP67 Waterproof Inspection Borescope for iOS and Android-16.4ft Dual-Lens</t>
  </si>
  <si>
    <t>USB</t>
  </si>
  <si>
    <t>App</t>
  </si>
  <si>
    <t>Dual</t>
  </si>
  <si>
    <t>16.5ft</t>
  </si>
  <si>
    <t>B0B28HRSBP</t>
  </si>
  <si>
    <t>DXZtoz Two-Way Articulating Borescope with Light, Video Industrial Endoscope Inspection Camera with 0.33in Articulated Scope for Engine Automotive Aircraft Mechanics- 5.5FT</t>
  </si>
  <si>
    <t>4.3"</t>
  </si>
  <si>
    <t>8.5mm</t>
  </si>
  <si>
    <t>5.5ft</t>
  </si>
  <si>
    <t>B0DT4H7QQM</t>
  </si>
  <si>
    <t>Teslong Two-Way Articulating Borescope, 5.5mm Slim Probe, 5.0'' Industrial Endoscope with Light, 5FT Flexible Snake Scope for Automotive, HVAC &amp; Mechanics</t>
  </si>
  <si>
    <t>5.0"</t>
  </si>
  <si>
    <t>5.5mm</t>
  </si>
  <si>
    <t>B0CJY6SWBN</t>
  </si>
  <si>
    <t>Articulating Borescope with Dual Lens Endoscope Camera, Teslong Two-Way Articulated Industrial Inspection Camera with LED Light, Flexible Mechanic Fiber Optic Snake Scope Cam for Wall Automotive-5FT</t>
  </si>
  <si>
    <t>B0C4V5LWWL</t>
  </si>
  <si>
    <t>Endoscope Camera with Light, 1920P HD Borescope Tools with 8 Adjustable LED Lights, Endoscope with Semi-Rigid Snake Camera, Inspection Borescope for iOS and Android - 16.4ft Single Lens</t>
  </si>
  <si>
    <t>B07TV2BFVR</t>
  </si>
  <si>
    <t>Teslong Inspection Camera, Dual Lens Borescope Camera with Light, NTS300 5" IPS Industrial Endoscope, 1080P Waterproof Flexible Mechanic Fiber Optic Snake Scope Cam for Wall Automotive Engine (16.5FT)</t>
  </si>
  <si>
    <t>Handheld</t>
  </si>
  <si>
    <t>B0BL7RK5JJ</t>
  </si>
  <si>
    <t>Triple Lens Endoscope Camera with Light, DEPSTECH 5" IPS Screen Endoscope Camera, 1080P Sewer Camera &amp; Split Screen, 180° Rotation, IP67 Snake Cable, 8 Lights, Gadget for Automotive Mechanical Repair</t>
  </si>
  <si>
    <t>Sewer camera</t>
  </si>
  <si>
    <t>Triple</t>
  </si>
  <si>
    <t>B0C3B32Q9Z</t>
  </si>
  <si>
    <t>DXZtoz Dual-Lens Articulating Borescope with Light, 5'' Screen Engine Endoscope Inspection Camera with 0.33in Articulated Snake Camera, 1080P Videoscope for Automotive Home Mechanics-5FT</t>
  </si>
  <si>
    <t>B0DD6YVBHD</t>
  </si>
  <si>
    <t>DEPSTECH 50ft Sewer Camera, 1080P HD Triple Lens Borescope, 5" IPS Screen Endoscope with Light, IP67 Waterproof Plumbing Drain Pipe Snake Inspection Camera with 32G Card, Carry Case</t>
  </si>
  <si>
    <t>Landscape</t>
  </si>
  <si>
    <t>50ft</t>
  </si>
  <si>
    <t>B0CLG67RHF</t>
  </si>
  <si>
    <t>Teslong 4-Way Articulating Borescope with Dual Lens Endoscope, 1080P HD Steerable Mechanic Inspection Camera with with LED Light, See in Wall Automotive Engine Scope(0.24inch-5FT)</t>
  </si>
  <si>
    <t>4-way</t>
  </si>
  <si>
    <t>6.0"</t>
  </si>
  <si>
    <t>6mm</t>
  </si>
  <si>
    <t>B0F62WJY8N</t>
  </si>
  <si>
    <t>DEPSTECH 10FT Articulating Endoscope Camera with Light: Dual Lens Industrial Borescope with 4.5" Screen and Flexible Cable, Video Inspection Snake Scope Camera Tool for Wall, Auto, Pipe, Mechanics</t>
  </si>
  <si>
    <t>10ft</t>
  </si>
  <si>
    <t>B0928Q3T42</t>
  </si>
  <si>
    <t>DEPSTECH Dual Lens Industrial Endoscope, 1080P Digital Borescope Inspection Camera, 7.9mm IP67 Waterproof Sewer Camera with 4.3" LCD Screen, 7 LED Lights, 16.5FT Semi-Rigid Cable, 32GB Card-Black</t>
  </si>
  <si>
    <t>B0CMCSGPJC</t>
  </si>
  <si>
    <t>[Dual-Lens] Endoscope Camera with Light, 1920P HD Borescope with 8+1 Adjustable LED Lights, IP67 Waterproof 16.5FT Semi-Rigid Snake Cord Inspection Camera for iPhone, iPad and Android Phone (Type C)</t>
  </si>
  <si>
    <t>B0FGJ8WVGP</t>
  </si>
  <si>
    <t>Anykit Articulating Borescope, 210° Two-Way 0.22in Slim Probe Endoscope with High-Brightness LED Lights, 4.3" IPS HD Video Inspection Snake Camera for Automotive Engine Inspect - 4FT</t>
  </si>
  <si>
    <t>4ft</t>
  </si>
  <si>
    <t>B0FKM8K5QX</t>
  </si>
  <si>
    <t>DEPSTECH Inspection Endoscope Camera with Lights: Triple Lens 5" IPS Screen Snake Camera with 16.5FT Flexible Cable, Waterproof 1080P Industrial Borescope Tool for Auto, Wall, Sewer, Pipe, Mechanics</t>
  </si>
  <si>
    <t>B0CHW4FLS7</t>
  </si>
  <si>
    <t>Articulating Borescope with Dual Lens Endoscope, Teslong 5-inch IPS Automotive Inspection Camera with Two-Way Articulation Tip, 6+1 LED Lights, Mechanics Fiber Optic Scope-Dia. 0.25 inch &amp; L 5.0 feet</t>
  </si>
  <si>
    <t>6.5mm</t>
  </si>
  <si>
    <t>B0CM3FBXJT</t>
  </si>
  <si>
    <t>VEVOR Sewer Inspection Camera, 300 ft/91.5 m, 9" Pipeline Camera w/DVR &amp; 512Hz Locator, IP68 Waterproof, 12 LEDs, 16 GB SD Card for Sewer, Drain &amp; Duct Pipe Plumbing</t>
  </si>
  <si>
    <t>9.0"</t>
  </si>
  <si>
    <t>23mm</t>
  </si>
  <si>
    <t>300ft</t>
  </si>
  <si>
    <t>B0DGGM7X88</t>
  </si>
  <si>
    <t>Dual Lens Endoscope Camera with Light, Teslong 4.3" HD Snake Borescope Inspection Camera, Automotive Scope Cam with Flexible Cable, Home Waterproof Fiber Optic for Sewer Drain Pipe (16.5FT)</t>
  </si>
  <si>
    <t>B0DK965BZP</t>
  </si>
  <si>
    <t>Teslong Endoscope Borescope with Light, Snake Inspection Camera for Automotive Engine, Waterproof Fiber Optic Camera for Mechanics - Ideal for Wall, Vent, Wire Video Scope (16.5FT)</t>
  </si>
  <si>
    <t>B0CLG4LHWP</t>
  </si>
  <si>
    <t>Teslong 3.9mm Two-Way Articulating Borescope with Light, 5-inch IPS Endoscope Inspection Camera with Articulated Probe, Flexible Automotive Mechanics Gadgets Fiber Optic Scope Cam-0.15inch</t>
  </si>
  <si>
    <t>3.9mm</t>
  </si>
  <si>
    <t>B0C3R381FC</t>
  </si>
  <si>
    <t>Daxiongmao Endoscope Camera with Light, 1080P HD Borescope, IP67 Waterproof Snake Camera – Ideal for Inspecting Walls, Vents, Automotive Engines, Pipes – A Great Gift Tool for Men (16.5ft)</t>
  </si>
  <si>
    <t>No camera</t>
  </si>
  <si>
    <t>B0FFGDMNSX</t>
  </si>
  <si>
    <t>𝟐𝟎𝟐𝟔 𝐧𝐞𝐰 9” Sewer Camera, HD 1080P w/DVR-32GB, [All-in-One Design with Magnetic Box] Drain Pipe Inspection Camera, [One Big Screw Unlock] Sewer Pipe Cam, 4500mAh, Cable Markers, 100ft/30m</t>
  </si>
  <si>
    <t>100ft</t>
  </si>
  <si>
    <t>B0DTHZDGYD</t>
  </si>
  <si>
    <t>Teslong 360 Articulating Borescope with Light, 5'' Monitor Industrial Inspection Camera with 4-Way Joystick Articulation, HD Endoscope Camera for Automotive, Pipes, and Mechanics (0.24inch-5FT)</t>
  </si>
  <si>
    <t>B0DWSKVF5H</t>
  </si>
  <si>
    <t>Endoscope Camera with Light: 5" 1080P HD Dual-Lens Inspection Borescope Camera for Sewer - 16.4ft Waterproof Industrial Endoscope - Flexible Snake Bore Scope for Plumbing Automotive</t>
  </si>
  <si>
    <t>B0DLDS8N7D</t>
  </si>
  <si>
    <t>Klein Tools ET19 Wi-Fi Pro Borescope with Dual-Lens, 5.5 mm 9.8-Foot Armored Waterproof Gooseneck Snake, LEDs, 4.3-Inch LCD, Endoscope Inspection</t>
  </si>
  <si>
    <t>9.8ft</t>
  </si>
  <si>
    <t>B0DNMJ1WWW</t>
  </si>
  <si>
    <t>VEVOR Sewer Camera, 98 ft/30m, Self-Leveling Drain Inspection Camera with 9" 1080P HD Screen, 36X Zoom, IP68 Waterproof Plumbing Camera with Lights-12 LED, 32GB Card Snake Camera for Duct Pipe</t>
  </si>
  <si>
    <t>98ft</t>
  </si>
  <si>
    <t>B082JCSB4Z</t>
  </si>
  <si>
    <t>Innova 3380 Automotive Borescope with Light, 2.7" Inspection Camera, 39" Extension, IP67 Waterproof Digital Scope</t>
  </si>
  <si>
    <t>2.4"</t>
  </si>
  <si>
    <t>B0FKH261T7</t>
  </si>
  <si>
    <t>Sewer Camera with 512Hz Transmitter, Self-Leveling Drain Camera 100ft with Meter Counter, 9" HD Plumbing Camera Snake with 12 LED Lights, 5100mAh Battery, IP68 Waterproof, 32GB DVR for Pipe Inspection</t>
  </si>
  <si>
    <t>B0FFT6SJHW</t>
  </si>
  <si>
    <t>Two-Way Articulating Borescope Camera with Light, 0.25in Slim Probe, Industrial Endoscope Inspection Camera with Light, 5.3FT Flexible Snake Scope for Automotive, HVAC and Aircraft Mechanics</t>
  </si>
  <si>
    <t>6.4mm</t>
  </si>
  <si>
    <t>5.3ft</t>
  </si>
  <si>
    <t>B0DGFBCH38</t>
  </si>
  <si>
    <t>Acoath Endoscope Camera with Light, Dual-Lens 1920P HD Borescope with 8 Adjustable LED Lights, IP67 Waterproof Boroscope Inspection Tools, 16.4ft Semi-Rigid Snake Camera for iOS &amp; Android</t>
  </si>
  <si>
    <t>B086X1XGN1</t>
  </si>
  <si>
    <t>Dual Lens Endoscope Camera with Light, Teslong 4.5" HD Snake Borescope Inspection Camera, Automotive Scope Cam with Flexible Cable, Home Waterproof Fiber Optic for Sewer Drain Pipe (16.5FT)</t>
  </si>
  <si>
    <t>B08519F2W9</t>
  </si>
  <si>
    <t>Teslong Inspection Camera, Dual Lens Borescope Camera with Light, NTS300 5" IPS Industrial Endoscope, 1080P Waterproof Flexible Mechanic Fiber Optic Snake Scope Cam for Wall Automotive Engine (3.3FT)</t>
  </si>
  <si>
    <t>3.3ft</t>
  </si>
  <si>
    <t>B0F1CXQ3YS</t>
  </si>
  <si>
    <t>Endoscope Camera with Light, 1920P HD Borescope Inspection Camera with 4.3" IPS Screen, AukonVee IP67 Waterproof with 8 LEDs &amp; 16.5ft Semi-Rigid Snake Camera for Automotive Pipe Tools Gadgets for Men</t>
  </si>
  <si>
    <t>B0DNFL72B5</t>
  </si>
  <si>
    <t>DXZtoz Dual-Lens Articulating Borescope with Light, 6.5mm Thin Articulated Industrial Endoscope Inspection Camera, 5'' Dual Screen HD Engine Scope for Aircraft Automotive Mechanic Electrician-5FT</t>
  </si>
  <si>
    <t>B0BXSMSS7M</t>
  </si>
  <si>
    <t>Daxiongmao Endoscope Camera with Light, 1080P HD Borescope with 8 Adjustable Lights, IP67 Waterproof Snake Camera, Ideal for Inspecting Walls, Vents, Automotive Engines, Pipes - Tool for Men (16.4 ft)</t>
  </si>
  <si>
    <t>B0D7PYRRKD</t>
  </si>
  <si>
    <t>Teslong 3.9mm 4-Way Articulating Borescope with Light, 6'' IPS Endoscope Inspection Camera with 360 Articulated Probe, Flexible Automotive Mechanics Gadgets Fiber Optic Scope Cam (0.15inch-5FT)</t>
  </si>
  <si>
    <t>B0F2H49C2D</t>
  </si>
  <si>
    <t>Teslong Two-Way Articulating Borescope with Light, USB-C Endoscope Inspection Camera with 5FT Semi-Rigid Probe, Flexible Snake Scope for Home Repair, Automotive, Compatible with iPhone 15/16 &amp; Android</t>
  </si>
  <si>
    <t>B0DSW1DKTZ</t>
  </si>
  <si>
    <t>Ralcam 360° Articulating Borescope Dual Lens, 5'' Joystick 4 Ways Industrial Endoscope Camera with Light, 6.5mm Slim Probe, 5.0FT Semi-Rigid Snake Inspection Camera for Automotive Mechanics</t>
  </si>
  <si>
    <t>B09ZV7KJHL</t>
  </si>
  <si>
    <t>Teslong Two-Way Articulating Borescope with Light, 5-inch IPS Endoscope Inspection Camera with Articulation Head, Automotive Mechanics Fiber Optic Scope-0.33inch</t>
  </si>
  <si>
    <t>B0DT16R78W</t>
  </si>
  <si>
    <t>DEPSTECH Dual Lens Two-Way Articulating Borescope Camera with Light, 4.5" Screen and 5FT Flexible Snake Scope Industrial Endoscope, Inspection Video Camera Tool for Wall, Engine, Auto, Mechanics</t>
  </si>
  <si>
    <t>B0CL4KT182</t>
  </si>
  <si>
    <t>Teslong 50FT USB-C Borescope Camera with Light, Only Compatible with iPhone 15/16/17 Android Phones, 50 ft Flexible Waterproof Endoscope for DIY Pipe Inspection with Drain Snake</t>
  </si>
  <si>
    <t>B0FLVB6GYH</t>
  </si>
  <si>
    <t>Sanyipace Sewer Camera with 512Hz Transmitter,10" Plumbing Camera with Distance Counter, IP68 Camera with 12 Adjustable LEDs,32GB DVR for Sewer Line,Home,Duct Drain Pipe Plumbing（100ft/30m,7mm Cable</t>
  </si>
  <si>
    <t>10.0"</t>
  </si>
  <si>
    <t>7mm</t>
  </si>
  <si>
    <t>B0C1GFBTDC</t>
  </si>
  <si>
    <t>USB C Endoscope Camera with Light, Teslong Type-C Snake Borescope Camera with 8 LED Lights, 10FT Flexible Waterproof Inspection Cam, Fiber Optic Scope Compatible with iPhone 15/16/17, Android Phone</t>
  </si>
  <si>
    <t>B0DNMGM6MH</t>
  </si>
  <si>
    <t>VEVOR Sewer Camera, 165 ft/50m, Self-Leveling Drain Camera with 512Hz Transmitter, Distance Counter, 9" Screen 1080P HD Snake Plumbing Cameras with Lights-12 LED &amp; 32GB Card for Duct Pipe</t>
  </si>
  <si>
    <t>165ft</t>
  </si>
  <si>
    <t>B0D54NQWZH</t>
  </si>
  <si>
    <t>Klein Tools ET17 Utility Borescope with 5.5 mm 9.8-Foot Waterproof Gooseneck Snake, LEDs, 4.3-Inch LCD, Attachments, Endoscope Inspection Camera</t>
  </si>
  <si>
    <t>B0CZHT2VHS</t>
  </si>
  <si>
    <t>Endoscope Camera with Light, 1920P HD Borescope with 8 Adjustable LED Lights, 16.4ft Semi-Rigid Snake Camera, IP67 Waterproof 7.9mm Inspection Tools for iOS and Android</t>
  </si>
  <si>
    <t>B0FJFD212D</t>
  </si>
  <si>
    <t>Ralcam 4-Way 360° Articulating Borescope, 6.2mm Ultra-Slim Waterproof Inspection Camera with Light, 4.3" HD Screen, 4X Zoom, 6.6FT Semi-Rigid Endoscope for Engine, Pipe, HVAC &amp; Automotive</t>
  </si>
  <si>
    <t>6.2mm</t>
  </si>
  <si>
    <t>6.6ft</t>
  </si>
  <si>
    <t>B0DRP8LPF8</t>
  </si>
  <si>
    <t>Teslong Rifle Borescope for Phone &amp; PC, USB C Bore Scope Camera with Lights &amp; Mirror Set, Fits .20 Caliber &amp; Larger, Flexible Gun Cleaning Camera, Compatible with iPhone 15/16 &amp; USB-C Android Devices</t>
  </si>
  <si>
    <t>B0FZJ4CQB6</t>
  </si>
  <si>
    <t>Acoath Two-Way Articulating Borescope, Endoscope Camera with Light, Dual-Lens 1080P Industrial Inspection Camera, 4.3" IPS Screen, 32GB Card, IP67 Waterproof Sewer Tools - 5FT</t>
  </si>
  <si>
    <t>Borescope Market Analysis 202603 - Top 50 Units</t>
  </si>
  <si>
    <t>B0FXR9VFSV</t>
  </si>
  <si>
    <t>Endoscope Camera with Light,1920P HD Borescope with 8 Adjustable LED Lights, Endoscope with Semi-Rigid Snake Cable, IP67 Waterproof Inspection Borescope for iOS and Android-16.4ft Single Lens</t>
  </si>
  <si>
    <t>B0C4FBM6GV</t>
  </si>
  <si>
    <t>Endoscope Camera with Light, 1920P HD Bore Scope Borescope with 8 Lights, Waterproof 16.4FT Semi-Rigid Cord for Pipe Inspection, Industrial Endoscope for Phones(Black)</t>
  </si>
  <si>
    <t>B0FC2HS5GZ</t>
  </si>
  <si>
    <t>Endoscope with Light, 1920P HD Borescope with 8 Adjustable LED Lights, 16.4FT Semi-Rigid Snake Camera, IP67 Waterproof Inspection Tool for iPhone &amp; Android - Dual Lens (Black)</t>
  </si>
  <si>
    <t>B0BV98JZ22</t>
  </si>
  <si>
    <t>SKYBASIC Industrial Endoscope Borescope Camera with Light, 4.3'' HD Digital Handheld Waterproof Sewer Tools Snake Inspection Camera with 8 LED Lights 16.5FT Semi-Rigid Cable, Gadgets for Men</t>
  </si>
  <si>
    <t>B0F13BKB4P</t>
  </si>
  <si>
    <t>Dual-Lens Endoscope with Light, Endoscope Camera with Light with 4.3" IPS Screen,1920P HD with 8 LED Lights,16.4ft Semi-Rigid Cable and Back LED Light,IP67 Waterproof Endoscope Cool Gadgets for Men</t>
  </si>
  <si>
    <t>B0F5Q2YXY5</t>
  </si>
  <si>
    <t>Borescope Camera with Light, 1080P HD Endoscope with 8 Adjustable LEDs, 4.3" Inspection Camera with 16.4ft Semi-Rigid Cable, 8mm IP67 Waterproof Lens-Father's Day Gift&amp;Cool Gadgets for Men</t>
  </si>
  <si>
    <t>B0CW65T636</t>
  </si>
  <si>
    <t>Endoscope Camera with Light - 4.3" LCD Screen Inspection Cameras,IP67 Waterproof Borescope with 8 Adjustable LED Lights,HD 1080P Endoscope Camera 16.5ft Semi-Rigid Cord,gifts for men tools and gadgets</t>
  </si>
  <si>
    <t>B0DQW68W1T</t>
  </si>
  <si>
    <t>Anykit Endoscope Camera with Light, 1920P HD Borescope with 8 Adjustable LED Lights, Semi-Rigid Snake Camera with Light, IP67 Waterproof Inspection Cam for iPhone &amp; Android, 9.8 ft Single Lens</t>
  </si>
  <si>
    <t>B0CP538LN1</t>
  </si>
  <si>
    <t>WINWEND Endoscope Camera with Light - IP67 Waterproof Borescope Camera with 8 Adjustable LED Lights | 4.3" LCD Screen Borescope | HD 1080P Inspection Cameras with 16.5ft Semi-Rigid Cord Tools for Men</t>
  </si>
  <si>
    <t>B0FMY9WR1H</t>
  </si>
  <si>
    <t>Vorth Endoscope Camera with Light, 1920P HD Borescope with 8 LED Lights, 16.5 FT Semi-Rigid Snake Inspection Camera, IP67 Waterproof Drain Pipe Borescope Mens Tool for iOS and Android</t>
  </si>
  <si>
    <t>B0FJR2Y5B9</t>
  </si>
  <si>
    <t>T TAKMLY Endoscope Camera with Light, Dual Lens 1080P Industrial Borescope with 8 LED Lights, 4.3'' Inspection Snake Cameras, 16.4FT Semi-Rigid Cable, IP67 Waterproof (Blue)</t>
  </si>
  <si>
    <t>B0BF64PP4F</t>
  </si>
  <si>
    <t>Endoscope Camera with Light,1920P HD Borescope Tools with 8 Adjustable LED Lights, Endoscope with Semi-Rigid Snake Camera, IP67 Waterproof Inspection Borescope for iOS and Android-32.8ft Single Lens</t>
  </si>
  <si>
    <t>32.8ft</t>
  </si>
  <si>
    <t>B0FRZYLZXT</t>
  </si>
  <si>
    <t>Vorth Endoscope Camera with Light, 4.3" IPS Screen 1080P Borescope with 8 LED Lights, 16.5 FT Semi-Rigid Cable Snake Camera, IP67 Waterproof Sewer Inspection Men Tool Single Lens</t>
  </si>
  <si>
    <t>B0DSFQV89R</t>
  </si>
  <si>
    <t>Industrial HD Digital Borescope, Lightswim 1080P 4.3" IPS Endoscope Inspection Camera with Handheld IP67 Waterproof Snake Sewer with 8 LED Lights 16.5ft Semi-Rigid Cable</t>
  </si>
  <si>
    <t>B0F2PQTT1G</t>
  </si>
  <si>
    <t>1920P HD Endoscope Camera with 8 Light, 9.8ft Maneuverable Borescope for Smartphones, Handy Tangle-Free Snake Lightweight Inspection, Semi-Rigid Cable for Android and iOS, iPhone, iPad, Tablets</t>
  </si>
  <si>
    <t>B0DH1XWTKK</t>
  </si>
  <si>
    <t>Endoscope Camera with Light: 4.3" 1080P HD Dual-Lens Inspection Borescope Camera for Sewer - 16.4ft Waterproof Industrial Endoscope - Flexible Snake Bore Scope for Plumbing Automotive</t>
  </si>
  <si>
    <t>B0DNCQ3HYR</t>
  </si>
  <si>
    <t>CTEOUNPT Endoscope Camera with Light, 1920P HD Borescope Inspection Camera with 8 Adjustable LEDs, IP67 Waterproof Semi-Rigid Snake Cable for Android, iPhone, and iPad(16.4ft, Single Lens)</t>
  </si>
  <si>
    <t>B0DMK8VRYF</t>
  </si>
  <si>
    <t>Endoscope Camera with Light, 1920P HD Borescope with 8 Adjustable LED Lights, Borescope with 16.4ft Semi-Rigid Snake Camera with Light, 7.9mm IP67 Waterproof Inspection Endoscope for iOS and Android</t>
  </si>
  <si>
    <t>B0C2P7KP5D</t>
  </si>
  <si>
    <t>1920P Endoscope Snake Inspection Camera, Lightswim Type C Borescope, Scope Camera with 8 LED Lights for Android and iOS Smartphone, iPhone, iPad, Samsung (16.5 FT/5M)</t>
  </si>
  <si>
    <t>B0DXKXXNLJ</t>
  </si>
  <si>
    <t>3.9mm Endoscope Camera with Light NIDAGE 1920P HD Industrial Borescope Inspection Camera with 4.3" IPS Screen, 5FT Semi-Rigid Cable, IP67 Waterproof Snake Cam for Car Engine Aircraft Mechanic Tools</t>
  </si>
  <si>
    <t>B0DGFBJYG2</t>
  </si>
  <si>
    <t>Acoath Endoscope Camera with Light, Dual-Lens 1920P HD Borescope with 8 Adjustable LED Lights, IP67 Waterproof Boroscope Inspection Tools, 9.8ft Semi-Rigid Snake Camera for iOS &amp; Android</t>
  </si>
  <si>
    <t>B0DGFC3D9H</t>
  </si>
  <si>
    <t>Acoath Endoscope Camera with Light, Dual-Lens 1920P HD Borescope with 8 Adjustable LED Lights, IP67 Waterproof Boroscope Inspection Tools, 33ft Semi-Rigid Snake Camera for iOS &amp; Android</t>
  </si>
  <si>
    <t>33ft</t>
  </si>
  <si>
    <t>B0FGD1CNPW</t>
  </si>
  <si>
    <t>Borescope Dual Lens Endoscope Camera with Light, 4.3" IPS 1920P HD Inspection Camera, 7.9mm IP67 Waterproof with 8+1 Adjustable LEDs, 16.5FT Semi-Rigid Snake Cable for Mechanic, Cool Gadgets for Men</t>
  </si>
  <si>
    <t>Borescope Market Analysis 202603 - Segment Summary</t>
  </si>
  <si>
    <t>Avg Price</t>
  </si>
  <si>
    <t>Quantity/Mo</t>
  </si>
  <si>
    <t>Qty By %</t>
  </si>
  <si>
    <t>Revenue/Mo</t>
  </si>
  <si>
    <t>Revenue By %</t>
  </si>
  <si>
    <t>Borescope Market Analysis 202603 - Price Tier Analysis</t>
  </si>
  <si>
    <t>Price Tier</t>
  </si>
  <si>
    <t>Total Revenue</t>
  </si>
  <si>
    <t>Total Sales</t>
  </si>
  <si>
    <t>Rev Share %</t>
  </si>
  <si>
    <t>Unit Share %</t>
  </si>
  <si>
    <t>$0-40</t>
  </si>
  <si>
    <t>$40-60</t>
  </si>
  <si>
    <t>$60-90</t>
  </si>
  <si>
    <t>$90-100</t>
  </si>
  <si>
    <t>$100-150</t>
  </si>
  <si>
    <t>$150-200</t>
  </si>
  <si>
    <t>$200+</t>
  </si>
  <si>
    <t>Borescope Market Analysis 202603 - All ASINs</t>
  </si>
  <si>
    <t>B0DPHJSPBY</t>
  </si>
  <si>
    <t>FOXWELL Y400 Two-Way Articulating Borescope with Light, 0.24in Ultra-Slim Probe, 220° Articulation, IPS HD Screen, Industrial Endoscope Inspection Camera for Automotive Engine, HVAC &amp; Plumbing – 5.3FT</t>
  </si>
  <si>
    <t>5.25ft</t>
  </si>
  <si>
    <t>B0C64RBKJL</t>
  </si>
  <si>
    <t>Ralcam 360° Articulating Borescope, 6.2mm/0.24in Slim Probe, Joystick 4 Ways Endoscope Inspection Camera with Light, 3.3 FT Flexible Snake Tube for Automotive, HVAC, Mechanics</t>
  </si>
  <si>
    <t>B0DNMF126P</t>
  </si>
  <si>
    <t>VEVOR Sewer Camera with 512Hz Locator, 98 ft/30 m, Self-Leveling Drain Inspection Camera with 9" 1080P HD Screen, 36X Zoom, Snake Plumbing Camera with Lights-12 LED, 32GB SD Card for Duct Pipe</t>
  </si>
  <si>
    <t>B0G1MM25PR</t>
  </si>
  <si>
    <t>Anykit 360° 4 Ways Articulating Borescope, Industrial Endoscope with 0.26 in Articulated Snake Camera, Inspection Camera with 6 Adjustable LED Lights Compatible with Phone and Android - 3.3 FT</t>
  </si>
  <si>
    <t>B0DYDXH1NQ</t>
  </si>
  <si>
    <t>Teslong Dual Lens Endoscope with Light, Mechanic Borescope Inspection Camera, Fiber Optic Scope, Flexible Snake Probe for Automotive, HVAC, Wall &amp; Home Inspections (16.5FT)</t>
  </si>
  <si>
    <t>B0F8QLHGZR</t>
  </si>
  <si>
    <t>FOXWELL Dual Lens Articulating Borescope, 0.25in Slim 220° Two-Way Endoscope Camera with LED Light, IPS HD Screen, IP67 Waterproof Snake Camera for Automotive, Pipe, Wall &amp; Engine Inspection – 5.3FT</t>
  </si>
  <si>
    <t>B0FFGLYF7M</t>
  </si>
  <si>
    <t>𝟐𝟎𝟐𝟔 𝐧𝐞𝐰 7” Sewer Camera, HD 1080P w/DVR-32GB,[360°Rotate] IPS Screen,[Quick-Unlock Y Clamp] Pipe Inspection Camera, [Thicker Cable Reel] Drain Camera, 5000mAh,Cable Marking,100ft/30m</t>
  </si>
  <si>
    <t>7.0"</t>
  </si>
  <si>
    <t>B0DT45G8F3</t>
  </si>
  <si>
    <t>Epicmate Endoscope Camera with Light 50ft, 5" IPS Triple Lens Borescope Sewer Inspection Camera, 1080P Snake Drain Camera with Light, IP67 Waterproof Plumbing Pipe Camera Tool for Auto Wall(32G Card)</t>
  </si>
  <si>
    <t>Portrait</t>
  </si>
  <si>
    <t>B0CYLX1C1N</t>
  </si>
  <si>
    <t>Gatebig Sewer Camera with Locator 100FT,Drain Pipe Inspection Camera with Self-Leveling,Distance Counter,9'' IPS Borescope with DVR,Endoscope with 12 Adjustable LEDs,IP68 Plumbing Snake,16GB Card</t>
  </si>
  <si>
    <t>B0C9GR791B</t>
  </si>
  <si>
    <t>VEVOR Articulating Borescope Camera with Light, Two-Way Articulated Endoscope Inspection Camera with 6.4mm Tiny Lens, 5" IPS 1080P HD Screen, 8X Zoom, 8 LED Light Snake Camera for Automotive, Plumbing</t>
  </si>
  <si>
    <t>B0DN1H5ZBM</t>
  </si>
  <si>
    <t>Sewer Camera 100FT/30M Borescopes Plumbing Snake Pipe Inspection Camera DVR &amp; Audio Recorder 17/22mm with 5600Mah Battery 4.3" IPS Screen 12 LEDs HD 1000TVL 32GB (22MM Camera)</t>
  </si>
  <si>
    <t>22mm</t>
  </si>
  <si>
    <t>B0FKN58TQ2</t>
  </si>
  <si>
    <t>Triple Lens Borescope with 5" IPS Screen, 1920P HD Inspection Endoscope Camera with 50FT Semi-Rigid Snake Cable &amp; 32GB Card, IP67 Waterproof Plumbing Camera for Sewer/Automotive/Drain Pipe</t>
  </si>
  <si>
    <t>B0BVMFYQNS</t>
  </si>
  <si>
    <t>VEVOR Triple Lens Endoscope Camera, 4.5" IPS Screen Borescope Inspection Camera with 1080P Lens, 10 Adjustable Light, 2860 mAh Battery, Waterproof &amp; Oilproof Endoscope for Auto, Wall, Drain Inspection</t>
  </si>
  <si>
    <t>B0B71PT47Q</t>
  </si>
  <si>
    <t>DXZtoz 10FT Articulating Borescope with Light, Two-Way Steering Industrial Endoscope Inspection Camera 0.33in Fiber Optic Snake Camera Waterproof for Electriction Wall Pipeline Inspection</t>
  </si>
  <si>
    <t>B0CJC65Q9P</t>
  </si>
  <si>
    <t>Daxiongmao Endoscope Camera with Light, 1080P HD Borescope, IP67 Waterproof Snake Camera – Ideal for Inspecting Walls, Vents, Automotive Engines, Pipes – A Great Gift Tool for Men (33ft)</t>
  </si>
  <si>
    <t>B0G15X3PZ2</t>
  </si>
  <si>
    <t>Kcapyn Sewer Camera 100FT/30M Pipe Inspection Borescope Endoscope Camera with Light 6 LEDs 5" IPS Screen 17MM Plumbing Snake 5000 Mah Battery,1080P High-Definition Industrial Sewer Camera</t>
  </si>
  <si>
    <t>17mm</t>
  </si>
  <si>
    <t>B0DP8WKC2J</t>
  </si>
  <si>
    <t>Sanyipace Pipe Locator 512Hz Receiver Locating Wand for Sewer Camera, Higher-Precision Plumbing Drain Camera Detector Tester Tool for Underground Exploration (Not Included Transmitter)</t>
  </si>
  <si>
    <t>B07SQ4FLYX</t>
  </si>
  <si>
    <t>Dual Lens Endoscope with 5" Monitor, Teslong NTS500 Industrial Waterproof Borescope Inspection Camera with 0.21in Front &amp; Side-View Double Lens with 9.8FT Probe, 5-Inch IPS LCD Screen &amp; Case</t>
  </si>
  <si>
    <t>B0FXL4JXC5</t>
  </si>
  <si>
    <t>Hialemi 3.9mm Borescope, 5" IPS Screen 1080P Endoscope Camera with Light, Inspection Camera, 5FT Semi-Rigid Snake, IP67 Waterproof Industrial Borescope for Automotive Engine Aircraft Mechanic Tools</t>
  </si>
  <si>
    <t>B0FNWQ6R4X</t>
  </si>
  <si>
    <t>Epicmate Triple Lens Endoscope Camera with Light- 5" 1080P HD Handheld Borescope with 50FT Semi-Rigid Cable, Waterproof Sewer Inspection Camera with 32GB Card, Drain Plumbing Camera &amp; Gifts for Men</t>
  </si>
  <si>
    <t>B09NBRQ4ST</t>
  </si>
  <si>
    <t>Triple Lens Borescope Inspection Camera, Teslong Professional Endoscope with Light, Digital Video Scope Camera, 5" IPS Screen, Waterproof Flexible Cable for Automotive/Home/Wall/Pipe/Car (5FT)</t>
  </si>
  <si>
    <t>B0B7MGGXJZ</t>
  </si>
  <si>
    <t>Anysun Sewer Camera with Locator, Pipe Camera with 512Hz Sonde Transmitter and Receiver, IP68 Waterproof Industrial Plumbing Endoscope Drain Snake Cam with 7" LCD Monitor, 8G SD Card (100Ft/30M Cable)</t>
  </si>
  <si>
    <t>B0F8VS1FV6</t>
  </si>
  <si>
    <t>Two-Way Endoscope Camera with Light [360°Rotation],1920P HD,Borescope for iPhone IP67 Waterproof Automotive Engine Plumbing HVAC Inspection 6.2 mm Lens Industrial</t>
  </si>
  <si>
    <t>B0FQBWRMHQ</t>
  </si>
  <si>
    <t>ZORLET Dual Lens 360° Articulating Borescope with Light, 5'' HD Monitor 4-Way Joystick Inspection Camera, 0.25in Slim Probe 5.0FT Semi-Rigid Snake Industrial Endoscope Camera for Automotive Mechanics</t>
  </si>
  <si>
    <t>B07Q86XGN2</t>
  </si>
  <si>
    <t>Triple Lens Borescope Inspection Camera, Teslong Professional Endoscope with Light, Digital Video Scope Camera, 5" IPS Screen, Waterproof Flexible Cable for Automotive/Home/Wall/Pipe/Car (16.5FT)</t>
  </si>
  <si>
    <t>B0FLV8WV88</t>
  </si>
  <si>
    <t>Sanyipace Sewer Camera 165FT/50M with 512Hz Transmitter,10" HD Screen,Self-Leveling,Distance Counter,Inspection Camera with [Mic+Speaker+Audio Video] Record,32GB,Ideal for Plumbers and Home(7mm Cable)</t>
  </si>
  <si>
    <t>B08519V6GW</t>
  </si>
  <si>
    <t>Teslong Inspection Camera, Dual Lens Borescope Camera with Light, NTS300 5" IPS Industrial Endoscope, 1080P Waterproof Flexible Mechanic Fiber Optic Snake Scope Cam for Wall Automotive Engine (10FT)</t>
  </si>
  <si>
    <t>B0FHVPYYQ7</t>
  </si>
  <si>
    <t>Sanyipace Sewer Camera, 5" IPS HD Pipe Inspection Camera,Built-in 32GB DVR with Microphone and Speaker, 8 LED Lights,IP68 Waterproof Drain Camer for Sewer Line, Home, Duct Drain Pipe Plumbing</t>
  </si>
  <si>
    <t>B09Y1F2MPB</t>
  </si>
  <si>
    <t>5mm Dual Lens Inspection Camera, Teslong Borescope with LED Light, HD Industrial Endoscope, 5" IPS Screen, Waterproof Video Scope Camera, Flexible Cable for Home/Automotive/Pipe/Car/Wall(5FT)</t>
  </si>
  <si>
    <t>5mm</t>
  </si>
  <si>
    <t>B0FF365GVM</t>
  </si>
  <si>
    <t>FDGSAB Sewer Camera with 512Hz Locator, 20/30/50m, 7" Pipeline Inspection kit with DVR Function, IP68, 12 Adjustable LEDs, A 32GB Card for Sewer Line, Home, Duct Drain Pipe Plumbing (9618FTR-20)</t>
  </si>
  <si>
    <t>164.0ft</t>
  </si>
  <si>
    <t>B0C4H7RJY7</t>
  </si>
  <si>
    <t>Teslong Triple Lens Borescope with 7" IPS Screen, 1080P HD Mechanic Endoscope Inspection Camera with Light, 16.5FT Flexible Industrial Automotive Mechanic Scope Tool, Waterproof Pipe Snake Wall Cam</t>
  </si>
  <si>
    <t>B0FFGZC3WX</t>
  </si>
  <si>
    <t>Teslong Dual Lens 360 Articulating Borescope with Light, 5'' Monitor Industrial Inspection Camera with 4-Way Joystick Articulation, HD Endoscope Camera for Automotive and Mechanics (0.24inch-5FT)</t>
  </si>
  <si>
    <t>B0FL1NFSFB</t>
  </si>
  <si>
    <t>Sewer Camera Self-Leveling, Drain Camera with 10" HD Monitor, Industrial Borescope 200ft/60m 7mm Cable, IP68 Waterproof, Endoscope Pipe Inspection Cameras, Distance Counter, DVR, and 5X Zoom</t>
  </si>
  <si>
    <t>200ft</t>
  </si>
  <si>
    <t>B0BS1CFFH8</t>
  </si>
  <si>
    <t>Triple Lens Endoscope Camera with Light with 50FT Semi-Rigid Cable, DEPSTECH 5" IPS Screen Sewer Inspection Camera, 1080P Industrial Borescope, Split Screen, Waterproof Drain Pipe Tool, Carrying Case</t>
  </si>
  <si>
    <t>B0DH1XMKHX</t>
  </si>
  <si>
    <t>Two-Way Articulating Borescope Camera with Light: Borescope Industrial Endoscope Camera - Flexible Waterproof Inspection Bore Scope for Plumbing Automotive Sewer</t>
  </si>
  <si>
    <t>B07TTQF24F</t>
  </si>
  <si>
    <t>Teslong Rifle Borescope, Bore Camera Gun Cleaning Camera - Fits .20 Caliber &amp; Larger-Hunting Shooting Firearms Visual Barrel Inspection Tool w/3 Right-Angle Mirrors and Carrying Case(45inch-Flexible)</t>
  </si>
  <si>
    <t>B09441WDJ9</t>
  </si>
  <si>
    <t>Anysun Sewer Inspection Camera with Locator, 165ft Pipe Camera with 512Hz Sonde Transmitter and Receiver, IP68 Waterproof Industrial Plumbing Endoscope Drain Snake Cam with 7" LCD Monitor</t>
  </si>
  <si>
    <t>B0DH1ZGT5X</t>
  </si>
  <si>
    <t>Dual Lens Endoscope Camera with Light, Teslong 4.3" HD Snake Borescope Inspection Camera, Automotive Scope Cam with Flexible Cable, Home Waterproof Fiber Optic for Sewer Drain Pipe (3.3FT)</t>
  </si>
  <si>
    <t>B0FQC32XV7</t>
  </si>
  <si>
    <t>DEPSTECH Dual Lens Borescope Camera with Light, Two-Way Articulating Borescope, 5" IPS Dual View Endoscope with 0.33in Slim Probe, 1080P Waterproof Inspection Camera for Wall Auto Engine Inspect-5FT</t>
  </si>
  <si>
    <t>B0DQWS9NDW</t>
  </si>
  <si>
    <t>Anykit Endoscope Camera with Light, 1920P HD Borescope with 8 Adjustable LED Lights, Semi-Rigid Snake Camera with Light, IP67 Waterproof Inspection Cam for iPhone &amp; Android, 16.5 ft Single Lens</t>
  </si>
  <si>
    <t>B0DPFBKHT4</t>
  </si>
  <si>
    <t>Sanyipace Drain Camera 512Hz, Self-Leveling Sewer Camera with Distance Counter, 5X Zoom, 4500mAh Battery, Waterproof Pipe Camera for Plumbing Duct Home Inspection, 66FT/20M Cable, Included 16GB Card</t>
  </si>
  <si>
    <t>66ft</t>
  </si>
  <si>
    <t>B0D1VGWHJ4</t>
  </si>
  <si>
    <t>NIDAGE Dual Lens Borescope Inspection Camera 1920P HD Endoscope Camera with Light, 4.3" IPS Screen, 11.5FT Flexible Cable, IP67 Waterproof Snake Cam for Car Engine Mechanic Tools, Gift for Men</t>
  </si>
  <si>
    <t>11.5ft</t>
  </si>
  <si>
    <t>B0C9TP4FVP</t>
  </si>
  <si>
    <t>Sanyipace Drain Camera 100FT/30M, 23mm/0.9in FHD Sewer Inspection Camera, 5X Zoom, Distance Counter, 9" IPS Screen, DVR &amp; Voice Recorder, 16GB Card, for Sewer Line, Pipe, Duct, Plumbing, Plumber, Home</t>
  </si>
  <si>
    <t>B0DYDGXG2N</t>
  </si>
  <si>
    <t>Sanyipace Sewer Camera 100FT/30M, Self-Leveling Drain Camera, DVR with Speaker, 1080P Pipe Camera with Distance Counter, 32GB Card, 5mm/0.2-inch Cable, IP68 Waterproof Plumbing Camrea for Sewer Line</t>
  </si>
  <si>
    <t>B0FM3HCZBK</t>
  </si>
  <si>
    <t>JINXINEBAY 10 Inch IPS Sewer Inspection Camera with 512Hz Locator, 1080P AHD, 50M Cable, DVR, Auto Self-Leveling, 5X Zoom, TF Card, LED Lights for Pipe/Wall/Drain (100FT)</t>
  </si>
  <si>
    <t>B0FG71K4QD</t>
  </si>
  <si>
    <t>𝟐𝟎𝟐𝟔 𝐧𝐞𝐰 7” Trolley Sewer Camera, HD 1080P w/DVR-32GB,[Quick-Unlock Y Clamp] Sewer Pipe Camera,Telescoping Aluminum Handle (3 Adjustable Heights),5000mAh, [360°Rotate] Drain Camera,165ft/50m</t>
  </si>
  <si>
    <t>B0FP8M3NW4</t>
  </si>
  <si>
    <t>VEVOR Sewer Camera, 66 ft/20m, 4.3" Drain Inspection Camera, IP68 Waterproof Snake Plumbing Camera with Lights - 6 Adjustable LEDs, 4500mAh Battery &amp; 16GB Card for Sewer Line Duct Pipes</t>
  </si>
  <si>
    <t>B08Y5S32YV</t>
  </si>
  <si>
    <t>Ralcam Two-Way Articulating Borescope for iPhone&amp;Android, Endoscope Camera with Light, HD Inspection Camera with Battery for Automotive, Engine, Pipe 0.33in Lens-3.3FT Flexible Cable</t>
  </si>
  <si>
    <t>B0DZNQSLMP</t>
  </si>
  <si>
    <t>SCOPIX Articulating Borescope Camera with Screen, 2-Way Flexible Inspection Camera with Light, 1080P HD Endoscope Camera with 0.24” Probe, 5in Display, for Engine, Pipe and Wall Inspection, 5ft</t>
  </si>
  <si>
    <t>B0FJLPG74M</t>
  </si>
  <si>
    <t>Ralcam 360° Articulating Borescope Dual Lens 5'', Joystick 4-Way Industrial Endoscope Camera with Light, 0.25in Slim Probe Flexible Inspection Camera for Automotive Mechanics</t>
  </si>
  <si>
    <t>B0DY1KCDWW</t>
  </si>
  <si>
    <t>Sanyipace Pipe Inspection Camera 165FT/50M, Self-Leveling Sewer Camera, Distance Counter, DVR with Speaker, 32GB Card, 10.1" IPS Screen Plumbing Camera with 12PCS Lights, 5X Zoom, 5mm/0.2-inch Cable</t>
  </si>
  <si>
    <t>10.1"</t>
  </si>
  <si>
    <t>B0CZ74N3K3</t>
  </si>
  <si>
    <t>WP9600FTR 512HZ Sewer Camera Head Replacement Parts Self Leveling with Locator 12 Lights Guide Wheel Protective Cover,Accessory for 23MM JQKJCAM Pipe Drain Sewer Inspection Camera SP09F WP90F WP9612</t>
  </si>
  <si>
    <t>B0DNMHPJR6</t>
  </si>
  <si>
    <t>VEVOR Sewer Camera with 512Hz Locator,165 ft/50 m, Self-Leveling Drain Inspection Camera with 9" 1080P HD Screen, 36X Zoom, Snake Plumbing Camera with Lights-12 LED, 32GB SD Card for Duct Pipe</t>
  </si>
  <si>
    <t>B0BV2SYJDK</t>
  </si>
  <si>
    <t>VEVOR Sewer Camera, 165 ft/50 m, 9" Screen Pipeline Inspection Camera with DVR Function, Waterproof IP68 Camera w/12 Adjustable LEDs, w/a 16 GB SD Card for Sewer Line, Home, Duct Drain Pipe Plumbing</t>
  </si>
  <si>
    <t>B0D9Y7MCRB</t>
  </si>
  <si>
    <t>SYANSPAN Sewer Camera,4.3" HD Screen with 16GB DVR Function,Drain Pipe Inspection Camera for Home Wall Duct Drain Pipe Plumbing(33ft-164ft) (0.67" 32GB DVR(2025 Upgrade Steadier), 100ft/30M)</t>
  </si>
  <si>
    <t>17.0mm</t>
  </si>
  <si>
    <t>B0FZ851CGL</t>
  </si>
  <si>
    <t>T Takmly Two-Way Articulating Borescope Camera, 0.33in Industrial Endoscope Inspection Camera with LED Light, 4.3'' IPS 1080P HD Screen, 5.5FT Flexible Snake Bore Scope for Automotive Wall Mechanics</t>
  </si>
  <si>
    <t>B0FPBVG1QJ</t>
  </si>
  <si>
    <t>VEVOR Sewer Camera, 164 ft/50m, Self-Leveling Drain Inspection Camera with 4.3" 1080P HD Screen, IP68 Waterproof Snake Plumbing Camera with Lights - 12 LEDs &amp; 16GB Card for Sewer Line Duct Pipe</t>
  </si>
  <si>
    <t>164ft</t>
  </si>
  <si>
    <t>B0D5M7WTV8</t>
  </si>
  <si>
    <t>Anysun Self Leveling Sewer Inspection Camera with Distance Counter, 7MM Thicker Cable, 100Ft with 9'' 1080P Screen &amp; DVR, IP68 Waterproof Drain Pipe Camera Borescope with Light, 32GB Card</t>
  </si>
  <si>
    <t>B0DSZR774M</t>
  </si>
  <si>
    <t>Anysun Self-Leveling Sewer Camera with Locator, Drain Camera 100ft Cable 9'' IPS Monitor, IP68 Waterproof Pipe Inspection Camera with DVR Recording Funcation and 16GB Memory Card</t>
  </si>
  <si>
    <t>B0FPLZH5CM</t>
  </si>
  <si>
    <t>FFXET Borescope Camera with Light, 4.3" IPS 1080P HD Handheld Endoscope, 8 Adjustable LEDs, 16.4ft Semi-Rigid Snake Cable, IP67 Waterproof, Inspection Camera for Automotive,Sewer, HVAC,Wall, Men Tools</t>
  </si>
  <si>
    <t>B0DWSNQWJ1</t>
  </si>
  <si>
    <t>Endoscope Camera with Light: 4.3" 1080P HD Inspection Borescope Camera for Sewer - 16.4ft Waterproof Industrial Endoscope - Flexible Snake Bore Scope for Plumbing Automotive</t>
  </si>
  <si>
    <t>B0FK294Z6X</t>
  </si>
  <si>
    <t>Anysun 9'' Sewer Camera Self Leveling, Length Marker, 5100mAh, IPS Screen, HD 1080P with DVR - 32GB, IP68 Sewer Pipe Cam, Sewer Scope Pipe Drain Plumbing Inspection Cameras Borescope Snake (100Ft/30M)</t>
  </si>
  <si>
    <t>B0BVML78W1</t>
  </si>
  <si>
    <t>DEPSTECH Endoscope, 7'' IPS Screen Borescope Camera with Light, Triple-Lens Inspection Camera with Sound Recording, 1080P HD 7.9 mm Snake Camera, 16.5ft Gooseneck Camera for Automotive Wall Pipe HVAC</t>
  </si>
  <si>
    <t>B0DRP5MDLL</t>
  </si>
  <si>
    <t>Teslong Rifle Borescope for Phone &amp; PC, USB C Gun Bore Scope Cleaning Camera with Lights &amp; Mirror Set, Fits .20 Caliber &amp; Larger, Rigid Probe, Compatible with iPhone 15/16 &amp; USB-C Android Devices</t>
  </si>
  <si>
    <t>B0D2KRN3XR</t>
  </si>
  <si>
    <t>Endoscope Camera with Light, 1920P HD Borescope Inspection Camera with 4.3" IPS Screen, IP67 Waterproof with 8 LEDs &amp; 16.5ft Semi-Rigid Snake Camera for Automotive Pipe Tools Gadgets for Men</t>
  </si>
  <si>
    <t>B0DWMRM5G9</t>
  </si>
  <si>
    <t>Sanyipace Sewer Camera with 512Hz Locator &amp; Self-Leveling, 7mm Push Cable, IP68 Waterproof Borescope Camera, Wireless Keyboard, Plumbing Camera with Lights, 100FT/30M for Sewer Line Blockage Detection</t>
  </si>
  <si>
    <t>B0CYSS11DP</t>
  </si>
  <si>
    <t>Anysun Sewer Camera with 512hz sonde, Self Leveling Sewer Inspection Camera 100ft with 7MM Cable and Meter Marker, 9'' Monitor and DVR, 12 Adjustable Lights(32GB Card)</t>
  </si>
  <si>
    <t>B0GDFWSDLF</t>
  </si>
  <si>
    <t>Sewer Camera 100FT/30M Borescopes Plumbing Snake Pipe Inspection Camera DVR &amp; Audio Recorder 17/22MM with 5600Mah Battery 4.3" IPS Screen 12 LEDs HD 1000TVL 32GB Card (17MM Camera)</t>
  </si>
  <si>
    <t>B0FZJ9MN7Z</t>
  </si>
  <si>
    <t>Endoscope Camera with Light, 5" IPS 1920P HD Borescope with Triple Lens, Inspection Borescope with 16.4FT Semi-Rigid Snake Cable and 32GB Card, IP67 Waterproof Drain Camera for Sewer/Pipe/Automotive</t>
  </si>
  <si>
    <t>B0DD351NSB</t>
  </si>
  <si>
    <t>50FT Triple Lens Sewer Camera, DEPSTECH Borescope with 5" IPS Screen, 1080P Endoscope with Light, Flexible Snake Inspection for Wall, Plumbing, Automotive Engine Inspect</t>
  </si>
  <si>
    <t>B0DZMN1941</t>
  </si>
  <si>
    <t>Anykit 360° Articulated Engine Endoscope, Aviation Hole Sight with 0.25" Convertible Snake Camera, 5" IPS Video Check Camera with Light for Mechanic Maintenance Technician - 3.28'</t>
  </si>
  <si>
    <t>B0CYPV6964</t>
  </si>
  <si>
    <t>VEVOR Sewer Camera, 98.4 ft/30 m, 4.3" Pipe Drain Inspection Camera with DVR Function and LED Lights, Waterproof IP68 Borescope, Industrial Endoscope for Home Wall Duct Drain Pipe Plumbing</t>
  </si>
  <si>
    <t>98.4ft</t>
  </si>
  <si>
    <t>B0DHRPXGRL</t>
  </si>
  <si>
    <t>NIDAGE Two-Way Articulating Endoscope Camera with Light, Industrial Borescope with 0.24in Articulated Snake Inspection Camera, Flexible Fiber Optic Scope Cam for Automotive Aircraft Mechanics, 5.2FT</t>
  </si>
  <si>
    <t>5.2ft</t>
  </si>
  <si>
    <t>B0FL7HD4PD</t>
  </si>
  <si>
    <t>Sewer Camera 100FT/30M 23mm Pipe Inspection Camera DVR &amp; Audio Recorder with 7" IPS Screen, Plumbing Snake Borescope 12 LEDs HD 1000TVL, Included 32GB Card</t>
  </si>
  <si>
    <t>B08D9GDQD5</t>
  </si>
  <si>
    <t>Teslong Rigid Rifle Borescope, 0.2inch Rod Digital Gun Barrel Bore Scope Gun Cleaning Camera-Fits .20 Caliber &amp; Larger Hunting Shooting Firearms, 26inch Long Insertion Tube &amp; 4.5inch 1080P HD Screen</t>
  </si>
  <si>
    <t>B08GL4465F</t>
  </si>
  <si>
    <t>Klein Tools ET16 Borescope, 8 mm 10-Foot Armored Waterproof Gooseneck Snake, LED Lights, Endoscope Digital Inspection Camera for Android Phones</t>
  </si>
  <si>
    <t>B0CT2CX59S</t>
  </si>
  <si>
    <t>Dual-Lens Endoscope Camera with Light, DEPSTECH 1080P HD Borescope with 5" IPS Screen, 16.5FT Flexible Sewer Plumbing Snake Camera, Cool Gadgets for Men, Women</t>
  </si>
  <si>
    <t>B07C9C6P5D</t>
  </si>
  <si>
    <t>NIDAGE Wireless Endoscope Camera with Light HD Waterproof WiFi Borescope Flexible 5.5MM Automotive Snake Inspection Camera Compatible Android and iOS Smartphones, iPhone, iPad, 4.92FT</t>
  </si>
  <si>
    <t>Wireless</t>
  </si>
  <si>
    <t>B0FPBZ2R5N</t>
  </si>
  <si>
    <t>VEVOR Sewer Camera, 98 ft/30m, 4.3" Drain Inspection Tool, IP68 Waterproof Snake Plumbing Camera with Lights - 6 Adjustable LEDs, 4500mAh Battery &amp; 16GB Card for Sewer Line Duct Pipes</t>
  </si>
  <si>
    <t>B0CNPWHCQG</t>
  </si>
  <si>
    <t>Triple Lens Borescope Inspection Camera, Teslong Professional Endoscope with Light, Digital Video Scope Camera, 5" IPS Screen, Waterproof Flexible Cable for Automotive/Home/Wall/Pipe/Car (10FT)</t>
  </si>
  <si>
    <t>B0G1MBQ6FX</t>
  </si>
  <si>
    <t>Gatebig Sewer Camera with Locator,165FT/50M,Pull Handle,Self Leveling,7MM Cable,9'' IPS Drain Inspection Camera with DVR, IP68 Plumbing Snake with 12 LEDs for Home,Duct Pipe Inspection</t>
  </si>
  <si>
    <t>B0DCHMC6L8</t>
  </si>
  <si>
    <t>Klein Tools ET18 Plumbing Borescope with 5.5 mm 4.9-Foot Armored Waterproof Gooseneck Snake, LEDs, 4.3-Inch LCD, Endoscope Inspection Camera</t>
  </si>
  <si>
    <t>B0FFMQ54P9</t>
  </si>
  <si>
    <t>Anysun Self Leveling Sewer Camera 512Hz with Distance Counter, MIC, 7MM Thicker Cable, 100Ft Pipe Inspection Cameras with 9'' 1080P Screen, Video Drain Cam IP68 Industrial Borescope Snake, 32GB Card</t>
  </si>
  <si>
    <t>B0FGXN5HBK</t>
  </si>
  <si>
    <t>Zealtron Two-Way Articulating Borescope with Light, 6.2mm Probe Industrial Endoscope Camera with 1.5m Self-Resetting Tube, 5" IPS Screen Inspection Camera with Light for Engine/Pipe</t>
  </si>
  <si>
    <t>B0DFHL8YN5</t>
  </si>
  <si>
    <t>Two-Way Articulating Borescope with Light, UJOYOK Industrial Endoscope with Snake Scope Camera, Borescope Inspection Camera with Light for Automotive &amp; Aircraft Mechanics, 5.5FT</t>
  </si>
  <si>
    <t>B0BYF9J7V9</t>
  </si>
  <si>
    <t>50FT Sewer Inspection Camera, DEPSTECH 1080P Dual Lens Endoscope with Lights, 5" IPS Screen Borescope Tool, Split Screen, IP67 Waterproof, 7.9mm Snake Scope Drain Camera for Wall Drain Pipe Automotive</t>
  </si>
  <si>
    <t>B0DBZ6Q4YH</t>
  </si>
  <si>
    <t>DEPSTECH 210° Two-Way Articulating Borescope, 0.24in Ultra-Slim Endoscope Camera with Lights, 4.5” IPS Screen, 5ft Waterproof Flexible Snake Tube, Industrial Inspection Camera for Automotive Mechanics</t>
  </si>
  <si>
    <t>B0GDFG41PS</t>
  </si>
  <si>
    <t>FOXWELL Elite Dual Lens 2-Way 220° Articulating Borescope, 0.25in Ultra-Slim Probe, HD IPS Display, IP67 Waterproof, Flexible Camera for Automotive, HVAC, Plumbing &amp; Industrial Inspections 5.3FT</t>
  </si>
  <si>
    <t>B0FZTB97PN</t>
  </si>
  <si>
    <t>RALCAM Dual Lens Articulating Borescope, 10FT Semi-Rigid Inspection Camera with 5" HD Screen, 8.5mm Slim Waterproof Probe, Two-Way Endoscope Camera with Light for Automotive, HVAC, Pipes</t>
  </si>
  <si>
    <t>B0CMTV6VNZ</t>
  </si>
  <si>
    <t>Sewer Camera 100ft/30m,0.9in/22mm Pipe Inspection Camera with 12pcs LEDs Light, 4.3" Screen 1000TVL Plumbing Snake Borescope with 4500mAh Battery DVR Recorder, Included 16GB Card</t>
  </si>
  <si>
    <t>B0D5M8F5Z3</t>
  </si>
  <si>
    <t>Anysun Sewer Camera Self Leveling with Distance Counter, 7MM Thicker Cable, 165Ft/50M Pipe Inspection Camera with 9'' 1080P IPS Screen, Video Drain Camera IP68 Industrial Borescope Snake, 32GB Card</t>
  </si>
  <si>
    <t>B0FM7QKR3S</t>
  </si>
  <si>
    <t>JINXINEBAY 10 Inch IPS Sewer Inspection Camera with 512Hz Locator, 1080P AHD, 50M Cable, DVR, Auto Self-Leveling, 5X Zoom, TF Card, LED Lights for Pipe/Wall/Drain (165FT)</t>
  </si>
  <si>
    <t>B0DNYWC4RS</t>
  </si>
  <si>
    <t>VEVOR Sewer Camera, 165 ft/50 m, 7" Screen Pipeline Inspection Camera with DVR Function, Waterproof IP68 Camera, 12pcs Adjustable LED, with a 16 GB SD Card for Sewer Line, Duct Drain Pipe Plumbing</t>
  </si>
  <si>
    <t>B0BTP4K3H7</t>
  </si>
  <si>
    <t>VEVOR Sewer Camera, 150FT, 9" Screen Pipeline Inspection Camera with DVR Function &amp; 8 GB SD Card, Waterproof IP68 Borescope w/LED Lights, Industrial Endoscope for Home Wall Duct Drain Pipe Plumbing</t>
  </si>
  <si>
    <t>150ft</t>
  </si>
  <si>
    <t>B0CT5L1H9B</t>
  </si>
  <si>
    <t>DEPSTECH 7'' IPS Endoscope Camera with Lights, 1080P Triple-Lens Digital Borescope Tool, Inspection Camera with Split Screen, Sound Recording, 16.5ft IP67 Waterproof Snake Cable, 180° Rotation View</t>
  </si>
  <si>
    <t>B0FCMPMFB8</t>
  </si>
  <si>
    <t>ESANHAO Sewer Camera 100ft Drain Pipe Camera Plumbing Snake 8500mAh Battery, 23mm HD, 12LEDs, DVR Recording, 32GB TF Card Included</t>
  </si>
  <si>
    <t>B0DYJGWGHB</t>
  </si>
  <si>
    <t>Sanyipace Sewer Inspection Camera 230FT/70M, Self-Leveling Drain Pipe Camera, Distance Counter, 5-Level Brightness, 1080P Plumbing Camera for Plumber, 32GB Card, 4500mAh Battery, 5mm/0.2-inch Cable</t>
  </si>
  <si>
    <t>230ft</t>
  </si>
  <si>
    <t>B0FJFX23ZH</t>
  </si>
  <si>
    <t>Sanyipace Sewer Camera 100FT,5" HD Screen,18mm Pipeline Inspection Camera with 8 LEDs Light,32GB DVR Function, 1080P IP68 Waterproof Camer for Drain Pipe Plumbing Sewer Line Inspection.</t>
  </si>
  <si>
    <t>18mm</t>
  </si>
  <si>
    <t>B0FRMFNFHL</t>
  </si>
  <si>
    <t>LumenScope Articulating Borescope Camera with Light,Two-Way Industrial Endoscope Inspection Camera with 0.24In Articulated Probe, 5.3FT Flexible Snake Bore Scope Cam for Automotive Engine Inspect</t>
  </si>
  <si>
    <t>B0BG27Q1JS</t>
  </si>
  <si>
    <t>Teslong Telescopic Endoscope Inspection Camera with Screen &amp; Light, 4.5" IPS Display Borescope with 5FT Telescoping Pole, IP67 Waterproof Inspection Camera for Ceiling, Wall, Chimney, Automotive &amp;HVAC</t>
  </si>
  <si>
    <t>B0FR8Z7CBR</t>
  </si>
  <si>
    <t>Sewer Camera 100FT, Sewer Pipe Inspection Camera,can Zoom in and Out, 5" 1080P Screen &amp; DVR, 5000mAh Battery, IP68 Waterproof, 6 LED Lights, 32GB Card</t>
  </si>
  <si>
    <t>B0FKB6Q7DF</t>
  </si>
  <si>
    <t>Anysun Self-Leveling Sewer Camera with Meter Marking, 9'' IPS Screen, HD 1080P Resolution, 5100mAh Battery, 165ft 5mm Cable Sewer Drain Video Inspection Camera with DVR Recorder and 32GB SD Card</t>
  </si>
  <si>
    <t>B0DPFBK493</t>
  </si>
  <si>
    <t>Sanyipace Sewer Camera 100FT/30M, 512Hz Sonde, Self-Leveling Drain Camera, Distance Counter, 5X Zoom, Video &amp; Voice Recorder, 9" Screen Sewer Pipe Camera for Plumber, Plumbing Camera with 12PCS LEDs</t>
  </si>
  <si>
    <t>B0DSVY5LQD</t>
  </si>
  <si>
    <t>Ralcam Dual Lens Articulating Borescope, 6.5mm Slim Probe, 5" Endoscope Camera with Light, 5FT Semi-Rigid Cable, Two-Way Articulated Inspection Camera for Automotive Wall Pipe</t>
  </si>
  <si>
    <t>B0FPLN5VB7</t>
  </si>
  <si>
    <t>Dual Lens Endoscope Camera with Light, FFXET 4.3" IPS 1080P HD Inspection Camera, 8 Adjustable LEDs, 16.4ft Semi-Rigid Snake Cable, IP67 Waterproof, Borescope for Automotive,Sewer,HVAC,Wall, Men Tools</t>
  </si>
  <si>
    <t>B0DNCRGXL8</t>
  </si>
  <si>
    <t>CTEOUNPT Endoscope Camera with Light, 1920P HD Borescope Inspection Camera with 8 Adjustable LEDs, IP67 Waterproof Semi-Rigid Snake Cable for Android, iPhone, and iPad(16.4ft, Dual Lens)</t>
  </si>
  <si>
    <t>B0GDFRH4J8</t>
  </si>
  <si>
    <t>FOXWELL Elite 220° Two-Way Articulating Borescope, 0.24in Ultra-Slim Endoscope Camera with Light, 1920P HD, IP67 Waterproof, 5.3FT Flexible Snake Scope for Automotive Engine Pipe Home Inspection</t>
  </si>
  <si>
    <t>B0FD3NRZ5S</t>
  </si>
  <si>
    <t>DEPSTECH Articulating Borescope Camera with Light, 5" IPS HD Screen, Industrial Endoscope Inspection Camera with Two-Way Articulated Probe, 0.24'' Flexible Snake Scope for Wall Automotive Engine - 5FT</t>
  </si>
  <si>
    <t>B0G4GP489T</t>
  </si>
  <si>
    <t>DualLens Endoscope Camera with Light,1920P HD Inspection Camera for Automotive &amp; Home, IP67 Waterproof Borescope with Semi-Rigid Snake Cable,Detects Pipe Clogs,Engine Issues-16.5FT for iPhone Android</t>
  </si>
  <si>
    <t>B0FM82MR7C</t>
  </si>
  <si>
    <t>Endoscope Camera with Light, 1920P HD Bore Scope Borescope with 8 Lights, Waterproof 16.4FT Semi-Rigid Cord for Pipe Inspection, Industrial Endoscope for Phones(Dual Lens)</t>
  </si>
  <si>
    <t>B0FLNJ8CNL</t>
  </si>
  <si>
    <t>Ralcam 3mm Two-Way Articulating Borescope, 5 Inch HD Industrial Endoscope Inspection Camera with Light, Stainless Steel Flexible Fiber Optic Scope Camera 0.12in Automotive Mechanics Tool</t>
  </si>
  <si>
    <t>3mm</t>
  </si>
  <si>
    <t>B0C1BN96WB</t>
  </si>
  <si>
    <t>VEVOR Sewer Camera with 512Hz Locator,100 ft/30 m, 7" Pipeline Inspection Camera with DVR Function, IP68 Camera with 12 Adjustable LEDs, A 16 GB SD Card for Sewer Line, Home, Duct Drain Pipe Plumbing</t>
  </si>
  <si>
    <t>B0FHGMHLJR</t>
  </si>
  <si>
    <t>Ralcam Two-Way Articulating Borescope, 5.5mm/0.22in Slim Probe, 5" Industrial Endoscope Camera with Light, 8X Zoom 5FT Flexible Snake Inspection Scope for Engine, Automotive, HVAC</t>
  </si>
  <si>
    <t>B0FJ2CFSHR</t>
  </si>
  <si>
    <t>Endoscope Camera with Light,1920P HD Borescope Tools with 8 Adjustable LED Lights, Endoscope with Semi-Rigid Snake Camera, Inspection Borescope for iOS and Android-16.4ft Single Lens(Yellow)</t>
  </si>
  <si>
    <t>B0B3159V9P</t>
  </si>
  <si>
    <t>2026 Autel MaxiVideo MV108S Digital Inspection Camera, 2MP 1920x1080, IP67 Waterproof USB Endoscope, 8.5mm Borescope Snake Camera, 39.37'', LED Light, Work with Autel Scanner &amp; P.C, Up of MV108 MV105S</t>
  </si>
  <si>
    <t>B0DCCCBT3B</t>
  </si>
  <si>
    <t>Sewer Camera 25FT,Waterproof 16GB JQKJCAM Drain Borescope Pipe Inspection Camera with Light Distance Counter,17MM/0.67'' Wall Snake Cameras 30FT for Plumber/Plumbing(10m / 33ft)</t>
  </si>
  <si>
    <t>25ft</t>
  </si>
  <si>
    <t>B0FW4XF5HJ</t>
  </si>
  <si>
    <t>ZELCAN 4.3" Sewer Camera, Sewer Inspection Camera with 100 ft. Cable &amp; Length Markers, Waterproof Drain Pipe Camera with 32GB Card 12 LED Lights, Rechargeable Plumbing Camera for Sewer Pipe Drain</t>
  </si>
  <si>
    <t>B0G48WTXYF</t>
  </si>
  <si>
    <t>4-Way 360° Articulating Borescope, Joystick 5" HD Endoscope Camera with Light, Waterproof Snake Inspection Camera for Engine, Pipe, HVAC, Wall (6.5mm Dual Lens-5FT Semi-Rigid Cable)</t>
  </si>
  <si>
    <t>B0D3F7FFWF</t>
  </si>
  <si>
    <t>Sewer Camera with 512Hz Locator,100ft/30m,7" Self Leveling Sewer Inspection Camera with DVR Function, IP68 Camera with 12 Adjustable LEDs,Duct Drain Pipe Plumbing</t>
  </si>
  <si>
    <t>B0B3TKT4SH</t>
  </si>
  <si>
    <t>Inspection Camera NIDAGE Wireless Endoscope 2025 Top Tiny WiFi Borescope 3.9mm 1080P HD Endoscope Camera with Light IP67 Waterproof Semi-Rigid Snake Cam for iPhone, Android, Tablet, 5FT</t>
  </si>
  <si>
    <t>B094XGX6GQ</t>
  </si>
  <si>
    <t>DEPSTECH 5.5mm Industrial Endoscope, 1080P Digital Borescope Inspection Camera with 4.3" Screen, IP67 Waterproof Snake Camera with Lights,16.5FT Semi-Rigid Cable, 32GB Card &amp;Photo Capture,Helpful Tool</t>
  </si>
  <si>
    <t>B0FQVC7FBH</t>
  </si>
  <si>
    <t>SKYBASIC Industrial Endoscope Borescope Camera with Light, 4.3'' HD Digital Handheld Waterproof Sewer Tools Snake Inspection Camera with 8 LED Lights 65.6FT Semi-Rigid Cable, Cool Gift Gadgets for Men</t>
  </si>
  <si>
    <t>65.6ft</t>
  </si>
  <si>
    <t>B0CXSTNWTW</t>
  </si>
  <si>
    <t>Dual Lens Articulating Borescope, DEPSTECH Endoscope Camera with Light, Articulated Probe, Flexible Snake Inspection Camera for Wall, Automotive Engine Inspect-4.92FT</t>
  </si>
  <si>
    <t>B0FBWTBNTY</t>
  </si>
  <si>
    <t>NIDAGE Two-Way Articulating Endoscope Camera with Light: 7'' IPS Borescope with Articulated Snake Head and 5.3FT Cable 1080P Waterproof Industrial Inspection Camera for Auto Mechanics Wall</t>
  </si>
  <si>
    <t>B0CS2CX8TR</t>
  </si>
  <si>
    <t>Sanyipace 512Hz Pipe Locator Underground, Plumbing Tools, Sewer Camera Accessories, 3000mAh Battery Powered, Rechargeable Receiver Locating Wand - Blue &amp; Black</t>
  </si>
  <si>
    <t>B0FX99L27P</t>
  </si>
  <si>
    <t>DEPSTECH Dual Lens Borescope Camera with Light, HD Endoscope, 4.3'' IPS Screen, Inspection IP67 Waterproof, 16.5ft Semi-Rigid Snake Camera Cable for Car Wall Drain Pipe</t>
  </si>
  <si>
    <t>B0GK78HJ9C</t>
  </si>
  <si>
    <t>Holdwell S Sewer Camera with 512Hz Locator Self-Leveling Borescopes Plumbing with Transmitter 9"HD Color Screen Waterproof IP68 Borescope Camera with Light 100ft/30m for Plumbing Duct Home Inspection</t>
  </si>
  <si>
    <t>B0FP8L21YT</t>
  </si>
  <si>
    <t>VEVOR Sewer Camera, 164 ft/50m, 4.3" Drain Inspection Camera, IP68 Waterproof Snake Plumbing Tool with Lights - 6 Adjustable LEDs, 4500mAh Battery &amp; 16GB Card for Sewer Line Duct Pipes</t>
  </si>
  <si>
    <t>B0BV2V59XB</t>
  </si>
  <si>
    <t>VEVOR Sewer Camera, 230 ft/70 m, 9" Screen Pipeline Inspection Camera with DVR Function, 12 Adjustable LEDs, 16 GB SD Card, Waterproof IP68 for Sewer Line, Home, Duct Drain Pipe Plumbing</t>
  </si>
  <si>
    <t>B0GJDJ3BJT</t>
  </si>
  <si>
    <t>32.8FT Endoscope Camera with Light, 1080P HD Borescope Inspection Camera with 8 LED Lights, IP67 Waterproof Sewer Tools Snake Camera with 4.3" IPS Screen, 32.8Feet Semi-Rigid Cable for Auto &amp; Plumbing</t>
  </si>
  <si>
    <t>B0DCNM5MGW</t>
  </si>
  <si>
    <t>Anykit Endoscope Camera with Light, 1080P Industrial Endoscope Camera with 0.3 Slim Probe, 4.3” HD Screen Snake Cam, 33 FT Semi-Rigid Cable Bore Scope for Pipe, Engine, Inside Wall IP67 Waterproof</t>
  </si>
  <si>
    <t>B07PWZ3KKF</t>
  </si>
  <si>
    <t>Sewer Camera 100FT, Can Connect External Monitor, Zoom in and Out, IP68 Waterproof, 12 pcs Adjustable Light, Plumbing Snake Cam with DVR Pipe Video Inspection, for Sewer Line, Drain, Duct, Plumbing</t>
  </si>
  <si>
    <t>B0FFXZGVQJ</t>
  </si>
  <si>
    <t>Anysun Sewer Camera 100ft with Locator Set, Self-Leveling, 7mm Cable with Depth Marking, IP68 Waterproof Plumbing Endoscope Drain Snake Camera with 9'' Color Screen, 12pcs Light, Recorder with 32GB</t>
  </si>
  <si>
    <t>B081J3LN61</t>
  </si>
  <si>
    <t>50FT Endoscope Camera with Light, Oiiwak Snake Borescope Endoscope Inspection Camera for Pipe Sewer Drain Plumbing Inspection 1080P HD 4.3" IPS Screen IP67 Waterproof</t>
  </si>
  <si>
    <t>B0FGH475P3</t>
  </si>
  <si>
    <t>Milwaukee Electric - M12. AUTO Technician BORESCOPE</t>
  </si>
  <si>
    <t>B0DJGFZQ5X</t>
  </si>
  <si>
    <t>VEVOR Endoscope Camera with Light, Dual Lens Borescope with 49.2FT Semi-Rigid Cable, 4.3" Screen 1080P Inspection Camera, 8 + 1 LED Lights, 4X Zoom, IP67 Waterproof Snake Camera for Auto, Plumbing</t>
  </si>
  <si>
    <t>49.2ft</t>
  </si>
  <si>
    <t>B0FNPY88X9</t>
  </si>
  <si>
    <t>Epicmate Triple Lens Sewer Inspection Camera-5" IPS Endoscope with Lights 1080P Industrial Borescope with 16.5 ft, Borescope Camera with Light IP67 Waterproof Drain Pipe Drain Snake with 32G Card</t>
  </si>
  <si>
    <t>B0F9SST8K9</t>
  </si>
  <si>
    <t>𝟐𝟎𝟐𝟔 𝐧𝐞𝐰 7” Sewer Camera, HD 1080P w/DVR-32GB, IPS Screen,[Quick-Unlock Y Clamp] Plumbing Snake Pipe Inspection Camera, [Thicker Cable Reel] Drain Camera, 5000mAh, [360°+180° Rotate] 100ft/30m</t>
  </si>
  <si>
    <t>B0DFQ9X24L</t>
  </si>
  <si>
    <t>ZELCAN Sewer Camera, Drain Camera 66FT with 4.3 in. LCD Screen, Waterproof IP68 Borescope Plumbing with 12 LED Lights with 5300mAh Battery DVR Recorder, Included 32GB Card</t>
  </si>
  <si>
    <t>B0GGLZCT28</t>
  </si>
  <si>
    <t>T Takmly Two-Way Articulating Borescope Camera, 0.23in Industrial Endoscope Inspection Camera with LED Light, 4.3'' IPS 1080P HD Screen, 5.5FT Flexible Snake Bore Scope for Automotive Wall Mechanics</t>
  </si>
  <si>
    <t>B0FSQFN58Q</t>
  </si>
  <si>
    <t>Zealtron Two-Way Articulating Borescope with Light, 3.9mm Articulating Probe Industrial Endoscope Camera with 3.3ft/1m Self-Resetting Tube, 5" IPS Screen Inspection Camera with Light for Engine/Pipe</t>
  </si>
  <si>
    <t>B0DPFC825X</t>
  </si>
  <si>
    <t>Sanyipace Pipe Camera with Locator, 512Hz Sewer Camera with Self-Leveling, 23mm/0.9in Drain Camera with Distance Counter, 5X Zoom, Waterproof Plumbing Inspection Camera with 12 PCS Lights, 66FT/20M</t>
  </si>
  <si>
    <t>B098XFG46Y</t>
  </si>
  <si>
    <t>VEVOR Sewer Camera, 164ft/50M 4.3" Pipe Drain Inspection Camera with DVR Function &amp; Snake Cable, Waterproof IP68 Borescope w/LED Lights, Industrial Endoscope for Home Wall Duct Drain Pipe Plumbing</t>
  </si>
  <si>
    <t>B0FK275RZK</t>
  </si>
  <si>
    <t>Anysun 9'' Sewer Camera Self Leveling, Length Marker, 5100mAh, IPS Screen, HD 1080P with DVR - 32GB, IP68 Sewer Pipe Cam, Sewer Scope Pipe Drain Plumbing Inspection Cameras Borescope Snake (165Ft/50M)</t>
  </si>
  <si>
    <t>B0DCC5SH93</t>
  </si>
  <si>
    <t>Sewer Camera 100FT,W/4.3'' IPS 32GB DVR Screen,M+FT Marks,HD 0.9'' JQKJCAM Drain Scope Sewer Inspection Cameras 100 FT,23MM Plumbing Camera Snake with 12 Light for Pipe Sewer Line (30m)</t>
  </si>
  <si>
    <t>B0CW67ZYP1</t>
  </si>
  <si>
    <t>Daxiongmao Endoscope Camera with Lights, 1080P HD Two-Way Articulating Borescope, IP67 Waterproof Snake Camera – Ideal for Inspecting Walls, Vents, Automotive Engines, Pipes – A Tool for Men (5ft)</t>
  </si>
  <si>
    <t>B0GF7RS23B</t>
  </si>
  <si>
    <t>MUCAR E021 USB Endoscope Borescope, 720P Borescope with 6 Adjustable LED Light, Compatible with PC and MUCAR Scanners</t>
  </si>
  <si>
    <t>B0G6XZYHRW</t>
  </si>
  <si>
    <t>EASTBEAR Dual-Lens Endoscope Camera with Light, 1920P HD Borescope with 8 Adjustable LEDs, 16.4FT Semi-Rigid Snake Cable, IP67 Waterproof Inspection Camera for iOS &amp; Android - Black</t>
  </si>
  <si>
    <t>B0F13SHCYH</t>
  </si>
  <si>
    <t>Dual-Lens Borescope with Light,Endoscope Camera with Light with 4.3" IPS Screen,1920P HD with 8 LED Lights,32.8ft Semi-Rigid Cable and Back LED Light,IP67 Waterproof Borescope, Cool Gadgets for Men</t>
  </si>
  <si>
    <t>B0CCHSCYCL</t>
  </si>
  <si>
    <t>Endoscope Camera with Light, 1920P Borescope Camera with 8+1 Adjustable LED Lights, Semi-Rigid Cable 16.5FT, IP67 Waterproof for iPhone, iPad, Samsung,Cool Gadgets for Men</t>
  </si>
  <si>
    <t>B0FNMZP57S</t>
  </si>
  <si>
    <t>Teslong 50FT USB-C Borescope Inspection Camera with Light, Flexible Waterproof Endoscope Snake Cable, Compatible Only with iPhone 15/16, USB-C iPads &amp; Android Phones for DIY Pipe &amp; Drain Inspection</t>
  </si>
  <si>
    <t>B0F8B96XV6</t>
  </si>
  <si>
    <t>Two-Way Articulating Borescope Camera with Light,360°Rotation,1920P, 6.2 mm Industrial Endoscope IP67 Waterproof Flexible Semi-Rigid Cable for Automotive, Pipe Inspection</t>
  </si>
  <si>
    <t>B0CLLJSCJ9</t>
  </si>
  <si>
    <t>Sewer Camera Self Leveling, Anysun Sewer Inspection Camera 100ft with 9'' Monitor and DVR Recorder with 32GB Card, Meter Marker, 12 Adjustable Lights</t>
  </si>
  <si>
    <t>B0FKH8S6GC</t>
  </si>
  <si>
    <t>Sewer Camera, Self-Leveling Drain Camera 66 ft with Distance Counter, 9" 1080P HD Plumbing Cameras Snake with 12 LED Lights, IP68 &amp; 32GB DVR, Industrial Endoscope for Duct Sewer Line Pipe Inspection</t>
  </si>
  <si>
    <t>B0G25T561Y</t>
  </si>
  <si>
    <t>Pipe Inspection Camera with 9 Inch 1080P Display, DVR Recording, 512Hz Locator, 30ft/50ft Fiberglass Cable, HD Stainless Steel Probe for Sewer Drain Plumbing HVAC Inspection</t>
  </si>
  <si>
    <t>30ft</t>
  </si>
  <si>
    <t>B0C1B657ST</t>
  </si>
  <si>
    <t>VEVOR Sewer Camera with 512Hz Locator, 131 ft/40 m, 7" Pipeline Inspection Camera with DVR Function, IP68 Camera with 12 Adjustable LEDs, A 16 GB SD Card for Sewer Line, Home, Duct Drain Pipe Plumbing</t>
  </si>
  <si>
    <t>131ft</t>
  </si>
  <si>
    <t>B0FL1SGLYN</t>
  </si>
  <si>
    <t>Sewer Camera Self-Leveling, 100ft Drain Camera with Meter Counter, 9-inch HD, Plumbing Cameras Snake with 12 LED Lights, 5100mAh Battery, IP68 &amp; 32GB DVR Recording for Duct Sewer Line Pipe Inspection</t>
  </si>
  <si>
    <t>B0CYH6NPFK</t>
  </si>
  <si>
    <t>Sewer Camera with Self-Leveling, Can Connect External Monitor, Zoom in and Out, IP68 Waterproof, 12 pcs Adjustable Light, Plumbing Cam with DVR, for Sewer Line, Drain, Duct, Plumbing (100FT)</t>
  </si>
  <si>
    <t>B0DH24P6NY</t>
  </si>
  <si>
    <t>Teslong 50FT Sewer Camera, Dual Lens Borescope with Light, 4.3" HD Drain Plumbing Endoscope Inspection Camera, Home Waterproof Flexible in Wall Cam Pipe Tools, Snake Scope for Air Duct HVAC</t>
  </si>
  <si>
    <t>B0DDXDMTPR</t>
  </si>
  <si>
    <t>Sewer Camera Self Leveling, Anysun Sewer Inspection Camera 150ft with 9'' Monitor and DVR Recorder with 32GB Card, Meter Marker, 12 Adjustable Lights</t>
  </si>
  <si>
    <t>B093SVJZRZ</t>
  </si>
  <si>
    <t>Anysun 100ft Pipe Video Inspection Camera with 512Hz Sonde and Receiver, Waterproof Drain Plumbing Camera Snake with 7' LCD Monitor DVR Recorder (8GB SD Card Included)</t>
  </si>
  <si>
    <t>B0DHRTVQZB</t>
  </si>
  <si>
    <t>VEVOR Endoscope Camera with Light, Triple Lens Industrial Borescope, 5" Screen 1080P Inspection Camera, 8 + 2 Lights, IP67 Waterproof Snake Cameras for Automotive, Plumbing (16.4FT Cable, 32GB Card)</t>
  </si>
  <si>
    <t>B0FSXSQWQY</t>
  </si>
  <si>
    <t>Sanyipace Sewer Camera 66FT/20M,7" IPS Pop-up Screen,20X Digital Zoom,Waterproof Drain Camera with Distance Counter,Plumbing Camera with MIC &amp; Speaker,32GB Card for Sewer Line Plumbing Inspection</t>
  </si>
  <si>
    <t>B0FJLZTX4Q</t>
  </si>
  <si>
    <t>Sewer Camera 100FT/30M Pipe Inspection Borescope Endoscope Camera with Light 12 LEDs 4.3" IPS Screen 22MM Plumbing Snake 8500Mah Battery (30M NO DVR Function)</t>
  </si>
  <si>
    <t>B0CRV5JNY1</t>
  </si>
  <si>
    <t>JINXINEBAY Sewer Pipe Inspection Camera, IPS Monitor 32GB TF Card DVR, IP68 1200TVL HD Camera 65/100FT Fiberglass Cable, 5600mAh Battery Night Vision, for Home/Contractor/Plumber (4.3 inch/65FT)</t>
  </si>
  <si>
    <t>B0G6L4JSWF</t>
  </si>
  <si>
    <t>Dual-Lens Borescope with Light, Endoscope Camera with Light with 4.3" IPS Screen,1920P HD with 8 LED Lights,16.4ft Semi-Rigid Cable and Back LED Light,IP67 Waterproof Borescope, Cool Gadgets for Men</t>
  </si>
  <si>
    <t>B0DFQ8D1PW</t>
  </si>
  <si>
    <t>ZELCAN Self-Leveling Sewer Camera, Drain Camera 230FT with 9 in. LCD Screen, Waterproof IP68 Borescope Plumbing with 12 LED Lights, Included 32GB Card, with 512Hz Transmitter(Without Locator)</t>
  </si>
  <si>
    <t>B0FM7X3P5X</t>
  </si>
  <si>
    <t>JINXINEBAY 10 Inch IPS Sewer Inspection Camera with 512Hz Locator, 1080P AHD, 50M Cable, DVR, Auto Self-Leveling, 5X Zoom, TF Card, LED Lights for Pipe/Wall/Drain (100FT/512hz Locator)</t>
  </si>
  <si>
    <t>B08QCCZHC6</t>
  </si>
  <si>
    <t>Teslong Endoscope Replacement Cable with Light, Dual Lens Inspection Camera 5.5mm/0.21inch Waterproof Probe Compatible with NTS500, NTS300(3.3FT)</t>
  </si>
  <si>
    <t>B09DKKJGS7</t>
  </si>
  <si>
    <t>DEPSTECH Dual Lens Industrial Endoscope, 1080P Digital Borescope Inspection Camera, 7.9mm IP67 Waterproof, Sewer Camera with 4.3" LCD Screen, 7 LED Lights, 16.5FT Semi-Rigid Cable, 32GB Card - Orange</t>
  </si>
  <si>
    <t>B0BV2Q92RJ</t>
  </si>
  <si>
    <t>VEVOR Sewer Camera, 300 ft/91.5 m, 9" Screen Pipeline Inspection Camera with DVR Function, Waterproof IP68 Camera w/12 Adjustable LEDs, w/a 16 GB SD Card for Sewer Line, Home, Duct Drain Pipe Plumbing</t>
  </si>
  <si>
    <t>B0DNW97B3J</t>
  </si>
  <si>
    <t>Anysun Sewer Camera with 512hz Sonde 150ft, Self Leveling Sewer Inspection Camera with Distance Counter, 7MM Diameter Cable with Trolley and Wheels, 9" HD Monitor with DVR Drain Pipe Camera(32GB Card)</t>
  </si>
  <si>
    <t>B0FRSSTC51</t>
  </si>
  <si>
    <t>Oiiwak Sewer Camera 100ft, Drain Pipe Inspection Camera with 7" IPS HD Screen, DVR &amp; Audio Recorder Industrial Borescope Camera for Plumbing Drain Pipe Inspection, IP68 Waterproof, 32GB Card, 12 LEDs</t>
  </si>
  <si>
    <t>B0FJF9SXSR</t>
  </si>
  <si>
    <t>SCOPIX Articulating Borescope Camera with Screen, 2-Way Flexible Inspection Camera with Light, 1080P HD Endoscope, 0.24 Inch Probe, 4.3 Inch Display, for Engine and Pipe, 3.3ft Cable (Orange)</t>
  </si>
  <si>
    <t>B0FQVDJ14T</t>
  </si>
  <si>
    <t>SKYBASIC Industrial Endoscope Borescope Camera with Light, 4.3'' HD Digital Handheld Waterproof Sewer Tools Snake Inspection Camera with 8 LED Lights 32.8FT Semi-Rigid Cable, Cool Gift Gadgets for Men</t>
  </si>
  <si>
    <t>B0FJLL4LY1</t>
  </si>
  <si>
    <t>Ralcam 3.9mm Two-Way Articulating Borescope, 5 Inch HD Industrial Endoscope Inspection Camera with Light, Stainless Steel Flexible Fiber Optic Scope Camera 0.15in Automotive Mechanics Tool</t>
  </si>
  <si>
    <t>B09L16P119</t>
  </si>
  <si>
    <t>Sewer Camera Head Accessories Ultra-high Definition 12LED Waterproof IP68 for Pipe Drain Endoscope Camera Replacement with Wheel and Protective Cover (0.9inch/23mm)</t>
  </si>
  <si>
    <t>B0FFML9DVK</t>
  </si>
  <si>
    <t>Anysun Self Leveling Sewer Camera 512Hz with Distance Counter, MIC, 7MM Thicker Cable, 165Ft Pipe Inspection Cameras with 9'' 1080P Screen, Video Drain Cam IP68 Industrial Borescope Snake, 32GB Card</t>
  </si>
  <si>
    <t>B0FY1QX78V</t>
  </si>
  <si>
    <t>Endoscope with Light, 1920P HD Borescope with 8 Adjustable LED Lights, 9.8FT Semi-Rigid Snake Camera, IP67 Waterproof Inspection Tool for iPhone &amp; Android - Single Lens (Black)</t>
  </si>
  <si>
    <t>B013BJX63O</t>
  </si>
  <si>
    <t>Autel MaxiVideo MV108S Digital Inspection Camera, 2026 Newer of MV108, 8.5mm USB Industrial Endoscope IP67 Waterproof 1920P HD Borescope Camera 39.5'' Flexible Cord Snake Cameras for Autel Tool &amp; P.C</t>
  </si>
  <si>
    <t>B0FZT8LXG2</t>
  </si>
  <si>
    <t>RALCAM Two-Way Articulating Borescope, 5" Industrial Endoscope Camera with Light, 0.24in/6.2mm Slim Probe, 5FT Semi-Rigid Video Inspection for Automotive Engine, HVAC, Mechanical, Wall</t>
  </si>
  <si>
    <t>B0DFQ95DW2</t>
  </si>
  <si>
    <t>ZELCAN Self-Leveling Sewer Camera with Locator, Drain Camera 165FT with 9 in. LCD Screen, Waterproof IP68 Borescope Plumbing with 12 LED Lights, with 512Hz Transmitter and Receiver(32GB Card)</t>
  </si>
  <si>
    <t>B0BTDDX3LD</t>
  </si>
  <si>
    <t>Anysun Self-Leveling Sewer Camera with Locator, Drain Camera with 9'' IPS Monitor and 165ft Cable, IP68 Waterproof Pipe Inspection Camera with DVR Recording Funcation and 16GB Memory Card</t>
  </si>
  <si>
    <t>B0FXXFZBB6</t>
  </si>
  <si>
    <t>Anysun Self-Leveling Sewer Camera with 512Hz Transmitter, Meter Marking, 9'' IPS Screen, 165ft 7mm Cable, HD 1080P Sewer Drain Video Inspection Camera with DVR 32GB, 5100mAh Battery</t>
  </si>
  <si>
    <t>B0DPQ2HV9T</t>
  </si>
  <si>
    <t>Two-Way Articulating Borescope, Dual Lens Inspection Camera with Light, 6mm Lens Snake Camera for Mechanic Inspections, and Plumbing, .24in Borescope Automotive, Industrial Endoscope, 5ft</t>
  </si>
  <si>
    <t>B0FKB5FTTH</t>
  </si>
  <si>
    <t>Anysun Self-Leveling Sewer Camera with 9'' Screen, 100ft 7mm Cable, Sewer Drain Video Inspection Camera with DVR Recorder and 32GB SD Card, Plumbing Snake Cam for Pipe Inspection</t>
  </si>
  <si>
    <t>B0D5QZBDRX</t>
  </si>
  <si>
    <t>Endoscope Camera with Light, 4.3" HD 1920P Borescope Snake Inspection Camera, IP67 Waterproof 8 Adjustable LEDs 16.4ft Semi-Rigid Tool Kit for Automotive Plumbing DIY Cool Gadgets</t>
  </si>
  <si>
    <t>B0FDF9WVNK</t>
  </si>
  <si>
    <t>Dual Lens Articulating Borescope, 5" Endoscope Camera with Light, 1080P Two-Way Articulated Industrial Flexible Snake Inspection Camera for Auto Home Wall &amp; HVAC-5FT</t>
  </si>
  <si>
    <t>B0DZFTBJXN</t>
  </si>
  <si>
    <t>Boresoeil 360° Articulating Borescope with 0.25 in Slim Probe, 5" HD 4-Ways Industrial Endoscope Camera with Light, Articulated Flexible Snake Camera for Plumbing &amp; Machinery Inspection</t>
  </si>
  <si>
    <t>B0CYSTX8HK</t>
  </si>
  <si>
    <t>Anysun Sewer Camera with 512hz sonde, Self Leveling Sewer Inspection Camera 150ft with 7MM Cable and Meter Marker, 9'' Monitor and DVR, 12 Adjustable Lights(32GB Card)</t>
  </si>
  <si>
    <t>B0C9L96KF7</t>
  </si>
  <si>
    <t>Borescope Inspection with Light, Industrial Endoscope Camera with 4.3” HD Screen, Waterproof Digital Snake Camera, Semi-Rigid Cable Bore Scope for Home Pipe, Engine, Inside Wall, Duct (11.5 FT)</t>
  </si>
  <si>
    <t>B0FS68V4ZV</t>
  </si>
  <si>
    <t>DEPSTECH DS700SE Triple Lens Endoscope Camera with Lights: 7'' IPS Screen and 16.5FT Flexible Cable Inspection Snake Camera, Industrial Borescope with Video and Sound Recording for Auto, Sewer, Pipe</t>
  </si>
  <si>
    <t>B09YGNWL44</t>
  </si>
  <si>
    <t>Dual Lens Endoscope Camera with Light, Teslong 4.5" HD Snake Borescope Inspection Camera, 0.2inch Automotive Scope Camera with Flexible Cable, Industrial Fiber Optic for Engine Mechanic(5FT)</t>
  </si>
  <si>
    <t>B0F21RD15V</t>
  </si>
  <si>
    <t>Zealtron 360° Joystick Articulating Borescope with Light,5'' Monitor 6.2mm Slim Probe Endoscope Inspection Camera,4-Way Articulating Borescope with 5ft Resilient Gooseneck Cable-Dual Battery Pack</t>
  </si>
  <si>
    <t>B0C2Z9ZK9F</t>
  </si>
  <si>
    <t>VEVOR Triple Lens Inspection Camera with Light, 5" IPS Screen Industrial Borescope, 8X Zoom 1080P HD Split Screen, 10 LED Lights Scope Camera for Automotive, Plumbing(16.5FT)</t>
  </si>
  <si>
    <t>B0FMKG8RJK</t>
  </si>
  <si>
    <t>Sewer Camera 66ft/20M 7" Rainproof IPS Screen Pipe Drain Inspection Camera DVR Recorder with Meter Marker 23MM 1080P Industrial Borescope 32G Card for Drain Pipe Plumbing</t>
  </si>
  <si>
    <t>B0DCC6DLBC</t>
  </si>
  <si>
    <t>Sewer Camera 50 FT 100FT,W/ 4.3" IPS HD 16GB DVR Screen,JQKJCAM 17MM Plumbing Drain Camera with Light,M+FT Mark,Portable Spool,3.5'' Roller Wheel,Waterproof for 1'' 2'' Pipe Wall Inspection(30m)</t>
  </si>
  <si>
    <t>B0FMF4QPDV</t>
  </si>
  <si>
    <t>B08QCMT89N</t>
  </si>
  <si>
    <t>50ft Sewer Camera, Teslong 1080P Drain Plumbing Snake Inspection Camera with Light, 50 ft Flexible Borescope Endoscope Duct Fiber Optic Scope Cam</t>
  </si>
  <si>
    <t>B085L57J5W</t>
  </si>
  <si>
    <t>Autel MaxiVideo MV480 Inspection Camera, 1080P HD Industrial Endoscope with Light, Dual Cameras, 10-Level Adjustable LED, 7X Zoom, Snake Borescope with Audio Annotation, 360°Rotation, Up of MV460</t>
  </si>
  <si>
    <t>B0CZKVWF4B</t>
  </si>
  <si>
    <t>Pemamnov Dual-Lens Endoscope Camera with Light,Borescope with 8 Adjustable LED Lights 1920P HD,16.5ft Semi-Rigid,IP67Waterproof USB Inspection Camera for iPhone,Gadgets for Men…</t>
  </si>
  <si>
    <t>B0F9SSJNB5</t>
  </si>
  <si>
    <t>𝟐𝟎𝟐𝟓 𝐍𝐞𝐰 7” Trolley Sewer Camera, HD 1080P w/DVR-32GB,Telescoping Aluminum Handle &amp; 2 Wheels for Sewer Pipe Camera，IPS Screen,5000mAh Battery, USB-C, [360° Rotate] Drain Cam,165ft/50m</t>
  </si>
  <si>
    <t>B0G33NS5WQ</t>
  </si>
  <si>
    <t>Endoscope Camera with Light, Dual-Lens 1920P HD Borescope Tools with 8+1 Adjustable LED Lights, 16.4FT Semi-Rigid Snake Cord IP67 Waterproof Inspection Camera for iPhone, iPad, iOS and Android Phone</t>
  </si>
  <si>
    <t>B07PBW52SF</t>
  </si>
  <si>
    <t>Oiiwak Endoscope Camera with Light, 5.5 mm Borescope, 4.3" IPS Screen HD Digital Snake Inspection Camera, IP67 Waterproof for Drain, Plumbing, Wall, Automotive- 3.5 m/11.5 ft</t>
  </si>
  <si>
    <t>B0G23FH94K</t>
  </si>
  <si>
    <t>Kinpthy Endoscope Camera with Light, 1920P HD Borescope Tools with 8 Adjustable LED Lights, Endoscope with Semi-Rigid Snake Camera, Inspection Borescope for iOS - 16.3ft Single Line Single Lens</t>
  </si>
  <si>
    <t>B0DFQ87GD9</t>
  </si>
  <si>
    <t>ZELCAN Sewer Camera, Drain Camera 100FT with 4.3 in. LCD Screen, Waterproof IP68 Borescope Plumbing with 12 LED Lights with 5300mAh Battery DVR Recorder, Included 32GB Card</t>
  </si>
  <si>
    <t>B0DNDKWY5T</t>
  </si>
  <si>
    <t>SYANSPAN Sewer Camera,4.3" HD Screen with 16GB DVR Function,Drain Pipe Inspection Camera for Home Wall Duct Drain Pipe Plumbing(33ft-164ft) (0.67" 16GB DVR(2025 Upgrade Steadier), 164ft/50M)</t>
  </si>
  <si>
    <t>B0DN66V72B</t>
  </si>
  <si>
    <t>SYANSPAN Sewer Camera,4.3" HD Screen with 16GB DVR Function,Drain Pipe Inspection Camera for Home Wall Duct Drain Pipe Plumbing(33ft-164ft) (0.9" 16GB DVR(2025 Upgrade Steadier), 164ft/50M)</t>
  </si>
  <si>
    <t>B0F3X42K51</t>
  </si>
  <si>
    <t>Zorlet 360 Articulating Borescope, 5" Monitor, 6.2mm Industrial Inspection Camera with 4-Way Joystick Articulation and 3.3FT Semi-Rigid Snake Tube, HD Endoscope for Automotive, Pipe &amp; Equipment</t>
  </si>
  <si>
    <t>B07HVT2XZL</t>
  </si>
  <si>
    <t>5MP Auto-Focus Endoscope, Teslong 3rd Generation USB Borescope with 5.0 Megapixel Inspection Camera, 16.5ft Waterproof Semi-Rigid Cable &amp; Adjustable Led Lights Probe for Android Phone Windows MacBook</t>
  </si>
  <si>
    <t>B0F23DYJPT</t>
  </si>
  <si>
    <t>EIXAUP Sewer Camera 100 ft, 23 MM Pipe Inspection Camera with 12pcs LED Lights, 7" 1080P HD Monitor with DVR Function, IP68 Waterproof, Meter Marker, Included 32GB Card(30 m)</t>
  </si>
  <si>
    <t>B0DJGFL6B8</t>
  </si>
  <si>
    <t>VEVOR Endoscope Camera with Light, Dual Lens Industrial Borescope, 4.3" Screen 1080P Inspection Camera, 8 + 1 Lights, 4X Zoom, IP67 Waterproof Snake Camera for Auto, Plumbing (16.4FT Cable, 32GB Card)</t>
  </si>
  <si>
    <t>B07PBZZKJD</t>
  </si>
  <si>
    <t>Sewer Camera, Can Connect External Monitor, Zoom in and Out, IP68 Waterproof, 12 pcs Adjustable Light, Plumbing Snake Cam with DVR Pipe Video Inspection, for Sewer Line, Drain, Duct, Plumbing(165FT)</t>
  </si>
  <si>
    <t>B0C3D3JM9K</t>
  </si>
  <si>
    <t>Sewer Camera with Locator, Anysun Self Leveling Sewer Inspection Camera 100ft with Meter Marker and DVR, 9'' HD Monitor with 12 Adjustable Lights(32GB Card)</t>
  </si>
  <si>
    <t>B0FHWCZ5RB</t>
  </si>
  <si>
    <t>Endoscope Camera with Light, 4.3" IPS Screen, 16.4 Ft Semi-Rigid IP67 Borescope Camera with Light, 1080P Inspection Camera with 8 LEDs, No App Needed, Waterproof Drain Camera, Cool Gadget for Men</t>
  </si>
  <si>
    <t>B0FHHKPFVH</t>
  </si>
  <si>
    <t>Hialemi Portable 9'' Sewer Camera with 512Hz Transmitter - 100Ft/30M Self Leveling Drain Camera &amp; Meter Counter &amp; 5X Zoom - 145° Plumbing Pipe Inspection Cam with Lights - 1080P IPS Screen &amp; DVR 32GB</t>
  </si>
  <si>
    <t>B00GY7C9ZW</t>
  </si>
  <si>
    <t>Vividia Ablescope VA-400 v5 Rigid One-Way Articulating USB Borescope 8.5mm/0.33" Diameter 42cm/16.5" IP67 Waterproof Probe</t>
  </si>
  <si>
    <t>B0BV2VFMVZ</t>
  </si>
  <si>
    <t>VEVOR Sewer Camera, 393 ft/120 m, 9" Screen Pipeline Inspection Camera with DVR Function, Waterproof IP68 Cameras w/12 Adjustable LEDs, w/ 16 GB SD Card, for Sewer Line, Home, Duct Drain Pipe Plumbing</t>
  </si>
  <si>
    <t>393ft</t>
  </si>
  <si>
    <t>B0F6TYDVT4</t>
  </si>
  <si>
    <t>Sewer Camera 100ft,SPRIDRAIN Drain Pipe Camera HD 5in Screen with 32GB DVR,Waterproof IP68 Works Underwater Up to 10Meters Sewer Inspection borescopes for Plumber(Fits Pipes&gt;0.9" Diameter,100ft/30M)</t>
  </si>
  <si>
    <t>B0FXLZZPF2</t>
  </si>
  <si>
    <t>Hialemi 6.4mm 4-Way Articulating Borescope with Joystick, 5" IPS Screen Endoscope Camera with Light, 360° Articulated Probe, 5.0FT Semi-Rigid Snake, IP67 Waterproof, 1080P 32GB Mechanics Inspection</t>
  </si>
  <si>
    <t>B0CMX4SD6M</t>
  </si>
  <si>
    <t>Sewer Camera,0.9in/22mm Pipe Inspection Camera with 12pcs LEDs Light, 4.3" Screen 1000TVL Plumbing Snake Borescopes with 4500mAh Battery DVR Recorder, Included 16GB Card (66FT/20M)</t>
  </si>
  <si>
    <t>B008H1EAOQ</t>
  </si>
  <si>
    <t>RIDGID 40043 Micro CA-25 Hand-Held Inspection Camera with 4' Cable, Borescope, Red</t>
  </si>
  <si>
    <t>B0DXF586FS</t>
  </si>
  <si>
    <t>Sewer Camera Head Accessories 6LED Waterproof IP68 for Pipe Drain Endoscope Camera Replacement with Wheel and Protective Cover (0.7inch/17mm)</t>
  </si>
  <si>
    <t>B0DM8TJGN1</t>
  </si>
  <si>
    <t>EIXAUP Sewer Camera Self Leveling, Sewer Inspection Camera 100 ft/30 m with Distance Counter, 7'' IPS 1080P Monitor and DVR Recorder, IP68 Waterproof, 12 Adjustable LED Lights(16GB Card)</t>
  </si>
  <si>
    <t>B0FCFWRV19</t>
  </si>
  <si>
    <t>Dual Lens Borescope with 5" IPS Screen, Endoscope Camera with Lights 16.5FT Semi-Rigid Cable, 1080P Inspection Camera, Supports Memory Cards with Photo and Video Capabilities</t>
  </si>
  <si>
    <t>B093SXC6X7</t>
  </si>
  <si>
    <t>Sewer Camera with Locator, Anysun 165ft Pipe Video Inspection Camera with 512Hz Sonde and Receiver, 7” LCD Monitor DVR Recorder, IP68 Waterproof (8GB SD Card Included)</t>
  </si>
  <si>
    <t>B0FJXP9R3F</t>
  </si>
  <si>
    <t>Sewer Camera,100FT/30M 4.3" Pipe Drain Inspection with DVR Function and LED Lights,23mm Borescopes Plumbing 8500Mah Battery Waterproof IP68 Endoscope HD 1000TVL 32GB Card (23mm Camera)</t>
  </si>
  <si>
    <t>B0DNMM3S49</t>
  </si>
  <si>
    <t>[Dual-Lens] Endoscope Camera with Light, 1920P HD Borescope with 8+1 Adjustable LED Lights, IP67 Waterproof Inspection Camera 16.5FT Semi-Rigid Snake Cord for iOS &amp; Android (2 Interface)</t>
  </si>
  <si>
    <t>B0G5KYXKVW</t>
  </si>
  <si>
    <t>Epicmate Two-Way Articulating Borescope,0.24in Probe, 5" Inspection Endoscope Camera with Light,Flexible Industrial Boerscope Snake Camera for Automotive, HVAC &amp; Mechanics-3.3FT</t>
  </si>
  <si>
    <t>B0F9X12NH3</t>
  </si>
  <si>
    <t>Endoscope Camera with Light, Handheld Borescope Inspection Camera with 4.3" IPS Screen, AukonVee IP67 Waterproof with 8 Adjustable LED Lights &amp; 16.5FT Semi-Rigid Snake Camera, Bore Scope Tools for Men</t>
  </si>
  <si>
    <t>B0FKB5XRTJ</t>
  </si>
  <si>
    <t>Anysun Self-Leveling Sewer Camera with Meter Marking, 9'' IPS Screen, HD 1080P Resolution, 5100mAh Battery, 100ft 5mm Cable Sewer Drain Video Inspection Camera with DVR Recorder and 32GB SD Card</t>
  </si>
  <si>
    <t>B0FCRFV5TX</t>
  </si>
  <si>
    <t>Daxiongmao Endoscope Camera with Light, 1080P HD Borescope, IP67 Waterproof Snake Camera – Ideal for Inspecting Walls, Vents, Automotive Engines, Pipes – A Great Tool for Men</t>
  </si>
  <si>
    <t>B0FJL74Z8H</t>
  </si>
  <si>
    <t>Zorlet Two-Way Articulating Borescope Camera with Light, Industrial Endoscope Inspection Camera with 0.25 in Slim Articulated Probe, Waterproof Snake Scope for Mechanics &amp; Engine Inspection - 5FT</t>
  </si>
  <si>
    <t>B0CQYW4MHD</t>
  </si>
  <si>
    <t>Sewer Camera Replacement Ultra High Definition 9inch Display Screen w/16GB DVR Video Rcording,JQKJCAM Drain Pipe Borescope Accessory,Monitor of Pipe Inspection Camera SP09A SP09F 9600F WP90F</t>
  </si>
  <si>
    <t>B0FKGYSFW5</t>
  </si>
  <si>
    <t>Sewer Camera, Self Leveling Drain Camera 66ft with Meter Counter, 9" HD Plumbing Cameras Snake with 12 LED Lights, 5100mAh Battery, IP68 &amp; 32GB DVR Recorder, Duct Sewer Line Pipe Inspection</t>
  </si>
  <si>
    <t>B0DYP4MVQ5</t>
  </si>
  <si>
    <t>EIXAUP Sewer Camera Self Leveling with 512Hz Sonde Transmitter,100 ft/30 m, 7" IPS 1080P Monitor, Distance Counter, 12 Adjustable Lights, IP68 Pipe Inspection Camera with DVR and 32GB Card</t>
  </si>
  <si>
    <t>B09WMFTQYB</t>
  </si>
  <si>
    <t>Teslong Endoscope Replacement Cable with Light, Triple Lens Inspection Camera 7.9mm/0.3inch Waterproof Probe Compatible with NTS500, NTS300(3.3FT)</t>
  </si>
  <si>
    <t>B0DT95GVP1</t>
  </si>
  <si>
    <t>Ralcam Articulating Borescope, Industrial Endoscope Inspection Camera for Android and iOS Smartphone, 8.5mm HD 1080P with 10FT Semi Rigid Cable</t>
  </si>
  <si>
    <t>B0DGTVC7C1</t>
  </si>
  <si>
    <t>Oiiwak Sewer Camera with Locator 165FT, 5.5 mm Industrial Borescope Inspection Camera with 10.1" Touch Screen, Self-Leveling/Distance Counter/ 12 LED Lights/Keyboard for Drain Pipe Plumbing</t>
  </si>
  <si>
    <t>B0D8SDT9HT</t>
  </si>
  <si>
    <t>Ralcam Two-Way Articulating Borescope, Endoscope Camera with Light 0.24in/6.2mm Articulated Inspection Camera, 3.3 FT Semi-Rigid HD Video Snake Scope for Automotive Aircraft Mechanics</t>
  </si>
  <si>
    <t>B0DCCBC2WZ</t>
  </si>
  <si>
    <t>Sewer Camera Snake 150FT,8500mAh 32GB HD JQKJCAM 23MM/0.9'' Pipe Drain Scope Camera with 12 Light 4.3'' DVR 360°Rotate Screen Distance Counter Waterproof for Plumbing Drain Inspection (50M/165FT)</t>
  </si>
  <si>
    <t>B0DNYTF8L4</t>
  </si>
  <si>
    <t>VEVOR 165 ft/50m Self-Leveling Pipeline Inspection Camera with 9" 1080P HD Screen, 36X Zoom, IP68 Waterproof, 32GB Card, Black</t>
  </si>
  <si>
    <t>B0B8HKQFPD</t>
  </si>
  <si>
    <t>Daxiongmao Endoscope Camera with Light, 1080P HD Borescope, IP67 Waterproof Snake Camera – Ideal for Inspecting Walls, Vents, Automotive Engines, Pipes – A Great Gift Tool for Men</t>
  </si>
  <si>
    <t>B0BJKTWZBV</t>
  </si>
  <si>
    <t>Self-Leveling Sewer Camera 100FT, Anysun 9" HD Screen Pipe Borescope Drain Inspection with 12pcs LED Light, DVR Recorder with 32GB Card, IP68 Waterproof Plumbing Cam, 7mm Cable with Meter Marks</t>
  </si>
  <si>
    <t>B0F13SV3DP</t>
  </si>
  <si>
    <t>Endoscope Camera with Light,Inspection Camera with 4.3" IPS Screen,1920P HD with 8 LED Lights,32.8ft Semi-Rigid Cable and Back LED Light,IP67 Waterproof Borescope, Cool Gadgets for Men</t>
  </si>
  <si>
    <t>B07RGV67HY</t>
  </si>
  <si>
    <t>Anysun Sewer Camera 100ft Snake Cam with Distance Counter DVR Video Sewer Pipe Inspection Equipment 7 inch LCD Monitor Duct HVAC 1000TVL Endoscope Waterproof IP68 Camera (8GB SD Card)</t>
  </si>
  <si>
    <t>B0G4GGYXBC</t>
  </si>
  <si>
    <t>Endoscope Camera with Light, 1920P HD Borescope Camera with 8 Adjustable LED, 16.4FT Semi-Rigid Snake, IP67 Waterproof 8mm Inspection for iOS and Android (Single-Lens)</t>
  </si>
  <si>
    <t>B0FMDTV17J</t>
  </si>
  <si>
    <t>JINXINEBAY 10 Inch IPS Sewer Inspection Camera with 512Hz Locator, 1080P AHD, 50M Cable, DVR, Auto Self-Leveling, 5X Zoom, TF Card, LED Lights for Pipe/Wall/Drain (165FT/512hz Locator)</t>
  </si>
  <si>
    <t>B0G43L1BD9</t>
  </si>
  <si>
    <t>2-Way 180° Articulating Borescope Camera with Light, 6.2mm Ultra-Slim Probe, 4.3" HD Inspection Camera, 6.6FT Flexible Snake Industrial Endoscope for Automotive Engine Wall</t>
  </si>
  <si>
    <t>B0FHK3NQ4R</t>
  </si>
  <si>
    <t>Sanyipace 18MM Sewer Camera, 66FT/20M Drain Inspection Camera with Microphone and Speaker, 1080P IP68 Waterproof Pipe Camera with 8 LEDs, Stiff Cable for Drain Duct Plumbing Inspection, 32GB Card</t>
  </si>
  <si>
    <t>B0FL1ZH8S1</t>
  </si>
  <si>
    <t>EIXAUP Sewer Camera 100 FT, 4.3" HD Screen, 23mm Industrial Endoscope with Light,32GB Card, Portable Drain Camera with 8500mAh Battery,Ideal for Plumbers and Homeowners(No DVR)</t>
  </si>
  <si>
    <t>B0DNMH4MR6</t>
  </si>
  <si>
    <t>VEVOR Sewer Camera with 512Hz Locator, 98 ft/30 m, 9" Drain Inspection Camera with Self-Leveling, 36X Zoom, Plumbing Camera with Lights-12 LED, 32GB Card, IP68 Waterproof Snake Camera for Duct Pipe</t>
  </si>
  <si>
    <t>B0CG6953FL</t>
  </si>
  <si>
    <t>Endoscope Camera with Light, Borescope with 6 LED Lights,Endoscope with 9.8ft Semi-Rigid Snake Camera,IP67 Waterproof Inspection Borescope Camera with Light for Android iPhone iPad, Tools for Men</t>
  </si>
  <si>
    <t>B0D7HQ7MQQ</t>
  </si>
  <si>
    <t>Anysun Sewer Camera Self-Leveling, Distance Counter, 7MM Diameter Cable, Microphone/DVR, 100FT/30M Sewer Pipe Inspection Camera with 9'' HD 1080P IPS Screen, Plumbing Camera IP68 Waterproof -32GB Card</t>
  </si>
  <si>
    <t>B0DJ7L3MCV</t>
  </si>
  <si>
    <t>Anysun Sewer Camera with Locator, Self Leveling Sewer Inspection Camera 150ft with Distance Counter, 9'' 1080P IPS Monitor and Video Recorder with MIC, 7MM Cable with 12 Lights(32GB Card)</t>
  </si>
  <si>
    <t>B0CXR3J9ZS</t>
  </si>
  <si>
    <t>Vividia VA-400i USB One-Way Articulation Rigid Borescope Inspection Camera for iOS Phone Tablet Android Windows PC</t>
  </si>
  <si>
    <t>B0DP9TKWT4</t>
  </si>
  <si>
    <t>Sanyipace Sewer Camera 100FT/30M with 512Hz Transmitter, Drain Camera Pipe Inspection Camera with Self-Leveling, Clear Meter Marks, IP68 Waterproof, 9" HD Color Screen, Video Record up to 128GB</t>
  </si>
  <si>
    <t>B0FZSZV9DJ</t>
  </si>
  <si>
    <t>ZORLET Dual Lens Two-Way Articulating Borescope Camera with Light, 5" Inspection Camera Endoscope, 0.25in Slim Probe, Waterproof 5.0FT Snake Camera for Automotive, Mechanics &amp; Engine Inspection</t>
  </si>
  <si>
    <t>B0DBCFYL2H</t>
  </si>
  <si>
    <t>HertzEagle Endoscope Camera with Light Compatible with iPhone and Android, 16.5ft IP67 Waterproof Snake Camera, Borescope, 8 Adjustable Lights</t>
  </si>
  <si>
    <t>B0G123VB7K</t>
  </si>
  <si>
    <t>KIRFEIHT Endoscope Camera with Light - Industrial Borescope with 32GB Card, Waterproof Inspection Sewer Camera, 16.4FT Snake Semi-Rigid Cord Endoscope Compatible with PC &amp; Android for HVAC, Plumbing</t>
  </si>
  <si>
    <t>B0FL1TPZSQ</t>
  </si>
  <si>
    <t>Sewer Camera Self-Leveling, 166ft Drain Camera with Meter Counter, 9-inch HD, Plumbing Cameras Snake with 12 LED Lights, 5100mAh Battery, IP68 &amp; 32GB DVR Recording for Duct Sewer Line Pipe Inspection</t>
  </si>
  <si>
    <t>166ft</t>
  </si>
  <si>
    <t>B0DFQ9JP9J</t>
  </si>
  <si>
    <t>ZELCAN Sewer Camera, Drain Camera 165FT with 4.3 in. LCD Screen, Waterproof IP68 Borescope Plumbing Camera with 12 LED Lights with 5300mAh Battery DVR Recorder, Included 32GB Card</t>
  </si>
  <si>
    <t>B0F9959W84</t>
  </si>
  <si>
    <t>Borescope Inspection Camera with Light – 4.3" Display, 16FT Semi-Rigid Cable, IP67 Waterproof Endoscope for Pipe, Engine &amp; HVAC</t>
  </si>
  <si>
    <t>16ft</t>
  </si>
  <si>
    <t>B0DHRQ9KM1</t>
  </si>
  <si>
    <t>Sewer Camera 100FT/30M, Wohuole Pipe Inspection Camera with 6pcs LEDs Light, 5" 1080P HD Screen, Plumbing Snake Borescope with 5000mAh Battery DVR Recorder, Included 32GB Card</t>
  </si>
  <si>
    <t>B0FYP9SDDX</t>
  </si>
  <si>
    <t>Blessfly Sewer Camera with 512Hz Locator, Pipeline Inspection Camera with 7inch Monitor and 98ft/30m Cable, IP68 Waterproof DVR Recording with 32GB SD Card for Sewer Line, Home, Duct Drain Plumbing</t>
  </si>
  <si>
    <t>B0DT98YB3X</t>
  </si>
  <si>
    <t>Two-Way Articulating Borescope Camera with Light: Industrial Endoscope Inspection Snake Camera - Flexible Bore Scope Cam with 0.33in Articulated Probe for Mechanic Automotive Engine Wall - 5.5FT</t>
  </si>
  <si>
    <t>B0C3D3SXDN</t>
  </si>
  <si>
    <t>Sewer Camera with Locator, Anysun Self Leveling Sewer Inspection Camera 150ft with Meter Marker and DVR, 9'' HD Monitor with 12 Adjustable Lights(32GB Card)</t>
  </si>
  <si>
    <t>B071S8J2X8</t>
  </si>
  <si>
    <t>400X Fiber Optic Video Inspection Probe and Display KOMSHINE KIP-600V Real-time Video Recording + TF Card 4000mAH Large Capacity Optic Cable Connector Scope Inspector 400 Magnification</t>
  </si>
  <si>
    <t>B0BWJMD13W</t>
  </si>
  <si>
    <t>Sewer Camera with Locator,512Hz Self-Leveling Drain Endoscope Camera with 9'' IPS Monitor, IP68 Waterproof 100FT Cable Pipe Inspection Camera with DVR Recording and 16GB Memory Card</t>
  </si>
  <si>
    <t>B0DCC7JN6M</t>
  </si>
  <si>
    <t>Drain Sewer Inspection Camera 150FT,Waterproof 16GB DVR JQKJCAM 17MM/0.67'' Pipe Plumbing Sewer Camera Snake with Light 4.3'' HD Screen Portable Spool for Drain Pipes (50m/165FT)</t>
  </si>
  <si>
    <t>B0G1MGRCZ1</t>
  </si>
  <si>
    <t>Anykit Endoscope Camera with Light, 1080P Industrial Endoscope Camera with 0.3 Slim Probe, 4.3” HD Screen Snake Cam, 16.5 FT Semi-Rigid Cable Bore Scope for Pipe, Engine, Inside Wall IP67 Waterproof</t>
  </si>
  <si>
    <t>B0FQNT3LPQ</t>
  </si>
  <si>
    <t>KeFvoer Endoscope Camera with Light and Grabber, Sewer Borescope Inspection Mirror with Magnetic Pickup, Drain Snake Scope for Automotive Repair &amp; Pipe Cleaning, IP67 Waterproof, 6 LED, 23.6-Inch</t>
  </si>
  <si>
    <t>B0C2ZBWZSK</t>
  </si>
  <si>
    <t>HBUDS Sewer Camera Self Leveling, 65ft Drain Pipe Inspection Camera with 7" Color HD Display, 12V 4500mAh Battery, DVR 16GB</t>
  </si>
  <si>
    <t>65ft</t>
  </si>
  <si>
    <t>B0DNMFPQ9L</t>
  </si>
  <si>
    <t>VEVOR Sewer Camera with 512Hz Locator, 165 ft/50 m, 9" Drain Inspection Camera with Self-Leveling, 36X Zoom, Plumbing Cameras with Lights-12 LED, 32GB Card, IP68 Waterproof Snake Cameras for Duct Pipe</t>
  </si>
  <si>
    <t>B0BYZ4P2ST</t>
  </si>
  <si>
    <t>VEVOR Sewer Camera, 65.6FT Snake Cam with DVR Video, Pipe Inspection Equipment 4.3 inch LCD Screen, Industrial Borescope Endoscope Waterproof IP68 with LED Lights, for Duct HAVC Drain Pipe Plumbing</t>
  </si>
  <si>
    <t>B0FHK5GK5M</t>
  </si>
  <si>
    <t>Sanyipace Sewer Camera 100FT/30M, 5" IPS HD Inspection Camera with 32GB TF Card, DVR with Speaker, 8 LED Lights, Waterproof Pipe Camera for Drain Pipe Plumbing Sewer Line Inspection</t>
  </si>
  <si>
    <t>B0DD7L4ZDR</t>
  </si>
  <si>
    <t>ESANHAO Sewer Camera 100ft Drain Snake Plumbing Inspection Camera 5" Screen with Video Recording DVR Included 32GB TF-Card</t>
  </si>
  <si>
    <t>B0G5NDX4TT</t>
  </si>
  <si>
    <t>Inspection Camera with Light,1920P HD Industrial Endoscope with 5" IPS Screen,Two-Way Articulating Borescope with 0.23in Snake Cable Camera for Pipe/Sewer/Automotive/Wall</t>
  </si>
  <si>
    <t>B0FGBWTXJT</t>
  </si>
  <si>
    <t>Sewer Camera 100ft,SPRIDRAIN Drain Pipe Camera HD 5in Screen,Waterproof IP68 Works Underwater Up to 10M Sewer Inspection Borescopes for Plumber(Fits Pipes&gt;0.9" Diameter,100ft/30M)</t>
  </si>
  <si>
    <t>B0CRV7GPRM</t>
  </si>
  <si>
    <t>JINXINEBAY Sewer Pipe Inspection Camera, IPS Monitor 32GB TF Card DVR, IP68 1200TVL HD Camera 65/100FT Fiberglass Cable, 5600mAh Battery Night Vision, for Home/Contractor/Plumber (4.3 inch/100FT)</t>
  </si>
  <si>
    <t>B0C2ZBB6V5</t>
  </si>
  <si>
    <t>HBUDS Sewer Camera Self Leveling, 100ft Drain Pipe Cameras with Meter Counter, 12V 4500mAh Battery Plumbing Snake Camera with Light, 7" Color HD Duct Chimney Sewer Inspection Cam, DVR Recorder 16GB</t>
  </si>
  <si>
    <t>B0DKJFCHS5</t>
  </si>
  <si>
    <t>FDGSAB Sewer Camera, 20/50m, 7" Screen Pipeline Inspection Camera Waterproof IP68 w/12 Adjustable LEDs, DVR Function Have 32GB SD Card .for Sewer Line, Duct Drain Pipe Plumbing (66ft/20M)</t>
  </si>
  <si>
    <t>B0FMFF8QY2</t>
  </si>
  <si>
    <t>Endoscope Camera with Light, 1920P HD borescope Camera,IP67 Waterproof Snake,16.4ft Semi-Rigid Inspection Tool with 8 LED Lights, Borescope for iPhone/Android (Micro-USB/Type-C/Lightning)</t>
  </si>
  <si>
    <t>B0D8TBXFTJ</t>
  </si>
  <si>
    <t>Borescope Camera with Light, Video Inspection Scope with 8 LED Lights, 1920P HD Industrial Endoscope with 4.3'' IPS Screen,16.4 ft Detachable Flexible Snake Endoscope, 32G TF Card, for Car, Mechanics</t>
  </si>
  <si>
    <t>B0DK4KY5S3</t>
  </si>
  <si>
    <t>Gatebig Sewer Camera with Locator,Self Leveling,165FT/50M,Retractable Handle,7MM Cable, 9'' IPS Drain Inspection Camera with DVR,IP68 Plumbing Snake with 12 Lights for Home,Duct Pipe Inspection</t>
  </si>
  <si>
    <t>B0DWS2LD48</t>
  </si>
  <si>
    <t>Anysun Self-Leveling Sewer Camera with Distance Counter, 0.28in/7mm Diameter 165ft Cable, 9'' 1080P IPS Screen, Pipe Inspection Camera with DVR Recording-32GB</t>
  </si>
  <si>
    <t>B0DG92JLVS</t>
  </si>
  <si>
    <t>Anysun Sewer Camera with Locator Set, Self-Leveling, 7mm Cable with Depth Marking, IP68 Waterproof Plumbing Endoscope Drain Snake Camera with 9'' Color Screen, 12pcs Light, Recorder with 32GB(150FT)</t>
  </si>
  <si>
    <t>B0D3BNBGQS</t>
  </si>
  <si>
    <t>WP9600FTR Sewer Camera Head with 512HZ Transmitter Guide Wheel Protector Cover,Replacement Accessory/Parts of 23mm/0.9'' JQKJCAM Drain Sewer Inspection Camera with Locator 12 Lights(WP90F SP09F)</t>
  </si>
  <si>
    <t>B0CF9C3QQF</t>
  </si>
  <si>
    <t>DEPSTECH 5" IPS Screen Borescope with Light, Split Screen View, 1080P HD Sewer Inspection Camera, 16.5FT Plumbing Snake for Home, Automotive</t>
  </si>
  <si>
    <t>B0FHHF2V6P</t>
  </si>
  <si>
    <t>Hialemi Portable 9'' Sewer Camera with 512Hz Transmitter - 7MM/ 164Ft/ 50M Self Leveling Drain Camera &amp; Meter Counter &amp; 5X Zoom - 145° Plumbing Pipe Inspection Cam - 1080P IPS Screen &amp; DVR 32GB</t>
  </si>
  <si>
    <t>B0FZH2C8YH</t>
  </si>
  <si>
    <t>Endoscope with Light, 1920P HD Borescope with 8 Adjustable LED Lights, 32.8FT Semi-Rigid Snake Camera, IP67 Waterproof Inspection Tool for iPhone &amp; Android - Dual Lens (Red)</t>
  </si>
  <si>
    <t>B0FMY9V1KD</t>
  </si>
  <si>
    <t>Vorth Endoscope Camera with Light, 1920P HD Borescope with 8 LED Lights, 33 FT Semi-Rigid Snake Inspection Camera, IP67 Waterproof Drain Pipe Borescope Mens Tool for iOS and Android</t>
  </si>
  <si>
    <t>B0FK29787B</t>
  </si>
  <si>
    <t>Anysun 9'' Sewer Camera Self Leveling, 7MM Fiberglass Cable, Length Marker, 5100mAh, IPS Screen, HD 1080P with DVR - 32GB, IP68 Sewer Scope Pipe Drain Plumbing Inspection Cameras Borescope Snake-100Ft</t>
  </si>
  <si>
    <t>B0G1C9X4XH</t>
  </si>
  <si>
    <t>Sewer Camera with Self-Leveling and Distance Count, IP68 Waterproof Cam, 9" Pipe Drain Inspection with 12pcs Light, DVR with 32GB Card, 7mm Cable (100FT)</t>
  </si>
  <si>
    <t>B0DJ7JVYZF</t>
  </si>
  <si>
    <t>Anysun Sewer Camera with Locator, Self Leveling Sewer Inspection Camera 200ft with Distance Counter, 9'' 1080P IPS Monitor and Video Recorder with MIC, 7MM Cable with 12 Lights(32GB Card)</t>
  </si>
  <si>
    <t>B0CYGX2KY3</t>
  </si>
  <si>
    <t>Sewer Camera with Self-Leveling, Can Connect External Monitor, Zoom in and Out, IP68 Waterproof, 12 pcs Adjustable Light, Plumbing Cam with DVR, for Sewer Line, Drain, Duct, Plumbing (165FT)</t>
  </si>
  <si>
    <t>B0FSXYGCBP</t>
  </si>
  <si>
    <t>Sanyipace Sewer Camera 165FT/50M,7" IPS Pop-Up Screen Plumbing Camera, Built-in 32GB DVR with Mic&amp;Speaker,20X Digital Zoom,Distance Counter,IP68 Waterproof Drain Camera for Plumbers Homeowners</t>
  </si>
  <si>
    <t>B0DL8LJTWM</t>
  </si>
  <si>
    <t>Teslong 2.0MP HD AF Auto Focus Borescope, 16.5ft Flexible Endoscope with Adjustable Lights, USB-C Inspection Camera for Plumbing, Automotive, Wall, for iPhone 15/16 &amp; Android, Long Focus &amp; Autofocus</t>
  </si>
  <si>
    <t>B0GK74151C</t>
  </si>
  <si>
    <t>Holdwell S Sewer Camera with 512Hz Locator Self-Leveling Borescopes Plumbing with Transmitter 9"HD Color Screen Waterproof IP68 Borescope Camera with Light 165ft/50m for Plumbing Duct Home Inspection</t>
  </si>
  <si>
    <t>B0D5TN5XHW</t>
  </si>
  <si>
    <t>7 Inches Monitor 100ft/30m with Distance Mark Plumbing Snake Pipe Inspection Video Camera,DVR Recorder Waterproof IP68 Drain Sewer Pipeline Industrial Endoscope System…</t>
  </si>
  <si>
    <t>B0FPL965MM</t>
  </si>
  <si>
    <t>FFXET Endoscope Camera with Light, 2.8" IPS 1080P HD Handheld Borescope, 8 Adjustable LEDs, 16.4ft Semi-Rigid Snake Inspection Camera, IP67 Waterproof, for Automotive,Sewer,HVAC,Men Tools Cool Gadgets</t>
  </si>
  <si>
    <t>2.8"</t>
  </si>
  <si>
    <t>B0DZ2DWH1G</t>
  </si>
  <si>
    <t>EIXAUP Sewer Camera Self Leveling with Distance Counter, 200 ft/60 m, 7mm Thicker Cable, 7" IPS 1080P Monitor, 12 Adjustable Lights, IP68 Pipe Inspection Camera with DVR and 32GB Card</t>
  </si>
  <si>
    <t>B0BTYF8KX6</t>
  </si>
  <si>
    <t>Anysun Self-Leveling Sewer Camera with Locator, 9'' IPS Monitor, 100ft Cable, IP68 Waterproof Pipe Inspection Camera, DVR Recording Function, 16GB Memory Card</t>
  </si>
  <si>
    <t>B0DCC6DNGD</t>
  </si>
  <si>
    <t>Sewer Camera 200FT,8500mAH 32GB HD JQKJCAM Duct Drain Pipe Inspection Camera with 12 Light 4.3" HD Video Screen,23MM/0.9'' Waterproof Plumbing Snake Cameras for Plumber Inspector (60m)</t>
  </si>
  <si>
    <t>B09HSBR5RG</t>
  </si>
  <si>
    <t>Sewer Camera with Locator, Anysun 100FT with 512HZ Locator Set and Receiver for Drain Plumbing Video Inspection 7'' LCD HD Screen Waterproof IP68 Cameras with 12pcs LED Light(8GB SD Card-DVR Record)</t>
  </si>
  <si>
    <t>B0F7F941JH</t>
  </si>
  <si>
    <t>SPRIDRAIN Sewer Camera Head Replacement, 12 Lights Guide Wheel Protective Cover, Accessory Parts for 23MM/0.9In Plumbing Pipe Drain Camera</t>
  </si>
  <si>
    <t>B0DLW66T4W</t>
  </si>
  <si>
    <t>Anysun Sewer Camera with Locator, Self Leveling Sewer Camera 100ft with Distance Counter, 10.1" HD Monitor with Keypad and 7MM Cable, 5X Zoom(16GB Card)</t>
  </si>
  <si>
    <t>B0FC2BD267</t>
  </si>
  <si>
    <t>Dual Lens Endoscope Camera with Light,7 "IPS Screen Sewer Camera,1920 P HD 8 mm Snake Camera,8+2 Adjustable LED Lights, 16.5FT Semi-Rigid Cable,5200 mAh with Pipelines,Walls,Pipe HVAC(32GCard)</t>
  </si>
  <si>
    <t>B0F9NMV4DC</t>
  </si>
  <si>
    <t>Sanyipace 512Hz Pipe Locator - Compatible with Sewer Camera 512Hz Transmitter, 16.5ft Range, 10H Battery, 3.5" Screen, Far/Near Modes for Pipes, HVAC, Drain, Ideal for Plumber, Electrician, Contractor</t>
  </si>
  <si>
    <t>3.5"</t>
  </si>
  <si>
    <t>B0BTH4WYWX</t>
  </si>
  <si>
    <t>AUTOOL Borescope Camera with Light, 210° Two-Way Endoscope Inspection Camera, 6.45mm Steering Len, 6 LED Light, HD 1080P Video Borescope Compatible with Android and iOS Phone with 3FT Snake Cable</t>
  </si>
  <si>
    <t>3ft</t>
  </si>
  <si>
    <t>B0D3F71GSQ</t>
  </si>
  <si>
    <t>Sewer Camera with Locator 100ft/30M 9" 1080P IPS Screen Self-Leveling 12pcs Lights Plumbing Snake Drain Camera Meter Counter,IP68 Waterproof Sewer Inspection Borescopes with DVR 16GB</t>
  </si>
  <si>
    <t>B0DTP6QXBY</t>
  </si>
  <si>
    <t>TOPDC Endoscope Camera with Light, 1920P HD Scope Camera, 8 LED Adjustable Inspection Borescope for Android and iOS, 16.4ft Semi-Rigid Snake Cable, IP67 Waterproof</t>
  </si>
  <si>
    <t>B0CF1VCDBD</t>
  </si>
  <si>
    <t>Dual Lens Endoscope with Light, Teslong USB-C Borescope Inspection Camera with 8+1 LED Lights, Flexible Waterproof Fiber Optic Snake Camera Scope Compatible with iPhone 15, Android Phone(10FT)</t>
  </si>
  <si>
    <t>B0FKHCHYPR</t>
  </si>
  <si>
    <t>Sewer Camera, Self-Leveling Drain Camera 165 ft with Distance Counter, 9" 1080P HD Plumbing Cameras Snake with 12 LED Lights, IP68 &amp; 32GB DVR, Industrial Endoscope for Duct Sewer Line Pipe Inspection</t>
  </si>
  <si>
    <t>B0DD47VS7S</t>
  </si>
  <si>
    <t>DEPSTECH Dual Lens Endoscope, HD Borescope Inspection Camera with Light, 4.3'' IPS Screen, IP67 Waterproof, 16.5ft Semi-Rigid Snake Camera Cable for Car Wall Drain Pipe</t>
  </si>
  <si>
    <t>B0CYSJHBGQ</t>
  </si>
  <si>
    <t>Anysun Sewer Camera with 512hz sonde, Self Leveling Sewer Inspection Camera 200ft with 7MM Cable and Meter Marker, 9'' Monitor and DVR, 12 Adjustable Lights(32GB Card)</t>
  </si>
  <si>
    <t>B0G34PXC7N</t>
  </si>
  <si>
    <t>4-Way 360° Articulating Borescope with 6 Light, Endoscope Camera with 6.2mm Probe, 8X Zoom Inspection Camera for Automotive Engine Pipe HVAC</t>
  </si>
  <si>
    <t>B0FQ5FBYPW</t>
  </si>
  <si>
    <t>Hialemi Portable 9'' Sewer Camera Pipe Inspector - 100Ft/30M Self Leveling Drain Camera &amp; Meter Counter &amp; 5X Zoom - 145° Plumbing Pipe Inspection Cam with Lights - 1080P IPS Screen &amp; DVR 32GB</t>
  </si>
  <si>
    <t>B0FLPXZR53</t>
  </si>
  <si>
    <t>Anysun Sewer Camera Self Leveling 100ft, Sewer Inspection Camera with Meter Marker,HD Screen, DVR, 12 Adjustable LED Lights, 5mm Cable, 5100mAh Rechargeable Battery, 32GB Card</t>
  </si>
  <si>
    <t>B0FXXGFLTL</t>
  </si>
  <si>
    <t>Anysun Self-Leveling Sewer Camera with 512Hz Transmitter, Meter Marking, 9'' IPS Screen, HD 1080P Resolution, 5100mAh Battery, 165ft 5mm Cable Sewer Drain Video Inspection Camera with DVR-32GB</t>
  </si>
  <si>
    <t>B0CMTV1YRC</t>
  </si>
  <si>
    <t>Sewer Camera 165ft/50m,0.9in/22mm Pipe Inspection Camera with 12pcs LEDs Light, 4.3" Screen 1000TVL Plumbing Snake Borescope with 4500mAh Battery DVR Recorder, Included 16GB Card</t>
  </si>
  <si>
    <t>B0G1C1XPW5</t>
  </si>
  <si>
    <t>Sewer Camera with Self-Leveling and Distance Count, IP68 Waterproof Cam, 9" Pipe Drain Inspection with 12pcs Light, DVR with 32GB Card, 7mm Cable (200FT)</t>
  </si>
  <si>
    <t>B0DFGTYXD5</t>
  </si>
  <si>
    <t>Borecope with Light 5M, 5in Dual Lens Endoscope Camera with Light, Digital Inspection Camera, 7.9mm IP67 Waterproof Endoscope, 5M/16.4FT Semi-Rigid for Car Wall Plumbing-6PCS ACCS</t>
  </si>
  <si>
    <t>B0CBS872G4</t>
  </si>
  <si>
    <t>Self-Leveling Sewer Camera 200FT, Anysun 9" HD Screen DVR Recorder with 32GB Card, IP68 Waterproof Plumbing Cam Pipe Borescope Drain Inspection with 12pcs LED Light, 7mm Cable with Meter Marks</t>
  </si>
  <si>
    <t>B0FLXRVP6M</t>
  </si>
  <si>
    <t>THINKCAR TES102 Endoscope Camera with Light, 0.21 Inch HD Borescope with 6 Adjustable LED Light, IP67 Waterproof Semi-Rigid Snake Camera, One Click Snapshot Inspection Borescope</t>
  </si>
  <si>
    <t>B0DWMNLK1B</t>
  </si>
  <si>
    <t>Sanyipace Sewer Camera Replacement Cable, ONLY S610ASMKTCP Model, 7mm/0.28-Inch Diameter, 165FT/50M</t>
  </si>
  <si>
    <t>B0CC1LCRYL</t>
  </si>
  <si>
    <t>Sanyipace Sewer Camera 100FT/30M, 5600mAh Battery, 0.67in/17mm Pipe Inspection with Light, DVR &amp; Audio Recorder, 4.3" Screen, 8 LEDs, 1000TVL Plumbing Snake, Included 16GB Card</t>
  </si>
  <si>
    <t>B0DRSF5Q5Z</t>
  </si>
  <si>
    <t>Acoath Borescope, Endoscope Camera with Light, Dual-Lens 1080P Industrial Inspection Camera, 5" IPS Screen, 32GB Card, IP67 Waterproof Sewer Tools - 9.8FT</t>
  </si>
  <si>
    <t>B0B4SDBMPX</t>
  </si>
  <si>
    <t>Sewer Camera 65FT, Can Connect External Monitor, Zoom in and Out, IP68 Waterproof, 12 pcs Adjustable Light, Plumbing Snake Cam with DVR Pipe Video Inspection, for Sewer Line, Drain, Duct, Plumbing</t>
  </si>
  <si>
    <t>B0DZ66K1CC</t>
  </si>
  <si>
    <t>VEVOR 100 ft/30 m Drain Inspection Camera with 7" Screen, IP68 Waterproof, 12 LED Lights, 16GB SD Card for Sewer Line, Duct Drain Pipe Plumbing</t>
  </si>
  <si>
    <t>B07SR2LHBT</t>
  </si>
  <si>
    <t>HBUDS Pipe Camera, 50M/165ft Cable, 7 Inch LCD, Black, Wired, IP68 Waterproof</t>
  </si>
  <si>
    <t>B0D8W215CX</t>
  </si>
  <si>
    <t>Endoscope Camera with Light,1920P HD Endoscope with 5.9ft Semi-Rigid,Endoscope Camera with 8 Adjustable LED Lights,7.9mm IP67 Waterproof</t>
  </si>
  <si>
    <t>5.9ft</t>
  </si>
  <si>
    <t>B082PG2GT6</t>
  </si>
  <si>
    <t>Forbest Sewer Drain Inspection Camera, 130ft Fiberglass Cable, 7" LCD Monitor, DVR Recorder &amp; Battery, 512Hz Sonde Transmitter, Borescope Snake Camera, IP68 Waterproof Lens with Lights, Plumbing Tool</t>
  </si>
  <si>
    <t>130ft</t>
  </si>
  <si>
    <t>B0G23P5N7X</t>
  </si>
  <si>
    <t>Endoscope Camera with Light, 1920P HD Borescope Tools with 8 Adjustable LED Lights, Endoscope with Semi-Rigid Snake Camera, Inspection Borescope for iOS and Android - 16.3ft Dual Line Single Lens</t>
  </si>
  <si>
    <t>B0G2XTJBJZ</t>
  </si>
  <si>
    <t>Endoscope Camera with Light, 1920P HD Borescope Camera with Light,Semi-Rigid Inspection Endoscope with 8 Adjustable LED, IP68 Waterproof Drain Scope Camera for for iOS/Android,16.4ft</t>
  </si>
  <si>
    <t>B09KFGS7WN</t>
  </si>
  <si>
    <t>Vivida ME-610i Joystick Articulating Borescope 6mm Diameter 1m Flexible IP67 Waterproof Probe for iOS &amp; Android</t>
  </si>
  <si>
    <t>B0D7HRSBK7</t>
  </si>
  <si>
    <t>Anysun Sewer Camera Self-Leveling, Distance Counter, 7MM Diameter Cable, Microphone/DVR, 300FT/91.5M Sewer Pipe Inspection Camera with 9'' HD 1080P IPS Screen, Plumbing Camera IP68 Waterproof -32GB</t>
  </si>
  <si>
    <t>B0FC2K8FN2</t>
  </si>
  <si>
    <t>Endoscope with Light, 1920P HD Borescope with 8 Adjustable LED Lights, 16.4FT Semi-Rigid Snake Camera, IP67 Waterproof Inspection Tool for iPhone &amp; Android - Single Lens (Black)</t>
  </si>
  <si>
    <t>B0DZP8NKCB</t>
  </si>
  <si>
    <t>Sewer Camera with Locator Self Leveling,9’’16GB HD Video Screen,JQKJCAM Drain Snake Sewer Pipe Inspection Camera 100FT Waterproof with 12 Light Meter Counter for Plumber Inspector (30M)</t>
  </si>
  <si>
    <t>B0FLJN7FVT</t>
  </si>
  <si>
    <t>Sewer Camera,66FT/100FT Pipe Inspection Borescope Endoscope Camera with 8pcs LEDs Light 4.3" IPS Screen 18MM DVR Plumbing Snake 8500Mah Battery (18MM-DVR-20M)</t>
  </si>
  <si>
    <t>B0CTTSWBMV</t>
  </si>
  <si>
    <t>Dual Lens Endoscope Borescope Inspection Camera with 8 Adjustable LED Lights - 1980P Endoscope Camera with 16.5ft Semi Rigid Snake - IP68 Waterproof for iPhone, iPad, Android</t>
  </si>
  <si>
    <t>B0C3D9GLTK</t>
  </si>
  <si>
    <t>Anysun Sewer Inspection Camera - 100ft with 7" Monitor, DVR, 16GB Card, 12 Lights, Plumbing Pipe Camera for Plumber &amp; Homeowner</t>
  </si>
  <si>
    <t>B0CJC8KTBM</t>
  </si>
  <si>
    <t>Daxiongmao Endoscope Camera with Light, Dual Lens 1080p HD Borescope, IP67 Waterproof Snake Camera – Ideal for Inspecting Walls, Vents, Automotive Engines, Pipes – A Great Tool Gift for Men (16.5ft)</t>
  </si>
  <si>
    <t>B0FGDC15DP</t>
  </si>
  <si>
    <t>Anykit Endoscope Camera with Light, 1920P HD Borescope with 8 Adjustable LED Lights, Semi-Rigid Snake Camera with Light, IP67 Waterproof Inspection Cam for iPhone &amp; Android, 50 ft Single Lens</t>
  </si>
  <si>
    <t>B0GK7R95WR</t>
  </si>
  <si>
    <t>Holdwell S Sewer Camera with 512Hz Transmitter Self-Leveling Borescopes Plumbing 9" HD Color Screen Waterproof IP68 Borescope Camera with Light 100 ft/30 m for Home Wall Duct Drain Pipe Plumbing</t>
  </si>
  <si>
    <t>B0D3J7337C</t>
  </si>
  <si>
    <t>1920P HD 16.4FT Dual-Lens Endoscope with Light, Borescope Camera with 9 Adjustable LED Lights, Semi-Rigid Snake USB Type C for iPhone, Android and iOS Smartphones, iPad, Samsung. KEEMIKA</t>
  </si>
  <si>
    <t>B0CYGYXDXZ</t>
  </si>
  <si>
    <t>Sewer Camera with Self-Leveling, Built-in Distance Counter, Can Connect External Monitor, Zoom in and Out, IP68 Waterproof, 12 pcs Adjustable Light, Plumbing Drain Video Cam with DVR (100FT)</t>
  </si>
  <si>
    <t>B07RRNCV3G</t>
  </si>
  <si>
    <t>HBUDS Self Leveling Sewer Inspection Camera with Locator 100ft, 9" Color Monitor Drain Pipe Cameras with 512Hz Sonde and Receiver, 12V 4500mAh Rechargeable Battery Plumbing Camera Snake with DVR 16GB</t>
  </si>
  <si>
    <t>B0FLXR4H4W</t>
  </si>
  <si>
    <t>HBUDS Sewer Camera, Self Leveling Drain Camera 65ft with Meter Counter, 7mm Thick Cable, 9" HD Screen 1080P Plumbing Cameras Snake with Light, 5100mAh Battery Duct Pipe Video Inspection Cam DVR 32GB</t>
  </si>
  <si>
    <t>B0CWLBH81V</t>
  </si>
  <si>
    <t>Anysun Self-Leveling Sewer Inspection Camera - 100ft, 9" Monitor &amp; DVR, 12 Lights, Plumbing Pipe Camera for Plumbers &amp; Homeowners (16GB Card)</t>
  </si>
  <si>
    <t>B0C2Z5XR8S</t>
  </si>
  <si>
    <t>HBUDS Sewer Camera, Self-Leveling Drain Pipe Cameras with Meter Counter, 12V 4500mAh Battery Plumbing Snake Camera Light, 7'' Color HD Duct Chimney Inspection DVR Recorder 16GB 7D3A,165ft</t>
  </si>
  <si>
    <t>B0F3124G5Y</t>
  </si>
  <si>
    <t>POLEDY Endoscope Camera with Light, 1920P HD Borescope, 8 Adjustable LED Light, IP67 Waterproof 16.4ft Snake Camera, Semi-Rigid Cable Inspection for Android, iOS</t>
  </si>
  <si>
    <t>B09HSC4Q8Y</t>
  </si>
  <si>
    <t>Sewer Camera with Locator, Anysun 165FT with 512HZ Locator Set and Receiver for Drain Plumbing Video Inspection 7'' LCD HD Screen Waterproof IP68 Cameras with 12pcs LED Light(8GB SD Card-DVR Record)</t>
  </si>
  <si>
    <t>B0FSXGP3LF</t>
  </si>
  <si>
    <t>Sanyipace Sewer Camera 100FT/30M, 20X Digital Zoom Drain Camera, Pipe Camera with Distance Counter, 7" IPS Pop-up Screen, Built-in Speaker, Plumbing Camera with 12PCS Lights, for Plumber Homeowner</t>
  </si>
  <si>
    <t>B0DGCX6G3L</t>
  </si>
  <si>
    <t>Anysun Sewer Camera Self Leveling with Locator, Distance Counter, 165Ft Sewer Inspection Cameras with 9'' 1080P IPS Monitor, Video Pipe Drain Cam IP68 Industrial Borescope Snake, 16GB Card</t>
  </si>
  <si>
    <t>B0F2MPZPQP</t>
  </si>
  <si>
    <t>Danculpe Sewer Camera Self-Leveling, 100FT/30M, 7MM Cable, 10.1" HD Drain Pipe Inspection Camera (Trolley with Wheels), DVR, Distance Counter, IP68 Waterproof, 12 LEDs, 16GB Card for Home, Duct</t>
  </si>
  <si>
    <t>B0FCMKN9ZB</t>
  </si>
  <si>
    <t>ESANHAO Sewer Camera with Selfleveling, Distance Count, 512Hz Transmitter, 9" 1080P HD Monitor Drain Plumbing Camera with DVR, IP68 Waterproof, 7mm Cable 165ft, 32GB Card Included</t>
  </si>
  <si>
    <t>B0CQK1GSHP</t>
  </si>
  <si>
    <t>Anysun Self-Leveling Sewer Camera with Locator, 9'' Pipe Drain Inspection System, 100ft Meter Marker Cable, DVR, 12 Adjustable Lights for Plumbing Snake</t>
  </si>
  <si>
    <t>B0CYL6LHWC</t>
  </si>
  <si>
    <t>ANYSUN Sewer Camera's Accessories Camera (Buil-t-in 512hz Sonde and Self-Leveling Function)</t>
  </si>
  <si>
    <t>B0F2DXHV3Q</t>
  </si>
  <si>
    <t>Orange A-600 Handheld 400x Fiber Optic end face Detector Magnifier Fiber Optic Microscope 5-inch high-Definition Touch Screen for SC/FC/ST/LC UPC Male/Female Head Interface Fiber Inspector (A-600U)</t>
  </si>
  <si>
    <t>B0C7LWWYZ5</t>
  </si>
  <si>
    <t>Vividia CX-4010i Flexible Joystick Articulating 1280x720 HD USB Inspection Camera Borescope Videoscope with 4mm (0.16") Diameter 1m Long for iPhone iPad and for Android Devices</t>
  </si>
  <si>
    <t>B0DQH18QGD</t>
  </si>
  <si>
    <t>Self-Leveling Sewer Camera 300FT, Anysun 9" HD Screen DVR Recorder with 32GB Card, IP68 Waterproof Plumbing Cam Pipe Borescope Drain Inspection with 12pcs LED Light, 7mm Cable with Meter Marks</t>
  </si>
  <si>
    <t>B0DKJ73NT4</t>
  </si>
  <si>
    <t>FDGSAB Sewer Camera, 20/50m, 7" Screen Pipeline Inspection Camera Waterproof IP68 w/12 Adjustable LEDs, DVR Function Have 32GB SD Card .for Sewer Line, Duct Drain Pipe Plumbing (98.4ft/30M)</t>
  </si>
  <si>
    <t>B0D6L54LZG</t>
  </si>
  <si>
    <t>Vividia Grabber Borescope Retrieval Pickup Tool with USB Camera, LED Lights, Detachable Magnet for iOS/Android (Diameter 8mm Probe)</t>
  </si>
  <si>
    <t>B0GKLTBHH3</t>
  </si>
  <si>
    <t>Teslong 10FT Articulating Borescope with Light, 0.25inch Two-Way Mechanic Endoscope Inspection Camera with Articulated Probe, Flexible Fiber Optic Snake Scope Cam for Wall Automotive Engine Inspect</t>
  </si>
  <si>
    <t>B0FC28BL5R</t>
  </si>
  <si>
    <t>Triple Lens Endoscope Camera with Light,7 "IPS Screen Sewer Camera,1920 P HD 8 mm Snake Camera,8+2 Adjustable LED Lights, 16.5FT Semi-Rigid Cable,5200 mAh with Pipelines,Walls,Pipe HVAC(32GCard)</t>
  </si>
  <si>
    <t>B0F6NRMP3B</t>
  </si>
  <si>
    <t>Sewer Camera 200FT,W/4.3‘’ IPS HD 32GB DVR Screen,Waterproof HD JQKJCAM 17MM/0.67'' Plumbing Drain Pipe Snake Camera with Light Meter Counter for Sewer Pipe Wall Inspection (200 ft/60m)</t>
  </si>
  <si>
    <t>B0CS68VYN9</t>
  </si>
  <si>
    <t>Sewer Camera 150ft,W/ 9'' Ultra HD 16GB DVR Screen (36X Zoom in),1080P JQKJCAM 23MM Pipe Endoscope Drain Camera Snake with 12 Bright Light,Meter Counter for Plumbing Sewer Inspection (50M/165FT)</t>
  </si>
  <si>
    <t>B0D2HVFB6Y</t>
  </si>
  <si>
    <t>Sewer Camera 100FT Self Leveling (Upright Images),W/ 12LED 7''HD 16GB DVR Monitor Meter Counter,23MM/0.9'' JQKJCAM Pipe Drain Camera Snake 100 FT with Light Waterproof for Plumbing Inspection (30M)</t>
  </si>
  <si>
    <t>B0DGLLDJSD</t>
  </si>
  <si>
    <t>Triple Lens Sewer Camera 50ft | 5" IPS Screen Borescope with Light | 1080P HD Drain Snake Camera for Plumbing Pipe HVAC Inspection Cam + Case Green</t>
  </si>
  <si>
    <t>B0FZGW1HM5</t>
  </si>
  <si>
    <t>Endoscope with Light, 1920P HD Borescope with 8 Adjustable LED Lights, 32.8FT Semi-Rigid Snake Camera, IP67 Waterproof Inspection Tool for iPhone &amp; Android - Dual Lens (Yellow)</t>
  </si>
  <si>
    <t>B0FH6LPBYH</t>
  </si>
  <si>
    <t>Two-Way Articulating Borescope Camera with Light, Industrial Endoscope Inspection Camera with Light, 0.24in Articulated Probe, 5FT Flexible Snake Scope for Wall Automotive Engine Plumbing HVAC Inspect</t>
  </si>
  <si>
    <t>B0FLXTG78F</t>
  </si>
  <si>
    <t>HBUDS Sewer Camera 100ft, Self Leveling Drain Camera with Meter Counter, 7mm Thick Cable, 9" HD Screen 1080P Plumbing Cameras Snake with Light, 5100mAh Battery Duct Pipe Video Inspection Cam DVR 32GB</t>
  </si>
  <si>
    <t>B0D8B5ZKFQ</t>
  </si>
  <si>
    <t>Ginocaco 16.4FT Endoscope with Light, 4.3'' HD 1080P Borescope Inspection Camera, 8 Adjust LED Lights, Semi-Rigid Cable, IP67 Waterproof Scope for HVAC Tool, Gadget Gift for Men</t>
  </si>
  <si>
    <t>B0FX4FQC6Y</t>
  </si>
  <si>
    <t>Ralcam Articulating Borescope Endoscope Camera with Light, 210° Dual-Direction Snake Camera for Automotive Inspection, 6.2mm Probe, 4.3" HD Screen, 6 Adjustable LEDs, IP67 Waterproof Semi-Rigid Cable</t>
  </si>
  <si>
    <t>B08RHKYK1C</t>
  </si>
  <si>
    <t>NIDAGE Original Endoscope Tool Case, Upgrad Large Capacity Hardshell Carrying Bag Storage Case Compatible with WiFi Borescope, 4.3in Inspection Camera with Cable Less Than 10M, Otoscope, Black Toolbox</t>
  </si>
  <si>
    <t>B0FJ2QDNG9</t>
  </si>
  <si>
    <t>Endoscope Camera with Light,Borescope Cameras with 4.3" IPS 1920P HD Inspection Kamera IP67 Waterproof with 8 Adjustable LEDs 16.5 FT Semi-Rigid Cable Borescopes for Sewer Drain Pipe Cool Gadgets</t>
  </si>
  <si>
    <t>B0DSG3KJY1</t>
  </si>
  <si>
    <t>Anysun Sewer Camera with Locator, Self Leveling Sewer Inspection Camera with Distance Counter, 7MM Diameter Cable 150ft with 12PCS LED Lights, 9" HD Monitor with DVR(32GB Card)</t>
  </si>
  <si>
    <t>B0F5W6HJF8</t>
  </si>
  <si>
    <t>Two-Way Articulating Borescope for iPhone &amp; Smartphone, Ralcam 5.5mm/0.21in Endoscope Camera with Light, HD Inspection Snake Camera with Battery for Engine, Pipe, HVAC Inspection</t>
  </si>
  <si>
    <t>B0D63F96LB</t>
  </si>
  <si>
    <t>Sewer Camera Replacement 9inch Display Screen w/8GB DVR Video Rcording,JQKJCAM WP9600A WP90A Pipe Inspection Camera Drain Pipeline Endoscope System Monitor</t>
  </si>
  <si>
    <t>B0FLDQ4P5J</t>
  </si>
  <si>
    <t>Sewer Camera 100FT/30M,Pipe Inspection Camera DVR &amp; Audio Recorder,18MM Borescopes Plumbing Snake with 8500mAh Battery 4.3" IPS Screen, 8 LEDs HD 1000TVL, Included 32GB Card</t>
  </si>
  <si>
    <t>B0F5HCGPSJ</t>
  </si>
  <si>
    <t>Nfutreon 32.8FT Flexible Borescope Camera- 4.3" 1080P HD, IP67 Waterproof Industrial Endoscope Camera for Sewer/Automotive Pipe/Wall Inspection,1pack</t>
  </si>
  <si>
    <t>B0D2H2C95S</t>
  </si>
  <si>
    <t>Articulating Borescope 2-Way 210° - JESERAL 6.2mm Len Endoscope camera with 6 light, HD1080P Inspection Camera with Steering Probe, Compatible with Android&amp;iOS Phone, scope with 3.3FT Semi-Rigid Cable</t>
  </si>
  <si>
    <t>B0GKQFBN85</t>
  </si>
  <si>
    <t>KLARAY US23-MD62 Two-Way Articulating Borescope with Light, Industrial Inspection Camera with 6.2mm Articulated Probe, Flexible Mechanic Snake Scope for Automotive Engine Inspection – 3.3FT</t>
  </si>
  <si>
    <t>B0DJLM28ZL</t>
  </si>
  <si>
    <t>Sanyipace Sewer Camera 100FT/30M, 0.67in/17mm Pipe Inspection Camera with Light, 5600mAh Battery, Mic &amp; Speaker, 4.3" Screen, 8 LEDs, 1000TVL Plumbing Snake Camera, Included 16GB Card</t>
  </si>
  <si>
    <t>B0CW53H8RH</t>
  </si>
  <si>
    <t>23MM Sewer Camera Head Replacement,with Guide Wheel Protective Cover,Accessories Parts of JQKJCAM 9622A 9616A 9604A WP90A 9600A Pipe Drain Camera Plumbing Bore Scope Snake with 12PCS Lights</t>
  </si>
  <si>
    <t>B0BTNSJ4PZ</t>
  </si>
  <si>
    <t>5FT Dual Lens Probe, 5mm/0.2inch Diameter Semi-Rigid Cable Compatible with MS450 Inspection Camera</t>
  </si>
  <si>
    <t>B0DG8MWP8M</t>
  </si>
  <si>
    <t>Sewer Camera 200FT with Locator and Receiver Sets with Distance Count, Self-Leveling, 512Hz Sonde IP68 Waterproof Cam, 9" Pipe Drain Inspection with 12pcs Light, DVR with 32GB Card, 7mm Cable</t>
  </si>
  <si>
    <t>B0F62RBVSF</t>
  </si>
  <si>
    <t>360°Articulating Borescope Camera - JESERAL 5" HD 1080P Inspection Camera Screen with 6 Light, Endoscope with 6.2mm IP67 Waterproof Probe, 3X Zoom 4-Way Borescope Engine with 1M Flexible Cable</t>
  </si>
  <si>
    <t>B08PTVBGBQ</t>
  </si>
  <si>
    <t>5mm Dual Lens Inspection Camera, Teslong Borescope with LED Light, HD Industrial Endoscope, 5" IPS Screen, Waterproof Video Scope Camera, Flexible Cable for Home/Automotive/Pipe/Car/Wall(16.5FT)</t>
  </si>
  <si>
    <t>B0DWDK327H</t>
  </si>
  <si>
    <t>Sewer Camera w/DVR Function, 4.3" HD 1080P Screen Pipeline Inspection Camera, IP68 Waterproof Pipe Plumbing Snake Cam with 32GB Card, for Sewer Line, Home, Duct Drain Pipe Plumbing (30M/100FT)</t>
  </si>
  <si>
    <t>B0D1CJ68KG</t>
  </si>
  <si>
    <t>Milwoukee Fits Milwaukee 3150-20 M12 12V Auto Technician Borescope w/ 5mm Camera Head</t>
  </si>
  <si>
    <t>B0F47SBC8N</t>
  </si>
  <si>
    <t>FBLFOBELI Hard Case for MugEasy/SKYBASIC/Daxiongmao/DEPSTECH/Lightswim Borescope Inspection Camera, Fits 4.3'' Screen Borescopes, Lens Industrial Endoscope Carrying Case</t>
  </si>
  <si>
    <t>B0F1Y5TN2Q</t>
  </si>
  <si>
    <t>Anysun 9" Replacement Screen for Sewer Camera Mode 9DX23, High-Resolution LCD Screen, Compatible with Anysun HBUDS Pipe Inspection Cameras System-CR110-9DX23</t>
  </si>
  <si>
    <t>B0D72Y2V4Y</t>
  </si>
  <si>
    <t>Anysun Sewer Camera Self-Leveling, 512Hz Transmitter, Distance Counter, 7MM Diameter Cable, Microphone/DVR, 200FT/60M Pipe Inspection Camera, 9'' HD 1080P IPS Screen Plumbing Camera IP68-32GB</t>
  </si>
  <si>
    <t>B0G6Y3W5BF</t>
  </si>
  <si>
    <t>EASTBEAR Single-Lens Endoscope Camera with Light, 1920P HD Borescope with 8 Adjustable LEDs, 16.4FT Semi-Rigid Snake Cable, IP67 Waterproof Inspection Camera for iOS &amp; Android - Black</t>
  </si>
  <si>
    <t>B0GLN5KH95</t>
  </si>
  <si>
    <t>Two-Way Articulating Borescope Camera with Light, 1080P HD Snake Camera with 360° Rotation, 5.01ft IP67 Waterproof for Mechanics &amp; Plumbers, Borescope with Articulating Head for iPhone &amp; Android</t>
  </si>
  <si>
    <t>B0FY4YCYG7</t>
  </si>
  <si>
    <t>Anysun 9" Replacement Screen for Sewer Camera Mode 9DX7 &amp; 9DX1, High-Resolution LCD Screen, Compatible with Anysun HBUDS Pipe Inspection Cameras System-CR110-9DX7 / 9DX1</t>
  </si>
  <si>
    <t>B0GKBXR1ZR</t>
  </si>
  <si>
    <t>Klein Tools ET21 WiFi Borescope with Light, Inspection Camera for iPhone and Android, Waterproof Camera, IP67 Rated, Adjustable LED Lighting</t>
  </si>
  <si>
    <t>B07TWMBLJF</t>
  </si>
  <si>
    <t>QiQibaby 12 MP High Resolution CCD USB Iriscope Diagnostic Eye Camera with 12MP HD 30x Iris Lens and Driver-Free Analysis Software (English Version)</t>
  </si>
  <si>
    <t>B0D5VQGVGX</t>
  </si>
  <si>
    <t>Vividia UV-100 Semi-Rigid USB UV White LED Light Inspection Camera Borescope with Side-View Camera</t>
  </si>
  <si>
    <t>B0DD781TXP</t>
  </si>
  <si>
    <t>Sewer Camera Self Leveling, Anysun Sewer Inspection Camera 300ft with 9'' Monitor and DVR Recorder with 32GB Card, Meter Marker, 12 Adjustable Lights</t>
  </si>
  <si>
    <t>B0CGMZ6V4N</t>
  </si>
  <si>
    <t>HBUDS Self Leveling Sewer Inspection Camera with Locator 165ft, 9" Color Monitor Drain Pipe Cameras with 512Hz Sonde and Receiver, 12V 4500mAh Rechargeable Battery Plumbing Camera Snake with DVR 16GB</t>
  </si>
  <si>
    <t>B09RQ4KMK2</t>
  </si>
  <si>
    <t>Vividia W2460 WiFi/USB Wireless USB 2-Way Articulation Rigid 4mm (0.16") Diameter Long 28" Long Borescope Videoscope Inspection Camera for Windows iPhone iPad Android MacOS Chromebook PC</t>
  </si>
  <si>
    <t>B0FC639HC1</t>
  </si>
  <si>
    <t>Sewer Camera with 18mm 512hz Transmit,Pipe Inspection Camera 7" DVR Waterproof IP68 Borescope Plumbing Drain Endoscope 32GB Card for Home Wall Duct Drain Pipe Plumbing</t>
  </si>
  <si>
    <t>B0DXFBLWLJ</t>
  </si>
  <si>
    <t>Ralcam Two-Way Articulating Borescope, 0.24in/6.2mm Inspection Endoscope Camera with Light HD 6.6FT Semi-Rigid Cable Video Snake Camera Scope for Automotive Aircraft Mechanics</t>
  </si>
  <si>
    <t>B0FC2GLGL2</t>
  </si>
  <si>
    <t>Endoscope with Light, 1920P HD Borescope with 8 Adjustable LED Lights, 16.4FT Semi-Rigid Snake Camera, IP67 Waterproof Inspection Tool for iPhone &amp; Android - Single Lens (Yellow)</t>
  </si>
  <si>
    <t>B0FKGZD63J</t>
  </si>
  <si>
    <t>B0DYP3S7NW</t>
  </si>
  <si>
    <t>EIXAUP Sewer Camera Self Leveling with 512Hz Locator,100 ft/30 m, 7" IPS 1080P Monitor, Distance Counter, 12 Adjustable Lights, IP68 Pipe Inspection Camera with DVR and 32GB Card</t>
  </si>
  <si>
    <t>B0G3ZQDT5B</t>
  </si>
  <si>
    <t>Endoscope Camera with Light[360°Rotation],1920P HD Articulating Borescope with Semi-Rigid Snake Camera, IP67 Waterproof Inspection,Gifts/Tools Bore Scope Girls for Men for iPhone</t>
  </si>
  <si>
    <t>B0D1CG3JXK</t>
  </si>
  <si>
    <t>Anysun Replacement Cable with Meter Marker and Box, Sewer Inspection Camera Part Only for Anysun 9DX23 Series Sewer Camera</t>
  </si>
  <si>
    <t>B0G6XZF1YN</t>
  </si>
  <si>
    <t>Single-Lens Endoscope Camera with Light, 1080P Borescope Inspection Camera, 4.3" IPS Screen, 16.5FT Semi-Rigid Cable, 8 LEDs, IP67 Waterproof Inspection Tool for Automotive &amp; Plumbing– Gadgets for Men</t>
  </si>
  <si>
    <t>B0FZGZMVP3</t>
  </si>
  <si>
    <t>Endoscope with Light, 1920P HD Borescope with 8 Adjustable LED Lights, 9.8FT Semi-Rigid Snake Camera, IP67 Waterproof Inspection Tool for iPhone &amp; Android - Single Lens (Yellow)</t>
  </si>
  <si>
    <t>B0FMKFY56V</t>
  </si>
  <si>
    <t>Sewer Camera 100ft/30M 7" Rainproof IPS Screen Pipe Drain Inspection Camera DVR Recorder with Meter Marker 23MM 1080P Industrial Borescope 32G Card for Drain Pipe Plumbing</t>
  </si>
  <si>
    <t>B0G394XQCT</t>
  </si>
  <si>
    <t>Anysun Sewer Camera with Locator, Self Leveling Sewer Inspection Camera 100ft with Distance Counter, 9'' 1080P IPS Monitor and Video Recorder with MIC, 7MM Cable with 12 Lights(32GB Card)</t>
  </si>
  <si>
    <t>B0FXXB799G</t>
  </si>
  <si>
    <t>Hialemi 3.9mm 4-Way Articulating Borescope with Joystick, 5" IPS Screen Endoscope Camera with Light, 360° Articulated Probe, 3.94FT Flexible Fiber Optic Scope Cam(0.15inch), 1080P Mechanics Inspection</t>
  </si>
  <si>
    <t>3.9ft</t>
  </si>
  <si>
    <t>B0DYH3JJL5</t>
  </si>
  <si>
    <t>Dual Lens Endoscope with Light, Teslong USB-C Inspection Camera with 8+1 LED Lights, Flexible Waterproof Fiber Optic Snake Scope Compatible with iPhone 15, Android(16.5FT)</t>
  </si>
  <si>
    <t>B0FR4KB3KL</t>
  </si>
  <si>
    <t>NIDAGE 2-Way Articulating Borescope 5.5mm Industrial Endoscope with Articulated Probe Flexible Video Inspection Camera with Light, Snake Scope Cam for Automotive Aircraft Mechanics, 4.3FT</t>
  </si>
  <si>
    <t>B0FZGWDVTK</t>
  </si>
  <si>
    <t>Endoscope with Light, 1920P HD Borescope with 8 Adjustable LED Lights, 16.4FT Semi-Rigid Snake Camera, IP67 Waterproof Inspection Tool for iPhone &amp; Android - Single Lens (Red) 7t11</t>
  </si>
  <si>
    <t>B0FYX7DVDS</t>
  </si>
  <si>
    <t>CTEOUNPT Endoscope Camera with Light, 1920P HD Borescope Inspection Camera with 8 Adjustable LEDs, IP67 Waterproof Semi-Rigid Snake Cable for Android, iPhone, and iPad(32.8ft, Dual Lens)</t>
  </si>
  <si>
    <t>B0DTPVML4K</t>
  </si>
  <si>
    <t>JQKJCAM Sewer Camera Self Leveling 100FT,w/ 9" HD 16GB Monitor,Waterproof 23MM Plumbing Drain Camera Snake with 12 Light Meter Counter for Pipes Inspection (30M)</t>
  </si>
  <si>
    <t>B0FZH2327S</t>
  </si>
  <si>
    <t>Endoscope with Light, 1920P HD Borescope with 8 Adjustable LED Lights, 32.8FT Semi-Rigid Snake Camera, IP67 Waterproof Inspection Tool for iPhone &amp; Android - Single Lens (Red)</t>
  </si>
  <si>
    <t>B0F64LBZW5</t>
  </si>
  <si>
    <t>GearView 210°Articulating Borescope Camera - Inspection Camera 6 Light, Endoscope with 6.2mm IP67 Waterproof Probe, 3X Zoom 2-Way Borescope with Flexible Cablegabg</t>
  </si>
  <si>
    <t>B0FNQYD1QP</t>
  </si>
  <si>
    <t>Sewer Camera Self Leveling, 165ft Drain Pipe Cameras with Meter Counter, 12V 4500mAh Battery Plumbing Snake Camera with Light, 9" Color HD Duct Chimney Sewer Inspection Cam, DVR Recorder 16GB</t>
  </si>
  <si>
    <t>B0DDXT2242</t>
  </si>
  <si>
    <t>Anysun Sewer Camera with 512Hz Sonde Transmitter, Self Leveling &amp; Distance Counter, 100Ft Pipe Inspection Camera with DVR Recorder, 9'' 1080P IPS Monitor, IP68 Waterproof, 16GB Card</t>
  </si>
  <si>
    <t>B0BW4PM53X</t>
  </si>
  <si>
    <t>Dual View WiFi Borescope</t>
  </si>
  <si>
    <t>B097SPRWSL</t>
  </si>
  <si>
    <t>LAUNCH Tech VSP-600 USB Endoscope, 0.21 Inch Snake IP67 Waterproof HD Videoscope Borescope, Suitable for X431 V PRO3S+ Scanner &amp; Android Phone, with 6 Adjustable LED Lights</t>
  </si>
  <si>
    <t>B0F28XLQLS</t>
  </si>
  <si>
    <t>Sewer Camera 10m/32ft, 4.3" Pipe Snake Camera with DVR Function, Drain Plumbing Inspection with LED Light, 17mm/0.67in Waterproof Industrial Endoscope for Home Wall Duct Drain Pipe (10m/32ft)</t>
  </si>
  <si>
    <t>32ft</t>
  </si>
  <si>
    <t>B07PBF6DX5</t>
  </si>
  <si>
    <t>T TAKMLY 5.5mm Endoscope Borescope Inspection Camera with Light for iPhone, OTG Android Phone, Snake Drain Scope Cameras Bore Scope Borescopes, IP67 Waterproof 16.4FT Semi-Rigid Cable</t>
  </si>
  <si>
    <t>B0CQR83M83</t>
  </si>
  <si>
    <t>Sewer Camera 100FT/30M Sewer Pipe Inspection Camera with 12 Adjustable LEDs,4.3" IPS Screen IP68 Waterproof Drain 22MM 1200TVL Pipeline Industrial Endoscope for Wall Duct Pipe Plumbing</t>
  </si>
  <si>
    <t>B0DYHGQ1GL</t>
  </si>
  <si>
    <t>HANMATEK Industrial Endoscope, 4.3-Inch TFT Screen, 16.5ft Flexible Cable, IP67 Waterproof, 8mm Camera with Adjustable LED Lights, USB-C Charging, 4 Hours Battery Life, 180° Rotating Display IE01</t>
  </si>
  <si>
    <t>B0CSFH4VGH</t>
  </si>
  <si>
    <t>Danculpe Sewer Camera with 66FT/20M, 5MM Cable, 7" HD IPS Pipe Drain Inspection Camera with DVR, 5X Zoom, IP68 Waterproof Plumbing Snake with 12 LED Lights for Home Pipe Duct</t>
  </si>
  <si>
    <t>B0FYX5KL3L</t>
  </si>
  <si>
    <t>CTEOUNPT Endoscope Camera with Light, 1920P HD Borescope Inspection Camera with 8 Adjustable LEDs, IP67 Waterproof Semi-Rigid Snake Cable for Android, iPhone, and iPad(32.8ft, Single Lens)</t>
  </si>
  <si>
    <t>B0BRYYQ9TV</t>
  </si>
  <si>
    <t>Anysun All-in-1 Sewer Camera - 512Hz, Distance Counter, Self-Leveling, 1-Touch Video/Audio, 100Ft Pipe Inspection Camera with 9" 1080P Screen, IP68 Industrial Borescope, 16GB</t>
  </si>
  <si>
    <t>B09WMFVTWJ</t>
  </si>
  <si>
    <t>Teslong Endoscope Replacement Cable with Light, Triple Lens Inspection Camera 7.9mm/0.3inch Waterproof Probe Compatible with NTS500, NTS300(16.5FT)</t>
  </si>
  <si>
    <t>B0F3X5MSMM</t>
  </si>
  <si>
    <t>Zorlet 360 Articulating Borescope, 5" Monitor, 6.2mm Industrial Inspection Camera with 4-Way Joystick Articulation and 5.0FT Semi-Rigid Snake Tube, HD Endoscope for Automotive, Pipe &amp; Equipment</t>
  </si>
  <si>
    <t>B0GK848VF5</t>
  </si>
  <si>
    <t>Holdwell S Sewer Camera 100ft/30m Borescopes Plumbing 4.3" HD Color Screen Waterproof IP68 Borescope Camera with Distance Counter Light 8000Mah Battery Light for Home Wall Duct Drain Pipe Plumbing</t>
  </si>
  <si>
    <t>B07Q78WXFP</t>
  </si>
  <si>
    <t>Klein Tools ET20 Wi-Fi Borescope, 9 mm 6-Foot Armored Waterproof Gooseneck Snake, LED Lights, Rechargeable Battery, Endoscope Inspection Camera</t>
  </si>
  <si>
    <t>9mm</t>
  </si>
  <si>
    <t>B0FMJ29TWN</t>
  </si>
  <si>
    <t>T TAKMLY Endoscope Camera with Light, Dual Lens 1080P Industrial Borescope with 8 LED Lights, 4.3'' Inspection Snake Cameras, 16.4FT Semi-Rigid Cable, IP67 Waterproof (Deep Blue)</t>
  </si>
  <si>
    <t>B0B2JT9WQD</t>
  </si>
  <si>
    <t>Anysun Sewer Inspection Camera - 100ft with 512Hz Transmitter, Receiver &amp; 7" LCD Monitor - IP68 Waterproof Pipe Camera DVR Recorder (8GB SD Card)</t>
  </si>
  <si>
    <t>B0F9KTCD56</t>
  </si>
  <si>
    <t>Articulating Borescope Inspection Camera, 180° Rotatable Head, 1M/3.28FT, IP67 Waterproof, 6 LED Lights, Android iOS Compatible</t>
  </si>
  <si>
    <t>B0BTHFGGMW</t>
  </si>
  <si>
    <t>AUTOOL Two-Way 210° Endoscope Camera with Light, 0.21inch Borescope Inspection Camera, 5-inch 1080P Articulating Borescope with LED Light 3FT Flexible Cable, 32GB SD Card</t>
  </si>
  <si>
    <t>B0FYLV8TND</t>
  </si>
  <si>
    <t>Hialemi Two-Way Articulating Borescope with Probe Hover Lock, 6.2mm Endoscope Camera with Light, 5" IPS/ 1080P/ 0.24in, 5.0FT Semi-Rigid Snake Camera, Industrial Endoscope for Mechanical Inspection</t>
  </si>
  <si>
    <t>B0FYPQBWQV</t>
  </si>
  <si>
    <t>98.4 FT Sewer Camera Snake Kit w/512Hz Locator | IP68 Waterproof Plumbing Cam, 9" LCD, DVR (16GB Card), 4500MAh Rechargeable Battery, 12 LEDs for Fast Drain Clog Detection</t>
  </si>
  <si>
    <t>B09LTXDJBP</t>
  </si>
  <si>
    <t>BlueFire Dual Lens Wireless Endoscope,1080P 8.0mm Semi-Rigid HD Inspection Camera, Zoomable Focus 1800mA Battery Dual Camera Borescope for Android and iOS Smartphones, Tablet (11.5FT)</t>
  </si>
  <si>
    <t>B0FC2J5LXT</t>
  </si>
  <si>
    <t>Endoscope with Light, 1920P HD Borescope with 8 Adjustable LED Lights, 16.4FT Semi-Rigid Snake Camera, IP67 Waterproof Inspection Tool for iPhone &amp; Android - Dual Lens (Yellow)</t>
  </si>
  <si>
    <t>B0FD9X6PY8</t>
  </si>
  <si>
    <t>EIXAUP Sewer Camera, 100 ft/30 m, 4.3" Pipe Drain Inspection Camera with DVR Function and 12 Pcs LED Lights, IP68 Waterproof 23 mm Industrial Endoscope, Meter Marker, Included 32GB Card</t>
  </si>
  <si>
    <t>B0GK6QP48Y</t>
  </si>
  <si>
    <t>Holdwell S Sewer Camera with 512Hz Transmitter Self-Leveling Borescopes Plumbing 9" HD Color Screen Waterproof IP68 Borescope Camera with Light 165 ft/50 m for Home Wall Duct Drain Pipe Plumbing</t>
  </si>
  <si>
    <t>B0D97DVVN3</t>
  </si>
  <si>
    <t>Teslong Autofocus Articulating Borescope, 5-inch IPS Endoscope Inspection Camera with Two-Way Articulation Auto Focus Probe, Industrial Fiber Optic Scope for Automotive Mechanics (0.24inch-5FT)</t>
  </si>
  <si>
    <t>B0DRSCP6DN</t>
  </si>
  <si>
    <t>Acoath Borescope, Endoscope Camera with Light, Dual-Lens 1080P Industrial Inspection Camera, 5" IPS Screen, 32GB Card, IP67 Waterproof Sewer Tools - 16.5FT</t>
  </si>
  <si>
    <t>B0D9NVFZNM</t>
  </si>
  <si>
    <t>Sewer Pipe Snake Camera 25FT,with 32GB Card 4.3'' Video Screen,HD JQKJCAM Duct Sewer Drain Inspection Camera with Light Meter Counter,17MM/0.67‘’ Industrial Endoscope for Pipes(10M/33FT)</t>
  </si>
  <si>
    <t>B0DSG5V4KZ</t>
  </si>
  <si>
    <t>Anysun Sewer Camera with Locator, Self Leveling Sewer Inspection Camera with Distance Counter, 7MM Diameter Cable 200ft with 12PCS LED Lights, 9" HD Monitor with DVR(32GB Card)</t>
  </si>
  <si>
    <t>B0FPG6FHCW</t>
  </si>
  <si>
    <t>Hialemi 512Hz Pipe Locator Receiver, Dual-Mode Underground Pipe Locator with 3000mAh Rechargeable Battery, Sewer Camera Accessories, Sewer Camera Locators Tool for Plumbing, Drain &amp; Pipeline Detection</t>
  </si>
  <si>
    <t>B0DGTFVHF3</t>
  </si>
  <si>
    <t>VEVOR Endoscope Camera with Light, Triple Lens Borescope with 49.2FT Semi-Rigid Cable, 5" Screen 1080P Inspection Camera, 8 + 2 LED Lights, IP67 Waterproof Snake Cameras for Auto, Plumbing (32GB Card)</t>
  </si>
  <si>
    <t>B0DRNW1YY9</t>
  </si>
  <si>
    <t>Teslong Ultra-Thin 3.9mm Industrial Endoscope with Lights, 6" IPS Screen Hnadle Borescope Automotive Mechanic Inspection Camera with 6000mAh Battery, 5FT Flexible Waterproof Gooseneck Probe</t>
  </si>
  <si>
    <t>B0FH6P1X48</t>
  </si>
  <si>
    <t>3.9mm Two-Way Articulating Borescope Camera with Light, Industrial Endoscope Inspection Camera with Light, 5FT Flexible Semi-Rigid Cable for Wall Automotive Engine Plumbing HVAC Inspect</t>
  </si>
  <si>
    <t>B0DMWHM8FP</t>
  </si>
  <si>
    <t>[Dual Lens] Endoscope Camera with Light, 1920P HD Borescope with 8 Adjustable LED Lights, Borescope with 32.8ft Semi-Rigid Snake Camera with Light, 7.9mm IP67 Waterproof Endoscope for iOS and Android</t>
  </si>
  <si>
    <t>B0DSG3K2FS</t>
  </si>
  <si>
    <t>Anysun Sewer Camera with 512hz Sonde 150ft, Self Leveling Sewer Inspection Camera with Distance Counter, 7MM Diameter Cable with 12PCS LED Lights, 9" HD Monitor with DVR(32GB Card)</t>
  </si>
  <si>
    <t>B0D736PNX1</t>
  </si>
  <si>
    <t>Anysun Sewer Camera Self-Leveling, 512Hz Transmitter, Distance Counter, 7MM Diameter Cable, Microphone/DVR, 165FT/50M Pipe Inspection Camera, 9'' HD 1080P IPS Screen Plumbing Camera IP68-32GB</t>
  </si>
  <si>
    <t>B0CS5R7THJ</t>
  </si>
  <si>
    <t>Triple Lens Sewer Inspection Camera, 50FT Semi-Rigid Cable, 5" IPS Screen Industrial Borescope, IP67 Pipe Snake Camera, 32G Storage Card, Carrying Case</t>
  </si>
  <si>
    <t>B08PP4P6WD</t>
  </si>
  <si>
    <t>0.197inch Dual Lens Wireless Endoscope Camera, NIDAGE 5.0mm Ultra-Slim Automotive Inspection Camera with 7 LEDs, 1080P Dual Lens Borescope Waterproof for Android &amp; iOS Smartphone Tablet(5FT)</t>
  </si>
  <si>
    <t>B0C8161FYD</t>
  </si>
  <si>
    <t>Luxonis OAK-D Pro PoE OV9782 - Fixed Foxus</t>
  </si>
  <si>
    <t>B0F9WJQ1WH</t>
  </si>
  <si>
    <t>Endoscope with Light,1080P HD Borescope Camera with 8 Adjustable LED Lights 8mm Lens, Inspection Camera with 16.5ft Semi-Rigid Cable, Compatible with for iOS and Android</t>
  </si>
  <si>
    <t>B0FKG3KVM7</t>
  </si>
  <si>
    <t>SCOPIX Articulating Borescope Camera with Screen, 2-Way Flexible Endoscope Camera with Light, 1080P HD, Small Diameter 0.24 Inch Probe for Engine and Pipe Inspection (Red)</t>
  </si>
  <si>
    <t>B0CJFX7FMY</t>
  </si>
  <si>
    <t>Pipe Inspection Camera Accessory23mm Sewer Inspection Camera with Stainless Steel Probe, IP68 Waterproof Drain Pipe Camera for Leak Detection Pipe Cleaning</t>
  </si>
  <si>
    <t>B0CVXKQ5YB</t>
  </si>
  <si>
    <t>4.3" inch Pipe Drain Inspection Camera, 100FT/30M Sewer Camera with DVR Function &amp; Snake Cable, Waterproof IP68 Borescope w/LED Lights Industrial Endoscope for Plumber Wall Duct Drain Pipe Plumbing</t>
  </si>
  <si>
    <t>B0FGH213B8</t>
  </si>
  <si>
    <t>JINXINEBAY Sewer Pipe Inspection Camera, IPS Monitor 32GB TF Card DVR, IP68 1200TVL HD Camera 65/100FT Fiberglass Cable, 5600mAh Battery Night Vision, for Home/Contractor/Plumber (7 inch/100FT)</t>
  </si>
  <si>
    <t>B0DBHT4HVX</t>
  </si>
  <si>
    <t>Teslong Endoscope Replacement Cable with Light, Single Lens Inspection Camera 3.9mm/0.15inch Waterproof Probe Compatible with NTS500, NTS300(3.3FT)</t>
  </si>
  <si>
    <t>B095K8XHY2</t>
  </si>
  <si>
    <t>DEPSTECH 5.5mm Industrial Endoscope, 1080P Digital Borescope Inspection Camera with 4.3" Screen, IP67 Waterproof Snake Camera with Lights,16.5FT Semi-Rigid Cable, 32GB Card &amp;Photo Capture (Orange)</t>
  </si>
  <si>
    <t>B0FS5XY5M3</t>
  </si>
  <si>
    <t>Sewer Camera 100 FT, 7" 1080P Screen &amp; DVR,10X Zoom, Plumbing Cameras with Lights-6 LED, 32GB Card, IP68 Waterproof Snake Cameras for Duct Pipe,12V 4500mAh Battery Sewer Inspection Camera</t>
  </si>
  <si>
    <t>B0F2MLQ4F3</t>
  </si>
  <si>
    <t>Danculpe Sewer Camera with 360° Rotating Dual-Lens, 7MM Cable, 66FT/20M, 7" HD Drain Pipe Inspection Camera with DVR, Distance Counter, IP68 Plumbing Snake Camera with 12 LEDs for Home, Duct</t>
  </si>
  <si>
    <t>B0F2F2X365</t>
  </si>
  <si>
    <t>A-600 Handheld 400x Fiber Optic end face Detector Magnifier Fiber Optic Microscope 5-inch high-Definition Touch Screen for SCUPC/FCUPC/STUPC/LCUPC and SCAPC Male/Female Head Interface Fiber Inspector</t>
  </si>
  <si>
    <t>B09QWDF3SJ</t>
  </si>
  <si>
    <t>XTOOL Inspection Camera XV200, 2MP&amp;1080P HD&amp; 8 LEDs Automotive/Industrial Endoscope Waterproof Borescope Camera with Light, Work with D7/D7S/D7W, D8S/D8W, D9S//D9S PRO/IP919 PRO Type-C Version</t>
  </si>
  <si>
    <t>B0FHCQYXRP</t>
  </si>
  <si>
    <t>Ralcam Two-Way Articulating Borescope with 10FT Semi-Rigid Cable, 0.33in/8.5mm Inspection Endoscope Camera with Light HD Video Snake Camera Scope for Automotive Aircraft Mechanics</t>
  </si>
  <si>
    <t>B0CQT6TS2T</t>
  </si>
  <si>
    <t>B0D69779K8</t>
  </si>
  <si>
    <t>Triple Lens Sewer Inspection Camera, TURN RAISE 5" IPS Screen Borescope Cam with Light, 1080P HD Drain Camera 16.5FT Semi-Rigid Cable, IP67 Plumbing Snake Endoscope with Carry Case</t>
  </si>
  <si>
    <t>B0DKHMFTVN</t>
  </si>
  <si>
    <t>Endoscope Camera with Light &amp; 32GB Card, 1080P HD Borescope Inspection Camera 4.3" IPS Screen, 5.5mm IP67 Waterproof Probe with 6 Adjustable LEDs,16.4FT Semi-Rigid Cable, Tools, Gadgets for Men</t>
  </si>
  <si>
    <t>B0FLK3ZTQX</t>
  </si>
  <si>
    <t>PRANITE Sewer Inspection Camera with Self-Leveling Lens, 9'' HD Screen, 7mm Waterproof Cable with Meter Marking, 32GB TF Card, IP68 Pipe Inspection Endoscope for Drain, Plumbing, and Duct Maintenance</t>
  </si>
  <si>
    <t>B0DBYQ2F4S</t>
  </si>
  <si>
    <t>WOSHIJIE Sewer Camera, 9-Inch Pipe Inspection Camera with Dvr and Self-Leveling, 512hz, Ip68 Waterproof, Suitable for Sewage Pipes, Household, Ventilation and Drainage Pipes (30M)</t>
  </si>
  <si>
    <t>B0FWQ9CYQ1</t>
  </si>
  <si>
    <t>LAUNCH VSP-600 Endoscope 5.5mm Ultra-Thin, Lens HD Wide Application Videoscope Borescope Camera with Light high Definition Multi-Angle Imaging One-Click Snapshot IP67 Waterproof with 2000mm USB Cable</t>
  </si>
  <si>
    <t>B0FN3Y3BQ9</t>
  </si>
  <si>
    <t>Self-Leveling Sewer Camera with 512Hz Sonde, Distance Counter, 7mm Semi-Rigid Cable, 9 Inch 1080P IPS Screen, 23mm Waterproof Pipe Inspection Camera for Plumber (100ft/30m)</t>
  </si>
  <si>
    <t>B0GK5N8CSX</t>
  </si>
  <si>
    <t>SYANSPAN Sewer Camera 66ft,Drain Pipe Camera HD 4.3in Screen DVR 17MM Plumbing Snake Borescope with 12pcs LEDs Light, IP68 Sewer Inspection borescopes for Plumber(66ft/20M)</t>
  </si>
  <si>
    <t>B09L15Q1YW</t>
  </si>
  <si>
    <t>Sewer Camera Head Accessories Self-Leveling 512Hz Sonde Transmitter for Industrial Pipe Endoscope Inspection Camera with Wheel and Protective Cover（Dia:0.9inch/23mm）</t>
  </si>
  <si>
    <t>B0CKPG2P7F</t>
  </si>
  <si>
    <t>Anykit Dual Lens Endoscope Camera with Adjustable Lights, Type C Borescope for Sewer, IP67 Waterproof Semi-Rigid Snake Camera, 1080HD Industrial Scope Inspection Cam, Gadgets for Men(16.5 ft)</t>
  </si>
  <si>
    <t>B0FMJD4CHD</t>
  </si>
  <si>
    <t>Endoscope Camera with Light 1920P HD Industrial Borescope with 4.3" IPS Screen, 11.5FT Semi-Rigid Cable, IP67 Waterproof Inspection Snake Camera for Car Engine, Mechanical Tools, Pipeline Inspection</t>
  </si>
  <si>
    <t>B09917WMZM</t>
  </si>
  <si>
    <t>Vividia FM-130 All-in-One LCD/HDMI Digital Forensic Document Examination Analyzer Camera with White/Blue/IR/UVA/UVC/Laser</t>
  </si>
  <si>
    <t>B0DJ7N2XDC</t>
  </si>
  <si>
    <t>Sewer Camera Self-Leveling, 9'' HD Plumbing Pipe Camera with Depth Marking, Zoom, and Adjustable Brightness LED Lights, Ideal for Drain, Pipes, Wells, Machinery, and Industrial Applications.</t>
  </si>
  <si>
    <t>B0D8FWGM99</t>
  </si>
  <si>
    <t>Sewer Camera Cable with Distance Counter,Replacement 5mm Rigid Cable 65.6FT for JQKJCAM Sewer Inspection Camera with 6PCS Lights,Pipe Drain Camera Accessory（65.6FT/20M for 17mm)</t>
  </si>
  <si>
    <t>B0DXP6S228</t>
  </si>
  <si>
    <t>Dual-Lens Endoscope Camera with Light, Borescope with 5" IPS Screen, Photo &amp; Record Video Inspection Cameras with 32G SD Card, IP67 Waterproof Snake Camera, Tools Cool Gadgets for Men (16.5FT)</t>
  </si>
  <si>
    <t>B09WMH43L3</t>
  </si>
  <si>
    <t>Teslong Endoscope Replacement Cable with Light, Triple Lens Inspection Camera 7.9mm/0.3inch Waterproof Probe Compatible with NTS500, NTS300(10FT)</t>
  </si>
  <si>
    <t>B0FBX2NSHL</t>
  </si>
  <si>
    <t>gogolux Two-Way Articulating Borescope Camera with Light, 1920P HD Articulating Endoscope with Semi-Rigid Snake Camera, IP67 Waterproof Inspection, Gifts/Tools Bore Scope for Men for iPhone</t>
  </si>
  <si>
    <t>5.6ft</t>
  </si>
  <si>
    <t>B0DDG3FMPV</t>
  </si>
  <si>
    <t>[Dual-Lens] Inspection Endoscope, Industrial Borescope Camera with Light, IP67 Waterproof Drain Pipe Scope Camera, 16.5ft Semi-Rigid Cord Borescope with Light, 1080 HD Screen(32GB Capacity)</t>
  </si>
  <si>
    <t>B09HTJP92P</t>
  </si>
  <si>
    <t>ANYSUN Sewer Camera's Accessories Camera with 512hz Sonde</t>
  </si>
  <si>
    <t>B087RC1Z7P</t>
  </si>
  <si>
    <t>Sewer Camera Pipe Inspection Anysun Waterproof IP68 Plumbing Camera with DVR Recorder (Red-30M)</t>
  </si>
  <si>
    <t>B0FRZYS8J4</t>
  </si>
  <si>
    <t>Vorth Endoscope Camera with Light, 4.3" IPS Screen 1080P Tools Borescope with 8 LED Lights，Semi-Rigid Cable Snake Camera, IP67 Waterproof Sewer Inspection Men Tool - 16.5FT-Dual Lens</t>
  </si>
  <si>
    <t>B0DHCQF22J</t>
  </si>
  <si>
    <t>50FT Borescope Camera with Light, 4.3‘’ Endoscope with 8 Adjust Lights, 1080P Inspection Camera with Semi-Rigid Cable, IP67 Waterproof Bore Scope for Automobile Inspection, Cool Gadgets for Men</t>
  </si>
  <si>
    <t>B0FF1WH9GJ</t>
  </si>
  <si>
    <t>Zealtron Dual Lens Endoscope Camera with Light, 5.0'' IPS Screen Inspection Camera, 1080P HD Handheld Borescope with 8 LED Lights, 7.9mm IP67 Waterproof Lens with 16.5ft Semi-Rigid Cable</t>
  </si>
  <si>
    <t>B0G2L4ZXFW</t>
  </si>
  <si>
    <t>Sewer Camera with Self-Leveling and Distance Count, 512Hz Sonde IP68 Waterproof Cam, 9" Pipe Drain Inspection with 12pcs Light, DVR with 32GB Card, 7mm Cable (200FT)</t>
  </si>
  <si>
    <t>B0C5LY3YRL</t>
  </si>
  <si>
    <t>Triple Lens Sewer Camera with 50ft, 5" IPS Screen Borescope with Light, 1080P HD Endoscope IP67 Drain Pipe Snake Drain Camera, 32G Card Semi-Rigid Cable for Plumbing Inspection + Case</t>
  </si>
  <si>
    <t>B0GJDJ9D3B</t>
  </si>
  <si>
    <t>50FT Endoscope Camera with Light, 1080P HD Borescope Inspection Camera with 8 LED Lights, IP67 Waterproof Sewer Tools Snake Camera with 4.3" IPS Screen, 50Feet Semi-Rigid Cable for Auto &amp; Plumbing</t>
  </si>
  <si>
    <t>B0C7631F4R</t>
  </si>
  <si>
    <t>Vividia CX-6010i Joystick Articulating 1280x720 Inspection Camera Borescope with 6mm (0.236") Diameter for Apple iOS Phones Tablets and Android Devices (Flexible Probe)</t>
  </si>
  <si>
    <t>B0DCC1FY72</t>
  </si>
  <si>
    <t>Sewer Camera Head with 512hz Self Leveling, 0.9inch/23mm Replacement Pipe Camera Head with 12 LED Lights, IP68 Waterproof, Stainless Steel Compatible with Anysun, HBUDS, PRANITE Sewer Camera</t>
  </si>
  <si>
    <t>B0DG8SMHX6</t>
  </si>
  <si>
    <t>Triple Lens Inspection Drain Camera, 5" IPS Split Screen Borescope with Light &amp; 32GB Card, 1080P HD Sewer Camera 16.5FT Semi-Rigid Cable, IP67 Plumbing Snake Endoscope Probe for HVAC + Case</t>
  </si>
  <si>
    <t>B0DPG3263Z</t>
  </si>
  <si>
    <t>Sewer Camera Self Leveling,9" HD 16GB Screen JQKJCAM Drain Pipe Plumbing Camera Snake with 12 LED Light Meter Counter for Home Industrial Pipe Inspection (10M/32.8FT)</t>
  </si>
  <si>
    <t>B0D2SP5BDK</t>
  </si>
  <si>
    <t>Sanyipace Sewer Camera Probe, 1080P Resolution, 23mm/0.9in Drain Camera Probe, 12pcs LED Lights, IP68 Waterproof, Sewer Camera Accessories, Plumbing Tools (Model: S8951DM)</t>
  </si>
  <si>
    <t>B0DMK6P7V5</t>
  </si>
  <si>
    <t>Dual Lens Endoscope Camera with Light, 1920P HD Borescope with 8 Adjustable LED Lights, Borescope with 16.4ft Semi-Rigid Snake Camera with Light, 7.9mm IP67 Waterproof Endoscope for iOS and Android</t>
  </si>
  <si>
    <t>B0GL4F1PJ6</t>
  </si>
  <si>
    <t>Klaray UW19-MP60 Two-Way Articulating Borescope with Light, 6mm Inspection Camera for iPhone &amp; Android, Type-C &amp; Lightning Compatible Flexible Snake Camera for Automotive Engine Inspection, 3.3FT</t>
  </si>
  <si>
    <t>B0F2HQK5HL</t>
  </si>
  <si>
    <t>Okk Sewer Camera, Drain Camera with Meter Counter, Pipe Inspection with Self-Leveling, Industrial Endoscope with DVR, 7" LCD Plumbing Snake Endoscope 100ft Cable, IP68 Waterproof, 12 LEDs, 16GB Card</t>
  </si>
  <si>
    <t>B0GK13BWW2</t>
  </si>
  <si>
    <t>Inspection Camera with Screen, Color &amp; B&amp;W Dual View for Better Detail Visibility, 8 LED Borescope Camera, 2600mAh Rechargeable, IP67 Waterproof Probe, Type-C, 1M/5M</t>
  </si>
  <si>
    <t>B07VD9DDK4</t>
  </si>
  <si>
    <t>WiFi Boroscope</t>
  </si>
  <si>
    <t>B0C6YFZJYF</t>
  </si>
  <si>
    <t>Sewer Camera 100ft Fiberglass Cable Print Meter Counter,23mm Interface Yellow Stiff Wire,4.8mm Diameter(100ft/30M）</t>
  </si>
  <si>
    <t>B0FXGJWK71</t>
  </si>
  <si>
    <t>Endoscope Camera with Light, 16.5 FT Cable - 4.3" 1080P HD Display &amp; Borescope Inspection Camera 180° Image Rotation, 8 LEDs, Plug-and-Play USB-C, 1800mAh Battery, Waterproof Probe with Accessories</t>
  </si>
  <si>
    <t>B0D8Q5TF22</t>
  </si>
  <si>
    <t>LAUNCH VSP-600 Videoscope, 7mm Snake Camera with 6 LED Lights USB Borescope, IP67 Waterproof HD Borescope Inspection Camera, Industrial HD Endoscope for X-431 Series, Android Cellphone</t>
  </si>
  <si>
    <t>B0D9NT1WPB</t>
  </si>
  <si>
    <t>Sewer Cameras 50 FT,HD 32GB JQKJCAM Sewer Inspection Camera with Adjustable Light,4.3'' DVR Screen,Cable Marks,17MM/0.67'' Pipe Dran Line Camera 50FT Borescope for Plumber (20M/66ft)</t>
  </si>
  <si>
    <t>B0DKJ8HHDT</t>
  </si>
  <si>
    <t>FDGSAB Sewer Camera, 20/50m, 7" Screen Pipeline Inspection Camera Waterproof IP68 w/12 Adjustable LEDs, DVR Function Have 32GB SD Card .for Sewer Line, Duct Drain Pipe Plumbing (164ft/50M)</t>
  </si>
  <si>
    <t>B0CQYQQ78G</t>
  </si>
  <si>
    <t>Anysun Sewer Camera with 512Hz Sonde, Self-Leveling 9" HD Screen DVR Recorder, 32GB Card, IP68 Waterproof Plumbing Pipe Borescope Inspection, 7mm Cable with Meter Marks(300FT)</t>
  </si>
  <si>
    <t>B076D86Z7S</t>
  </si>
  <si>
    <t>DEPSTECH Original Endoscope Case, Wireless Borescope Carrying Bag WiFi &amp; USB Scope Cameras, Upgraded Large-Capacity Hardshell Case, Compatible with 4.3" Inspection Camera DS300, Black</t>
  </si>
  <si>
    <t>B06XKDL1YR</t>
  </si>
  <si>
    <t>RIDGID 36848 Micro CA-150 Hand-Held Inspection Camera with 3' Cable, Borescope</t>
  </si>
  <si>
    <t>B0BMVC1CCJ</t>
  </si>
  <si>
    <t>3 in 1 Endoscope Inspection Camera Borescope HD Camera Waterproof Snake Pipe Drain with 6 Adjustable Led Light Snake Cable USB Adapter for Android Phone Tablet Device(Size:2 M)</t>
  </si>
  <si>
    <t>3.0"</t>
  </si>
  <si>
    <t>B0D7RL6YN5</t>
  </si>
  <si>
    <t>Inspection Endoscope, Industrial Borescope Camera with 4.3" IPS Screen, 1920P HD Snake Camera with 8 LED Lights, 16.5FT Semi-Rigid Cord Bore Scope - Cool Gadgets Tool</t>
  </si>
  <si>
    <t>B0CNLB131J</t>
  </si>
  <si>
    <t>ANYSUN Sewer Camera's Accessories- 9' Screen (Only Support Model：9DX23)</t>
  </si>
  <si>
    <t>9ft</t>
  </si>
  <si>
    <t>B0CJHBNVVX</t>
  </si>
  <si>
    <t>Triple Lens Sewer Camera with 50FT Cable, 5" IPS Screen 1080P HD Snake Camera, Waterproof IP67 Drain Pipe Borescope with Light, Plumbing Inspection Endoscope with 32GB Card &amp; Carrying Case</t>
  </si>
  <si>
    <t>B0C76FCT81</t>
  </si>
  <si>
    <t>Vividia CX-6078i Joystick Articulating 1280x720 Inspection Camera Borescope with 6mm (0.236") Diameter for Apple iOS Phones Tablets and Android Devices (Semi-Rigid Probe Short)</t>
  </si>
  <si>
    <t>B0CRDRNHHD</t>
  </si>
  <si>
    <t>Sewer Drain Camera 100FT,Waterproof 0.9''/23MM JQKJCAM Snake Plumbing Sewer Line Inspection Camera 100 Foot wtih 12 Light 16GB Card 4.3‘’ Screen 8500mAh Battery Meter Counter for Pipes (30m)</t>
  </si>
  <si>
    <t>B0DBHT7F23</t>
  </si>
  <si>
    <t>Teslong Endoscope Replacement Cable with Light, Dual Lens Inspection Camera 8mm/0.31inch Waterproof Probe Compatible with NTS500, NTS300(3.3FT)</t>
  </si>
  <si>
    <t>B0FP26Y1ZQ</t>
  </si>
  <si>
    <t>HBUDS Sewer Camera, Self Leveling Drain Camera 200ft with Meter Counter, 7mm Thick Cable, 9" HD Screen 1080P Plumbing Cameras Snake with Light, 5100mAh Battery Duct Pipe Video Inspection Cam DVR 32GB</t>
  </si>
  <si>
    <t>B0F5PNMVD9</t>
  </si>
  <si>
    <t>Zealtron Two-Way Articulating Borescope with Light, 5 Inch IPS Screen Industrial Endoscope with 0.24in/6.2mm Articulated Probe, 5ft Highly Resilient Snake Cable Inspection Camera for Wall Automotive</t>
  </si>
  <si>
    <t>B0D2HW4WDH</t>
  </si>
  <si>
    <t>Sewer Camera with Locator Self Leveling 150FT,HD 23MM JQKJCAM Plumbing Drain Sewer Scope Camera Snake w/ 12 Light,9''HD 16GB Screen 36X Zoom in,Meter Counter for Pipe Line Inspection (165FT/50M)</t>
  </si>
  <si>
    <t>B0DPF4RZNY</t>
  </si>
  <si>
    <t>Endoscope Camera with Light, Borescope Camera with 4.3" IPS Screen, 1080P HD with 8 LED Lights, 16.5FT Semi-Rigid Cord Bore Scope,IP67 Waterproof Sewer Borescope,Gadgets for Men &amp; Tools for Men</t>
  </si>
  <si>
    <t>B0CHH8NY8G</t>
  </si>
  <si>
    <t>Anykit Endoscope Camera with Light,1080P Dual Lens Endoscope，6" IPS Screen Borescope, Plumbing Snake Inspection Camera with Split Screen, 32GB Card, Plumbing Snake Camera for Home (16.5FT)</t>
  </si>
  <si>
    <t>B0D8FSWW5Z</t>
  </si>
  <si>
    <t>Sewer Camera Cable with Distance Counter,Replacement 5mm Rigid Cable 65.6FT for JQKJCAM Sewer Inspection Camera,Pipe Drain Camera Accessory（65.6FT/20M for 23mm)</t>
  </si>
  <si>
    <t>B0D4PP5W9S</t>
  </si>
  <si>
    <t>Triple Lens 1080P Borescope with 50FT Semi-Rigid Cable, 5" IPS Screen Endoscope Camera with Lights, 1080P Industrial Borescope with 32G Storage Card,IP67 Waterproof Drain Camera</t>
  </si>
  <si>
    <t>B0DCGG7X5L</t>
  </si>
  <si>
    <t>LAUNCH VSP-600 Endoscope 5.5mm Ultra-Thin, Lens HD Wide Application Videoscope Borescope high Definition Multi-Angle Imaging One-Click Snapshot IP67 Waterproof with 2000mm USB Cable</t>
  </si>
  <si>
    <t>B0FCF1CC7D</t>
  </si>
  <si>
    <t>Dual Lens Articulating Borescope NIDAGE Two-Way Endoscope Camera with Light Articulated Probe, 0.25in Engine Inspection Camera Waterproof Fiber Optic Scope Cam Tool for Automotive Wall Mechanics 5.3FT</t>
  </si>
  <si>
    <t>B0CR4C4PM3</t>
  </si>
  <si>
    <t>TLMUSE Borescope, Endoscope Camera with Light- 1920P HD Inspection Camera with Light, Dual Lens with 8+1 Adjustable LED Lights, IP67 Waterproof for Android, iPhone, iPad</t>
  </si>
  <si>
    <t>B0FLQ1TFBW</t>
  </si>
  <si>
    <t>Anysun Sewer Camera Self Leveling 165ft, Sewer Inspection Camera with Meter Marker,HD Screen, DVR, 12 Adjustable LED Lights, 5mm Cable, 5100mAh Rechargeable Battery, 32GB Card</t>
  </si>
  <si>
    <t>B0CFQG5YLX</t>
  </si>
  <si>
    <t>JSE Endoscope Camera with Light, 16.4FT Waterproof Borescope 1920P HD, Semi-Rigid Cable, 8 Adjustable High Brightness LED Lights Inspection Snake Camera for iPhone, Android, iPad</t>
  </si>
  <si>
    <t>B0GCJWGWT9</t>
  </si>
  <si>
    <t>OKK Professional 100ft Sewer &amp; Drain Inspection Camera Kit-Features a 9" IPS Screen-1080P HD Self-Leveling Camera Head IP68 Waterproof, Built-in DVR with 32GB Card, 5100mAh Battery 7mm Cable</t>
  </si>
  <si>
    <t>B0D9NT979V</t>
  </si>
  <si>
    <t>Sewer Camera 100FT,W/ 4.3'' IPS HD 32GB DVR Screen,JQKJCAM HD 0.9'' Snake Sewer Drain Iinspection Camera with 12 Light,M+FT Marks,23MM Sewer Line Cameras Waterproof for Pipes Plumber (30m)</t>
  </si>
  <si>
    <t>B0BBV4TK4N</t>
  </si>
  <si>
    <t>Sewer Camera,9 inch Pipe Inspection Camera 30m with Self-Leveling 512Hz Locator Signal,Drain Inspection with 12pc LED Lights,DVR Recording Funcation for inspect The Pipeline, Sewer (100FT/30M)</t>
  </si>
  <si>
    <t>B0DKJ3N5C7</t>
  </si>
  <si>
    <t>FDGSAB Sewer Camera, 20/50m, 7" Screen Pipeline Inspection Camera Waterproof IP68 w/12 Adjustable LEDs, DVR Function Have 32GB SD Card .for Sewer Line, Duct Drain Pipe Plumbing (98.4ft/30M DVR)</t>
  </si>
  <si>
    <t>B0G4G1GPG8</t>
  </si>
  <si>
    <t>Endoscope for Oral, 1920P HD Camera with 8 Adjustable LED Lights Oral Video Camera Home Teeth Inspection Compatible with Android and iOS, iPhone (Purple)</t>
  </si>
  <si>
    <t>B08R9VC1RB</t>
  </si>
  <si>
    <t>Wireless Rifle Borescope NIDAGE 0.2inch Rifle Bore Scope Gun Cleaning Camera Fits .20 Caliber and Larger, Visual Barrel Gun Endoscope with 3.28FT Cable, Side View Mirror for Bore Cleaning Inspection</t>
  </si>
  <si>
    <t>B0885RH9PV</t>
  </si>
  <si>
    <t>Vividia VA-450 LCD/WiFi Two-Way Articulating Borescope Videoscope Inspection Camera with 5.5mm Diameter 1m Probe and IPS 4.5" LCD Monitor and Wireless for iOS and Android Devices and Side-View Mirror</t>
  </si>
  <si>
    <t>B0CZKMVL56</t>
  </si>
  <si>
    <t>Endoscope Camera with Light, 1920P HD Borescope with 8+1 Adjustable LED Lights, IP67 Waterproof 16.5FT Semi-Rigid Snake Cord Inspection Camera for iPhone, iPad and Android Phone (Single-Lens)</t>
  </si>
  <si>
    <t>B08DV62166</t>
  </si>
  <si>
    <t>Ulefone uSmart Endoscope E01 for Ulefone Armor 30/29/28/27/26/24/21/18/Pad Series, IP67 Waterproof 3-in-1, 2M Semi-Rigid, 5.5 mm Borescope Inspection Camera, 6 LED Lights</t>
  </si>
  <si>
    <t>B0FSXJJGV5</t>
  </si>
  <si>
    <t>Sanyipace Sewer Inspection Camera, 165FT/50M Borescope Inspection Camera with Distance Counter, 20X Digital Zoom, 7" IPS Pop-up Screen, Waterproof Plumbing Camera with Lights, for Drain Pipe Duct</t>
  </si>
  <si>
    <t>B0CY7SW9GD</t>
  </si>
  <si>
    <t>Sewer Camera with Locator Self Leveling 100FT,9'' HD 32GB Screen,36X Zoom in,JQKJCAM Plumbing Drain Camera and Locator Snake w/ 12 Light,Meter Counter for Precise Pipe Sewer Inspection (30M)</t>
  </si>
  <si>
    <t>B0D8FVZ6Z5</t>
  </si>
  <si>
    <t>Sewer Camera Cable with Distance Counter,Replacement 5mm Rigid Cable 32.8FT for JQKJCAM Sewer Inspection Camera with 6PCS Lights,Pipe Drain Camera Accessory（32.8FT/10M for 17mm)</t>
  </si>
  <si>
    <t>B091L6L1GV</t>
  </si>
  <si>
    <t>Industrial Endoscope Borescope Inspection Camera with Light, Dual Lens Snake Drain Bore Scople Digital Cameras 1080P, 4.3 Inch LCD Screen, 16.5FT Semi-Rigid Cable</t>
  </si>
  <si>
    <t>B0FLPWZMNV</t>
  </si>
  <si>
    <t>B0CSF6W2LT</t>
  </si>
  <si>
    <t>Sewer Camera 100FT,w/ 9'' 16GB DVR Monitor,Portable JQKJCAM Plumbing Drain Camera Snake with 12 Light Roller Guide Wheel Distance Counter &amp; Suitcase for Plumber Pipe Sewer Line Inspection(30M</t>
  </si>
  <si>
    <t>B0FNN7VV63</t>
  </si>
  <si>
    <t>Two-Way Articulating Borescope 1080P, Industrial Endoscope Camera with Light, Inspection Snake Camera with 5.5mm Probe for Automotive Aircraft Home Mechanics (5.5FT)</t>
  </si>
  <si>
    <t>B0DNW997X5</t>
  </si>
  <si>
    <t>Anysun Sewer Camera with 512hz Sonde 200ft, Self Leveling Sewer Inspection Camera with Distance Counter, 7MM Diameter Cable with Trolley and Wheels, 9" HD Monitor with DVR Drain Pipe Camera(32GB Card)</t>
  </si>
  <si>
    <t>B072DS7LQN</t>
  </si>
  <si>
    <t>Vividia Ablescope VA-980 Semi-Flexible USB Digital Inspection Camera Borescope with 180 Degree Articulating 8.5mm Diameter Probe</t>
  </si>
  <si>
    <t>B0D14P2NKP</t>
  </si>
  <si>
    <t>Endoscope Borescope Camera with Light, 4.3" IPS HD Garage Inspection Camera Tools, IP67 Waterproof Drain Pipe Borescope, 8 LEDs, 16.5FT Semi-Rigid Cable for Sewer, Automotive Engine, HVAC, Pipe</t>
  </si>
  <si>
    <t>B0D7BJRPHX</t>
  </si>
  <si>
    <t>210° Two-Way Inspection Sewer Camera with Light, 7" IPS Articulating Endoscope, Industrial Borescope 0.24in Slim Probe Drain Camera for Inspection Automotive Wall Pipe 5.3FT Cable</t>
  </si>
  <si>
    <t>B071HYRPND</t>
  </si>
  <si>
    <t>USB Snake Inspection Camera, FANTRONICS Scope Camera with 8 LED Lights IP67 Waterproof Semi-Rigid Snake Cord USB C Borescope for iPhone, iPad and Android Phone (16.4ft)</t>
  </si>
  <si>
    <t>B0CCPJGN71</t>
  </si>
  <si>
    <t>Sewer Camera,Endoscope Camera Replacement Accessory 33ft Fiberglass Cable Print Meter Counter,17mm Interface Stiff Wire w/Metal Coil,4.8mm Diameter(33ft/10M）</t>
  </si>
  <si>
    <t>B09QBTJB5Z</t>
  </si>
  <si>
    <t>Vividia CT-6010 LCD/WiFi Flexible Two-Way Articulating Inspection Camera Borescope Videoscope with 6mm (0.236") Diameter 1.0m Long Waterproof IP67 Probe</t>
  </si>
  <si>
    <t>B08Z9THK1B</t>
  </si>
  <si>
    <t>DrainTrain Video Camera Roller Skid for Pipe Inspection. Works with Any Camera up to 1.375" or 35mm in Diameter. Centers Cameras in 3" (75mm) Pipes</t>
  </si>
  <si>
    <t>B0FY3BCW4L</t>
  </si>
  <si>
    <t>HBUDS Sewer Camera with 512Hz Sonde, Self Leveling 230ft Drain Camera with Meter Counter, 7mm Cable, 9" HD Screen 1080P Plumbing Cameras Snake with Light, 5100mAh Battery Pipe Inspection DVR 32GB</t>
  </si>
  <si>
    <t>B07P2JPKW6</t>
  </si>
  <si>
    <t>20M 65ft Replacement Cable for HBUDS Sewer Camera (20M/30M/50M Cable Optional) Model:7D1</t>
  </si>
  <si>
    <t>B0GJ35SN5H</t>
  </si>
  <si>
    <t>Sewer Camera 100FT/30M Borescopes Plumbing Snake Pipe Inspection Camera 22mm with 8500Mah Battery 4.3" IPS Screen 12 LEDs HD 1000TVL (22MM NO DVR Function)</t>
  </si>
  <si>
    <t>B0FN38759M</t>
  </si>
  <si>
    <t>Ralcam Two-Way 210° Articulating Borescope, 6.2mm Slim Probe USB-C Flexible Endoscope Inspection Camera Compatible with iPhone &amp; Android for Engine, Pipe &amp; HVAC Inspection</t>
  </si>
  <si>
    <t>B0DJ7PB3TN</t>
  </si>
  <si>
    <t>B0G57ZTV6S</t>
  </si>
  <si>
    <t>5.5mm Endoscope Camera, 1920P HD Borescope with 8 Adjustable LED Lights, Semi-Rigid Snake Cable, IP67 Waterproof, 16.4ft Single Lens for iPhone &amp; Android</t>
  </si>
  <si>
    <t>B0DG4X2Y18</t>
  </si>
  <si>
    <t>Sewer Camera Self Leveling, 7MM Thicker Pushrod, Keyboard, Distance Counter, 10.1'' Large HD Monitor, Sewer Inspection Camera IP68 with DVR &amp; SD Card Industrial Borescope Snake (164Ft, with Locator)</t>
  </si>
  <si>
    <t>B0FL6N12SQ</t>
  </si>
  <si>
    <t>TURN RAISE 210° Two-Way Inspection Sewer Camera with Light, 4.3" IPS Articulating Endoscope, Industrial Borescope Drain Camera for Inspection Automotive Wall Pipe 5.3FT Cable</t>
  </si>
  <si>
    <t>B0FC5K4J6L</t>
  </si>
  <si>
    <t>Two-Way Articulating Borescope,4'' HD Screen Endoscope Camera with Light,4 FT Snake Inspection Camera for Automotive, HVAC &amp; Mechanics</t>
  </si>
  <si>
    <t>B08QC2X5VL</t>
  </si>
  <si>
    <t>Teslong Endoscope Replacement Cable with Light, Dual Lens Inspection Camera 8mm/0.31inch Waterproof Probe Compatible with NTS500, NTS300(10FT)</t>
  </si>
  <si>
    <t>B0FSS5Q37H</t>
  </si>
  <si>
    <t>AUTOOL Dual Lens Borescope, 4.3” IPS Screen HD Inspection Camera, 0.25inch Endoscope 3FT Semi-Rigid Cable, 210° Articulation, 6 LED Lights, IP67 Waterproof, 32GB SD Card</t>
  </si>
  <si>
    <t>B0CL4MJ6NK</t>
  </si>
  <si>
    <t>USB C Endoscope Camera with Light, Teslong 1080P HD Dual Lens Snake Borescope Inspection Cam with 8+1 LEDs, 16.5FT Flexible Probe Cable, Fiber Optic Scope Compatible with iPhone 15, Android Phone</t>
  </si>
  <si>
    <t>B0F2H52LH5</t>
  </si>
  <si>
    <t>BAOSHLA A-600 5-inch Touch Screen Fiber Optic Microscope 400x Fiber Optic Cleaning Microscope SCUPC FCUPC STUPC LCUPC Male/Female Interface Adapter Handheld end face Inspector Real time Video Probe</t>
  </si>
  <si>
    <t>B0CR4CKCQ3</t>
  </si>
  <si>
    <t>Dual Lens Endoscope Camera with Light，16.5FT Anhendeler Borescope Inspection Camera, IP67 Waterproof Borescope, 4.3" IPS Screen, for Automotive, Pipe, Wall, Gadgets for Men</t>
  </si>
  <si>
    <t>B071ZHXRZZ</t>
  </si>
  <si>
    <t>Komshine Fiber Optic Inspection Video Probe KIP-600V 400X Magnification Real-time Video Recording + 4 UPC Tips + 3.5 inch HD LCD Display + 4,000mAh Large Battery Capacity FTTX Tool</t>
  </si>
  <si>
    <t>B0FC2LZ7N9</t>
  </si>
  <si>
    <t>Sewer Camera, Self-Leveling Drain Camera with 7mm Thicker Cable, 200ft/60M Range, 9" 1080P HD Monitor, IP68 Waterproof for Pipe Inspection, DVR Snake Cam with Distance Counter &amp; 32GB Card</t>
  </si>
  <si>
    <t>B0CST61RTM</t>
  </si>
  <si>
    <t>Sanyipace Sewer Inspection Camera Probe, 0.67in/17mm Camera Lens, 8pcs LED Lights, 1000TVL, IP68 Waterproof (ONLY for Sanyipace Sewer Camera, Model: S8417D)</t>
  </si>
  <si>
    <t>B0FBGHY3H6</t>
  </si>
  <si>
    <t>ILIHOME Dual Lens Borescope with Light, 1080P Industrial Endoscope Inspection Camera, 7.9mm IP67 Waterproof, Sewer Camera with 4.3" IPS Screen,8 LED Lights,16.5FT Semi-Rigid Cable.</t>
  </si>
  <si>
    <t>B0F28YDS26</t>
  </si>
  <si>
    <t>Sewer Camera, 4.3" Pipe Snake Camera with DVR Function, Drain Plumbing Inspection with LED Light, 17mm/0.67in Waterproof Industrial Endoscope for Home Wall Duct Drain Pipe (20m/65ft)</t>
  </si>
  <si>
    <t>B0CRGX2SGZ</t>
  </si>
  <si>
    <t>Japanese Company Borescope with Night Vision Function AMTORIN Endoscope Camera Diameter 0.34inch Night Vision Scope Camera 5" IPS Screen 16.5FT Cable 32GB IP67 8 LED Lights</t>
  </si>
  <si>
    <t>B0D9NTBJGX</t>
  </si>
  <si>
    <t>JQKJCAM Sewer Camera Snake 130FT,w/ 4.3'' 32GB Video Screen,23MM Waterproof Sewer Drain Pipe Inspection Camera with Light,Guide Wheel,Meter Counter for Plumbing Pipes (40M)</t>
  </si>
  <si>
    <t>B0CR3JKML1</t>
  </si>
  <si>
    <t>Endoscope Camera for iPhone 14/13/12/11 Pro/Pro Max,1920P Inspection Camera with 8 Adjustable LED Lights, IP68 Waterproof Borescope Snake Camera for iPhone &amp; iPad (16.5ft Semi-Rigid Cable)</t>
  </si>
  <si>
    <t>B0FL7HMLTG</t>
  </si>
  <si>
    <t>MAIYIS Two-Way Articulating Borescope Camera with Light, 0.24 in Mini Inspection Camera with 5 in HD Screen, 6.5ft Semi-Rigid Snake Cable Endoscope for Wall, Engine, HVAC and Plumbing Checks</t>
  </si>
  <si>
    <t>B0DK91NK8Q</t>
  </si>
  <si>
    <t>4.5 Inch Dual-Lens Industrial Endoscope, 1080P Photo Video Borescope Inspection Camera, 5.5mm IP67 Waterproof Snake Camera, 8+1 LED Lights, 16.5FT Cable, 32GB</t>
  </si>
  <si>
    <t>B076CNDVFL</t>
  </si>
  <si>
    <t>Jonard Tools FIM-400 Fiber Optic Inspection Microscope 400x with FC/SC/ST and LC Adapters</t>
  </si>
  <si>
    <t>B0CB1XV6SJ</t>
  </si>
  <si>
    <t>Pipeline Inspection Camera Probe IP68 Sewer Camera with 12 LED Lights for Pipe Drain Endoscope Replacement</t>
  </si>
  <si>
    <t>B0D7BYFDX2</t>
  </si>
  <si>
    <t>210° Two-Way Articulating Borescope Dual Lens, 7" IPS Sewer Camera with Light, Industrial Endoscope 0.25in Tiny Probe Snake Camera for Inspection Automotive Wall Pipe 5.3FT Cable</t>
  </si>
  <si>
    <t>B0DJSSV6X9</t>
  </si>
  <si>
    <t>Dearsee ZX2-D1 Two-Way Articulating Borescope with Light, 0.25in Industrial Endoscope Inspection Camera, 5-inch IPS Articulated Snake Camera, 8X Zoom Video Inspection Scope - 10FT</t>
  </si>
  <si>
    <t>B0FG34XWLP</t>
  </si>
  <si>
    <t>Sewer Camera, Self-Leveling Drain Camera with 7mm Thicker Cable, 100ft/30M Range, 9" 1080P HD Monitor, IP68 Waterproof for Pipe Inspection, DVR Snake Cam with Distance Counter &amp; 32GB Card</t>
  </si>
  <si>
    <t>B08HH9899J</t>
  </si>
  <si>
    <t>Camera Head for Pipe Inspection Camera Waterproof (IP68) Industrial Endoscope Video Inspection System Camera Head</t>
  </si>
  <si>
    <t>B0C9L5V3J9</t>
  </si>
  <si>
    <t>Anykit Dual Lens Borescope,1080P Industrial Endoscope with Light, IP67 Waterproof Inspection Cam, Sewer Camera with 4.0" IPS Screen, Waterproof 16.5ft Snake Camera, 32GB Card</t>
  </si>
  <si>
    <t>B0DKNMQQF9</t>
  </si>
  <si>
    <t>Okk Sewer Camera, Drain Camera with 512Hz Sonde, Pipe Inspection with Self-Leveling, Industrial Endoscope with DVR, 7" LCD Plumbing Snake Endoscope 100ft Cable, IP68 Waterproof, 12 LEDs, 16GB Card</t>
  </si>
  <si>
    <t>B0F9KZ44WV</t>
  </si>
  <si>
    <t>Sewer Camera 100ft,SPRIDRAIN Drain Pipe Camera HD 5in Screen with 32GB DVR,Waterproof IP68 Works Underwater Up to 10Meters Sewer Inspection borescopes for Plumber(Fits Pipes&gt;0.7" Diameter,100ft/30M)</t>
  </si>
  <si>
    <t>17.8mm</t>
  </si>
  <si>
    <t>B0DBXZBFRL</t>
  </si>
  <si>
    <t>Borescope1920P HD Endoscopic Camera - with 8 Adjustable LEDs, 16.4ft Semi-Rigid Serpentine Camera, 7.9mm IP67 Waterproof Inspection Tool for iOS and Android Devices Gift</t>
  </si>
  <si>
    <t>B0DJ7P9SMN</t>
  </si>
  <si>
    <t>Sewer Camera Self-Leveling, 9'' HD Plumbing Pipe Camera with Depth Marking, Zoom, and Adjustable Brightness LED Lights, Ideal for Drain, Pipes, Wells, Machinery, and Industrial Applications</t>
  </si>
  <si>
    <t>B0C9C4H2ZH</t>
  </si>
  <si>
    <t>Anykit Dual Lens Endoscope Camera, Type-C Borescope with 8 Adjustable LED Lights, IP67 Waterproof 16.5ft Semi-Rigid Snake Cord Inspection Camera Compatible with Type C iPhone 15 &amp; Android Phone</t>
  </si>
  <si>
    <t>B0CB6JML8N</t>
  </si>
  <si>
    <t>Endoscope with Light and 16.4ft Semi-Rigid Cable, Handheld Borescope 4.3'' HD 1080P, 8 Adjustable LED Lights, IP67 Waterproof Inspection Camera for Sewer, Gadgets for Men (Single 5m)</t>
  </si>
  <si>
    <t>B0D7HSCM1G</t>
  </si>
  <si>
    <t>Sewer Camera Cable with Distance Counter,Replacement 5mm Rigid Cable 98.4FT for JQKJCAM Sewer Inspection Camera with 12PCS Lights,Pipe Drain Camera Accessory（98.4FT/30M for 23mm)</t>
  </si>
  <si>
    <t>B0DWDXPYQ1</t>
  </si>
  <si>
    <t>Sewer Camera w/DVR Function, 4.3" HD 1080P Screen Pipeline Inspection Camera, IP68 Waterproof Pipe Plumbing Snake Cam with 32GB Card, for Sewer Line, Home, Duct Drain Pipe Plumbing (50M/165FT)</t>
  </si>
  <si>
    <t>B0FPF369GV</t>
  </si>
  <si>
    <t>Two-Way Articulating Borescope with Light, 0.24in Industrial Endoscope Inspection Camera, 5-inch IPS Screen 5ft Waterproof Flexible Snake Tube 5000mAh Battery for Car Wall Pipeline Machine Maintenance</t>
  </si>
  <si>
    <t>B0GFM2VQJ5</t>
  </si>
  <si>
    <t>Endoscope Camera with Light of SIX Adjustable LED Lights IP67 Waterproof Snake Camera Inspection Borescope with Claw Grip for iPhone ipad and Android Phone(Type c)</t>
  </si>
  <si>
    <t>B0D7644ZYV</t>
  </si>
  <si>
    <t>Sewer Borescope Camera Cable with Distance Counter,Replacement 5mm Rigid Cable 164FT for JQKJCAM Sewer Inspection Camera with 6PCS Lights,Pipe Drain Camera Accessory（164FT/50M for 17mm)</t>
  </si>
  <si>
    <t>B0CRKG9Y8G</t>
  </si>
  <si>
    <t>Pipe Snake Sewer Camera 100ft,Waterproof 16GB DVR JQKJCAM 0.67in/17mm Plumbing Borescope Camera for Drain Hole Wall Inspection, Cable wtih Length Marks (30M)</t>
  </si>
  <si>
    <t>B0D75VF79S</t>
  </si>
  <si>
    <t>Sewer Camera Cable Wire with Distance Counter,Replacement 5mm Rigid Cable 164FT for JQKJCAM Sewer Inspection Camera with 12PCS Lights,Pipe Drain Camera Accessory（164FT/50M for 23mm)</t>
  </si>
  <si>
    <t>B0FR9KWW83</t>
  </si>
  <si>
    <t>Endoscope Camera with Light, 4.3" HD Display, 5.5mm Waterproof Borescope, 6.6ft Semi-Rigid Cable, 6 LED Plumbing Camera for Pipe, Car Engine, and Drain Inspection</t>
  </si>
  <si>
    <t>B0DP2199Z8</t>
  </si>
  <si>
    <t>ESANHAO Sewer Camera 100ft with Digital Distance Counter &amp; Light Borescope Inspection Camera 9" AHD Screen for Plumber, Homeowners(IP68 Waterproof 16GB)</t>
  </si>
  <si>
    <t>B0G6RFHSQT</t>
  </si>
  <si>
    <t>SXHELECOK Dual-Lens Industrial Borescope Camera with 5" IPS Screen &amp; 9 LEDs, 1080P High Def Pipe Inspection Camera, IP67 Waterproof Snake Cable, 32GB Card for Automotive Sewer Inspection, 7.9mm Probe</t>
  </si>
  <si>
    <t>B0F23DSMV8</t>
  </si>
  <si>
    <t>EIXAUP Sewer Camera 66 ft, 23 MM Pipe Inspection Camera with 12pcs LED Lights, 7" 1080P HD Monitor with DVR Function, IP68 Waterproof, Meter Marker, Included 32GB Card(20 m)</t>
  </si>
  <si>
    <t>B0DDGXHPYT</t>
  </si>
  <si>
    <t>[Dual-Lens] Borescope Camera with Light, 1920P HD Endoscope with 8+1 Adjustable LED Lights, IP67 Waterproof 16.5ft Semi-Rigid Snake Cable Inspection Camera for iPhone, iPad and Android Phone (Type C)</t>
  </si>
  <si>
    <t>B0D2H6N6KD</t>
  </si>
  <si>
    <t>Articulating Borescope Camera - JESERAL 5" HD 1080P Inspection Camera Screen with 6 Led Light, Endoscope with 6.2mm Len IP67 Waterproof Probe, 3X Zoom Borescope with Semi-Rigid 5FT Cable for Mechanic</t>
  </si>
  <si>
    <t>B0DD7BC489</t>
  </si>
  <si>
    <t>PRANITE Sewer Camera Self Leveling, Drain Line Inspection Camera for Plumbers &amp; Contractors Probe, 7″ HD Monitor, DVR Recordable, IP68 Waterproof, Meter Marking</t>
  </si>
  <si>
    <t>B0FJLQJ18V</t>
  </si>
  <si>
    <t>Ralcam Dual Lens Articulating Borescope 5", 6.5mm Slim Probe, Two-Way Articulated Endoscope Inspection Camera with 5FT Flexible Snake Cable for Engine Automotive HVAC Wall Pipe</t>
  </si>
  <si>
    <t>B0C37GBVZZ</t>
  </si>
  <si>
    <t>23mm Sewer Inspection Camera Head, Stainless Steel Professional IP68 Pipe Drain Endoscope Camera Accessory with 12 LED Lights</t>
  </si>
  <si>
    <t>B0D1ZFZ7JL</t>
  </si>
  <si>
    <t>Sewer Inspection Camera Head Pipe Drain Endoscope Camera IP68 with 12 LED Lights for Pipeline Inspection</t>
  </si>
  <si>
    <t>B0B3D9MBS9</t>
  </si>
  <si>
    <t>Sanyipace Sewer Camera Drain Camera Battery Box for Sewer Camera, 4500mAh Rechargeable, Accessories for Sanyipace 7-inch Drain Camera</t>
  </si>
  <si>
    <t>B0CPDLCW1B</t>
  </si>
  <si>
    <t>Ulefone uSmart Endoscope E02 for Ulefone Armor 30/29/28/27/26/24/21/18/Pad Series, IP67 Waterproof, 2M Semi-Rigid, 5.5 mm Borescope Dual Camera, 7 LED Lights</t>
  </si>
  <si>
    <t>B0C45QGF4G</t>
  </si>
  <si>
    <t>HBUDS Sewer Camera 100ft, 0.67in/17mm Probe Drain Camera, 4.3" Color Monitor Borescope Endoscope, Rechargeable Battery Duct Septic Chimney Pipe Inspection Camera Snake w/DVR 16GB TF Card</t>
  </si>
  <si>
    <t>B0CSDPRBWN</t>
  </si>
  <si>
    <t>Danculpe Sewer Camera with Locator, 165FT/50M, Self-Leveling, 7MM Cable, 10" HD Pipe Drain Inspection Camera with DVR, Distance Counter, IP68 Waterproof, 12 LEDs, 16GB Card for Plumbing, Duct</t>
  </si>
  <si>
    <t>B0G6XZS5YP</t>
  </si>
  <si>
    <t>Dual-Lens Endoscope Camera with Light, 1080P Borescope Inspection Camera, 4.3" IPS Screen, 16.5FT Semi-Rigid Cable, 8 LEDs, IP67 Waterproof Inspection Tool for Automotive &amp; Plumbing– Gadgets for Men</t>
  </si>
  <si>
    <t>B0GK72PFS9</t>
  </si>
  <si>
    <t>Holdwell S Sewer Camera 165ft/50m Borescopes Plumbing 4.3" HD Color Screen Waterproof IP68 Borescope Camera with Distance Counter Light 8000Mah Battery Light for Home Wall Duct Drain Pipe Plumbing</t>
  </si>
  <si>
    <t>B0DKJ61PW6</t>
  </si>
  <si>
    <t>FDGSAB Sewer Camera, 20/50m, 7" Screen Pipeline Inspection Camera Waterproof IP68 w/12 Adjustable LEDs, DVR Function Have 32GB SD Card .for Sewer Line, Duct Drain Pipe Plumbing (164ft/50M DVR)</t>
  </si>
  <si>
    <t>B0D7HS5BWL</t>
  </si>
  <si>
    <t>OnBeam Sewer Camera 100ft, Drain Camera with DVR Recorder, 4.3" Plumbing Cameras Snake with 8 Adjustable LED Lights, Waterproof IP68 &amp; 16GB, Industrial Endoscope for Duct Sewer Line Pipe Inspection</t>
  </si>
  <si>
    <t>B0B6VSJ8PJ</t>
  </si>
  <si>
    <t>0 Degree HD 1080P USB Endoscope Camera for Lap Training</t>
  </si>
  <si>
    <t>B0CQT8KY6P</t>
  </si>
  <si>
    <t>SIUKE Pipe Inspection Stabilizer Expandable Pipeline Sewer Inspection Camera Guide Wheels for 23mm / 50mm Drain Pipeline Inspection Camera for 20-40cm Pipelines</t>
  </si>
  <si>
    <t>B0C7S32LYT</t>
  </si>
  <si>
    <t>Vividia VA-650 LCD/WiFi Two-Way Articulating Borescope Inspection Camera with 0.25" Diameter 3.3ft Long Probe, 1280x720 Resolution, IPS 5" LCD Monitor</t>
  </si>
  <si>
    <t>B0D2ZPKZ3G</t>
  </si>
  <si>
    <t>Anysun Black Camera Cover Protective Cover for 22mm &amp; 23mm Sewer Camera Pipe Inspection Camera, 2pcs</t>
  </si>
  <si>
    <t>B0D9NV4JPY</t>
  </si>
  <si>
    <t>Sewer Camera 100FT,W/ 4.3'' IPS HD 32GB Video Screen,17MM HD 8500mAh JQKJCAM Plumbing Sewer Drain Snake Camera with Light,Meter Counter,0.67'' Sewer Scope for Drain Pipe Line Duct Inspection(30M)</t>
  </si>
  <si>
    <t>B0BMV9MMSX</t>
  </si>
  <si>
    <t>3 in 1 Endoscope Inspection Camera Borescope HD Camera Waterproof Snake Pipe Drain with 6 Adjustable Led Light Snake Cable USB Adapter for Android Phone Tablet Device(Size:1 M)</t>
  </si>
  <si>
    <t>B0CRKGM7L8</t>
  </si>
  <si>
    <t>JQKJCAM 23mm Rigid Sewer Camera - 100FT Waterproof Borescope for Hole Drain Wall Inspection, 16GB DVR Plumbing Camera with 12 LED Lights (30M)</t>
  </si>
  <si>
    <t>B0GJ6YM2NJ</t>
  </si>
  <si>
    <t>Vividia ME-410i Joystick Articulating Borescope 4mm Diameter 1m Flexible IP67 Waterproof Probe for iOS &amp; Android</t>
  </si>
  <si>
    <t>B0DP1Z4V17</t>
  </si>
  <si>
    <t>ESANHAO Sewer Camera 100ft, 4500mAh Battery, 0.9in/23mm Pipe Inspection Camera, Video &amp; Audio Recording, Distance Counter,Snake Camera with Light (with Digital Distance Count)</t>
  </si>
  <si>
    <t>B0DGD1YS48</t>
  </si>
  <si>
    <t>FOXWELL VS300 Car Endoscope, USB Micro-USB Type-C, 5.5mm Snake Camera, 1280 * 720P, IP67 Waterproof, 6 Brightness Adjustable LED Lights, Suitable for FOXWELL NT809BT, NT909,NT1009, Android Phone, PC</t>
  </si>
  <si>
    <t>B0CCTFJBWW</t>
  </si>
  <si>
    <t>Sewer Camera with HD 1200TVL Camera, 9" LCD Monitor, 200FT Cable Pipe Inspection Camera Drain Sewer Industrial Endoscope Waterproof IP68 Snake Video System Pipe Inspection Camera</t>
  </si>
  <si>
    <t>B0DBHXHWVG</t>
  </si>
  <si>
    <t>10FT Dual Lens Probe, 8mm/0.31inch Diameter Semi-Rigid Cable Compatible with MS450 Inspection Camera</t>
  </si>
  <si>
    <t>B0B31HCHNB</t>
  </si>
  <si>
    <t>Autel MaxiVideo MV108S Digital Inspection Camera, 2026 Upgrade MV108/ MV105S/ MV105, 2MP 1920x1080, IP67 Waterproof Industrial Endoscope, 39.37'' Flexible Snake Cable, Compatible w/Autel Scanner &amp; PC</t>
  </si>
  <si>
    <t>B0F3DKNDY2</t>
  </si>
  <si>
    <t>Sewer Camera 25FT,5'' IPS 32GB Video &amp; Audio Screen,17MM/0.67'' JQKJCAM Sewer Drain Inspection Camera,Waterproof Pipe Borescope Plumbing Snake Cameras with 6 Light Meter Counter (10M/33FT)</t>
  </si>
  <si>
    <t>B0FM1V5N8N</t>
  </si>
  <si>
    <t>7" Sewer Camera w/DVR Function,HD 1080P Screen Plumbing Drain Pipe Inspection Cam, Industrial Borescope Camera w/light,4x Zoom,IP68 Waterproof, 32GB Card, for Sewer Line, Home,Duct Drain Pipe Plumbing</t>
  </si>
  <si>
    <t>B0DD44JGJZ</t>
  </si>
  <si>
    <t>Sewer Camera with Locator, PRANITE Self Leveling Drain Camera 100FT with 512hz Transmitter, DVR Recorder, Rotate Image, Sewer Camera Endoscope IP68 Waterproof for Inspection (16GB SD Card)</t>
  </si>
  <si>
    <t>B0FJLV7ZB1</t>
  </si>
  <si>
    <t>Sewer Camera 100ft 7" Pipe Drain Inspection Camera DVR Borescope Waterproof IP68 18mm Endoscope HD 1000TVL Included 32GB Card for Home Wall Duct Drain Pipe</t>
  </si>
  <si>
    <t>B0F6CP46VD</t>
  </si>
  <si>
    <t>VEVOR Endoscope Camera with Light, Dual Lens Borescope for Android &amp; iOS, 1920P HD Inspection Camera with 8 + 1 LED Light, 2X Zoom, 16.4FT Snake Cable, IP67 Waterproof Snake Camera for Auto, Plumbing</t>
  </si>
  <si>
    <t>B07V2CZBKY</t>
  </si>
  <si>
    <t>QiQibaby New 5.0 MP USB Iriscope Iris Analyzer Iridology Camera with pro Iris English Software 30X Iris Lens Adjustable Focus</t>
  </si>
  <si>
    <t>B0DDT5FW1B</t>
  </si>
  <si>
    <t>Anysun Sewer Inspection Camera, 7MM 165 Ft Cable, Pipe Camera with 9" Screen, IP68 Waterproof, Self-Leveling, Distance Counter, 8 Hr Battery Life</t>
  </si>
  <si>
    <t>B0CVZS9V8V</t>
  </si>
  <si>
    <t>23MM Sewer Camera Roller Guide Wheels,90mm/3.5'' Skid Protective Cover with Pulleys for 0.9'' Pipe Drain Duct Inspection Camera,JQKJCAM Plumbing Borescope Camera Accessories/Parts</t>
  </si>
  <si>
    <t>B0FDB5C1T6</t>
  </si>
  <si>
    <t>Preciva Endoscope Camera with Dual Lenses, 1920P HD Borescope Camera with 8 Adjustable LED Lights, 16.5ft Semi-Rigid for iOS and Android</t>
  </si>
  <si>
    <t>B0FQPK66F7</t>
  </si>
  <si>
    <t>3.9mm Small Hole Borescope, Aperture Endoscope Camera - Suitable for. 20 Caliber and Larger Pipes, Gun Barrel Inspection Tool, Suitable for Android and iOS Smartphones iPhone, iPad, Samsung</t>
  </si>
  <si>
    <t>B0F23DPKBV</t>
  </si>
  <si>
    <t>EIXAUP Sewer Camera 100 ft, 17 MM Pipe Inspection Camera with 8 Pcs LED Lights, 7" 1080P HD Monitor with DVR Function, IP68 Waterproof, Meter Marker, Included 32GB Card(30 m)</t>
  </si>
  <si>
    <t>B0FTMXTZ1P</t>
  </si>
  <si>
    <t>Vividia G-810N BlueEye Grabber Borescope &amp; Retreival Tool with USB Camera, LED Lights, Detachable Magnet Ring, 8mm Diameter Probe (G-810N)</t>
  </si>
  <si>
    <t>B07SLVFB8Z</t>
  </si>
  <si>
    <t>Vividia GB-460 USB Digital Manual Focus Gun Barrel Borescope Endoscope Videoscope Inspection Camera with 4mm Diameter and 24" (60 cm) Long Insertion Tube (Without WiFi Box) for PC Mac Android Devices</t>
  </si>
  <si>
    <t>B0G584RGRQ</t>
  </si>
  <si>
    <t>Dual-Lens Endoscope Camera with Light, 1920P HD Borescope with 8 Adjustable LEDs, 16.4FT Semi-Rigid Snake Cord, IP68 Waterproof Inspection Tool for iPhone, Android, Automotive, Plumbing, HVAC (7.9mm)</t>
  </si>
  <si>
    <t>B0D75S1YZ3</t>
  </si>
  <si>
    <t>Sewer Camera Cable with Distance Counter,Replacement 5mm Rigid Cable 300FT for JQKJCAM Sewer Inspection Camera with 12PCS Lights,Pipe Drain Camera Accessory（300FT/91.5M for 23mm)</t>
  </si>
  <si>
    <t>B0FQ4ZS2ZK</t>
  </si>
  <si>
    <t>Two-Way 210° Articulating Borescope, Steering Snake Inspection Endoscope with 4.3in HD IPS Screen,6 LED Lights, IP67 Waterproof Endoscope for Mechanics A/C Wall Pipe Inspection - 3.28FT</t>
  </si>
  <si>
    <t>B0F8V51XJ7</t>
  </si>
  <si>
    <t>Two-Way Articulating Borescope with Light, Industrial Endoscope Camera with 0.24in/6.25mm Articulated Probe, IP67 Waterproof Snake Inspection Scope for Mechanic Aircraft Automotive Engine</t>
  </si>
  <si>
    <t>B0CYLK8H3Q</t>
  </si>
  <si>
    <t>ESANHAO Sewer Camera with 512Hz Transmitter &amp; Distance Counter 9" HD Screen Self-Leveling Borescope Camera with Light Inspection for Plumber, Homeowners(12pcs White Lights,16GB DVR,164ft/50m)</t>
  </si>
  <si>
    <t>B0D7HMTYPH</t>
  </si>
  <si>
    <t>Sewer Camera Cable with Distance Counter,Replacement 5mm Rigid Cable 98.4FT for JQKJCAM Sewer Inspection Camera,Pipe Drain Camera Accessory（98.4FT/30M for 17mm)</t>
  </si>
  <si>
    <t>B0BLTX4VFJ</t>
  </si>
  <si>
    <t>Autel MaxiVIDEO MV108S Digital Inspection Camera - 2MP 1080P, Up of MV108/MV105S, IP67 Waterproof Industrial Endoscope, 8 LED Lights (Hook/Mirror/Magnet Included), Work w/PC &amp; Autel Scanners</t>
  </si>
  <si>
    <t>B003A7YNRG</t>
  </si>
  <si>
    <t>Extech BR250 Video Borescope/Wireless Inspection Camera</t>
  </si>
  <si>
    <t>B0FJXR9R62</t>
  </si>
  <si>
    <t>Sewer Camera,100FT/30M 4.3" Pipe Drain Inspection with DVR Function and LED Lights,18mm Borescopes Plumbing 8500Mah Battery Waterproof IP68 Endoscope HD 1000TVL 32GB Card (18mm Camera)</t>
  </si>
  <si>
    <t>B0BYNSX26K</t>
  </si>
  <si>
    <t>KAOLALI Endoscope Camera with Light Endoscope Sewer Pipeline Inspection Camera 6 LED Light with DVR Function and Snake Cable 5” high Resolution Screen Waterproof for Home Pipe Sewer Plumbing</t>
  </si>
  <si>
    <t>B0CSF5LRG4</t>
  </si>
  <si>
    <t>Sewer Camera 150FT WiFi,Portable JQKJCAM Sewer Drain Pipe Inspection Snake Camera with 12 Light Guide Wheel,9 Inch HD Monitor,50M/165FT Distance Counter Cable</t>
  </si>
  <si>
    <t>B09XDVLN1X</t>
  </si>
  <si>
    <t>Sanyipace HD Camera Probe for Sewer Camera, 12pcs LED Lights, IP68 Waterproof, Drain Camera Head (ONLY for Sanyipace Model Number: 9723WF, 9723D, 9300D, S8968DM)</t>
  </si>
  <si>
    <t>B0CG6RLXW6</t>
  </si>
  <si>
    <t>Car Inspection Camera, Under Vehicle Inspection Camera, Wide Angle HD Waterproof Telescopic Pole Video Inspection Camera with Infrared Night for Cars, Machinery, Trucks (US Plug)</t>
  </si>
  <si>
    <t>B07SXR6TF6</t>
  </si>
  <si>
    <t>Oiiwak Endoscope Camera with Light, 3.9mm Industrial Borescope Inspection Camera, 4.3" IPS Screen 1080P HD IP68 Waterproof 6 LED Lights for Drain Pipe Wall Automotive, 5FT Semi-Rigid Cable</t>
  </si>
  <si>
    <t>B09YTHSDYY</t>
  </si>
  <si>
    <t>Autel MaxiVideo MV108S USB Endoscope, Waterproof 8.5mm Imager Inspection Camera with Light, 1920x1080 HD 2MP Borescope for Autel Scanner &amp; PC, Upgrade of MV108 MV105, Snake Camera with 1M Cable</t>
  </si>
  <si>
    <t>B0D2Z14P81</t>
  </si>
  <si>
    <t>JINMEI Hard EVA Carrying Case Compatible with MugEasy/Daxiongmao/DEPSTECH Borescope Inspection Camera,Lens Industrial Endoscope storage case (5M-10M line can also be accommodated)</t>
  </si>
  <si>
    <t>B0G8HPL9XB</t>
  </si>
  <si>
    <t>5" IPS Dual Lens Endoscope Camera with Lights, 1080P Photo Video Inspection Borescope, IP67 Waterproof Endoscope 16.5FT Industrial Snake Camera with 32GB Card</t>
  </si>
  <si>
    <t>B0D2R7QG47</t>
  </si>
  <si>
    <t>Two-Way Articulating Borescope with Light, GODIAG Industrial Endoscope with Snake Scope Camera, Borescope Inspection Camera with Light for Automotive &amp; Aircraft Mechanics (3.3FT Cord)</t>
  </si>
  <si>
    <t>B0FYQ5N8DM</t>
  </si>
  <si>
    <t>Professional Dual-Lens Sewer Inspection Camera | 360° Articulating Head, 7" HD Monitor, Meter Counter &amp; IP68 Waterproof (69FT/20M)</t>
  </si>
  <si>
    <t>69ft</t>
  </si>
  <si>
    <t>B0BVZD1XBM</t>
  </si>
  <si>
    <t>Sanyipace FHD Camera Probe for Sewer Camera, 12pcs LED Lights, IP68 Waterproof, Drain Camera Head (ONLY for Sanyipace Model Number: F927ADFB, S8951DM)</t>
  </si>
  <si>
    <t>B0CZDGRGNZ</t>
  </si>
  <si>
    <t>Sanyipace Sewer Camera Probe with Self-Leveling, 512Hz Sone, 1080P FHD Borescope, 12 PCS LED Lights, Plumbing Accessories, IP68 Waterproof (ONLY for Sanyipace Sewer Camera, Model: S610ASMKTCP)</t>
  </si>
  <si>
    <t>B0CW3HP3KV</t>
  </si>
  <si>
    <t>Sewer Inspection Camera 23mm IP68 12 LED Lights 15mm Thread Diameter Pipe Drain Endoscope Accessory</t>
  </si>
  <si>
    <t>B0CTMW2TW9</t>
  </si>
  <si>
    <t>JQKJCAM Sewer Camera Battery 12V 4500mAh, Drain Pipe Borescope Replacement Accessory,Rechargeable Battery for Sewer Inspection Borescope Camera 9600A/9600B/WP90A/WP90B(17/23mm Camera Head)</t>
  </si>
  <si>
    <t>B0B9R8GCW8</t>
  </si>
  <si>
    <t>Oiiwak Sewer Camera, 100FT Sewer Pipe Video Inspection Camera with 9'' LCD Monitor for Snake Drain Plumbing Pipe, 720P DVR Recorder, 12 LEDs, IP68 Waterproof 23MM Industrial Borescope, 16GB SD Card</t>
  </si>
  <si>
    <t>B0F6CS8QNY</t>
  </si>
  <si>
    <t>VEVOR Endoscope Camera with Light, Dual Lens Borescope for Android &amp; iOS, 1920P HD Inspection Camera, 8 + 1 LED Lights, 2X Zoom, 10FT Snake Cable, IP67 Waterproof</t>
  </si>
  <si>
    <t>B0FVXM6M2B</t>
  </si>
  <si>
    <t>Hayve 4.3inch Industrial Endoscope, 1920P Digital Borescope Inspection Camera, [Photo&amp; Video] IP67 Waterproof Sewer Camera with 6 LED Lights,16.5FT Semi-Rigid Cable,32 GB Card</t>
  </si>
  <si>
    <t>B0F28ZLLZL</t>
  </si>
  <si>
    <t>Sewer Camera 100ft, 4.3" Pipe Snake Camera with DVR Function, Drain Plumbing Inspection with LED Light, 17mm/0.67in Waterproof Industrial Endoscope for Home Wall Duct Drain Pipe (30m/98ft)</t>
  </si>
  <si>
    <t>B0DBYX15CV</t>
  </si>
  <si>
    <t>WOSHIJIE Sewer Camera, 9-Inch Pipe Inspection Camera with Dvr and Self-Leveling, 512hz, Ip68 Waterproof, Suitable for Sewage Pipes, Household, Ventilation and Drainage Pipes (50M)</t>
  </si>
  <si>
    <t>B0CTBJK31P</t>
  </si>
  <si>
    <t>Endoscope Camera with Light, 1920P Dual Lens Borescope with 8+1 LED Light, IP67 Waterproof Portable Borescope Camera with Light for Android, iPhone, iPad (Dual Lens-33FT)</t>
  </si>
  <si>
    <t>B0DL9J7SQ5</t>
  </si>
  <si>
    <t>Anysun 5860 Model Sewer Camear Monitor Replacement, Only for Anysun 5860 Serie Sewer Camera System</t>
  </si>
  <si>
    <t>B0DJQMW9CJ</t>
  </si>
  <si>
    <t>Endoscope Camera with Light 1920P HD, 6FT Semi-Rigid Snake, 8 Adjustable LED Light, 8mm IP67 Waterproof Inspection Camera for iOS</t>
  </si>
  <si>
    <t>6ft</t>
  </si>
  <si>
    <t>B0DR8WQ1Y8</t>
  </si>
  <si>
    <t>Dual Lens Endoscope Camera with Light, 1080P Borescope with 32GB Card - IP68 &amp; 4.5" Sewer Inspection Camera with 16.5FT Semi-Rigid Cable, Birthday Gifts for Men, Tools Cool Gadgets - Yellow</t>
  </si>
  <si>
    <t>B0D9NXWB82</t>
  </si>
  <si>
    <t>150 FT Sewer Camera Snake,w/12 Adjustable LED,32GB Card,4.3'' Video Screen,HD 23MM JQKJCAM Plumbing Pipe Drain Inspection Camera with Light,Distance Counter for Plumber Householder(50M/165FT)</t>
  </si>
  <si>
    <t>B0F8BN91TL</t>
  </si>
  <si>
    <t>4-Way 360° Articulating Borescope, Joystick 5" HD Endoscope Camera with Light, Waterproof Snake Inspection Camera for Engine, Pipe, HVAC, Wall (6.2mm Single Lens-5FT Semi-Rigid Cable)</t>
  </si>
  <si>
    <t>B0GDMDKXSN</t>
  </si>
  <si>
    <t>Pipeline Inspection Camera 23mm Pipe Sewer Inspection Camera Waterproof Drain Replacement with Protective Head Cover and Screwdr(with Guide Wheel)</t>
  </si>
  <si>
    <t>B0DL5LQ7RQ</t>
  </si>
  <si>
    <t>Okk Sewer Camera, Drain Camera with 512Hz Sonde, Pipe Inspection with Self-Leveling, Industrial Endoscope with DVR, 7" LCD Plumbing Snake Endoscope 165ft Cable, IP68 Waterproof, 12 LEDs, 16GB Card</t>
  </si>
  <si>
    <t>B0F9F5ZNK2</t>
  </si>
  <si>
    <t>Dual Lens Endoscope Camera with Light, 4.3" Borescope with Photo/Video Function &amp; Free(Built in 32GB Card), 16.4FT Semi-Rigid Snake Cable with IP67 Waterproof for Pipe, Engine &amp; HVAC Inspection</t>
  </si>
  <si>
    <t>B01N4QY6B2</t>
  </si>
  <si>
    <t>Vividia Ablescope VA-W03A WiFi Box USB to WiFi Converter for iPhones/iPad for USB Digital Borescopes and Microscopes</t>
  </si>
  <si>
    <t>B07P2JLJNN</t>
  </si>
  <si>
    <t>30M Cable for Sewer Camera (7D1-30M-Cable)(Only for Brands: HBUDS, IHBUDS, Anysuns)</t>
  </si>
  <si>
    <t>B0D17T3N3P</t>
  </si>
  <si>
    <t>Julaiwy Industrial Endoscope Borescope Camera with Light, Borescope Inspection Camera, Industrial Cameras 1080P HD 4.3" Screen, IP67 Waterproof Snake Cameras with 8 LED lights, Gadgets for Men, 16.5Ft</t>
  </si>
  <si>
    <t>B0DP2284K1</t>
  </si>
  <si>
    <t>ESANHAO Sewer Pipe Camera with Distance Counter &amp; Light Borescope Inspection Camera with 9" AHD Screen for Plumber, Homeowners(IP68 Waterproof 16GB) (30M with Self Balancing)</t>
  </si>
  <si>
    <t>B0FGK4X6X2</t>
  </si>
  <si>
    <t>1920P HD Endoscope Camera with Light, 4.3" IPS Handheld Borescope with 8 Adjustable LED Lights, IP67 Waterproof Snake Camera, 16.5FT Semi-Rigid Cable Scope for Automotive Plumbing HVAC, Mechanic Tools</t>
  </si>
  <si>
    <t>B0F4JKZWBZ</t>
  </si>
  <si>
    <t>5‘’ Dual Lens Endoscope Camera with Light, 1080P Borescope Inspection Camera with Photo &amp; Video, 7.9mm IP67 Waterproof Sewer with 7 LED Lights,16.5FT Semi-Rigid Cable, Built-in 32G Card</t>
  </si>
  <si>
    <t>B0CSMV9Q1L</t>
  </si>
  <si>
    <t>150 FT Sewer Camera,W/ 9'' HD 16GB DVR Screen,36x Zoom in,Big Spool(Easier to Push Cable),JQKJCAM 17MM Drain Sewer Inspection Camera with Light for Pipes,Waterproof 0.67'' Borescope (50M/165FT)</t>
  </si>
  <si>
    <t>B0CZNQKW3L</t>
  </si>
  <si>
    <t>Endoscope Camera with Light, Bidirectional 180°Steering Articulating Borescope, 8.5mm Waterproof Pipe Camera with 4.5" Screen, Automotive Steering Endoscopes F408B</t>
  </si>
  <si>
    <t>B0CPDH2CWJ</t>
  </si>
  <si>
    <t>ESANHAO Sewer Camera 100ft wiht Self Leveling 512Hz Transmitter Inspection Endoscope with Light Waterproof Plumbing Camera for Plumber, Homeowners</t>
  </si>
  <si>
    <t>B0D1XK5K26</t>
  </si>
  <si>
    <t>Sewer Camera 25FT,Portable 16GB JQKJCAM Snake Drain Sewer Inspection Borescope Camera with Light Guide Wheel,9 in DVR Monitor,Semi-Rigid Cable with Meter Counter(10M/32.8FT</t>
  </si>
  <si>
    <t>B0DKJXPTZ9</t>
  </si>
  <si>
    <t>Accessories Sewer Camera Head, Waterproof Pipe Inspection Camera Lens Parts for Anysun, HBUDS, Aukfa 7D1 Drain Pipe Camera（IP68）</t>
  </si>
  <si>
    <t>B0GMTRXT21</t>
  </si>
  <si>
    <t>KLARAY US18-UD80 Dual-Lens Articulating Borescope with 5” IPS Screen, Industrial Inspection Camera for Pipe, Vent, and Machinery Inspection</t>
  </si>
  <si>
    <t>B0FY1F412M</t>
  </si>
  <si>
    <t>Dual-Lens Endoscope Camera with Light, POLEDY 1920P HD Borescope, 8 Adjustable LED Light, IP67 Waterproof, 16.4ft Snake Camera, Semi-Rigid Cable Inspection for Android, iOS</t>
  </si>
  <si>
    <t>B0FX26D4SD</t>
  </si>
  <si>
    <t>Sewer Borescope Camera Cable Replacement,7mm Thicker Cable 164FT for 23mm JQKJCAM Sewer Inspection Camera WP9612,9614,9607,Pipe Drain Camera Accessory（164FT/50M for 23mm)</t>
  </si>
  <si>
    <t>B0CP638V8G</t>
  </si>
  <si>
    <t>Replacement Screen for Anysun 9DX Series Sewer Inspection Camera</t>
  </si>
  <si>
    <t>B0FDVH213N</t>
  </si>
  <si>
    <t>Sewer Camera 66FT/20M Borescopes Pipe Inspection Camera with 16G DVR/Audio Recorder 5600mA Battery 17MM 4.3inch Screen Industrial Plumbing Snake Drain Endoscope</t>
  </si>
  <si>
    <t>B0CRNQK3SF</t>
  </si>
  <si>
    <t>MATRIXCAMP Dual Lens Borescope, Endoscope Camera with Light for iPhone, iPad, Android, 1920P IP67 Waterproof,16.5FT Semi-Rigid Snake Camera,9 Adjustable Lights,Cool Gadgets for Men</t>
  </si>
  <si>
    <t>B0D7VDMM6J</t>
  </si>
  <si>
    <t>Julaiwy Borescope Camera with 8 LED Light, Industrial Endoscope Cameras with Light 4.3" IPS 1920P HD Screen, Inspection Camera with 16.5ft Semi-Rigid Cable Waterproof, Sewer Drain Pipe Snake Cameras</t>
  </si>
  <si>
    <t>B0DD7FSGGK</t>
  </si>
  <si>
    <t>PRANITE Sewer Camera Self Leveling, Drain Camera 164 ft, Inspection Camera with Meter Counter, Plumbing Camera Snake with Light, 7'' HD Screen Drain Pipe Camera with DVR, IP68 Waterproof, 16GB Card</t>
  </si>
  <si>
    <t>B0B2ZPN8RH</t>
  </si>
  <si>
    <t>Autel MaxiVideo MV108S Inspection Camera - 8.5mm Diameter, Imager USB Endoscope with Light, 1920x1080 HD 2MP Borescope for Autel Scanner &amp; PC, Upgraded Waterproof Inspection Camera and Cable USB</t>
  </si>
  <si>
    <t>B0DSZNLHLW</t>
  </si>
  <si>
    <t>JYTONE Endoscope Camera with Light, 5.5mm Waterproof Borescope with 4.3" HD Screen, 16.5ft Semi-Rigid Cable for Automotive, Plumbing, Pipe Inspection</t>
  </si>
  <si>
    <t>B0CZL3XTYQ</t>
  </si>
  <si>
    <t>[Dual-Lens] Endoscope Camera with Light, 1920P HD Borescope with 8+1 Adjustable LED Lights, IP67 Waterproof 16.5FT Semi-Rigid Snake Cord Inspection Camera for iPhone, iPad and Android Phone</t>
  </si>
  <si>
    <t>B0FWJGCBZR</t>
  </si>
  <si>
    <t>Endoscope Camera with Light,1920P HD Borescope Tools with 8 Adjustable LED Lights, Endoscope with Semi-Rigid Snake Camera, Inspection Borescope for iOS and Android-16.4ft Single Lens ﻿</t>
  </si>
  <si>
    <t>B07KM4J3DL</t>
  </si>
  <si>
    <t>BlueFire Upgraded Super Long 1080P Semi-Rigid Wireless Endoscope, 2 MP HD WiFi Borescope Inspection Camera, Zoomable Focus 1800mA Battery Snake Camera for Android &amp; iOS Smartphone Tablet (15M)</t>
  </si>
  <si>
    <t>B0CQ55VS2B</t>
  </si>
  <si>
    <t>LSOSVSEU 23mm Pipe Sewer Inspection Camera Protective Cover, 90mm Guide Wheels Protect The Pipe Video Inspection Camera in The Pipe Walls, Pipe Inspection Camera Accessories</t>
  </si>
  <si>
    <t>B0DP1XJSKS</t>
  </si>
  <si>
    <t>ESANHAO Sewer Camera 100ft, 4500mAh Battery, 0.9in/23mm Pipe Inspection Camera, Video &amp; Audio Recording, Distance Counter,Snake Camera with Light (with Locator)</t>
  </si>
  <si>
    <t>B0D2WGHKZQ</t>
  </si>
  <si>
    <t>HD Endoscope Camera with Light,Type C and Lighting Borescope for Android and iPhone iOS,16.4 Ft,1920P</t>
  </si>
  <si>
    <t>B07T7G66P8</t>
  </si>
  <si>
    <t>Sewer Camera,100ft Plumbing Drain Camera with DVR 30M Cable Industrial Endoscope Waterproof IP68 Cable Snake Video System with 7 Inch LCD Monitor 1000TVL DVR Recorder</t>
  </si>
  <si>
    <t>B0F3VYBY11</t>
  </si>
  <si>
    <t>SYANSPAN Sewer Camera with WiFi,9inch Monitor,23MM/0.9In Plumbing Bores Cope borescopes,Waterproof Snake Camera with 12 Light Meter Counter for 1Inch Pipe or Bigger(30M/98FT)</t>
  </si>
  <si>
    <t>B0C2ZNYCLG</t>
  </si>
  <si>
    <t>0.67inch/17mm Sewer Camera Head Accessories,6 Pcs Adjustable LED Lights,Waterproof IP68 for Pipe Drain Endoscope Camera Replacement with Protective Cover</t>
  </si>
  <si>
    <t>B0F2HHW8MQ</t>
  </si>
  <si>
    <t>Sewer Camera,7" HD IPS Screen Drain Camera with DVR Distance Marker,17MM 8PC Lights IP68 Waterproof Borescope Drain Pipe Endoscope 32GB Card,for Plumbers and Homeowners</t>
  </si>
  <si>
    <t>B0FP4TT49F</t>
  </si>
  <si>
    <t>Anysun Sewer Camera with 512Hz Sonde Transmitter, 100ft Plumbing Camera Snake with DVR Recorder, Inspection Cam with 7" LCD Monitor with Fiber Optic Cable Wire</t>
  </si>
  <si>
    <t>B0DGMZ92CH</t>
  </si>
  <si>
    <t>Pipe Sewer Inspection Camera Protective Cover, Plastic Sewer Camera Guide Wheel, Easy to Install Pipe Inspection Camera Accessories for 17 to 18mm Endoscope Part Accessory</t>
  </si>
  <si>
    <t>B0DKJYWXFH</t>
  </si>
  <si>
    <t>Sewer Camera Head Replacement with Self-Leveling – Compatible with PRANITE, HBUDS, Anysun, OKK, ONDASHCAM, SumKea for 9DX23 and 7D3A Sewer Cameras, IP68 Waterproof, 12 LEDs</t>
  </si>
  <si>
    <t>B09J4FLG34</t>
  </si>
  <si>
    <t>BlueFire Upgraded 1080P 5.5mm Semi-Rigid Inspection Camera, 2 MP HD WiFi Borescope Snake Camera, Zoomable Focus 1800mA Battery Wireless Endoscope for Android and iOS Smartphone, Tablet (4.9FT)</t>
  </si>
  <si>
    <t>B0CRB2C49G</t>
  </si>
  <si>
    <t>JIOTV for Milwaukee Tool 2319-20 M-Spector™ 4' Inspection Camera</t>
  </si>
  <si>
    <t>B0FHH166CS</t>
  </si>
  <si>
    <t>HANMATEK 1080P Industrial Endoscope, 4.3-Inch TFT Screen, 16.5ft Flexible Cable, 8mm Camera with Adjustable LED Lights, 1 Million Pixels, Photo/Video Recording,USB-C Charging</t>
  </si>
  <si>
    <t>B0CQ28WJT1</t>
  </si>
  <si>
    <t>Anysun 512Hz Sewer Camera Head Transmitter, Sewer Camera Head Replacement Locator 0.9inch / 23mm Camera Head Built-in 512Hz Sonde Transmitter for Anysun HBUDS Pipe Inspection Camera</t>
  </si>
  <si>
    <t>B0CSF5YNCV</t>
  </si>
  <si>
    <t>Sewer Camera 150FT,9 Inch 16GB DVR Screen,JQKJCAM 23MM/0.9'' Sewer Drain Bore Scope,Waterproof Pipe Plumbing Inspection Camera with 12 Light Meter Counter for 1'' 2Inch Pipe or Bigger (50M/165FT</t>
  </si>
  <si>
    <t>B0DSHGG8VW</t>
  </si>
  <si>
    <t>Two-Way Articulating Borescope Camera with Light, GODIAG Industrial Endoscope with 0.33in Articulated Snake Cam, Video Inspection Scope with Light for Automotive Aircraft Mechanics- 5.5FT</t>
  </si>
  <si>
    <t>B09WGRSRFQ</t>
  </si>
  <si>
    <t>Vividia CL-6010 Flexible USB 2-Way Articulation 6mm (0.24") Diameter 1m (3ft) Long Borescope Videoscope Inspection Camera for Windows PC MacBook Android MacOS Chromebook</t>
  </si>
  <si>
    <t>B0DP1ZV47C</t>
  </si>
  <si>
    <t>ESANHAO Sewer Camera 100ft, 4500mAh Battery, 0.9in/23mm Pipe Inspection Camera, Video &amp; Audio Recording, Distance Counter,Snake Camera with Light (with Self-Leveling)</t>
  </si>
  <si>
    <t>B0DBDJ3FK2</t>
  </si>
  <si>
    <t>Endoscope 4-Piece Accessories Hook Magnet Side View Mirror Set, 8-Piece Accessories, Suitable for Kinpthy W400 W400-B Series</t>
  </si>
  <si>
    <t>B09WGXKK9J</t>
  </si>
  <si>
    <t>Vividia BD-5030i Dual Camera Borescope with 4.8mm (0.19") Diameter 3.5m (11ft) Long Semi-Rigid Probe for iOS Devices and Android Devices</t>
  </si>
  <si>
    <t>4.8mm</t>
  </si>
  <si>
    <t>11ft</t>
  </si>
  <si>
    <t>B0FFGFYVK9</t>
  </si>
  <si>
    <t>𝟐𝟎𝟐𝟔 𝐧𝐞𝐰 HD 1080P Sewer Camera with DVR 32GB, 4.3" IPS Drain Camera (Plug and Play), HD 1080P Pipe Inspection Camera, 5000mAh, Endoscope Camera with 4-Level LED Lights, Cable Marking, 100ft/30M</t>
  </si>
  <si>
    <t>B0GGQM678V</t>
  </si>
  <si>
    <t>B0C5F2VF9C</t>
  </si>
  <si>
    <t>Zooke Drain Pipeline Inspection Replacement, 0.9inch/23mm Sewer Camera Accessories 12LED Waterproof IP68 for Pipe Drain, Professional Waterproof Endoscope Camera Replacement</t>
  </si>
  <si>
    <t>B0FZK5ZFHF</t>
  </si>
  <si>
    <t>ChoosePRO HD1080P Sewer Camera Replacement Head, 0.9 in / 23mm, Compatible with PipeX1, X1PRO, X2 &amp; X3 Series, with 6-LED, IP68 Waterproof</t>
  </si>
  <si>
    <t>B0D9NVPM2Q</t>
  </si>
  <si>
    <t>150 FT Sewer Camera Snake,with 32GB Card 4.3'' Video Screen,JQKJCAM Sewer Inspection Pipe Drain Camera with Light Meter Counter,17MM/0.67'' Plumbing Borescope for Plumber Householder(50M)</t>
  </si>
  <si>
    <t>B0DD2S2MXB</t>
  </si>
  <si>
    <t>UNIOJO 5.2mm Borescope, Endoscope Camera with Light, IP67 Waterproof Sewer Camera with 4.3" LCD Screen, 1080P HD with 8 LED Lights, 32GB Card, Carrying Case, Gadgets for Men &amp; Tools for Men</t>
  </si>
  <si>
    <t>B0B316VKXM</t>
  </si>
  <si>
    <t>Autel MaxiVideo MV108S Digital Inspection Camera, 2026 8.5mm 1080P HD Semi-Rigid Snake Camera, IP67 Waterproof USB Borescope Industrial Endoscope w/LED Light, Upgrade of MV108 MV105S MV105</t>
  </si>
  <si>
    <t>B0DJWQD2QZ</t>
  </si>
  <si>
    <t>Vividia VA-106i Flexible One-Way Articulating Digital USB Camera Borescope Videoscope with 6mm (0.24") Diameter 0.6m (24") Long for iOS &amp; Android Devices &amp; Windows PCs</t>
  </si>
  <si>
    <t>2.0ft</t>
  </si>
  <si>
    <t>B076CH47TD</t>
  </si>
  <si>
    <t>Jonard Tools FIM-200 Fiber Optic Inspection Microscope 200x with FC/SC/ST and LC Adapters</t>
  </si>
  <si>
    <t>B08P2BY32L</t>
  </si>
  <si>
    <t>Jonard Tools Wispy CF-200 Multipurpose Wireless Inspection Camera - WiFi Borescope &amp; Cable Pulling Tool with Telescoping Pole, Wrist Band &amp; Rod Adapters</t>
  </si>
  <si>
    <t>B08QCZQMJ4</t>
  </si>
  <si>
    <t>Teslong Endoscope Replacement Cable with Light, Single Lens Inspection Camera 5.5mm/0.21inch Waterproof Probe Compatible with NTS500, NTS300(10FT)</t>
  </si>
  <si>
    <t>B0F6CSNVZJ</t>
  </si>
  <si>
    <t>VEVOR Endoscope Camera with Light, 1920P HD Borescope for Android &amp; iOS, 8 LED Lights Inspection Camera with 16.4FT Semi-Rigid Cable, 2X Zoom, IP67 Waterproof Snake Scope Camera for Auto, Plumbing</t>
  </si>
  <si>
    <t>B0CBMQLGRZ</t>
  </si>
  <si>
    <t>Sewer Camera 66ft/20m 4.3" Pipe Inspection Camera with 16G DVR IP68 Waterproof Borescope w/LED Lights,Industrial Drain Endoscope for Home Wall Duct Drain Pipe Plumbing</t>
  </si>
  <si>
    <t>B0FV8GH1PT</t>
  </si>
  <si>
    <t>Anysun 512Hz Pipe Locator Receiver</t>
  </si>
  <si>
    <t>B00Z19DRNC</t>
  </si>
  <si>
    <t>General Tools DCS600A Waterproof Borescope Video Inspection Camera with 1m Long &amp; 8mm Diameter Camera Head</t>
  </si>
  <si>
    <t>B0FM3D358Z</t>
  </si>
  <si>
    <t>33FT Dual Lens Endoscope Camera with Light, 4.3" Borescope with Photo/Video(Built-in 32GB Card), IP67 Waterproof with 8 LED Lights, Semi-Rigid Snake Cable for Pipe, Engine &amp; HVAC Inspection</t>
  </si>
  <si>
    <t>B098FVNLN4</t>
  </si>
  <si>
    <t>Borescope Industrial Endoscope, 5.0 inch HD Explosion-Proof Big Screen &amp; Full Body Rainproof, 3.9mm Inspection Camera IP67 Waterproof, 32G TF Card, Built-in Microphone and Speaker</t>
  </si>
  <si>
    <t>B0DS7JTN6J</t>
  </si>
  <si>
    <t>Sewer Camera 66ft /20M 4.3" Pipe Drain Inspection Camera DVR Borescope with 12PCS LED Lights IP68 Waterproof 22MM Industrial Endoscope (22MM Camera/20M)</t>
  </si>
  <si>
    <t>B0FCMCJD8F</t>
  </si>
  <si>
    <t>Triple Lens 5" IPS Borescope Inspection Camera, Ginocaco 1080P Digital Video Endoscope with Light, Waterproof Scope Camera with 16.5FT Semi-Rigid Cable, Drain Pipe Tool, Carrying Case, 32G Card</t>
  </si>
  <si>
    <t>B0GGSTXTKR</t>
  </si>
  <si>
    <t>AUTOOL SVB208 Articulating Video Borescope, Endoscope Camera with Light,6.25mm Ultra-Thin Probe,4.3" LCD with 8X Zoom Articulated Camera,IP67 Waterproof Snake Camera for Automotive Engine Inspection</t>
  </si>
  <si>
    <t>B003IFRITU</t>
  </si>
  <si>
    <t>RIDGID 37098 6-mm Imager Head Accessory with 1-meter Cable, Camera Head, RIDGID SeeSnake Parts</t>
  </si>
  <si>
    <t>B09MFBXTBD</t>
  </si>
  <si>
    <t>ANYSUN Sewer Camera's Accessories- 7 inch Color Screen</t>
  </si>
  <si>
    <t>B07Z5KPZR2</t>
  </si>
  <si>
    <t>Supereyes Otoscope Upgraded 4mm Ultra-Thin Ear Endoscope, 1.0 Megapixels HD Ear Video Inspection Camera, USB Ear Borescope Waterproof with Flexible Shaped Hose for iOS &amp; Android Smartphone</t>
  </si>
  <si>
    <t>B09Y1R7MG7</t>
  </si>
  <si>
    <t>High Speed USB3.0 Color 20MP 1" Industrial Camera Machine Vision C-Mouth SDK Area Scan Camera Sensor 5488X3672 19.5FPS</t>
  </si>
  <si>
    <t>25.4mm</t>
  </si>
  <si>
    <t>B0DD47YYC6</t>
  </si>
  <si>
    <t>Sewer Camera 165Ft with 512-Hz Self-Leveling, PRANITE 9-Inch 1080P IPS Screen Sewer Inspection Camera with DVR Recorder, IP68 Waterproof Pipe Camera Endoscope Rotate Image (16GB SD Card)</t>
  </si>
  <si>
    <t>B0FY1FZNR6</t>
  </si>
  <si>
    <t>Articulating Borescope Camera with Light, 3.9 mm Two-Way 180° Probe, 1080P HD Industrial Endoscope Inspection Camera with 4.3'' IPS Screen, Borescope for Automotive, Engine, Mechanical Inspect</t>
  </si>
  <si>
    <t>B0DR8W47C6</t>
  </si>
  <si>
    <t>[Triple-Lens] Endoscope Camera with Light, 1080P Borescope with 32GB Card - IP68 &amp; 4.5" Sewer Inspection Camera with 16.5FT Semi-Rigid Cable, Mens Gifts for Fathers, Dad, Tools for Men, Husbands</t>
  </si>
  <si>
    <t>B0BGBNFSV2</t>
  </si>
  <si>
    <t>ESANHAO 17MM Sewer Camera, Pipe Inspection Camera with 16GB TF Card, 9" Monitor, AHD 720P, 25M/82ft, Silver, Waterproof</t>
  </si>
  <si>
    <t>82ft</t>
  </si>
  <si>
    <t>B07RYN9QPC</t>
  </si>
  <si>
    <t>Endoscope, Ihong Android OTG 1.5M Waterproof Snake HD Video Borescope Soft Wire with USB Type-C 6 Led Lights Security Cable Compatible with Samsung Galaxy/Sony/Nexus Android Smartphone Computer</t>
  </si>
  <si>
    <t>B0F6BG1FT7</t>
  </si>
  <si>
    <t>Upgraded Articulating Borescope with Light, 5'' 1080P HD Display Industrial Endoscope Inspection Camera, for Wall Automotive Engine Inspect, Snake Camera for Automotive HVAC and Industrial Mechanics</t>
  </si>
  <si>
    <t>B0F3DK6N13</t>
  </si>
  <si>
    <t>Sewer Camera、Upgraded 5'' IPS 32GB DVR Audio Screen,36X Zoom in,JQKJCAM HD Waterproof 17MM Plumbing Drain Camera Snake with Light,Meter Counter,Roller Wheel for Pipe Sewer Inspection (100FT /30M)</t>
  </si>
  <si>
    <t>B07DCHNNN4</t>
  </si>
  <si>
    <t>USB Snake Inspection Camera 3 in 1 Endoscope Inspection Camera 20M 720P Borescope Inspection Camera with 8 Adjustable LED for Pipe Car Inspection</t>
  </si>
  <si>
    <t>B0CLR1L4N7</t>
  </si>
  <si>
    <t>Articulating Borescope Inspection Camera HD1080P, Endoscope Automotive Scope with 8GB Memory Card, 5" LCD Display, 3 Level LED Light and lP67 Waterproof Camera Lens Diameter 6.35mm</t>
  </si>
  <si>
    <t>B0FJQXBS5V</t>
  </si>
  <si>
    <t>4in1 Endoscope Camera with Light, Borescope for iPhone Andriod PC, 1920HD Endoscope Camera for iPhone with 8 Adjustable LED Lights, IP67 Waterproof Inspection Industrial Borescope Tool (Single Lens)</t>
  </si>
  <si>
    <t>B00SUZ0P7U</t>
  </si>
  <si>
    <t>Autel MaxiVideo MV105S Digital Inspection Camera, 5.5mm Ultra-Slim Probe 90° Wide-Angle Borescope, IP67 Waterproof USB Endoscope Snake Camera w/LED Lights &amp; 3.3ft Cable, for Autel Scanners &amp; PC</t>
  </si>
  <si>
    <t>B0B2VN9NCN</t>
  </si>
  <si>
    <t>anysun Pipe Camera's Kit Cable Used for Brand HBUDS Sewer Camera 100ft Extension Cable for Pipe Cam,100ft Cable Parts for Pipe Inspection Cam Mode 7D1 / 7D3A/ 9D3A (30m/100ft)</t>
  </si>
  <si>
    <t>B0DYDPG8WK</t>
  </si>
  <si>
    <t>Dual-Lens Industrial Borescope Camera with 5 inch IPS Screen, 32GB Memory Card, Photo/Video Recording Enabled, 16.5FT/5M Semi-Rigid Cable with 8+1 Adjustable LEDs, IP67 Waterproof</t>
  </si>
  <si>
    <t>B0G7G3DN5G</t>
  </si>
  <si>
    <t>Endoscope Camera with Light, Dual Lens Industrial Borescope Camera with 8 LED Lights, IP67 Waterproof Sewer Inspection Camera with 4.3" LCD Screen and 16.5FT Flexible Cable for Sewer, Pipe, Car Engine</t>
  </si>
  <si>
    <t>B0DK6RFMLT</t>
  </si>
  <si>
    <t>N150 Articulating Borescope, 210° Two-Way Endoscope Camera with 0.24in IP67 Waterproof Probe, 3.3FT Flexible Hose, Borescope Tool for Appliances, Automotive HVAC and Industrial Machinery</t>
  </si>
  <si>
    <t>B0DKR2SJ3B</t>
  </si>
  <si>
    <t>Triplett BR400A Waterproof High Definition Borescope with 360° Rotating Dual Camera</t>
  </si>
  <si>
    <t>B0DPFGJX73</t>
  </si>
  <si>
    <t>Dual Lens Industrial Endoscope, 1920p Borescope with 8+1 Adjustable Led Light, Endoscope with 16.5ft Semi-Rigid Cable Snake Camera/ 7.9mm Ip67 Waterproof Camera for iPhone, Ipad, Samsung</t>
  </si>
  <si>
    <t>B0D3KPCPP1</t>
  </si>
  <si>
    <t>JINXINEBAY 9'' Monitor Sewer Camera,HD 1000TVL,0.072ft/22mm Endoscope with 12pcs LED Lights, IP68 Waterproof Pipe Drain Inspection Camera with DVR 16GB TF Card (10M/33FT)</t>
  </si>
  <si>
    <t>B0BDLZNS72</t>
  </si>
  <si>
    <t>SYANSPAN 4.3inch Screen for Sewer Camera,DVR LCD Display Monitor for Pipe Inspection Camera,Accessory for Industrial Pipe Endoscope(16GB SD Card)</t>
  </si>
  <si>
    <t>B0FCMDKKZC</t>
  </si>
  <si>
    <t>50FT Triple Lens 5" IPS Borescope Inspection Camera, Ginocaco 1080P Digital Video Endoscope with Light, Waterproof Scope Camera with Semi-Rigid Cable, Drain Pipe Tool, Carrying Case, 32G Card</t>
  </si>
  <si>
    <t>B0DSV7NH64</t>
  </si>
  <si>
    <t>Endoscope Camera with Light ELROTONEG, Borescope with 4.3" LCD Screen, Inspection Camera HD with 8 Adjust LED Lights, 6.56 ft Semi-Rigid Cable, IP68 Waterproof Snake Camera</t>
  </si>
  <si>
    <t>B0FHK1Z8WD</t>
  </si>
  <si>
    <t>Borescope Camera with Light, HOPEFOX Endoscope Inspection Camera with 8+1 Adjustable LEDs, 4.3" Dual Lens Endoscope with 16.4ft Semi-Rigid Cable, 8mm IP67 Waterproof Lens-Gift&amp;Cool Gadgets for Men</t>
  </si>
  <si>
    <t>B08QSMQ2GZ</t>
  </si>
  <si>
    <t>Vividia W03 WiFi Wireless USB to WiFi Converter Box with Built-in Rechargeable Battery for iOS iPhone Tablet and Android Devices for USB Digital Borescope Microscopes Otoscopes Endoscopes</t>
  </si>
  <si>
    <t>B0DMVH4B71</t>
  </si>
  <si>
    <t>Endoscope Camera with Light, Anhendeler 1080P HD Borescope 4.3" IPS Screen, IP67 Waterproof Snake Camera， for Automotive, Pipe, Wall Inspection</t>
  </si>
  <si>
    <t>B09P4WNYBB</t>
  </si>
  <si>
    <t>16.5FT Triple Lens Probe, 7.9mm/0.3inch Diameter Semi-Rigid Cable Compatible with MS450 Inspection Camera</t>
  </si>
  <si>
    <t>B09KBSMWJ3</t>
  </si>
  <si>
    <t>DEPSTECH Accessories Including Hook Magnet Protective Cap Reset Pin, for DEPSTECH DS300 DS520 WF028 DS350 DS500 DS600 DS450 Dual Lens Inspection Camera, 7.9mm Dia Probe - Black</t>
  </si>
  <si>
    <t>B0FJLSVGS7</t>
  </si>
  <si>
    <t>Sewer Camera 100ft 7" Pipe Drain Inspection Camera DVR Borescope Waterproof IP68 23mm Endoscope 2650Mah Battery HD 1000TVL Included 32GB Card for Home Wall Duct Drain Pipe</t>
  </si>
  <si>
    <t>B0FLQ3Y8J5</t>
  </si>
  <si>
    <t>Sewer Camera 66FT/100FT Pipe Inspection Borescope Endoscope Camera with 8pcs LEDs Light 4.3" IPS Screen 17MM Plumbing Snake 8500Mah Battery IP68 Waterproof (17MM-20M(NODVR))</t>
  </si>
  <si>
    <t>B0F2HHQ8MX</t>
  </si>
  <si>
    <t>Sewer Camera,7" HD IPS Screen Drain Camera with DVR Distance Marker,23MM 12PC Lights IP68 Waterproof Borescope Drain Pipe Endoscope 32GB Card,for Plumbers and Homeowners (23MM Camera/20M)</t>
  </si>
  <si>
    <t>B0F4QQK5BN</t>
  </si>
  <si>
    <t>1920P HD Dual Lens Endoscope Camera Semi-Rigid Snake Cable IP67 Waterproof 8LED Lights Dimmable HD Industrial Pipeline Inspection Probe Compatible with Smartphones Endoscope Camera (3.5ft)</t>
  </si>
  <si>
    <t>B0FJL8WJG5</t>
  </si>
  <si>
    <t>ESANHAO Sewer Camera 100FT/30M Pipe Inspection Borescope Endoscope Camera with Light 12 LEDs 4.3" IPS Screen 32GB Card Plumbing Snake 23MM with 8500Mah Battery (30M with DVR)</t>
  </si>
  <si>
    <t>B07SLVDMBK</t>
  </si>
  <si>
    <t>Vividia GB-460 USB Digital Manual Focus Gun Barrel Borescope Camera with 4mm Diameter and 24" (60 cm) Long Insertion Tube (with WiFi Box)</t>
  </si>
  <si>
    <t>B0FB3815Z5</t>
  </si>
  <si>
    <t>Articulating Borescope 2-Way 210°- JESERAL 8.5mm Lens Endoscope camera with 6 light, HD1080P Inspection Camera with Steering Probe, Compatible with Android&amp;iOS Phone, scope with 3.3FT Semi-Rigid Cable</t>
  </si>
  <si>
    <t>B0CPSJGH42</t>
  </si>
  <si>
    <t>HEAXIY Iris Analyzer Camera, High Resolution Iriscope Eye Camera with HD 30x Iris Lens &amp; Analysis Software, Precise Iridology Camera for Detailed Eye Examination</t>
  </si>
  <si>
    <t>B01FHQ3V52</t>
  </si>
  <si>
    <t>General Tools TS03 ToolSmart Wifi Connected Borescope Video Inspection Camera, 3.3-Foot Waterproof Probe with 8-mm Camera and 4 LED Lights</t>
  </si>
  <si>
    <t>B0CQTG2RTJ</t>
  </si>
  <si>
    <t>B0CHMT32JF</t>
  </si>
  <si>
    <t>DEPSTECH 50FT Sewer Inspection Camera with 1080P Dual Lens, Led Light, 5" IPS Screen, Split Screen, IP67 Waterproof Endoscope, 7.9mm Borescope Probe</t>
  </si>
  <si>
    <t>B0B3DH6L6Q</t>
  </si>
  <si>
    <t>Sanyipace Sewer Camera Probe with 512Hz Transmitter, Without Self-Leveling Function, 12pcs LED Lights, Drain Camera Head (ONLY for Sanyipace: F929DJTX, 9723WF, 9723D, 9300D)</t>
  </si>
  <si>
    <t>B0FBW54TJD</t>
  </si>
  <si>
    <t>Industrial Borescope Camera with Lighting, 4.3" Borescope, 1080P HD Inspection Camera, 8 LED Lights, 16.4FT Semi-Rigid Cable, IP67 Waterproof Endoscope, Used for Pipes, Automobiles, Sewer</t>
  </si>
  <si>
    <t>B0GHMGTBDF</t>
  </si>
  <si>
    <t>Inspection Camera with 6 Light, Two-Way 210° Articulating Borescope with 6.25mm Lens Snake Camera for Mechanic Inspections</t>
  </si>
  <si>
    <t>B0DTNVS1MY</t>
  </si>
  <si>
    <t>TOPDC Two-Way Articulating Borescope Camera with Light, Industrial Endoscope with 0.24in Articulating Snake Camera, 1920P HD Video Inspection Scope for Automotive &amp; Aircraft Mechanics, 6.5ft</t>
  </si>
  <si>
    <t>B0DHZQCZM4</t>
  </si>
  <si>
    <t>VNisenllc Industrial Endoscope Camera 0° Detector with Light Handheld High Brightness Borescope LED Mini Cold Light Source</t>
  </si>
  <si>
    <t>B07P4CWV7V</t>
  </si>
  <si>
    <t>Pipeline Camera Charging Lithium Battery 6PCS 12V 4500mAh (Only for Brands: HBUDS, IHBUDS, Anysuns)</t>
  </si>
  <si>
    <t>B0DCGT58W8</t>
  </si>
  <si>
    <t>Klein Tools 69464 Replacement 5.5 mm 4.9-Foot Armored Waterproof Snake, LEDs, Inspection Camera for Klein Plumber's Borescope Cat. No. ET18</t>
  </si>
  <si>
    <t>B0CNZSQS12</t>
  </si>
  <si>
    <t>Endoscope Camera with Light, 16.4ft Semi-Rigid Snake Inspection Camera, 1920P HD Borescope with 8 Adjustable LED Lights, 7.9mm IP67 Waterproof Drain Pipe Borescope for iOS and Android</t>
  </si>
  <si>
    <t>B0BRMJGWXN</t>
  </si>
  <si>
    <t>Sanyipace Color Screen Monitor Built-in Battery, for Portable Sewer Camera with DVR Recorder, Pipe Inspection Camera Accessories, ONLY for Sanyipace Model: F5800ADJKABTX</t>
  </si>
  <si>
    <t>B0DZHP2ZXX</t>
  </si>
  <si>
    <t>Sewer Camera 66FT,9inch 8GB DVR Monitor,23MM/0.9" Plumbing Bores Cope Camera,Waterproof Drain Inspection borescopes with 12 Light Meter Counter for Pipes Larger Than 1Inch(20M/66FT)</t>
  </si>
  <si>
    <t>B0DZHMR933</t>
  </si>
  <si>
    <t>SYANSPAN Sewer Camera,7inch 8GB DVR Monitor,23MM/0.9In Plumbing Bores Cope borescopes,Waterproof Drain Inspection Camera with 12 Light Meter Counter for 1Inch 2Inch Pipe or Bigger(20M/66FT)</t>
  </si>
  <si>
    <t>B0FQJMQZFH</t>
  </si>
  <si>
    <t>Sewer Camera 130FT,Upgraded 5'' HD IPS 32GB DVR Screen,36X Zoom in,17MM HD JQKJCAM Snake Sewer Inspection Cameras for Plumbing,Waterproof Drain Camera with 6 Light Portable Spool (40M)</t>
  </si>
  <si>
    <t>B0DKJXC83Y</t>
  </si>
  <si>
    <t>Accessories Sewer Camera Head with 512Hz Sonde Transmitter, Waterproof Pipe Inspection Camera Lens Parts for Anysun, HBUDS, Aukfa 7D1 Drain Pipe Camera（IP68）</t>
  </si>
  <si>
    <t>B0B3DBLPF2</t>
  </si>
  <si>
    <t>Sanyipace Sewer Camera Charger, Drain Camera Accessories, 12V DC Adapter, 100VAC-240VAC/DC, Battery Power Charger for Pipe Camera, Works with All Sanyipace Sewer Cameras Except S8417D - US Plug</t>
  </si>
  <si>
    <t>B0FZGV4YHJ</t>
  </si>
  <si>
    <t>Endoscope with Light, 1920P HD Borescope with 8 Adjustable LED Lights, 32.8FT Semi-Rigid Snake Camera, IP67 Waterproof Inspection Tool for iPhone &amp; Android - Single Lens (Black)</t>
  </si>
  <si>
    <t>B0B6YNP8N2</t>
  </si>
  <si>
    <t>Anysun Screen for 7D1 Sewer Camera, 7 Inch LCD Monitor</t>
  </si>
  <si>
    <t>B0BCK4ZV3G</t>
  </si>
  <si>
    <t>Sanyipace Sewer Camera Probe with 512Hz Transmitter &amp; Self-Leveling Function, 12 LED Lights, 1080P FHD, IP68 Waterproof (ONLY for Sanyipace Model Number: F5800ADJKABTX, F5100DJKABTX)</t>
  </si>
  <si>
    <t>B0CWCW5ZQR</t>
  </si>
  <si>
    <t>Endoscope Camera, USB Industrial Borescope with 6 LED Lights, 7mm Probe Pipe Inspection Snake Camera IP67 Waterproof for Android, for Windows(1 Meter / 3.3ft)</t>
  </si>
  <si>
    <t>B08DK2GV9S</t>
  </si>
  <si>
    <t>HB37S 3.7mm 1 Meter 3.5" LCD Endoscope Borescope Snake Inspection DVR Vehicle Inspection Pipeline((Only Snake Tube))</t>
  </si>
  <si>
    <t>B0DCNTRGM6</t>
  </si>
  <si>
    <t>Gulitech Two-Way Articulating Borescope Camera with Light, Industrial Endoscope Inspection Camera with Articulated Probe,Mechanic Fiber Optic Snake Scope Cam for Wall Automotive Engine Inspect</t>
  </si>
  <si>
    <t>B08X9WQ65K</t>
  </si>
  <si>
    <t>Pipeline Inspection Camera HD Pipe Sewer Camera's Kit Replace Use for 7D1 Series from Brand Anysun</t>
  </si>
  <si>
    <t>B08NJ8627V</t>
  </si>
  <si>
    <t>DEPSTECH Dual Lens Wireless Endoscope, 1080P Scope Snake Camera with 7 LED Lights,0.31In Lens Video HD Inspection Camera,IP67 Waterproof Borescope,16.5FT Cable for Android &amp; iOS Phone or Tablet-Yellow</t>
  </si>
  <si>
    <t>B0BYNTWRTF</t>
  </si>
  <si>
    <t>KAOLALI Endoscope Sewer Camera with Light Pipeline Inspection Endoscope Camera 5” high Resolution Screen 6 LED Light with DVR Function Snake Cable Waterproof for Sewer Line Home Pipe Plumbing</t>
  </si>
  <si>
    <t>B0FLY8VL86</t>
  </si>
  <si>
    <t>Willsily Drain Inspection Camera,4.3" Industrial Endoscope with DVR Function and LED Lights IP68 Waterproof Sewer Camera 8-10H Battery Borescope for Home Drain Pipe Plumbing(65.6 ft/20m)</t>
  </si>
  <si>
    <t>B0DBVC7H92</t>
  </si>
  <si>
    <t>17MM Sewer Camera Guide Wheel,JQKJCAM Sewer Camera Roller Guide Accessory/Parts,90MM/3.5'' Protector Cover with Pulleys for 0.67'' Pipe Drain Duct Inspection Camera</t>
  </si>
  <si>
    <t>B0G4GNMZ7H</t>
  </si>
  <si>
    <t>Sewer Borescope Camera Screen Replacement,10'' Touch Screen for JQKJCAM Sewer Drain Pipe Inspection Camera WP9613F 9614F 9626F 9607F</t>
  </si>
  <si>
    <t>B0DB1NN75K</t>
  </si>
  <si>
    <t>4.3" HD Endoscope Camera, IP67 Waterproof Inspection Borescope, 1080P Snake Camera with 8 LED Lights, 16.4FT Semi-Rigid Cable, Digital Sewer Camera for Home &amp; Industrial Use</t>
  </si>
  <si>
    <t>B0BCW5XW19</t>
  </si>
  <si>
    <t>Sanyipace Guide Wheels Pipe Pulley of Sewer Camera Probe, for 0.87in/22mm and 0.9in/23mm Diameter Duct Camera Head, Suitable for Pipe Diameters Greater Than 3.7in/95mm Diameter</t>
  </si>
  <si>
    <t>3.7"</t>
  </si>
  <si>
    <t>B0F2HHZQZ6</t>
  </si>
  <si>
    <t>Sewer Camera,7" HD IPS Screen Drain Camera with DVR Distance Marker,23MM 12PC Lights IP68 Waterproof Borescope Drain Pipe Endoscope 32GB Card,for Plumbers and Homeowners (23MM Camera/30M)</t>
  </si>
  <si>
    <t>B0CP86DPTW</t>
  </si>
  <si>
    <t>Endoscope Camera with Light for iPhone Android – 1920P Snake Borescope with 8 LED, IP67 Waterproof Inspection Tool for Drain Pipe Engine Plumbing (16.4FT Semi-Rigid Cable)</t>
  </si>
  <si>
    <t>B0CTMXJG7V</t>
  </si>
  <si>
    <t>JQKJCAM Sewer Camera Battery,12V 4500mAh Borescope Battery Box for Sewer Camera with 512HZ Sonde 9600F SP09F WP90F,Input 12.6V Output LED 9V Output Camera 9V for Pipe Inspection Camera with Locator</t>
  </si>
  <si>
    <t>B0DGQ1RFJD</t>
  </si>
  <si>
    <t>Sunicon 3 in 1 Industrial Borescope, 1.5m IP67 Endoscope Borescope Snake Camera Waterproof Inspection Camera Type C Micro USB Endoscope with 6 LED Lights for Android Phone Tablet Device(3.9MM)</t>
  </si>
  <si>
    <t>B0DHZPH6NN</t>
  </si>
  <si>
    <t>VNisenllc Handheld High Brightness Industrial Endoscope Cold Light Source LED 10W with 3 Adaptors</t>
  </si>
  <si>
    <t>B0DHXGJRX8</t>
  </si>
  <si>
    <t>Sewer Camera 100ft,SYANSPAN 4.3in HD Screen,32GB SD Card DVR,12 LED Lights,Fiberglass Cable w/Meter Counter,8500mAh Battery Pipe Snake Camera for Plumber(30M/100ft,32GB DVR)</t>
  </si>
  <si>
    <t>B0F6CTJM12</t>
  </si>
  <si>
    <t>VEVOR Endoscope Camera with Light, 1920P HD Borescope for Android &amp; iOS, 8 LED Lights Inspection Camera with 10FT Semi-Rigid Cable, 2X Zoom, IP67 Waterproof Snake Scope Camera for Auto, Plumbing</t>
  </si>
  <si>
    <t>B0DR8ZGWQB</t>
  </si>
  <si>
    <t>Gifts for Men, Triple Lens Endoscope Camera with Light, 1080P Industrial Borescope with 32GB Card - IP68 &amp; 4.5" Sewer Inspection Camera with 16.5FT Semi-Rigid Cable, Cool Tools for Men</t>
  </si>
  <si>
    <t>B0DR88HN2D</t>
  </si>
  <si>
    <t>Sewer Camera Head, 23mm Sewer Inspection Camera Pipe Inspection Camera Sewer Pipe Accessories with 12 LED Lights for Professional IP68 Water 15mm Thread Diameter Pipe</t>
  </si>
  <si>
    <t>B0F26K9HW6</t>
  </si>
  <si>
    <t>Endoscope Camera with Light, Single-Lens 1920P HD Borescope with 8 Adjustable LED Lights, Endoscopic Visualizer for iPhone &amp; Android, 16.4ft Semi-Rigid Boroscope Inspection Tool</t>
  </si>
  <si>
    <t>B0CBRVN4CW</t>
  </si>
  <si>
    <t>Sewer Camera 100ft/30m 4.3" Pipe Inspection Camera with 16G DVR IP68 Waterproof Borescope w/LED Lights,Industrial Drain Endoscope for Home Wall Duct Drain Pipe Plumbing (101FT/30M)</t>
  </si>
  <si>
    <t>B0DS7JQQL5</t>
  </si>
  <si>
    <t>Sewer Camera 100ft 4.3" Pipe Drain Inspection Camera DVR Borescope with 12PCS LED Lights IP68 Waterproof 17/22MM Industrial Endoscope (22MM Camera/30M)</t>
  </si>
  <si>
    <t>B0BWVD4WJP</t>
  </si>
  <si>
    <t>3 in 1 High Definition Endoscope Pipe Inspection Borescope TypeC USB Mobile Phone 3.9mm for Borescopes and Fiberscopes (1 Meter Flexible Cord)</t>
  </si>
  <si>
    <t>B0DP2J6VDQ</t>
  </si>
  <si>
    <t>CYTGOUPER C Type 3 in 1 Endoscope Camera,High Definition Waterproof Mobile Phone Endoscope 3.9mm Endoscope Borescope Android for Fiberscopes (3.5m Flexible Cord)</t>
  </si>
  <si>
    <t>B0DGT7M1ZS</t>
  </si>
  <si>
    <t>Sewer Camera Guide Wheel with Protective Pulley Cover, 17mm/0.67in Pipe Drain Inspection Camera Accessory, SYANSPAN Plumbing Borescope Camera Parts. (for 17mm/0.67in)</t>
  </si>
  <si>
    <t>B0FF9YGSVY</t>
  </si>
  <si>
    <t>Endoscope Camera with Light, 1920P HD Borescope Camera with 8 Adjustable LED Lights, 5.9ft Bellows Endoscope with Light, IP67 Waterproof 8mm Endoscope for iOS and Android (5004 PRO)</t>
  </si>
  <si>
    <t>B07DNQ9KC4</t>
  </si>
  <si>
    <t>BlueFire Upgraded 1080P 5.5mm Semi-Rigid Inspection Camera, 2 MP HD WiFi Borescope Snake Camera, Zoomable Focus 1800mA Battery Wireless Endoscope for Android and iOS Smartphone, Tablet (11.5FT)</t>
  </si>
  <si>
    <t>B0FDWF88RF</t>
  </si>
  <si>
    <t>Sewer Camera 100FT/30M Borescopes Pipe Inspection Camera with 16G DVR/Audio Recorder 5600mA Battery 17MM 4.3inch Screen Industrial Plumbing Snake Drain Endoscope</t>
  </si>
  <si>
    <t>B07WFNWDXD</t>
  </si>
  <si>
    <t>Lixada Drain Pipeline Inspection Replacement Camera Sewer Pipe Drain Inspection Camera Head Replacement for The 23mm Camera</t>
  </si>
  <si>
    <t>B0FVSJCK2J</t>
  </si>
  <si>
    <t>Slim 5.5mm Endoscope Camera for iPhone 17/16/15/14/13/12/11 Pro Max &amp; iPad, USB-C Direct Plug Borescope Camera Compatible with Samsung Galaxy S25/S24/S23/S22/S21+,16.5FT/5M Semi Rigid Inspection Cam</t>
  </si>
  <si>
    <t>B0DCGKCVYX</t>
  </si>
  <si>
    <t>Endoscope Camera with Light, 4.3 Inch Screen, 170 Degree Viewing Angle, IP67 HD Borescope, Flexible Sewer Camera for Pipelines, 10m/32.81ft</t>
  </si>
  <si>
    <t>B0D44TM8G1</t>
  </si>
  <si>
    <t>Endoscope Borescope with 8+1 Adjustable LED Lights, 11.5/16.4 FT Semi-Rigid Cable Snake Camera, IP67 Inspection Camera for Android and iOS Smartphone, Tablet (11.5 FT), Black</t>
  </si>
  <si>
    <t>B0B2RGDBCN</t>
  </si>
  <si>
    <t>Sanyipace Pushrod Coil Cable for Pipe Camera, 66FT/20M, Sewer Camera Accessories, Hard Waterproof Drain Camera Cable, ONLY for Model: 9300D</t>
  </si>
  <si>
    <t>B0CSC1LNZP</t>
  </si>
  <si>
    <t>FOLOSAFENAR Plumbing Inspection Camera, Auxiliary Light 2 4in IPS Screen Industrial Borescope USB Charging for Automotive Repair (10meter/32 8ft), FOLOSAFENARkmz0d1ht3c 13</t>
  </si>
  <si>
    <t>8ft</t>
  </si>
  <si>
    <t>B0CRYC49DZ</t>
  </si>
  <si>
    <t>JINXINEBAY 9'' Monitor Sewer Camera,HD 1000TVL,0.072ft/22mm Endoscope with 12pcs LED Lights, IP68 Waterproof Pipe Drain Inspection Camera with DVR 16GB TF Card (20M/65.6FT)</t>
  </si>
  <si>
    <t>B00CBKFJ9Y</t>
  </si>
  <si>
    <t>Supereyes NA002-1 Digital Borescope Side View Mirror Set 30 45 60 Degrees for Supereyes Borescope N005 N013J N015 Series …</t>
  </si>
  <si>
    <t>B0DSZT4GNC</t>
  </si>
  <si>
    <t>JYTONE Endoscope Camera with Light, 5.5mm Waterproof Borescope with 4.3" HD Screen, 33ft Semi-Rigid Cable for Automotive, Plumbing, Pipe Inspection</t>
  </si>
  <si>
    <t>B0CB1W11JN</t>
  </si>
  <si>
    <t>IP68 Sewer Inspection Camera Probe with 12 LED Lights USB Connectivity Pipe Drain Endoscope Camera Head Part</t>
  </si>
  <si>
    <t>B0B8332C5S</t>
  </si>
  <si>
    <t>Performance Tool W50146 2.4in LCD Inspection Camera</t>
  </si>
  <si>
    <t>B0FNJXTJTN</t>
  </si>
  <si>
    <t>Borescope, Endoscope 3-in-1 USB HD Inspection Camera with 16.5FT Semi-Rigid Snake Cable, 8mm Waterproof IP67 Industrial Endoscope for Android, iOS and PC</t>
  </si>
  <si>
    <t>B0DLF296HZ</t>
  </si>
  <si>
    <t>Klein Tools 69473 Borescope, 9 mm 10-Foot Armored Waterproof Gooseneck Snake, LED Lights, Endoscope Digital Inspection Camera for Android Phones</t>
  </si>
  <si>
    <t>B0D4CLNVT3</t>
  </si>
  <si>
    <t>Borescope, 7'' IPS Dual Lens 210° Two-Way Articulating Endoscope, 6 mm Tiny Flexible Snake Dual Camera with Light for Automotive and Aircraft Mechanical Video Inspection Scope</t>
  </si>
  <si>
    <t>B0F7LGXGBM</t>
  </si>
  <si>
    <t>Dual Lens Industrial Endoscope, 1080P Digital Borescope Inspection Camera with Light, 5.0mm Sewer Camera with 4.3" IPS Screen, 7 LED Lights, 16.5FT Semi-Rigid Cable, 32GB Card (JR501)</t>
  </si>
  <si>
    <t>B0GHWJ3S2S</t>
  </si>
  <si>
    <t>Zealtron Borescope with Light, 1920P HD Endoscope Inspection Camera with 4.3" IPS Screen, 8mm Lens IP67 Waterproof with 8 LEDs, 16.5ft Semi-Rigid Snake Camera for Automotive Pipe Inspection</t>
  </si>
  <si>
    <t>B0DKQPKJFC</t>
  </si>
  <si>
    <t>Triplett BR400ACAM-10M Replacement Camera for BR400A Borescope with 10M Cable</t>
  </si>
  <si>
    <t>B0FZGNG588</t>
  </si>
  <si>
    <t>5" Dual-View Handle Endoscope Camera,2MP Front&amp;Side Lens,IP67 Waterproof 5M Semi-Rigid Cable,360° Probe Control,4-Level LED,3X Zoom,Video&amp;Photo Recording,Inspection Camera for Industrial Use,32GB Card</t>
  </si>
  <si>
    <t>B0CNG7KG2T</t>
  </si>
  <si>
    <t>Autel MaxiVideo MV108S Digital Inspection Camera, 2MP 1920x1080, 8.5mm Ultra-Slim USB Industrial Endoscope, IP67 Borescope Snake Camera+ LED Light, Work w/Autel Scanner &amp; P-C, up of MV108 MV105S MV105</t>
  </si>
  <si>
    <t>B072JCVB6T</t>
  </si>
  <si>
    <t>Professional Borescope Camera Case for Depstech USB, Wireless Endoscope, Goodan, Shekar, Pancellent, Fantronics, Sokos, BlueFire, Smart Divider, Designed Accessories Pockets for USB, Side View Mirror</t>
  </si>
  <si>
    <t>B0F4VZKFMV</t>
  </si>
  <si>
    <t>GearView 360°Articulating Borescope Camera - 5" HD 1080P Inspection Camera Screen with 6 Light, Endoscope with 6.2mm IP67 Waterproof Probe, 3X Zoom 4-Way Borescope with Flexible Cable</t>
  </si>
  <si>
    <t>B0FZGZ91VX</t>
  </si>
  <si>
    <t>Endoscope with Light, 1920P HD Borescope with 8 Adjustable LED Lights, 9.8FT Semi-Rigid Snake Camera, IP67 Waterproof Inspection Tool for iPhone &amp; Android - Dual Lens (Yellow)</t>
  </si>
  <si>
    <t>B09TBMGC5B</t>
  </si>
  <si>
    <t>Triplett BR350 High Definition Forward and Side View Videoscope with Dual Waterproof 5mm Cameras and 5" Color LCD Display</t>
  </si>
  <si>
    <t>B0FDR3H2YQ</t>
  </si>
  <si>
    <t>Digital Camera Borescope, Endoscope Camera with 4.3" IPS 1920P HD Screen, 16.4FT Long with 8 LED Lights 8MM Semi-Rigid Cord Waterproof Bore Scope</t>
  </si>
  <si>
    <t>B0DYNS468T</t>
  </si>
  <si>
    <t>Dual-Lens Endoscope Camera with Light - 2.4" LCD Screen Inspection Cameras,IP67 Waterproof Borescope,HD 1080P Endoscope Camera 16.5ft Semi-Rigid Cord for Sewer,Gifts for Men Tools and Gadgets</t>
  </si>
  <si>
    <t>B0BXSQX9FQ</t>
  </si>
  <si>
    <t>Endoscope, 3-in-1 Type-C USB Inspection Camera, 6 Adjustable Led Light,Inspection Camera Borescope,for Android Mobile Phone Tablet PC Desktop Computer, Waterproof (Size:2m)</t>
  </si>
  <si>
    <t>B0CZ3WL4SV</t>
  </si>
  <si>
    <t>Kircuit 12.6V AC/DC Adapter Compatible with Anysun 7D1 7D1-DC Sewer Camera Pipe Inspection Plumbing Snake DVR Recorder 100ft Pipeline Drain Endoscope 12.6VDC Power Supply Cord Cable Battery Charger</t>
  </si>
  <si>
    <t>B0DK5CBMVL</t>
  </si>
  <si>
    <t>[Dual Lens] Endoscope Inspection Camera by AURTEC, Dual HD Lens, IP68 Waterproof, 11.5FT/3.5M Semi-Rigid Cable, Borescope Camera with LED Lights, Compatible with Android and iOS Devices</t>
  </si>
  <si>
    <t>B09TBK4QZG</t>
  </si>
  <si>
    <t>Triplett BR300 High Definition Forward View Videoscope with Waterproof 5.5mm Camera and 5" Color LCD Display</t>
  </si>
  <si>
    <t>B0FCG5JRN9</t>
  </si>
  <si>
    <t>UNI-T Inspection Camera UT663B 1m/2m/3m Industrial Borescope Inspection Camera with 5 inch Screen 180° Turning High Definition Visual Endoscope(UT663B 1M)</t>
  </si>
  <si>
    <t>B0DPHCYQDF</t>
  </si>
  <si>
    <t>BOPOPO Dual Lens Endoscope Camera with Light, 1080P HD Borescope with 4.3" IPS Screen, IP67 Waterproof Inspection Camera, 16.4ft Cable for Inspection and Repair Work, Photo &amp; Video Support, 32GB Card</t>
  </si>
  <si>
    <t>B07GVD47J2</t>
  </si>
  <si>
    <t>BlueFire Upgraded 1080P 8.2mm Semi-Rigid Inspection Camera, 2 MP HD WiFi Borescope Snake Camera, Zoomable Focus 1800mAh Battery Wireless Endoscope for Android and iOS Smartphone, Tablet (49.2FT)</t>
  </si>
  <si>
    <t>B0GCMZ9GMP</t>
  </si>
  <si>
    <t>Endoscope Camera for iPhone,1920P HD Cable Snake Camera Plug and Play with Semi-Rigid Endoscope for iPhone, IP67 Waterproof Endoscope Camera for Android for iOS</t>
  </si>
  <si>
    <t>B0CKSLNNM3</t>
  </si>
  <si>
    <t>Oiiwak Dual Lens Articulating Borescope, 5" IPS Endoscope Camera with Light Inspection Snake Bore Scope Camera for Wall Automotive Aircraft Plumbing House</t>
  </si>
  <si>
    <t>B0F64R5J6N</t>
  </si>
  <si>
    <t>GearView Articulating Borescope Camera with Light, 210° Dual-Direction Inspection Scope with 5" 1080P Screen, 6.2mm IP67 Waterproof Probe, 6 LED Lights, 3X Zoom, for Automotive, Sewer, Plumbing, HVAC</t>
  </si>
  <si>
    <t>B0BQWZCGFY</t>
  </si>
  <si>
    <t>Triplett SBR2M Waterproof Security Camera Borescope</t>
  </si>
  <si>
    <t>B0CP3YBTT4</t>
  </si>
  <si>
    <t>Sanyipace Sewer Camera Type-c Adapter, US Plug, Battery Power Charger Adapter for Pipe Inspection Camera, Model: S8417D, Sewer Camera Accessories</t>
  </si>
  <si>
    <t>B0FF4X5J9S</t>
  </si>
  <si>
    <t>TIANSIAO Dual Lens Endoscope Camera with Light, 1920P HD Borescope with 4.3" IPS Screen, IP67 Waterproof Inspection Camera with 8 Adjustable LEDs, 16.5ft Semi-Rigid Cable, 32GB Card-Black</t>
  </si>
  <si>
    <t>B0B47D3T1D</t>
  </si>
  <si>
    <t>Triplett BR260 High Definition Videoscope with Waterproof 5.5mm Camera, 3" Color LCD Display, and 2M Cable</t>
  </si>
  <si>
    <t>B09TBLMGMB</t>
  </si>
  <si>
    <t>Triplett BR300CAM-5M Replacement Camera for BR300 Videoscope with 5M Cable</t>
  </si>
  <si>
    <t>B0F4QQLWK5</t>
  </si>
  <si>
    <t>1920P HD Dual Lens Endoscope Camera Semi-Rigid Snake Cable IP67 Waterproof 8LED Lights Dimmable HD Industrial Pipeline Inspection Probe Compatible with Smartphones Endoscope Camera (9.9ft)</t>
  </si>
  <si>
    <t>B0FRRDSPY5</t>
  </si>
  <si>
    <t>Dual-Lens 4in1 Endoscope Camera with Light, Borescope Camera with Light for iPhone Andriod PC, 1920HD Endoscope for iPhone with 8 Adjustable LED Lights, Waterproof IP67 Industrial Inspection Borescope</t>
  </si>
  <si>
    <t>B0D9VS4G9N</t>
  </si>
  <si>
    <t>Endoscope Camera with Light 3.9mm 1080P Borescope Inspection Camera Compatible with for iOS, Endoscope Camera Inspection Camera with Light Borescope Inspection Camera (#1)</t>
  </si>
  <si>
    <t>B0BZSFK2HC</t>
  </si>
  <si>
    <t>Industrial Endoscope, 8mm 1080P HD Digital Borescope Inspection Camera 4.3 Inch LCD Screen IP67 Waterproof Snake Camera with LED Lights(Green 7m)</t>
  </si>
  <si>
    <t>23.0ft</t>
  </si>
  <si>
    <t>B0CCJ5R7RF</t>
  </si>
  <si>
    <t>Endoscope Camera with Light, 1920P HD Borescope with 8 Adjustable LED Lights, with iOS System,not for 15+</t>
  </si>
  <si>
    <t>B0BWVD82JL</t>
  </si>
  <si>
    <t>HD Pipe Inspection Borescope Endoscope with 3.9mm USB-C for Mobile Phones and 5m Flexible Cord</t>
  </si>
  <si>
    <t>B0DP2QT5FY</t>
  </si>
  <si>
    <t>Endoscope Inspection Camera Industrial Endoscope Camera 2.8'' IPS Screen HD1080P Inspection Borescope IP68 Waterproof 8mm/5.5mm LED Lens for Car Pipe Sewer(5m,P100-8MM Lens)</t>
  </si>
  <si>
    <t>B0C3VSPVLS</t>
  </si>
  <si>
    <t>Endoscope Cable Camera for iPhone,1080P HD Borescope with 8 Adjustable LED Light, IP68 Waterproof 8MM Semi-Rigid Snake Camera for iPhone 14/13/12/11/Pro/Pro Max/Plus/Mini, 6.6FT / 2M</t>
  </si>
  <si>
    <t>B0BMV9JB4J</t>
  </si>
  <si>
    <t>3 in 1 Endoscope Inspection Camera Borescope HD Camera Waterproof Snake Pipe Drain with 6 Adjustable Led Light Snake Cable USB Adapter for Android Phone Tablet Device(Size:1.5 M)</t>
  </si>
  <si>
    <t>B0F4QR3BF1</t>
  </si>
  <si>
    <t>1920P HD Dual Lens Endoscope Camera Semi-Rigid Snake Cable IP67 Waterproof 8LED Lights Dimmable HD Industrial Pipeline Inspection Probe Compatible with Smartphones Endoscope Camera (16.4ft)</t>
  </si>
  <si>
    <t>B0CJ3TDG9Z</t>
  </si>
  <si>
    <t>Inspection Borescope, UW18 MB80U Pipeline Endoscope Supports Ios 8.5mm, Heating, Cooling &amp; Air Quality</t>
  </si>
  <si>
    <t>B0D9WVH12B</t>
  </si>
  <si>
    <t>Triplett BR330CAM-10M Replacement Borescope Camera Probe for BR330, 10M Cable</t>
  </si>
  <si>
    <t>B07P2K31M6</t>
  </si>
  <si>
    <t>Pipeline Camera Control Box, Adjustable Camera, Good Image Clarity, Quickly and Accurately Find The Target (only for HBUDS、IHBUDS、Anysuns) (with DVR)</t>
  </si>
  <si>
    <t>B0B47ZH5C1</t>
  </si>
  <si>
    <t>Triplett BR260CAM-2M Replacement Camera for BR260 Videoscope with 2M Cable</t>
  </si>
  <si>
    <t>B0DJT7SPXW</t>
  </si>
  <si>
    <t>Endoscope(E01) for Ulefone Armor 33/30/28/27/26/24/21/19/18/13/9 Series, Pad 4 Ultra/Pad 3 Pro/Pad 2/Pad Series, IP67 Waterproof 3 in 1, Practical Inspection Tool</t>
  </si>
  <si>
    <t>B0DB1NNBGK</t>
  </si>
  <si>
    <t>5" Dual Lens Endoscope Camera, 1080P HD Borescope with Light, 16.5FT Flexible Cable, IP67 Waterproof Snake Camera for Plumbing, Wall, and Automotive Inspections</t>
  </si>
  <si>
    <t>B0D9K3J5W8</t>
  </si>
  <si>
    <t>MEIBAOGE Endoscope Camera With Adjustable LED Light, Waterproof Inspection Borescope, 1 Meter Soft Cord</t>
  </si>
  <si>
    <t>B0D1CLV28L</t>
  </si>
  <si>
    <t>Borescope with Dual Cameras Rotating 360°, 5.0 MP Pixel HD Camera, 5 Inch IPS Screen, 16.5 ft Snake Pipe Inspection Endoscope for Automotive and Aircraft Mechanical Video Inspection Scope Black</t>
  </si>
  <si>
    <t>B0BZ86J4JN</t>
  </si>
  <si>
    <t>Autel MaxiVideo MV108S Digital Inspection Camera Work with PC MX808 MX900 MS906Pro MS908 MS909 MS919 Ultra, Video Inspection Scope, Waterproof Imager Head, USB Industrial Endoscope, IP67 Waterproof</t>
  </si>
  <si>
    <t>B0C5FPC8MB</t>
  </si>
  <si>
    <t>MagnetPal Telescoping Magnetic Pickup Tool with HD Borescope Camera – Extendable Magnet Stick with LED Light, Flexible Reach, USB Rechargeable, and Strong Magnetic Tip for Inspection and Retrieval</t>
  </si>
  <si>
    <t>B0F6WZPTJZ</t>
  </si>
  <si>
    <t>VEVOR Endoscope Camera with 49.2FT Semi-Rigid Cable, 1920P HD Borescope for Android &amp; iOS, Industrial Inspection Tool with Light - 8 LED, 2X Zoom, IP67 Waterproof Snake Camera for Auto, Plumbing</t>
  </si>
  <si>
    <t>B0G356HWH5</t>
  </si>
  <si>
    <t>3 in 1 Inspection Camera with Light, HD Inspection Camera Borescope, IP67 Waterproof Borescope with 6 Adjustable LED Light Snake Cable USB Adapter for Android Phone PC(1.5 M)</t>
  </si>
  <si>
    <t>B0CR3HNJFP</t>
  </si>
  <si>
    <t>Adjustable</t>
  </si>
  <si>
    <t>B0F54F5S7T</t>
  </si>
  <si>
    <t>1920P HD Endoscope Camera with Light, 4.3'' Color LCD Screen Borescope, IP67 Waterproof Inspection Camera with 8 Adjustable LED Lights,16.5ft Semi-Rigid Cable (Black)</t>
  </si>
  <si>
    <t>B0DTDY464M</t>
  </si>
  <si>
    <t>Gzpce Two-Way Articulating Endoscope with Light, Industrial Endoscopic with 5" IPS Screen,6.4mm IP67 Waterproof Borescope,Snake Camera with 3.28FT Semi-Rigid Cable,32GB SD Card</t>
  </si>
  <si>
    <t>B0DDWXDS9W</t>
  </si>
  <si>
    <t>Two-Way Articulating Borescope, Inspection Endoscope Camera with 7.9mm Snake Gooseneck Camera IP67 Probe, 1080P Inspection Camera for iPhone, Android, Cell Phone not Include (3.3FT)</t>
  </si>
  <si>
    <t>B08QCCLCKW</t>
  </si>
  <si>
    <t>Teslong Endoscope Replacement Cable with Light, Dual Lens Inspection Camera 8mm/0.31inch Waterproof Probe Compatible with NTS500, NTS300(16.5FT)</t>
  </si>
  <si>
    <t>B0D25K6FZJ</t>
  </si>
  <si>
    <t>Anysun Sewer Camera Part, Replacement Cmaera Head Center Wheel Protective Cover for Any 23mm Sewer Inspection Camera</t>
  </si>
  <si>
    <t>B07Z92T89L</t>
  </si>
  <si>
    <t>3 in 1 Endoscope Borescope Snake Camera 3.9mm Lens Borescope Inspection Direct Plug 1280x720 HD Camera for Android TypeC Mobile Phone (1M Cable)</t>
  </si>
  <si>
    <t>B099WYM3FD</t>
  </si>
  <si>
    <t>LCD Endoscope Cleaning Gun Visual Direct‑View Injection Industrial Endoscope for Car Air Conditioning Pipe</t>
  </si>
  <si>
    <t>B0G58HV3CX</t>
  </si>
  <si>
    <t>Endoscope Camera with Light,16.4ft Dual-Lens Borescope Tools with 8 Adjustable LED Lights, Endoscope with Semi-Rigid Snake Camera, IP67 Waterproof Inspection Borescope for iOS and Android</t>
  </si>
  <si>
    <t>B0D4C8Q2XR</t>
  </si>
  <si>
    <t>Triplett BR300CAM-10M Replacement Borescope 8mm Camera Probe 8mm for BR300, 10M Cable</t>
  </si>
  <si>
    <t>B0DLNRQN9J</t>
  </si>
  <si>
    <t>Gzpce Borescope,Dual Lens Endoscope Camera with Light,Scope Sewer,Snake Inspection Endoscope,Articulating Industrial Endoscope</t>
  </si>
  <si>
    <t>B0GLF9912L</t>
  </si>
  <si>
    <t>Ludotline Handheld Inspection Camera with 7.2” Screen, Built-in 16GB Storage, Standalone Endoscope Camera – Record &amp; Playback, 8 LED Lights, Rechargeable Borescope for Pipe, Wall &amp; Auto Inspection</t>
  </si>
  <si>
    <t>B0BZSG8VL8</t>
  </si>
  <si>
    <t>Industrial Endoscope, 8mm 1080P HD Digital Borescope Inspection Camera 4.3 Inch LCD Screen IP67 Waterproof Snake Camera with LED Lights(Yellow 2m)</t>
  </si>
  <si>
    <t>B0D9GC35PW</t>
  </si>
  <si>
    <t>Turn Raise Original Endoscope Camera Carrying Case, Wireless Borescope Storage Bag for WiFi &amp; USB Scope Camera, Large-Capacity Hardshell Organizer for 5" Screen Inspection Camera Cable Less Than 15m</t>
  </si>
  <si>
    <t>B0C7G8J4C9</t>
  </si>
  <si>
    <t>0.67inch/17mm Sewer Camera Head Protective Cover with Screwdriver,Sewer Camera Accessories</t>
  </si>
  <si>
    <t>B09SGGK7D4</t>
  </si>
  <si>
    <t>Maoershan Hard EVA Travel Case fits SKYBASIC Industrial Endoscope Digital Borescope Snake Sewer IP67 Waterproof Screen HD Inspection Camera (Case Only)</t>
  </si>
  <si>
    <t>B0C1NZPCLW</t>
  </si>
  <si>
    <t>Endoscope, Industrial Borescope 3.9mm Lens Type C USB Snake Camera, High Definition Inspection Camera (5m Cord)</t>
  </si>
  <si>
    <t>B0CLXVWW2R</t>
  </si>
  <si>
    <t>Borescope Inspection Camera 1.3MP Waterproof Snake Camera with 6 LED Lights, 7mm Lens, USB Connectivity for Phones &amp; PC by beertoy</t>
  </si>
  <si>
    <t>B0CP38W9JV</t>
  </si>
  <si>
    <t>GreceYou Endoscope with Light, 1920P HD Borescope Inspection Camera with 8 Adjustable LED Lights + 16.4FT Semi-Rigid Cable, 8mm IP67 Waterproof Inspection Camera for iOS, Android</t>
  </si>
  <si>
    <t>B0F2SD9VBX</t>
  </si>
  <si>
    <t>Teslong USB-C Adapter Cable for NTG100 Rifle Borescope – Compatible with iPhone 15/16 and Android Devices</t>
  </si>
  <si>
    <t>B0D45364BG</t>
  </si>
  <si>
    <t>BlueFire Upgraded Endoscope Camera with Light, 1920P HD Borescope, 16.4ft Semi-Rigid Snake Camera for Android and iOS Smartphone, Tablet, Black, IP67 Waterproof</t>
  </si>
  <si>
    <t>B07Z8YD7SH</t>
  </si>
  <si>
    <t>3 in 1 Endoscope Borescope Snake Camera Type C USB Endoscope for Android Mobile Phone 3.9mm Lens Borescope Inspection, 1280x720 Video Inspection Camera (5M)</t>
  </si>
  <si>
    <t>B0G4PWCF76</t>
  </si>
  <si>
    <t>Borescope for iPhone, 1920P HD Borescope Camera with 8 Adjustable LED, 9.8FT Semi-Rigid Snake, IP67 Waterproof 8.3mm Inspection for iOS and Android</t>
  </si>
  <si>
    <t>B08L8FTY8G</t>
  </si>
  <si>
    <t>Performance Tool W50145 2.4-Inch LCD Monitor Submersible Inspection Camera - Ideal for Engine Compartments and Hard to Reach Areas</t>
  </si>
  <si>
    <t>B0G26V2RDN</t>
  </si>
  <si>
    <t>SUNGOOYUE Detachable 360 Degree Rotating Plastic Periscope for Teaching, Multi Purpose Periscope for Indoor Use, Convenient Rotatable</t>
  </si>
  <si>
    <t>B00EHAIIG2</t>
  </si>
  <si>
    <t>Supereyes N015-2 2M/6.5FT Waterproof 100X USB 7mm Endoscope Borescope Inspection Camera with LED</t>
  </si>
  <si>
    <t>B0DRYV39G6</t>
  </si>
  <si>
    <t>CleerView 3.9mm HD USB-C Endoscope for Android, 1280P Waterproof Borescope Camera with 6 LED Lights, 3.5M/11.5ft Flexible Cable for Pipe Inspection, Automotive, HVAC DIY</t>
  </si>
  <si>
    <t>B0DCZFWVH8</t>
  </si>
  <si>
    <t>YINCORD Industrial Endoscope - Handheld Snake Camera with 16.4ft/5m Flexible Cable, 1080P HD IP67 Waterproof 8mm Probe, 4.3" IPS Screen, 8 LED Lights for Home Wall Pipe Automotive</t>
  </si>
  <si>
    <t>B0CF9F8ZBK</t>
  </si>
  <si>
    <t>HUIOP Protective Cover, 90mm Guide Wheels Protective Cover for 23mm Pipe Sewer Pipeline Inspection Camera</t>
  </si>
  <si>
    <t>B0DQFQD48H</t>
  </si>
  <si>
    <t>QWQJ Borescope Endoscope Camera with Light Snake Cameras Inspection Cameras with Adjustable LED Light</t>
  </si>
  <si>
    <t>B08QCP8YFM</t>
  </si>
  <si>
    <t>Teslong Endoscope Replacement Cable with Light, Single Lens Inspection Camera 5.5mm/0.21inch Waterproof Probe Compatible with NTS500, NTS300(3.3FT)</t>
  </si>
  <si>
    <t>B0CR46T8ZR</t>
  </si>
  <si>
    <t>USB-C Direct Plug Endoscope Camera for iPhone 15/Pro/Pro Max, 2in1 Borescope Camera Cord IP68 Waterproof Snake Inspection Camera for iPhone, iPad, Samsung, iOS &amp; Android (3.3ft Semi-Rigid Cable)</t>
  </si>
  <si>
    <t>B0DM3DF65X</t>
  </si>
  <si>
    <t>CHEOTIME 23mm Pipe Sewer Inspection Camera Protective Cover, 120mm Guide Wheels Protect The Pipe Video Inspection Camera in The Pipe Walls, Pipe Inspection Camera Accessories</t>
  </si>
  <si>
    <t>B0D6YV2362</t>
  </si>
  <si>
    <t>Dual Lens Endoscope Inspection Camera by AURTEC, Dual HD Lens, IP68 Waterproof, 16.5FT/5M Semi-Rigid Cable, Borescope Camera with LED Lights, Compatible with Android and iOS Devices</t>
  </si>
  <si>
    <t>B0D9K3BNRY</t>
  </si>
  <si>
    <t>Endoscope Camera with Light, Borescope with Adjustable LED Light,Endoscope Camera,Waterproof Inspection Camera</t>
  </si>
  <si>
    <t>B0DLLMJM11</t>
  </si>
  <si>
    <t>Borescope Camera, 360° Rotatable IP67 Water Snake Camera 6 Adjustable LED Lights for Phone (Black 2m / 6.6ft Hardwire)</t>
  </si>
  <si>
    <t>B0CW3HNHRN</t>
  </si>
  <si>
    <t>Endoscope, Industrial Endoscope with 2.4in HD Screen, Sewer Camera, Handheld ABS Housing Borescope Inspection Camera for Factory (6.6ft Cable)</t>
  </si>
  <si>
    <t>B0D16Y8FZM</t>
  </si>
  <si>
    <t>Borescope, Lighted Endoscope Camera, 2.0 MP HD Inspection, 4.3 Inch IPS Screen 1080P HD, IP67 Waterproof Pipe Snake Camera, 16.5ft Semi-Rigid Sewer Lens</t>
  </si>
  <si>
    <t>B0D9JZP3YH</t>
  </si>
  <si>
    <t>B00J9RZQGS</t>
  </si>
  <si>
    <t>Klein Tools 69455 Borescope Extension, 17 mm x 1 m</t>
  </si>
  <si>
    <t>B07THMMMK9</t>
  </si>
  <si>
    <t>BlueFire Dual Lens Wireless Endoscope,Zoomable Focus 1800mA Battery Wireless Endoscope,1080P 5.5mm Semi-Rigid Inspection Camera for iOS and Android Smartphone, Tablet(11.5FT)</t>
  </si>
  <si>
    <t>B09B716SK3</t>
  </si>
  <si>
    <t>Raguso USB Endoscope 3 in 1 Borescope USB/Type-C Inspection Snake Camera with 6 LED Lights 3.9mm Lens for Laptop (5 Meter Cork)</t>
  </si>
  <si>
    <t>B07846C89X</t>
  </si>
  <si>
    <t>SereneLife Fiber Optic Otoscope/Auriscope Home Ear Inspection Tool DIY, 3X Magnification, Bright LED, Includes Reusable Ear Tips, Travel Case, Battery Operated For All Ages &amp; Pets</t>
  </si>
  <si>
    <t>B0DFHVCQNG</t>
  </si>
  <si>
    <t>Pipe Sewer Inspection Camera Protective Cover, Wheel Plastic Pipe Camera Protective Cover for Endoscope Part Accessory</t>
  </si>
  <si>
    <t>B0FJRT1PLG</t>
  </si>
  <si>
    <t>Dual-Lens Endoscope Camera with Light, 1920P HD Industrial Borescope with 4.3" IPS, 7 LED Lights &amp; 32GB Card, IP67 Waterproof Inspection Camera with 16.5ft Semi-Rigid Cable for Sewer HVAC Car Repair</t>
  </si>
  <si>
    <t>B00CBKFJVM</t>
  </si>
  <si>
    <t>Supereyes Hook Magnet Side View Mirror Set for Borescope Endoscope N005 N013J N015 series</t>
  </si>
  <si>
    <t>B0G48DS4ZD</t>
  </si>
  <si>
    <t>Industrial Endoscope Camera, 1920P HD Borescope with 8 Adjustable LED Lights, IP67 Waterproof Semi-Rigid Cable, for Car Repair, Pipe Inspection, Home Appliance Maintenance, iOS &amp; Android</t>
  </si>
  <si>
    <t>B0G58JRBW8</t>
  </si>
  <si>
    <t>Endoscope Camera with Light, 1920P HD Borescope Tools with 8 Adjustable LED Lights, Endoscope with Semi-Rigid Snake Camera, Inspection Borescope for iOS and Android 16.4ft Single Lens</t>
  </si>
  <si>
    <t>B0D7TKYY9D</t>
  </si>
  <si>
    <t>JQKJCAM Sewer Camera Protector Cover with Screwdriver, for 23mm/0.9In Industrial Borescope Camera Head,Drain Camera Protector Accessory</t>
  </si>
  <si>
    <t>B0DWMQTVC2</t>
  </si>
  <si>
    <t>Sanyipace Sewer Camera Replacement Parts, ONLY for Sanyipace S8417D Model</t>
  </si>
  <si>
    <t>B09LYXMSPK</t>
  </si>
  <si>
    <t>Autel MaxiVideo MV105 Inspection Camera, USB Digital Waterproof Borescope, 39.37 '' Flexible Cable Industrial Endoscope, Compatible with PC MK808/MS906S/MK906/MS908/MK908/MS909/MS919/Ultra/UltraLite</t>
  </si>
  <si>
    <t>B094XZ3Y8X</t>
  </si>
  <si>
    <t>Autel MaxiVideo MV108S Digital Inspection Camera, 8.5mm 1080P HD Probe Wide-Angle Borescope, IP67 Waterproof USB Endoscope Snake Camera with LED Lights &amp; 3.3ft Cable, for Autel Scanners &amp; PC</t>
  </si>
  <si>
    <t>B0CWY87BLX</t>
  </si>
  <si>
    <t>【Dual-Lens BORESCOPE Inspection Camera HD with Light】 Endoscope with Adjustable LED - Compatible with iPhone, Samsung, iPad, iOS &amp; Android - 3.0MP HD, IP67 Waterproof, 16.5ft/5m</t>
  </si>
  <si>
    <t>B007ROP3FO</t>
  </si>
  <si>
    <t>Supereyes 7 mm 100X Waterproof USB Borescope Endoscope Flexible Inspection Camera with LED</t>
  </si>
  <si>
    <t>B0F9KZTNX4</t>
  </si>
  <si>
    <t>Gzpce Dual Lens Industrial Endoscope, 1080P Digital Borescope Inspection Camera,4.3" IPS Screen, 1920P HD with 9 LED Lights, 16.4FT Semi-Rigid Cord Bore Scope, IP67 Waterproof Snake Camera</t>
  </si>
  <si>
    <t>B0BZSCJBW8</t>
  </si>
  <si>
    <t>Industrial Endoscope, 8mm 1080P HD Digital Borescope Inspection Camera 4.3 Inch LCD Screen IP67 Waterproof Snake Camera with LED Lights(Green and Black,5m)</t>
  </si>
  <si>
    <t>B0DQYBYJ4F</t>
  </si>
  <si>
    <t>Dual Lens Endoscope Camera with Light - Inspection Borescope Camera with 4.3" IPS Screen, 1920P HD Snake Camera with 8 LED Lights, 3.3FT Semi-Rigid Cord Bore Scope, IP67 Waterproof Endoscope for Sewer</t>
  </si>
  <si>
    <t>B0CMY35BTX</t>
  </si>
  <si>
    <t>3 in 1 Endoscope 3.9mm Lens Type C Inspection Camera IP67 Borescope Snake Camera with 6 Adjustable LED Lights 1 Meter Soft Cord</t>
  </si>
  <si>
    <t>B0C7TXY5G8</t>
  </si>
  <si>
    <t>AOPICK Endoscope Camera with Light - 4.3'' IPS Screen 1080P HD Borescope with 8 Adjustable Led Lights, IP67 Waterproof Endoscope Inspection Camera with 16.5ft Semi-Rigid Snake Cable</t>
  </si>
  <si>
    <t>B0F739ZGX4</t>
  </si>
  <si>
    <t>Drain Camera Roller Guide Wheel for 23mm/0.6in Pipes - SPRIDRAIN Anti-Scratch Protector with Smooth Pulleys | Sewer Inspection Accessory (23mm/0.9in)</t>
  </si>
  <si>
    <t>B0B39DWD8J</t>
  </si>
  <si>
    <t>Sanyipace Video Cable for Sewer Camera, ONLY 9-inch Drain Camera (Model: 9300D, 929DJTX)</t>
  </si>
  <si>
    <t>B07VXJMNBJ</t>
  </si>
  <si>
    <t>USB Endosecope, 3 in 1 Endoscope 5.5mm Lens Borescope Inspection Camera with 6 Adjustable LED 5M Cable Scope Camera IP67 for Android/XP/W7/W8/VISTA/W10</t>
  </si>
  <si>
    <t>B0CPD74BPR</t>
  </si>
  <si>
    <t>BusoTh Inspection Camera, 70° Viewing Angle USB Endoscope 1.3MP Flexible Cable with 6 LED Lights for Pipeline Repair (2M), USB Snake Inspection Scope Industrial Endoscope Camera</t>
  </si>
  <si>
    <t>B0BBQ62JRF</t>
  </si>
  <si>
    <t>USB Endoscope 1.3MP 7mm Pipe Inspection Camera Endoscope IP67 Borescope Inspection Snake Camera for Measuring Pipes(1 Meter / 3.3ft)</t>
  </si>
  <si>
    <t>B0FXR5L4WM</t>
  </si>
  <si>
    <t>Endoscope Camera with Light,1920P HD Borescope with 8 Adjustable LED Lights, Endoscope Inspection with Semi-Rigid Cable for iOS and Android Micrometer Accessories 18ft</t>
  </si>
  <si>
    <t>18ft</t>
  </si>
  <si>
    <t>B0DLGLR6JK</t>
  </si>
  <si>
    <t>KUUAUX Endoscope Camera with Light, 1080P HD Handheld Industrial Endoscope with 4.3 Inch LCD Screen, IP67 Waterproof, Adjustable LED Lights, Inspection Camera with 16.4Ft Semi-Rigid Cable</t>
  </si>
  <si>
    <t>B0CRRKZ4BC</t>
  </si>
  <si>
    <t>Jebousike Endoscope Camera with Light,1080P HD Borescope with 8 LED Lights 6.6FT Semi-Rigid Snake Cabl, IP67 Waterproof Industrial Inspection Camera Compatible for Android, iPhone, iPad-(Black)</t>
  </si>
  <si>
    <t>B073FFTKFR</t>
  </si>
  <si>
    <t>CaseSack Carrying Case for Industrial Endoscope, Large-Capacity design, universal for Endoscope.</t>
  </si>
  <si>
    <t>B081R9QQMB</t>
  </si>
  <si>
    <t>Endoscope, Fydun USB Endoscope 1pc Black 15-Meter USB Endoscope with 2-Megapixel Camera for Pipe Car Inspection</t>
  </si>
  <si>
    <t>B0G356J23V</t>
  </si>
  <si>
    <t>3 in 1 Inspection Camera with Light, HD Inspection Camera Borescope, IP67 Waterproof Borescope with 6 Adjustable LED Light Snake Cable USB Adapter for Android Phone PC(1 M)</t>
  </si>
  <si>
    <t>B07Z93MGXQ</t>
  </si>
  <si>
    <t>3 in 1 USB C Endoscope Borescope Snake Camera for Android Phone 3.9mm Lens 1280x720 HD Video Inspection Camera IP67 Borescope Inspection Camera</t>
  </si>
  <si>
    <t>B0CX9JJ17F</t>
  </si>
  <si>
    <t>1080P Home Security Camera 360° Panoramic WiFi Camera with Motion Tracking 2 Way Audio Siren Alarm Gooseneck Mount Indoor Wireless Camera for Home Pet Dog House Security Nanny Cam</t>
  </si>
  <si>
    <t>B0DWMLN6VW</t>
  </si>
  <si>
    <t>Sanyipace Distance Counter for Sewer Camera, ONLY for Sanyipace S610ASMKTCP Model</t>
  </si>
  <si>
    <t>B0D9VQNH8H</t>
  </si>
  <si>
    <t>Endoscope Camera with Light 3.9mm 1080P Borescope Inspection Camera Compatible with for iOS, Endoscope Camera Inspection Camera with Light Borescope Inspection Camera (#2)</t>
  </si>
  <si>
    <t>B08NF2L7QM</t>
  </si>
  <si>
    <t>Oumefar 3 in 1 for Android Type‑C Mobile Phone 3.9mm Lens High Definition Endoscope Focal Distance Borescope Megapixels HD Snake Inspection Camera (5m/16.4ft)</t>
  </si>
  <si>
    <t>B0G357B1VN</t>
  </si>
  <si>
    <t>3 in 1 Inspection Camera with Light, HD Inspection Camera Borescope, IP67 Waterproof Borescope with 6 Adjustable LED Light Snake Cable USB Adapter for Android Phone PC(2 M)</t>
  </si>
  <si>
    <t>B0DQYBZDX5</t>
  </si>
  <si>
    <t>Dual Lens Industrial Endoscope, 1080P Digital Borescope Inspection Camera, 7.9mm IP67 Waterproof Camera, Sewer Camera with 4.3" LCD Screen, 8 LED Lights, 16.5FT Semi-Rigid Cable</t>
  </si>
  <si>
    <t>B0BYX25G5L</t>
  </si>
  <si>
    <t>USB Endoscope for OTG Android Phone, Laptop, 5.5mm Borescope Inspection Camera Waterproof with USB Type C, Micro-USB Plug 3in1, Pure Copper Cord with 6 LED Lights, Compatible with Most Phone, PC (2m)</t>
  </si>
  <si>
    <t>B0DF5G8PYJ</t>
  </si>
  <si>
    <t>Respicefinem USB Endoscope 3 in 1 Endoscope Borescope Inspection Camera with 6 Adjustable LED 1.5M Flexible Cable IP67 TypeC USB Video Compatible with PhonesTabletsComputers</t>
  </si>
  <si>
    <t>B096K242BL</t>
  </si>
  <si>
    <t>Borescope Camera, 15m Endoscope Camera, Handheld Flexible for Computer Recording Videos Laptop Phone Pictures</t>
  </si>
  <si>
    <t>B0CXCW4FDC</t>
  </si>
  <si>
    <t>Endoscope Camera with Light iPhone: 1920P HD Borescope with 6 Adjustable LED Lights, Endoscope with Semi-Rigid Snake Camera, 7.9mm IP67 Waterproof Inspection Camera for iOS iPhone, Android</t>
  </si>
  <si>
    <t>B0D2VSZZXD</t>
  </si>
  <si>
    <t>Endoscope Camera for iPhone 15/14/13/12/11 Pro Max &amp; iPad, USB-C Direct Plug Borescope Camera Compatible with Samsung Galaxy S24/S23/S22/S21 Ultra, 33FT/10M Long Flexible Soft Inspection Snake Cam</t>
  </si>
  <si>
    <t>B0DRYWKBNR</t>
  </si>
  <si>
    <t>3 in 1 for Android TypeC Mobile Phone 3.9mm Lens High Definition Waterproof Endoscope Lens High Definition Waterproof Endoscope (1m Cable) (5 Meters Soft Cord)</t>
  </si>
  <si>
    <t>B0DGPWCCYB</t>
  </si>
  <si>
    <t>YUELER Borescope,Endoscope Camera with Light, Waterproof Snake Cameras Inspection Cameras with Adjustable LED Light</t>
  </si>
  <si>
    <t>B0DRQHQ48D</t>
  </si>
  <si>
    <t>BoxWave Screen Protector Compatible With Thinkcar Endoscope ES401 - ClearTouch Crystal (2-Pack), HD Film Skin - Shields From Scratches</t>
  </si>
  <si>
    <t>B0BWVCMWT4</t>
  </si>
  <si>
    <t>3 in 1 High Definition Endoscope Pipe Inspection Borescope TypeC USB Mobile Phone 3.9mm for Borescopes and Fiberscopes (3.5m Flexible Cord)</t>
  </si>
  <si>
    <t>B0FN5ZJD5Z</t>
  </si>
  <si>
    <t>Hilitand Industrial Endoscope Borescope Camera with Light IP67 4.3in LCD 1080P HD Dual Lens 8mm for Sewer Drain Pipe Car Inspection (5m / 16.4ft)</t>
  </si>
  <si>
    <t>B08P4D75VT</t>
  </si>
  <si>
    <t>Oumefar USB Endoscope 3 in 1 Borescope 5.5mm Lens 6LED 5M Megapixels HD Endoscope Cable IP67 Inspection Camera for Plumbing Wall Vent Sewer Inspections</t>
  </si>
  <si>
    <t>B0DDXLLQD4</t>
  </si>
  <si>
    <t>Jadeshay Industrial Endoscope, 4.3'' LCD 1080P HD Screen Waterproof Camera, 16.4FT Semi-Rigid Cable and Adjustable LED Lights</t>
  </si>
  <si>
    <t>B0CW3JFFQP</t>
  </si>
  <si>
    <t>Endoscope, Industrial Endoscope with 2.4in Screen, Sewer Camera, Handheld ABS Housing Borescope Inspection Camera for Factory (5m/196.9in Cable (0?5m Range))</t>
  </si>
  <si>
    <t>B0FKMN1RH3</t>
  </si>
  <si>
    <t>3 in 1 for Android TypeC Mobile Phone 3.9mm Lens High Definition Waterproof Endoscope Lens High Definition Waterproof Endoscope (1m Cable) (2PCS 3.5 Meters Soft Cord)</t>
  </si>
  <si>
    <t>B0D1YFN2L9</t>
  </si>
  <si>
    <t>Wheels Protective Cover Pipe Sewer Inspection Camera Protective Cover, 3.5In Stainless Steel Wheels Protector Cover for 23mm/0.9In Pipe Sewer Pipeline Inspection Camera</t>
  </si>
  <si>
    <t>B003YHA006</t>
  </si>
  <si>
    <t>General Tools Obedient Borescope Probe Extension #P230-1X for use with General Tools DCS 200 and DCS 300 Borescopes, 3.3-Foot</t>
  </si>
  <si>
    <t>B0DSKVN1Z9</t>
  </si>
  <si>
    <t>Dual Lens Endoscope Camera with Light, 1080P Borescope Inspection Camera with 5" IPS Screen, 32.8FT Semi-Rigid, 8+1 LEDs &amp; 32GB Card, 7.9mm IP67 Waterproof Sewer Snake Cam for Car Plumbing Wall</t>
  </si>
  <si>
    <t>B0CJ7CLRD1</t>
  </si>
  <si>
    <t>Pipeline Phone Borescope, 2MP Phone Endoscope Camera Type C Single Lens Industrial Pipeline Mobile Phone Borescope for Home Appliance, Borescopes</t>
  </si>
  <si>
    <t>B0DJ3HWK77</t>
  </si>
  <si>
    <t>Heayzoki 120mm Guide Wheels for Sewer Camera Probe, Pipe Pulley for 23mm Pipeline Inspection Camera</t>
  </si>
  <si>
    <t>B0DQY8P187</t>
  </si>
  <si>
    <t>Endoscope Camera with Light, 4.3" Inspection Camera, 1920P HD Borescope Camera with 8 LED Lights, IP67 Waterproof Snake Sewer Camera, 32.8FT Semi-Rigid Cord Drain Pipe Camera Cool Gadgets Tool</t>
  </si>
  <si>
    <t>B0C7RFSLSG</t>
  </si>
  <si>
    <t>Endoscope Camera with Light, USB Endoscope, Type C Borescope, Scope Camera with 6 LED Lights for Android and iOS Smartphone Car Plumbing Drain Inspection</t>
  </si>
  <si>
    <t>B0CYPT6GYX</t>
  </si>
  <si>
    <t>Endoscope Camera with Light,Inspection Camera 16.4ft Gadgets for Men 1080P HD Endoscope with 8 Adjustable LED Lights</t>
  </si>
  <si>
    <t>B0F212TN9N</t>
  </si>
  <si>
    <t>SG Store 1 Set 7.9mm Endoscope Hook Magnet Protective Cap Accessories Compatible with DEPSTECH DS300 DS520 WF028 DS350 DS500 DS600 DS450 Dual Lens Inspection Camera</t>
  </si>
  <si>
    <t>B0CMPGM2BC</t>
  </si>
  <si>
    <t>Borescope Endoscope 3 in 1 USB Inspection Camera 5.5mm Lens 6LED 5M Cable IP67 Y102</t>
  </si>
  <si>
    <t>B0DBRGSRVJ</t>
  </si>
  <si>
    <t>Industrial Endoscope Camera HD USB Inspection Camera 5.5mm Lens IP67 70° Viewing Angle 1/9" CMOS Sensor Cable Snake for Equipment Maintenance(1M)</t>
  </si>
  <si>
    <t>B08NF3CFL2</t>
  </si>
  <si>
    <t>Oumefar 3 in 1 for Android Type‑C Mobile Phone 3.9mm Lens High Definition Endoscope Focal Distance Borescope Megapixels HD Snake Inspection Camera (1m/3.3ft)</t>
  </si>
  <si>
    <t>B0F6C2CN27</t>
  </si>
  <si>
    <t>1920P Dual-Lens Lighting HD Endoscope, 8+1 Adjustable LED Light, IP67 Waterproof 3FT Round Wire. Available for Android and iOS Smartphones, iPhone, iPad, Samsung (3FT/1M)</t>
  </si>
  <si>
    <t>B0C74WJJPW</t>
  </si>
  <si>
    <t>Guy-Tech AC DC Adapter Compatible with Extech BR200 BR250 Video Borescope/Wireless Inspection Camera Power Supply Cord Wall Home Charger</t>
  </si>
  <si>
    <t>B0F9L6BVHC</t>
  </si>
  <si>
    <t>KOHUIPU Endoscope Camera with Light, 1080P HD Inspection Borescope with 4.3''IPS, Video &amp; Photo Inspection Cameras with 32G Card, IP67 Waterproof Camera for Sewer/Drain/Pipe, 16.4Ft Semi-Rigid Cable</t>
  </si>
  <si>
    <t>B01MSPT4BG</t>
  </si>
  <si>
    <t>axGear Android Endoscope Waterproof Snake Borescope USB Inspection Camera 30ft 10M</t>
  </si>
  <si>
    <t>B0D1RGVN7P</t>
  </si>
  <si>
    <t>Endoscope Camera with Light,Triple Lens Sewer Camera,16.4ft/5M Cable,1080P IPS HD Screen,2MP, IP67 Waterproof Borescope,2600mAh Battery, 8GB Storage</t>
  </si>
  <si>
    <t>B0CRRJPDN4</t>
  </si>
  <si>
    <t>Endoscope Camera with Light, 1920P HD Borescope with 8 Adjustable LED Lights, Endoscope with 3.3ft Semi-Rigid Snake Camera, 8mm IP67 Waterproof Inspection Camera for iOS&amp; Android-Gift for Men</t>
  </si>
  <si>
    <t>B0C38SVCCV</t>
  </si>
  <si>
    <t>0.9inch/23mm Sewer Camera Head Wheel Replacement,Compatible with 23mm Pipe Inspection Cameras Head,Stainless Steel &amp; Rubber (1-Pack)</t>
  </si>
  <si>
    <t>B0CCW86DF4</t>
  </si>
  <si>
    <t>Industrial Endoscope with 6 LED Lights, 7mm Probe Camera IP67 for Android Wide Application (2M)</t>
  </si>
  <si>
    <t>B0D1N9HZWX</t>
  </si>
  <si>
    <t>Endoscope Camera with Light,Triple Lens 1080P HD Borescope,16.4ft/5M Cable,2MP IP67 Waterproof Inspection Camera,2600mAh Battery,8GB Storage (M60-3lens-8GB-5M)</t>
  </si>
  <si>
    <t>B0C1NX2MZD</t>
  </si>
  <si>
    <t>Endoscope, Industrial Borescope 3.9mm Lens Type C USB Snake Camera, Waterproof High Definition Inspection Camera (3.5m Cord)</t>
  </si>
  <si>
    <t>B0DGPPZX3D</t>
  </si>
  <si>
    <t>YUELER Endoscope Inspect Camera Waterproof Borescope Scope Camera with LED Lights USB Connecting for</t>
  </si>
  <si>
    <t>B09MB5Y4MS</t>
  </si>
  <si>
    <t>Mini Camera Endoscope With a Special Focus With Three Interfaces, USB, Micro Usb and Type C Allowing You to See More Clearly at an Ultra Small Distance</t>
  </si>
  <si>
    <t>B0D1FNRCPV</t>
  </si>
  <si>
    <t>HBUDS Protective Cover for Sewer Camera Head Probe, Suitable for 0.87in/22mm and 0.9in/23mm Diameter Drain Pipe Camera Head, Protective Case Compatible with Model: 7D3A/7D1</t>
  </si>
  <si>
    <t>B0DP2M9559</t>
  </si>
  <si>
    <t>DIIOOMIEEU USB Snake Inspection Camera USB Borescope Scope Camera with 6 LED Lights for Phone for Piece</t>
  </si>
  <si>
    <t>B0CM3CLZMD</t>
  </si>
  <si>
    <t>PETCHOR Endoscope Camera with Light, 7.9mm 3 in 1 USB Snake Camera, Waterproof IP67 Wireless Endoscope, Wi-Fi Industrial Borescope with 6 LED Lights, Inspection Camera for OTG Android,iOS, iPhone</t>
  </si>
  <si>
    <t>B0BYX3PGP9</t>
  </si>
  <si>
    <t>USB Endoscope for OTG Android Phone, Laptop, 5.5mm Borescope Inspection Camera Waterproof with USB Type C, Micro-USB Plug 3in1, Pure Copper Cord with 6 LED Lights, Compatible with Most Phone, PC (5m)</t>
  </si>
  <si>
    <t>B09BKXTQXN</t>
  </si>
  <si>
    <t>2M Smartphone Semi Rigid Endoscope,DC5V 7mm USB Semi-Rigid Endoscope Camera with 6PCS LED Lights Flexible Inspection Snake Camera Compatible with Android Smartphone</t>
  </si>
  <si>
    <t>B0DN1BBTTB</t>
  </si>
  <si>
    <t>GAOSHA Inspection Cameras Borescope,Endoscope, Waterproof Snake Cameras Inspection Cameras with Adjustable LED Light</t>
  </si>
  <si>
    <t>B0BZVHZVDC</t>
  </si>
  <si>
    <t>IPG for 50FT Endoscope Borescope, Teslong Dual Lens Sewer Inspection 4.5" Camera Screen Protector (2 Units) Hydrogel Invisible Guard HD Quality/Self-Healing/Bubble -Free for Endoscope Borescope</t>
  </si>
  <si>
    <t>B0CDH43CHJ</t>
  </si>
  <si>
    <t>USB Type C Endoscope Camera Inspection Camera with Light, High Definition 5m Length Multi-Purpose Professional Use, IP67 Waterproof</t>
  </si>
  <si>
    <t>B0G2RQH6K4</t>
  </si>
  <si>
    <t>1920P Dual Lens Borescope with 8 Adjustable LED Lights,Endoscope Camera with Light,IP67 Waterproof Inspection Camera,32.8FT Semi-Rigid Snake Camera for iPhone&amp; Android</t>
  </si>
  <si>
    <t>B08X1HQSNG</t>
  </si>
  <si>
    <t>50 Pcs Disposable Camera Sheath Cover Sleeves Endoscope Protect Sheath A04-6A</t>
  </si>
  <si>
    <t>B0DD47VS99</t>
  </si>
  <si>
    <t>3 in 1 USB Endoscope, 7mm Diameter 2m Cable Fiber Optic Snake Camera for Phone, Type C USB MicroUSB Borescope Camera for Industrial Mechanical Pipeline Inspection</t>
  </si>
  <si>
    <t>B0CZ3W6W7B</t>
  </si>
  <si>
    <t>Kircuit USB-C 5V AC/DC Adapter Compatible with DEPSTECH DS520 USDS520DL USDS520DL-15 Dual Lens Borescope Sewer Inspection Camera Endoscope 5" Screen Pipe Snake 5VDC Power Supply Cord Battery Charger</t>
  </si>
  <si>
    <t>B0CKRTVL2R</t>
  </si>
  <si>
    <t>Industrial Borescope, IP67 Waterproof Inspection Endoscope 640x480 Resolution USB 5V Wide Compatibility for Pipe (3.5M)</t>
  </si>
  <si>
    <t>B07RDB8SDN</t>
  </si>
  <si>
    <t>SING F LTD USB Borescope 1m Compatible with AndroidPC USBMicro USB Endoscope 6 Adjustable White LED</t>
  </si>
  <si>
    <t>B09DPPM9D7</t>
  </si>
  <si>
    <t>Yuhoo 3-in-1 USB Endoscope, Type-C Inspection Camera for Industrial HD Cameras Endoscope, IP67 Waterproof WiFi Borescope Endoscope Snake Camera with 6 Adjustable Led Light(Size:2m)</t>
  </si>
  <si>
    <t>B0CZDNJLWH</t>
  </si>
  <si>
    <t>Onerbl USB-C 5V AC/DC Adapter Compatible with Teslong MS450 50ft Sewer Camera 1080P Drain Plumbing Snake Inspection Flexible Borescope Endoscope Duct Fiber 5VDC Power Supply Cord Battery Charger PSU</t>
  </si>
  <si>
    <t>B0BBXG3K7H</t>
  </si>
  <si>
    <t>USB Industrial Endoscope Inspection Camera with 6 LED Lights 7mm Probe Borescope for Pipe Measuring and HD Snake Scope</t>
  </si>
  <si>
    <t>B0DGPXTZJQ</t>
  </si>
  <si>
    <t>B08B8HXBCP</t>
  </si>
  <si>
    <t>Y102 USB IP67 Endoscope USB 3 in 1 Endoscope 5.5mm Lens 6LED 5M Cable Borescope Inspection Camera</t>
  </si>
  <si>
    <t>B08ZS1S4K8</t>
  </si>
  <si>
    <t>AC Adapter for Klein Tools ET510 Borescope Inspection Camera Power Supply Cord</t>
  </si>
  <si>
    <t>B0CRRGTJ4N</t>
  </si>
  <si>
    <t>Jebousike USB Endoscope with 8 LED Lights, Borescope Snake Camera, IP67 Waterproof Inspection Camera for Phone &amp; Tablet (11.5 ft)</t>
  </si>
  <si>
    <t>B0CKRRQ5W4</t>
  </si>
  <si>
    <t>Industrial Borescope, IP67 Waterproof Inspection Endoscope 640x480 Resolution USB 5V Wide Compatibility for Pipe (5M)</t>
  </si>
  <si>
    <t>B0CDQ3JW1Y</t>
  </si>
  <si>
    <t>USB Industrial Endoscope with 6 LED Lights 7mm Probe Pipe Inspection Camera IP67 for Measuring Pipes (2M)</t>
  </si>
  <si>
    <t>B0F27HZ5JF</t>
  </si>
  <si>
    <t>MAJIAOFANG Endoscope Camera with 6 LED Light Borescope Inspection Cameras Snake Cameras for Cellphone PC</t>
  </si>
  <si>
    <t>B09BKW24YN</t>
  </si>
  <si>
    <t>1M Smartphone Semi Rigid Endoscope,DC5V 7mm USB Semi-Rigid Endoscope Camera with 6PCS LED Lights Flexible Inspection Snake Camera Compatible with Android Smartphone</t>
  </si>
  <si>
    <t>B0CH8XVVD2</t>
  </si>
  <si>
    <t>Borescope Endoscope Camera 7mm IP67 USB Industrial Pipe Inspection for Measuring Pipes (1M)</t>
  </si>
  <si>
    <t>B0DFBYXVDD</t>
  </si>
  <si>
    <t>Ubxvamm USB Inspection Camera - Waterproof Endoscope for Mobile Devices - Black</t>
  </si>
  <si>
    <t>B0F27JTJZQ</t>
  </si>
  <si>
    <t>B0GG9LFJPJ</t>
  </si>
  <si>
    <t>Endoscope Camera with Light, Plug and Play Borescope Camera with 6 Adjustable LED Light, IP67 Water-Proof with Semi-Rigid Snake Cable for Androi-d</t>
  </si>
  <si>
    <t>B0GLQ5LGC9</t>
  </si>
  <si>
    <t>Endoscope Inspection Camera for Phone, Phone Borescope with 6 LED Lights Adjustable, 3.3ft Flexible Cable, IP67 Waterproof, Portable Inspection Camera for Engine, Plumbing and Car Repair</t>
  </si>
  <si>
    <t>B09KSYJ48V</t>
  </si>
  <si>
    <t>SYANSPAN Sewer Camera,4.3" HD Screen with 16GB DVR Function,Drain Pipe Inspection Camera for Home Wall Duct Drain Pipe Plumbing(33ft-164ft) (0.67" Camera-16GB DVR, 164ft/50M)</t>
  </si>
  <si>
    <t>B0F98KMM3C</t>
  </si>
  <si>
    <t>Borescope Camera with Light, 4.3" IPS Screen Endoscope, No Phone No App Inspection Camera with Light, 16.4ft Semi-Rigid Cable, 8LED Industrial Endoscope with 32GB Card for Auto, Pipe &amp; Home Inspection</t>
  </si>
  <si>
    <t>B0GH67SNRL</t>
  </si>
  <si>
    <t>Sanyipace Sewer Camera,5" HD Screen,18mm Pipeline Inspection Camera with 8 LEDs Light,32GB DVR Function, 1080P IP68 Waterproof Drain Camera for Sewer Line,Home,Drain Pipe Plumbing(Blue,66ft/20m,5mm)</t>
  </si>
  <si>
    <t>B0CL2CQXP2</t>
  </si>
  <si>
    <t>Hopefox Endoscope Camera with Light, 4.3'' IPS Screen Borescope Inspection Camera with 8 LED Lights, Handheld IP67 Waterproof Snake Camera, Drain Camera with 16.5FT Semi-Rigid Cable, Gadgets for Men</t>
  </si>
  <si>
    <t>B09KTLJDSG</t>
  </si>
  <si>
    <t>SYANSPAN Sewer Camera,4.3" HD Screen with 16GB DVR Function,Drain Pipe Inspection Camera for Home Wall Duct Drain Pipe Plumbing(33ft-164ft) (0.9" Camera-No DVR, 164ft/50M)</t>
  </si>
  <si>
    <t>B09KT9RR74</t>
  </si>
  <si>
    <t>SYANSPAN Sewer Camera,4.3" HD Screen with 16GB DVR Function,Drain Pipe Inspection Camera for Home Wall Duct Drain Pipe Plumbing(33ft-164ft) (0.9" Camera-16GB DVR, 164ft/50M)</t>
  </si>
  <si>
    <t>B0FDQC9RVJ</t>
  </si>
  <si>
    <t>Sewer Camera 100FT/30M Borescopes Plumbing Pipe Inspection Camera DVR &amp; Audio Recorder 23mm with 32GB Card 7" IPS Screen 12 LEDs HD 1000TVL Endoscope</t>
  </si>
  <si>
    <t>B0GJRH8578</t>
  </si>
  <si>
    <t>10FT Two-Way Articulating Borescope with 5" HD Screen, Industrial Endoscope Camera with Light, 0.33in Slim Probe Video Inspection for Automotive Engine, HVAC, Mechanics, Wall</t>
  </si>
  <si>
    <t>B0G4L9PP65</t>
  </si>
  <si>
    <t>MAIYIS Two-Way Articulating Borescope Camera with Light, 0.15 in Mini Inspection Camera with 5 in HD Screen, 6.5ft Flexible Snake Cable Endoscope for Wall, Engine, HVAC and Plumbing Checks</t>
  </si>
  <si>
    <t>B0FR1JJ8PR</t>
  </si>
  <si>
    <t>2025 New Wireless HD Endoscope Camera with 8 Adjustable LED Lights,WiFi Borescope for Home Industrial Auto Repair, Oral &amp; Pet Mouth Checking</t>
  </si>
  <si>
    <t>B0C2P7TP2V</t>
  </si>
  <si>
    <t>B0G58PZKWG</t>
  </si>
  <si>
    <t>Endoscope Camera with Light,16.4ft Dual-Lens Borescope Tools with 8 Adjustable LED Lights, Endoscope with Semi-Rigid Snake Camera, IP67 Waterproof Borescope for iOS and Android</t>
  </si>
  <si>
    <t>B0CNPLSNBN</t>
  </si>
  <si>
    <t>Dual Lens Endoscope Camera with Light, Anykit 2 in 1 USB Borescope with 8 Adjustable LED Lights, IP67 Waterproof 8.0mm Inspection Camera for iPhone, iPad, OTG Android Phones,Semi-Rigid Cable</t>
  </si>
  <si>
    <t>2.0"</t>
  </si>
  <si>
    <t>B0DPFC9ZQ9</t>
  </si>
  <si>
    <t>Sanyipace Sewer Camera Self-Leveling 165FT/50M, 512Hz Sonde, Distance Counter, 5-Level Adjustable Brightness, 4500mAh Battery, IP68 Waterproof Pipe Camera for Drain Snake, Plumbing, Duct, Plumber</t>
  </si>
  <si>
    <t>B0F2J14263</t>
  </si>
  <si>
    <t>B01MYTHWK4</t>
  </si>
  <si>
    <t>DEPSTECH Wireless Endoscope, IP67 Waterproof WiFi Borescope Inspection 2.0 Megapixels HD Snake Camera for Android and iOS Smartphone, iPhone, iPad, Samsung -Black(11.5FT)</t>
  </si>
  <si>
    <t>B0FLPY94WG</t>
  </si>
  <si>
    <t>Sewer Camera 100ft/30m, 17mm Plumbing Snake Borescope with 8pcs LEDs Light, 4.3" Screen 1000TVL Pipe Inspection Camera with 8500mAh Battery Without Recorder</t>
  </si>
  <si>
    <t>B0GKN7LJ1K</t>
  </si>
  <si>
    <t>Gatebig Sewer Camera with Locator,165FT/50M,9" IPS Self Leveling Sewer Inspection Camera with DVR, IP68 Plumbing Snake with 12 LEDs for Home,Duct Drain Pipe</t>
  </si>
  <si>
    <t>B0CJ939D78</t>
  </si>
  <si>
    <t>Anykit Borescope Camera with Light, 6" IPS Screen, Dual Lens Endoscope 1080P Plumbing Snake Inspection Camera with Split Screen, 32GB Card, Plumbing Snake Camera for Home (10FT)</t>
  </si>
  <si>
    <t>B0CMCGDH59</t>
  </si>
  <si>
    <t>VEVOR Sewer Camera, 4.3" Pipe Drain Inspection Camera for Home Wall Duct Drain Pipe Plumbing</t>
  </si>
  <si>
    <t>B0GK8W9JSV</t>
  </si>
  <si>
    <t>Holdwell S Articulating Borescope Camera, 8mm Borescope Endoscope with 5" IPS Screen, 1080P HD, 4.9FT Gooseneck Cable, IP67 Waterproof Snake Cameras with 8 Lights for Automotive, Plumbing</t>
  </si>
  <si>
    <t>B0F2HJD3C6</t>
  </si>
  <si>
    <t>Sewer Camera,7" HD IPS Screen Drain Camera with DVR Distance Marker,23MM 12PC Lights IP68 Waterproof Borescope Drain Pipe Endoscope 32GB Card,for Plumbers and Homeowners (17MM Camera/20M)</t>
  </si>
  <si>
    <t>B09B71CBPR</t>
  </si>
  <si>
    <t>Raguso USB Endoscope 3 in 1 Borescope USB/Type-C Inspection Snake Camera with 6 LED Lights 3.9mm Lens for Laptop (1 Meter Cork)</t>
  </si>
  <si>
    <t>B0FHJ4QFVP</t>
  </si>
  <si>
    <t>PRANITE Sewer Inspection Camera with Self-Leveling, 512Hz Sonde, IP68 Waterproof Pipe Camera, 9" HD Screen, 100FT Cable with Distance Counter, 32GB Recording for Drain &amp; Home Pipeline Inspection</t>
  </si>
  <si>
    <t>B0GR1XCFWR</t>
  </si>
  <si>
    <t>VEVOR 2026 Upgraded Sewer Camera with WiFi, 164ft/50m Drain Pipeline Camera, IP68 Snake Plumbing Cameras with Light - 12 LEDS, Wireless WiFi Connectivity to Phone/Tablet for Sewer Duct Pipe Inspection</t>
  </si>
  <si>
    <t>B0DP4QDX8M</t>
  </si>
  <si>
    <t>[Dual Lens] Endoscope Inspection Camera by AURTEC, Dual HD Lens, IP68 Waterproof, 33FT/10M Semi-Rigid Cable, Borescope Camera with LED Lights, Compatible with Android and iOS Devices</t>
  </si>
  <si>
    <t>B0CQRJ7MP1</t>
  </si>
  <si>
    <t>Sewer Camera with Meter Counter,10" Pipeline Inspection Camera with DVR and Self-Leveling,512HZ,7mm Cable IP68 Waterproof Plumbing Endoscope Drain Camera,Keyboard Input Pipe Drain Camera</t>
  </si>
  <si>
    <t>B0FQK1QNT3</t>
  </si>
  <si>
    <t>Willsily Drain Inspection Camera,4.3" Industrial Endoscope with DVR Function and LED Lights IP68 Waterproof Sewer Camera 8-10H Battery Borescope for Home Drain Pipe Plumbing(98.4ft/30m)</t>
  </si>
  <si>
    <t>B0F4D79RKT</t>
  </si>
  <si>
    <t>Sewer Camera 66FT/20M Pipe Inspection with Light, 5600mAh Battery, 23mm,DVR &amp; Audio Recorder, 7" Screen, 6 LEDs, Included 32GB Card</t>
  </si>
  <si>
    <t>B0CRYQXBMT</t>
  </si>
  <si>
    <t>JINXINEBAY 9'' Monitor Sewer Camera,HD 1000TVL,0.072ft/22mm Endoscope with 12pcs LED Lights, IP68 Waterproof Pipe Drain Inspection Camera with DVR 16GB TF Card (30M/98.4FT)</t>
  </si>
  <si>
    <t>B0CY83QTD4</t>
  </si>
  <si>
    <t>Self Leveling Sewer Camera with Locator 150FT,9" 16GB HD Screen,JQKJCAM Drain Pipe Plumbing Sewer Scope Camera Snake with 12 Light Meter Counter for Precise Home Industrial Pipe Inspection (50M/165FT)</t>
  </si>
  <si>
    <t>B09TBR5PZW</t>
  </si>
  <si>
    <t>Triplett BR350CAM-5M Replacement Camera for BR350 Videoscope with 5M Cable</t>
  </si>
  <si>
    <t>B0DKR99QBW</t>
  </si>
  <si>
    <t>Triplett BR510 Waterproof High Definition Borescope with 360° Articulating Camera</t>
  </si>
  <si>
    <t>B0C762VM9D</t>
  </si>
  <si>
    <t>Vividia CX-60150i Joystick Articulating 1280x720 Inspection Camera Borescope with 6mm (0.236") Diameter for Apple iOS Phones Tablets and for Android Devices (Semi-Rigid Long Probe)</t>
  </si>
  <si>
    <t>B0GK66FSZF</t>
  </si>
  <si>
    <t>Ludotline Inspection Camera with 7.2” Built-in Screen, Standalone Endoscope Camera – No Phone Needed, 1m Semi-Rigid Cable, 8 LED Lights, Rechargeable Borescope for Pipe, Wall &amp; Auto Inspection</t>
  </si>
  <si>
    <t>B097K65VZD</t>
  </si>
  <si>
    <t>Sewer Camera with Locator and Distance Counter, Anysun 512Hz Transmitter and Receiver Pipe Cam with DVR Recorder, Waterproof IP68 Drain Plumbing Camera Pipeline Endoscope with 30M/100ft Cable</t>
  </si>
  <si>
    <t>B0FXXH9WCT</t>
  </si>
  <si>
    <t>Anysun Self-Leveling Sewer Camera with 512Hz Transmitter, Meter Marking, 9'' IPS Screen, 200ft 7mm Cable, HD 1080P Sewer Drain Video Inspection Camera with DVR 32GB, 5100mAh Battery</t>
  </si>
  <si>
    <t>B0CXT1RY3L</t>
  </si>
  <si>
    <t>Borescope Camera with Light, 1920P HD Endoscope Inspection Camera with 8 Adjustable LED Lights, Snake Camera with 16.4ft/5m Semi-Rigid Snake Camera, 7.9mm IP67 Waterproof Inspection Camera for iOS</t>
  </si>
  <si>
    <t>B0GJZV5NWK</t>
  </si>
  <si>
    <t>Flyrivergo Sewer Camera 100ft - IP68 Waterproof Pipe Inspection Camera with 10hr Battery, 32GB Storage &amp; Dual-Port Card Reader, Compatible with 1-4 Inch Residential/Commercial Pipes</t>
  </si>
  <si>
    <t>B0BYX2KPDF</t>
  </si>
  <si>
    <t>USB Endoscope for OTG Android Phone, Laptop, 5.5mm Borescope Inspection Camera Waterproof with USB Type C, Micro-USB Plug 3in1, Pure Copper Cord with 6 LED Lights, Compatible with Most Phone, PC (10m)</t>
  </si>
  <si>
    <t>B0CL51QQD7</t>
  </si>
  <si>
    <t>Pilipane Ultra Thin 5 5mm Endoscope Camera, 3 in 1 USB Borescope for Accurate Inspections(5M)</t>
  </si>
  <si>
    <t>B0G239JCXJ</t>
  </si>
  <si>
    <t>4-Way 360° Articulating Borescope with Light &amp; Detachable Joystick, 5" HD Screen 6.2mm/0.24 in Slim Inspection Camera, 4.0Ft Semi-Rigid Cable for Automotive,HVAC,Mechanical</t>
  </si>
  <si>
    <t>B0953RZPWP</t>
  </si>
  <si>
    <t>Sewer Camera with Locator,165FT Pipe Inspection Snake Cam with 512Hz Sonde Transmitter and DVR Recorder, Waterproof Drain Plumbing Camera Semi-Rigid Cable 7 inch LCD Monitor (8 GB SD Card Included)</t>
  </si>
  <si>
    <t>B0CS62GR4D</t>
  </si>
  <si>
    <t>1080P Sewer Camera 100FT,w/ 9'' HD 16GB DVR Screen (Clearer Image,36X Zoom in),JQKJCAM Drain Pipe Sewer Inspection Camera Snake with 12 Ligh,Meter Counter for Plumbing Duct (30M)</t>
  </si>
  <si>
    <t>B07T7GDP42</t>
  </si>
  <si>
    <t>Anysun Sewer Camera,165ft Plumbing Drain Camera with DVR 50M Cable Industrial Endoscope Waterproof IP68 Cable Snake Video System with 7 Inch LCD Monitor 1000TVL CCD DVR Recorder (50M-DVR)</t>
  </si>
  <si>
    <t>B0FZHMSV2C</t>
  </si>
  <si>
    <t>Sewer Camera 100ft with 9-inch IPS DVR Screen, 1080P Drain Inspection Camera with 23mm IP68 Waterproof Lens, 5mm Pipe Camera with 12 LED Lights &amp; 16GB Card, Plumbing Camera for Sewer Line</t>
  </si>
  <si>
    <t>B0FZHRPT8Y</t>
  </si>
  <si>
    <t>Sewer Camera with Meter Counter, 165FT Drain Inspection Camera with 7mm Cable, 10" IPS 1080P Plumbing Camera with 23mm Probe, 5X Zoom, Sapphire Lens, 12 LED &amp; 32G DVR– Ideal for Pipe &amp; Duct Inspection</t>
  </si>
  <si>
    <t>B0D1VPC7VZ</t>
  </si>
  <si>
    <t>Endoscope Camera, Dual Lens Endoscope Camera USB C Inspection Camera IP67 Waterproof 1920P Duct Camera with Semi Rigid Cable for Mobile Phone(1M)</t>
  </si>
  <si>
    <t>B0FZHGYJ42</t>
  </si>
  <si>
    <t>Sewer Camera 100ft, Drain Camera with 10'' IPS DVR, 1080P HD Pipeline Inspection Camera with 23mm Sapphire Lens, 5X Zoom, Meter Counter, Sewer Inspection Camera, Pipe Camera with 7mm Cable &amp; 32G Card</t>
  </si>
  <si>
    <t>B09GC5Z4GD</t>
  </si>
  <si>
    <t>Triplett BR500 High Definition Articulating Videoscope with Waterproof 6mm Camera and 3.5" Color TFT LCD Display</t>
  </si>
  <si>
    <t>B0FWB82H9C</t>
  </si>
  <si>
    <t>Sewer Camera Self-Leveling,100FT/30M Pipe Drain Inspection Camera with 7" 1080P HD Screen, Snake Plumbing Cameras with 9 LED Lights, IP68, 32GB Card, DVR Recording, for Duct Sewer Line Pipe Inspection</t>
  </si>
  <si>
    <t>B0DSL994B3</t>
  </si>
  <si>
    <t>FeiYeup Endoscope Camera with Light, Borescope with Adjustable LED Light,Endoscope Camera,Waterproof Inspection Cameras</t>
  </si>
  <si>
    <t>B0DJ7PQ6BP</t>
  </si>
  <si>
    <t>Sewer Camera Self-Leveling 300FT, Built-in 512HZ Transmitter, 7MM Cable, 9'' HD Plumbing Camera with Depth Marking, 1080P IPS Screen &amp; DVR 32GB and Adjustable LED Lights</t>
  </si>
  <si>
    <t>B0DNYYDCJL</t>
  </si>
  <si>
    <t>Endoscope Camera with Light, USB Snake Borescope with 6 Adjustable LED Lights, 1920P HD IP67 Waterproof 16.5FT Inspection Cord Snake Camera for Type C Phone,Android,PC Tablet</t>
  </si>
  <si>
    <t>B0G4DLHWDH</t>
  </si>
  <si>
    <t>Endoscope Camera with Light, Dual Lens 1080P HD Inspection Camera, 8 LED, 6.5FT 8MM Thick Semi-Rigid Snake Cameras, IP67 Waterproof Inspection Tool for iPhone 15-11, Android &amp; Type-C Phones</t>
  </si>
  <si>
    <t>B0DKJXTNRS</t>
  </si>
  <si>
    <t>Sewer Camera Head Replacement with Self-Leveling Function,Compatible with PRANITE HBUDS Anysun Sewer Camera Head 512Hz Sonde IP68 Waterproof Inspection Accessories</t>
  </si>
  <si>
    <t>B0FWBB6W27</t>
  </si>
  <si>
    <t>Sewer Camera with DVR Function,100FT/30M Pipe Drain Inspection Camera with 7" 1080P HD Screen, Snake Plumbing Cameras with 9 LED Lights, IP68, 32GB Card,Borescope for Duct Sewer Line Pipe Inspection</t>
  </si>
  <si>
    <t>B0GLHF64SG</t>
  </si>
  <si>
    <t>Anykit Two-Way Articulating Borescope with Light, Industrial Endoscope Inspection Camera with 0.22in Articulated Scope Flexible Snake Scope for Wall Automotive Engine Inspect- 5FT</t>
  </si>
  <si>
    <t>B0C458FHZG</t>
  </si>
  <si>
    <t>HBUDS Sewer Camera 165ft/50M, Drain Camera, 9 inch HD Monitor Plumbing Camera Snake with Light, IP68 Waterproof Sewer Inspection Camera, Duct Chimney Drain Pipe Cameras with DVR for Plumber &amp;Homeowner</t>
  </si>
  <si>
    <t>B0CXHZXNXG</t>
  </si>
  <si>
    <t>HBUDS Sewer Camera 100ft, 9 inch HD Color Screen Drain Camera, Plumbing Camera Snake with Light, IP68 Waterproof Sewer Inspection Camera, Drain Pipe Cameras with DVR 16GB for Plumber &amp; Homeowner</t>
  </si>
  <si>
    <t>B0FLWS2HBV</t>
  </si>
  <si>
    <t>Endoscope Camera with Light, 1080P HD Borescope with 8 Adjustable Lights, 5" Endoscope with 16.4ft Semi-Rigid Snake Camera, IP67 Waterproof Borescopese for Sewer, Cool Gadgets &amp; Tools for Men</t>
  </si>
  <si>
    <t>B0GK8HGMLP</t>
  </si>
  <si>
    <t>Holdwell S Dual Lens Articulating Borescope Camera, 8mm Borescope Endoscope with 5" IPS Screen, 720P HD, 4.9FT Gooseneck Cable, IP67 Waterproof Snake Cameras with 9 Lights for Automotive, Plumbing</t>
  </si>
  <si>
    <t>B0C2ZMPFDD</t>
  </si>
  <si>
    <t>HBUDS Sewer Camera with 512hz Sonde 100ft, Self-Leveling, 9" 1080P HD Drain Camera, Plumbing Camera Snake with Light, IP68 Waterproof Inspection Camera, Drain Pipe Cameras with DVR 16GB</t>
  </si>
  <si>
    <t>B0F1LS9SDZ</t>
  </si>
  <si>
    <t>Launch Tech USA Launch Videoscope/Borescope</t>
  </si>
  <si>
    <t>B079FVGB5N</t>
  </si>
  <si>
    <t>HBUDS Sewer Camera with Locator 100ft, Self-Leveling, 9'' 1080P HD Screen Drain Camera, Plumbing Camera Snake with Light, IP68 Waterproof Sewer Inspection Camera, Drain Pipe Cameras with DVR Recorder</t>
  </si>
  <si>
    <t>B0BX9GDLTV</t>
  </si>
  <si>
    <t>HBUDS Sewer Camera with Locator 165ft, Self-Leveling, 9'' 1080P HD Screen, Plumbing Snake with Light, IP68 Waterproof Inspection Camera, Drain Pipe with DVR 16GB</t>
  </si>
  <si>
    <t>B0GHXZPW62</t>
  </si>
  <si>
    <t>Handheld Endoscope Camera with Light – 16.5FT Semi-Rigid Cable 4.3'' IPS Screen Snake Camera with 8 LED Lights, IP67 Waterproof Borescope for Automotive Repair, Plumbing Inspection, HVAC</t>
  </si>
  <si>
    <t>B07MV6X4M4</t>
  </si>
  <si>
    <t>5.0MP Wireless Endoscope Camera with Lights, DEPSTECH HD Video Boresocpe Inspection Camera, 16.5FT Semi-Rigid Drain Snake Cable, IP67 Waterproof Scope Camera, 2200mAh Battery for iPhone&amp;Android-Yellow</t>
  </si>
  <si>
    <t>B0G38XJ18B</t>
  </si>
  <si>
    <t>Anysun Replacement Camera Head with 512hz Transmitter and Self-Leveling Function, IP68 Waterproof Sewer Inspection Camera Head Accessories Only for Anysun HBUD Pranite SYU12 Series</t>
  </si>
  <si>
    <t>B0CBRW4N9Y</t>
  </si>
  <si>
    <t>Sewer Camera 165ft/50m 4.3" Pipe Inspection Camera with 16G DVR IP68 Waterproof Borescope w/LED Lights,Industrial Drain Endoscope for Home Wall Duct Drain Pipe Plumbing (50M/165FT)</t>
  </si>
  <si>
    <t>B08QYX32R7</t>
  </si>
  <si>
    <t>Sewer Camera 165ft , 512Hz Sonde Transmitter Plumbing Camera Snake with DVR Recorder, Inspection Cam with 7" LCD Monitor with Fiber Optic Cable Wire (8 GB SD Card Included) (165ft/50m)</t>
  </si>
  <si>
    <t>B089Q4DBPT</t>
  </si>
  <si>
    <t>Autel MaxiVideo MV108S Inspection Camera, Waterproof Endoscope Video Scope for Autel MX900 / TS900 / MK808 S / MK906 / MS909 / Ultra</t>
  </si>
  <si>
    <t>B0F2HS29VB</t>
  </si>
  <si>
    <t>Okk Sewer Camera with Locator, Drain Camera 100ft with 512Hz Sonde, Pipe Inspection with Self-Leveling, Industrial Endoscope with DVR, 9" LCD, Meter Counter, IP68 Waterproof, 12 LEDs, 16GB Card</t>
  </si>
  <si>
    <t>B0DXP75RHR</t>
  </si>
  <si>
    <t>Anysun Sewer Camera with 512hz Sonde 100ft, Self Leveling Sewer Inspection Camera with Distance Counter, 7MM Diameter Cable with 12PCS LED Lights, 9" HD Monitor with DVR(32GB Card)</t>
  </si>
  <si>
    <t>B0D6VQMF5T</t>
  </si>
  <si>
    <t>Sewer Camera 100ft Plumbing Drain Camera with 30M Cable Industrial Endoscope IP68 Waterproof Snake Inspection 7 Inch 1000TVL DVR Recording IPS Screen</t>
  </si>
  <si>
    <t>B0GCHGS6DD</t>
  </si>
  <si>
    <t>InvRio10ML Two-Way 180° Articulating Borescope, 1080P HD 4.3" Screen Automotive Endoscope with 85°C High-Temp Alarm, 2600mAh Battery for 3h Runtime, Includes 32GB Card &amp; Case</t>
  </si>
  <si>
    <t>B0D4CFGXRL</t>
  </si>
  <si>
    <t>S50 Bndoscopy, 6mm Diameter 10.0MP Camera, 720° Steering, 1920 * 1080p High-Definition IPS Screen, Inspection Endoscope, Suitable for Automobile and Aircraft Mechanical Video Inspection Range</t>
  </si>
  <si>
    <t>B06XNWQ96Z</t>
  </si>
  <si>
    <t>PK Power AC/DC Adapter for Snapon BK6000 Borescope Inspection Camera 12VDC Power Supply Cord Cable PS Wall Home Battery Charger Mains PSU (Note: NOT Fit 5V DC Type. Thanks.)</t>
  </si>
  <si>
    <t>B0FPQQXHRW</t>
  </si>
  <si>
    <t>Sanyipace Locator 512Hz, Underground Pipe Locator, Underground Cable Location Device, Sewer Camera Accessories, 3000mAh Battery Powered, Rechargeable Receiver Locating Wand - Blue &amp; Black</t>
  </si>
  <si>
    <t>B08LVGDVC1</t>
  </si>
  <si>
    <t>Sewer Camera, Pipe Inspection Camera with Distance Counter Plumbing Snake Camera DVR Recorder Waterproof IP68, Anysun 65ft/20M Industrial Pipeline Drain Endoscope with 7" LCD Color Monitor</t>
  </si>
  <si>
    <t>B0CS68V7GR</t>
  </si>
  <si>
    <t>Sewer Camera 50FT,W/ 12 Bright LED 9'' Ultra HD 16GB DVR Screen (Clearer Image),1080P 23MM JQKJCAM Wall Duct Plumbing Drain Inspection Camera with Light Meter Counter for Sewer Pipes (20M/66FT)</t>
  </si>
  <si>
    <t>B0DSJGPDB6</t>
  </si>
  <si>
    <t>Sanyipace Trolley Sewer Camera 100FT/30M with Self-Leveling, Retractable Handle, Equipped 512Hz Transmitter, Distance Counter, Microphone Speaker Keyboard, 10" Color Screen, 7mm Cable</t>
  </si>
  <si>
    <t>B0DCY6XC2Q</t>
  </si>
  <si>
    <t>Industrial Endoscope Camera 1920P HD, 16.4ft Borescope Snake with 6 LED Lights, IP67 Waterproof Inspection Camera for Automotive Engine, Pipe, HVAC - Compatible with iPhone Android USB-C</t>
  </si>
  <si>
    <t>B095Y27DNR</t>
  </si>
  <si>
    <t>Extech BR250 Video Borescope/Wireless</t>
  </si>
  <si>
    <t>B0CQRK7RQ4</t>
  </si>
  <si>
    <t>Endoscope Camera with Light,1920P HD Borescope, IP67 Waterpro of Inspection Snake Camera for Drain/Plumbing/Wall Automotive Engine, Semi-Rigid with 8 LED Lights, for iOS/Android,16.4ft</t>
  </si>
  <si>
    <t>B08NFVFC1M</t>
  </si>
  <si>
    <t>Anysun Sewer Camera, 1080P HD Drain Snake Camera with 9'' IPS Monitor and 65ft Cable, Duct Camera IP68 Waterproof Pipe Inspection Camera with DVR Recording Funcation and 16GB Memory Card</t>
  </si>
  <si>
    <t>B0B2VGF8L5</t>
  </si>
  <si>
    <t>Pipe Camera's Kit Cable Used for Brand Anysun HBUDS Sewer Camera 165ft Extension Cable for Pipe Camera,165ft Cable Parts for Pipe Inspection Camera(50M/165FT Cable) (50m/165ft)</t>
  </si>
  <si>
    <t>B0BJ733KVW</t>
  </si>
  <si>
    <t>Anysun Sewer Camera - 1080P HD Drain Snake with 9" IPS Monitor and 100ft Cable, IP68 Waterproof Pipe Inspection Camera with DVR Recording and 16GB Memory Card</t>
  </si>
  <si>
    <t>B0DKNK4RG9</t>
  </si>
  <si>
    <t>GEYOPMID Endoscope Camera with Light, 1200tvl HD 4.5" Display Borescope Camera with 9 Adjustable LED Lights, 32.81ft Semi-Rigid Snake Camera with Light Ip68 Waterproof Inspection Camera with Light</t>
  </si>
  <si>
    <t>B0F4L1ZK72</t>
  </si>
  <si>
    <t>200 FT Sewer Camera,Upgraded 5'' IPS 32GB DVR Audio Screen,36x Zoom in,23MM JQKJCAM Snake Pipe Sewer Inspection Camera with 12 Light Meter Counter Portable Spool for Drain Plumbing (60M)</t>
  </si>
  <si>
    <t>B0FR5HTWXN</t>
  </si>
  <si>
    <t>Equus Products 3381 HD Borescope Inspection Camera</t>
  </si>
  <si>
    <t>B0DQY9BM4H</t>
  </si>
  <si>
    <t>Dual Lens Borescope, Endoscope Camera with Light, IP67 Waterproof Endoscope, 1080P HD Inspection Camera, Borescope Camera with Light, Snake Camera, 32.8ft Endoscope Camera, Gadgets for Men (4.3”)</t>
  </si>
  <si>
    <t>B0DQYBRYMF</t>
  </si>
  <si>
    <t>Endoscope Camera with Light, Jebousike 1080P HD Borescope Inspection Camera with 4.3" IPS Screen, 98.4FT Flexible Sewer Camera, IP67 Waterproof Plumbing Snake Camera, Cool Gadgets for Men, Women</t>
  </si>
  <si>
    <t>B0DQY8XVZT</t>
  </si>
  <si>
    <t>Industrial Endoscope Inspection Camera, 4.3" IPS Borescope Sewer Camera with IP67 Waterproof Snake Camera with 8 LED Lights, 1080P Digital Borescope Inspection Camera 65.6FT Semi-Rigid Cable</t>
  </si>
  <si>
    <t>B07PN9N21Z</t>
  </si>
  <si>
    <t>Wireless Endoscope, LIMINK 50Ft Snake Camera, Inspection Camera with Ip67 Waterproof, WiFi borescopes 2.0 MP HD Drain Camera for Android and iOS Smartphone, iPhone, iPad, Samsung -Black(50FT)</t>
  </si>
  <si>
    <t>B0F89Y8S2H</t>
  </si>
  <si>
    <t>Endoscope Camera with Light, Borescope with 8 Adjustable LED Lights, 4.3" Endoscope with Semi-Rigid Snake Camera, IP67 Waterproof Inspection Borescope, Cool Gadgets for Men</t>
  </si>
  <si>
    <t>B0CYPT5V6H</t>
  </si>
  <si>
    <t>B092M73M5R</t>
  </si>
  <si>
    <t>Sewer Camera 100ft / 30m, Comstex Sewer Inspection Camera, 9 inch LCD Monitor with DVR, Video Pipe Inspection Equipment IP68 with 12 LED Lights for Plumber, Homeowners</t>
  </si>
  <si>
    <t>B0D1RHPK3R</t>
  </si>
  <si>
    <t>Endoscope Camera with 4.3" Screen, Triple Lens, 1080P 32GB Card, 33FT Cable, Zoom, Inspection Camera for Home</t>
  </si>
  <si>
    <t>B0D8VTS9DS</t>
  </si>
  <si>
    <t>Autel MaxiVideo MV108S Digital Inspection Camera, 2025 Upgrade MV108/MV105S IP67 Waterproof 8.5mm Borescope 39.37'' 2MP Camera + LED Light 1920x1080 Compatible with Autel Scanner &amp; PC</t>
  </si>
  <si>
    <t>B0DFCNZM93</t>
  </si>
  <si>
    <t>HD Screen Endoscope Camera with LED Light, Flexible Borescope for Pipeline &amp; Car Inspections, Portable, 2000mAh Battery, Waterproof, Single Lens Design</t>
  </si>
  <si>
    <t>B0CNWHTXFT</t>
  </si>
  <si>
    <t>Perfect Part Endoscope - 3-in-1 Micro USB, Type C &amp; USB Borescope Inspection Camera for Android Smartphones, Tablets &amp; Laptops, HD Waterproof Camera with 6 LEDs</t>
  </si>
  <si>
    <t>B0CNWH9FC4</t>
  </si>
  <si>
    <t>B0CNWGW5JH</t>
  </si>
  <si>
    <t>B0DS61M4HJ</t>
  </si>
  <si>
    <t>Sewer Camera Replacement Cable 100ft,JQKJCAM 5MM Blue Semi-Rigid Cable for 25mm Drain Pipe Sewer Inspection Camera H6</t>
  </si>
  <si>
    <t>B08QCN6B9G</t>
  </si>
  <si>
    <t>Teslong Endoscope Replacement Cable with Light, Dual Lens Inspection Camera 5.5mm/0.21inch Waterproof Probe Compatible with NTS500, NTS300(10FT)</t>
  </si>
  <si>
    <t>B0BLHDY5G6</t>
  </si>
  <si>
    <t>Household Pipe Endoscope Borescope Inspection C mer Pipe Inspection C mer Plumbing Dr in C mer 4.3in Displ y Sewer C mer W terproof Pipe C mer (20m)</t>
  </si>
  <si>
    <t>B0G4MKGQXB</t>
  </si>
  <si>
    <t>Handheld High Brightness Industrial Endoscope Cold Light Source LED 10W with 3 Adaptors(Light Source Without Adapter)</t>
  </si>
  <si>
    <t>B07SGMGQYF</t>
  </si>
  <si>
    <t>Vividia GB-460 USB Digital Manual Focus Gun Barrel Borescope Camera with 4mm Diameter and 24" (60 cm) Long Insertion Tube</t>
  </si>
  <si>
    <t>B0FXGM97SY</t>
  </si>
  <si>
    <t>Industrial Endoscope Camera with Light, 4.3‘’ Screen, 8mm Scope IP67 Waterproof Borescope, 2600mAh Battery Inspection Camera for Automotive, Plumbing, HVAC, Wall, Pipe (5M (16.4FT))</t>
  </si>
  <si>
    <t>B0CCPJD5C4</t>
  </si>
  <si>
    <t>Sewer Camera with Locator，512hz Signal Transmitter Camera Head Accessorie for Industrial Drain Pipe Endoscope Camera with Wheel and Protective Cover(0.9inch/23mm,512hz)</t>
  </si>
  <si>
    <t>B0F4X1ZCXC</t>
  </si>
  <si>
    <t>Sewer Camera 200FT Self Leveling,W/ 9'' HD 16GB DVR Screen,36X Zoom in,Big Spool (Easier to Push Cable),23MM JQKJCAM WP9600F Drain Pipe Sewer Inspection Camera Snake with 12 Light for Plumber (61M)</t>
  </si>
  <si>
    <t>B0DLWJFYC3</t>
  </si>
  <si>
    <t>Self Leveling Sewer Camera with 512Hz Transmitter 100ft, 7mm Thicker Cable Drain Camera with Distance Counter, 9" 1080P HD Pipe Plumbing Inspection Cameras Snake with Light, Video/Audio Record 32GB</t>
  </si>
  <si>
    <t>B0CCWSFBFP</t>
  </si>
  <si>
    <t>Endoscope 3.9Mm Endoscope Plastic 3 in 1 for Typece Phone 3.9Mm Lens High Definition Endoscope(1M Cable) (5m Cord)</t>
  </si>
  <si>
    <t>B0CPLMR6S4</t>
  </si>
  <si>
    <t>B0DD486VRX</t>
  </si>
  <si>
    <t>Self-Leveling Sewer Camera with 512Hz Locator, PRANITE 9" 1080P IPS Drain Camera 165ft with 12 LED Lights, DVR Recorder, IP68 Waterproof for Inspect Sewer, Plumbing, Duct – 16GB Card</t>
  </si>
  <si>
    <t>B0CCWLPBS5</t>
  </si>
  <si>
    <t>Industrial Endoscope, 3 in 1 for Android TypeC Mobile Phone 3.9mm Lens High Definition Waterproof Endoscope (1m Cable)</t>
  </si>
  <si>
    <t>B0DG8V6BSC</t>
  </si>
  <si>
    <t>Sewer Camera 100FT with 512HZ Sonde, Anysun 9" HD Screen Pipe Drain Inspection with 12pcs Light, DVR Recorder with 32GB Card, IP68 Waterproof Plumbing Cam, 7mm Cable with Depth Marker</t>
  </si>
  <si>
    <t>B0BVMFRKGZ</t>
  </si>
  <si>
    <t>Sewer Camera 150FT with 512HZ Sonde, Anysun 9" HD Screen Pipe Drain Inspection with 12pcs Light, DVR Recorder with 32GB Card, IP68 Waterproof Plumbing Cam, 7mm Cable with Depth Marker</t>
  </si>
  <si>
    <t>B0D14PGRXN</t>
  </si>
  <si>
    <t>Moman EOS1 Borescope 1080P HD Inspection Camera with 2.4" IPS Screen, 16.4ft Semi-Rigid Cable, IP67 Waterproof, 8LEDs for Sewer, Pipe, Auto, Plumbing &amp; HVAC Inspection</t>
  </si>
  <si>
    <t>B09GG5X539</t>
  </si>
  <si>
    <t>3 in 1 Endoscope Inspection Camera, Industrial Borescope Black Hd Camera, Waterproof Snake Tube Camera Digital Semi-Rigid Borescope (Size:10m/393inch)</t>
  </si>
  <si>
    <t>B01403J8AU</t>
  </si>
  <si>
    <t>Vividia TVS-500DVR Telescopic Pole Video Inspection Camera Borescope System 4.6 Meter Long with DVR Recording, 5" LCD Screen and Sturdy Case</t>
  </si>
  <si>
    <t>15.1ft</t>
  </si>
  <si>
    <t>B08P5RZK44</t>
  </si>
  <si>
    <t>DEPSTECH Wireless Endoscope - 5.5mm WiFi Borescope with 2200 mAh Battery, 1080P HD Semi-Rigid Snake Camera for iPhone, Android, Tablet, Sewer Drain Pipeline Inspection (16.5FT)</t>
  </si>
  <si>
    <t>B0DRNZXBBX</t>
  </si>
  <si>
    <t>Larlarsa Industrial Endoscope Borescope with Light, 8mm Dual Lens 1080P HD IP67 Waterproof Snake Camera with 4.3" LCD, 8 LEDs &amp; Semi-Rigid Cable - Inspection Tool for Industrial Use (32GB Included)</t>
  </si>
  <si>
    <t>B09GG1YN3H</t>
  </si>
  <si>
    <t>3 in 1 Endoscope Inspection Camera, Industrial Borescope Black Hd Camera, Waterproof Snake Tube Camera Digital Semi-Rigid Borescope (Size:1.5m/59inch)</t>
  </si>
  <si>
    <t>B09GG4W335</t>
  </si>
  <si>
    <t>3 in 1 Endoscope Inspection Camera, Industrial Borescope Black Hd Camera, Waterproof Snake Tube Camera Digital Semi-Rigid Borescope (Size:5m/196.8inch)</t>
  </si>
  <si>
    <t>B0GDM5VN27</t>
  </si>
  <si>
    <t>Pipeline Inspection Camera 23mm Pipe Sewer Inspection Camera Waterproof Drain Replacement with Protective Head Cover and Screwdr(Without Guide Wheel)</t>
  </si>
  <si>
    <t>B0D72PXLG7</t>
  </si>
  <si>
    <t>Anysun Sewer Camera with Locator, Distance Counter, Self-Leveling Pipe Inspection Camera 100FT 0.28in/7mm Diameter Cable, 9'' 1080P IPS Screen Plumbing Cam with DVR Recording-32GB</t>
  </si>
  <si>
    <t>B0D2XS87FF</t>
  </si>
  <si>
    <t>SYANSPAN Sewer Camera with Locator and self-Leveling,Portable Pipe Camera Snake 66ft with HD Color Screen,Video 16GB</t>
  </si>
  <si>
    <t>B09GG59RDV</t>
  </si>
  <si>
    <t>3 in 1 Endoscope Inspection Camera, Industrial Borescope Black Hd Camera, Waterproof Snake Tube Camera Digital Semi-Rigid Borescope (Size:2m/78.7inch)</t>
  </si>
  <si>
    <t>B0DCJMR14T</t>
  </si>
  <si>
    <t>Anysun Self Leveling Sewer Inspection Camera - 165ft, 9" 1080P IPS Screen, DVR 16GB Card, IP68 Waterproof Plumbing Drain Camera with 12 Lights</t>
  </si>
  <si>
    <t>B0B87QL44P</t>
  </si>
  <si>
    <t>Sanyipace Screen for Sewer Inspection Camera</t>
  </si>
  <si>
    <t>B0B4CWFVBY</t>
  </si>
  <si>
    <t>Sewer Camera with Locator, 165ft Sewer Inspection Camera with 512Hz Transmitter and Receiver, Plumbing Camera with 7'' LCD Monitor IP68 Waterproof Pipe Camera DVR Recorder with 8GB SD Card</t>
  </si>
  <si>
    <t>B0C188GCNS</t>
  </si>
  <si>
    <t>Anysun Self-Leveling Sewer Camera with 512Hz Sonde Transmitter, 1080P HD Drain Camera with 9'' IPS Monitor and 165ft Cable,IP68 Waterproof Pipe Inspection Camera with DVR and 16GB Memory Card</t>
  </si>
  <si>
    <t>B0CQXCF4DD</t>
  </si>
  <si>
    <t>Simulator Training Box HD 1080P USB Endoscope Camera 30 Degree for Training</t>
  </si>
  <si>
    <t>B0CNGTPJWD</t>
  </si>
  <si>
    <t>Anysun Sewer Snake Cam with DVR, 100ft Plumbing Camera, 4.3" LCD Monitor, 17mm Mini Camera with 8 LED Lights, IP68 Waterproof, 16GB Memory Card</t>
  </si>
  <si>
    <t>B0DJ7K6XZL</t>
  </si>
  <si>
    <t>Anysun Self Leveling Sewer Camera 100ft with Distance Counter, Drain Pipe Camera with 9'' 1080P IPS Monitor, Video Recorder, 7MM Cable with 12 Lights(32GB Card)</t>
  </si>
  <si>
    <t>B0D2XW2KTQ</t>
  </si>
  <si>
    <t>SYANSPAN 164ft Sewer Camera Snake with Light - 9" HD Monitor, IP68 Waterproof, 16GB DVR, 12pcs Adjustable LED, Self-Leveling Drain Camera for Plumbing, Pipe Inspection &amp; Industrial Maintenance (50m)</t>
  </si>
  <si>
    <t>B0D2XVFHBP</t>
  </si>
  <si>
    <t>SYANSPAN Self Leveling Sewer Inspection Camera with 512hz Locator,50M/165ft Cable Portable Pipe Inspection Camera with 9" HD Color Monitor,DVR 16GB,Meter Counter</t>
  </si>
  <si>
    <t>B0CB1Z3665</t>
  </si>
  <si>
    <t>Sewer Camera Guide Wheels 23mm Replacement Heavy Duty Protective Cover for Pipe Inspection Endoscope and Drain Snake Accessories</t>
  </si>
  <si>
    <t>B0CM3CP13Y</t>
  </si>
  <si>
    <t>PETCHOR Dual Lens Endoscope Camera with Light, 1920P Borescope Inspection Camera with 8+1 Adjustable LED Lights, 7.9mm IP67 Waterproof Snake Camera for iPhone, Android, iOS</t>
  </si>
  <si>
    <t>B0CK9NCS7L</t>
  </si>
  <si>
    <t>23mm Sewer Inspection Camera Head, IP68, 12 LED Lights, Steel with Highly Spring for Professional Use</t>
  </si>
  <si>
    <t>B0DXKVLQXW</t>
  </si>
  <si>
    <t>PRANITE Self-Leveling Sewer Camera Head with 512Hz Transmitter, 0.9in/23mm 1080P Replacement Pipe Camera Head with 12 LED Lights, IP68 Waterproof, Compatible with Anysun, HBUDS, PRANITE</t>
  </si>
  <si>
    <t>B0FGXZR9ZK</t>
  </si>
  <si>
    <t>Endoscope Camera with Light, 1080P HD Borescope with 4.3'' Screen, Semi-Rigid Cable, IP67 Waterproof Scope Inspection Camera for Automotive, Plumbing, Drain, Pipe</t>
  </si>
  <si>
    <t>B0FGXR42WC</t>
  </si>
  <si>
    <t>B0F3HVCKGH</t>
  </si>
  <si>
    <t>Dual Lens Endoscope Camera with 8 LED Lights, Inspection Borescope Camera with 4.3" IPS 1080P HD Screen, 16.4FT Semi-Rigid Cord Cable Bore Scope, IP67 Waterproof for Sewer Car Wall Plumbing HVAC</t>
  </si>
  <si>
    <t>B0C4K1RRPP</t>
  </si>
  <si>
    <t>THE PERFECT PART HD LED Ear Endoscope Otoscope Camera Wax Pick Cleaning Tool Cleaner Removal Kit</t>
  </si>
  <si>
    <t>B0836XWPJH</t>
  </si>
  <si>
    <t>DEPSTECH USB Endoscope, 720P IP67 Waterproof Borescope, 5.5mm Snake Inspection Camera, Type-C Scope With 16.5ft Semi-Rigid Cable, 6 LED Lights, Compatible With OTG Android Phone, PC</t>
  </si>
  <si>
    <t>B0CMQPNSB2</t>
  </si>
  <si>
    <t>USB 3 in 1 Endoscope Camera with Light, Borescope Inspection Camera, 5.5mm Lens, IP67 Water Resistant, 6 Adjustable LED Lights, 5m Cable, 2.0MP CMOS HD</t>
  </si>
  <si>
    <t>B0BXRGS9NK</t>
  </si>
  <si>
    <t>Autel MaxiVideo MV460 Digital Inspection Camera Video Scope Videoscope Endoscope 1920 * 1080 70° Field 7X Zoom LED Header Waterproof Cable Image Capture Video Recording Better MV108 MV105 MV160 MV400</t>
  </si>
  <si>
    <t>B0DHQV5T33</t>
  </si>
  <si>
    <t>Soufyuane Endoscope Inspection Camera, USB-C Endoscope, Black, Waterproof, 16FT/5M, Compatible with iPhone 15/Android Smart Phone</t>
  </si>
  <si>
    <t>B0DKNX4RP9</t>
  </si>
  <si>
    <t>Sewer Camera with Locator, Anysun Self Leveling Sewer Inspection Camera with Distance Counter, 132ft Cable with 9'' 1080P HD Monitor and DVR 32GB Card, IP68 Waterproof with 12 Lights</t>
  </si>
  <si>
    <t>132ft</t>
  </si>
  <si>
    <t>B0DJ7J5NMH</t>
  </si>
  <si>
    <t>B0FQ1PNCZ2</t>
  </si>
  <si>
    <t>Sewer Camera w/DVR Function, 9" HD 1080P Screen Drain Pipe Inspection Camera, Pipe Plumbing Snake Camera, 4X Zoom, IP68 Waterproof, 6 LEDs,32GB Card, for Sewer Line, Home, Duct Drain Pipe Plumbing</t>
  </si>
  <si>
    <t>B07L3N316J</t>
  </si>
  <si>
    <t>USB Endoscope MASO 5.5MM 2 in 1 IP67 Waterproof Borescope Inspection Camera with 6 Led and 5.5M Snake Cable USB Adapter for Android Phone Tablet Device - Cable length: 1M</t>
  </si>
  <si>
    <t>18.0ft</t>
  </si>
  <si>
    <t>B0CWLW1VPT</t>
  </si>
  <si>
    <t>Endoscope, Borescope, Borescope Endoscope Camera 3 in 1 for Android TypeC Mobile Phone 3.9mm Lens Endoscope Camera High Definition Endoscope (3.5 Meters Soft Cord)</t>
  </si>
  <si>
    <t>B0CXD5G44D</t>
  </si>
  <si>
    <t>Endoscope, Borescope Endoscope Camera 3 in 1 for Android TypeC Mobile Phone 3.9mm Lens High Definition Endoscope (1 Meter Soft Cord)</t>
  </si>
  <si>
    <t>B0D3TV89KV</t>
  </si>
  <si>
    <t>Three Lenses Borescope Camera 8mm IP67 Waterproof Snake Camera AMTORIN Industrial Endoscope 5''IPS Screen 32GB Memory 16.4FT Semi-Rigid Cable Bore Scope for Home (8mm-5m（0.31 in-16.4 ft） Triple Lens)</t>
  </si>
  <si>
    <t>B0D3TMMQF5</t>
  </si>
  <si>
    <t>Dual-Lens Borescope Camera 5mm lP67 Waterproof Digital Snake Camera AMTORIN Industrial Endoscope 5''IPS Screen 32GB Memory Card 16.4FT Semi-Rigid Cable Bore Scope for Home (16.4 ft-0.2 in Dual Lens)</t>
  </si>
  <si>
    <t>B0B5ZS5R25</t>
  </si>
  <si>
    <t>EIXAUP Self Leveling Sewer Camera 165 ft/ 50 m, Built-in 512Hz Transmitter, 10.1" 1080P HD Monitor, IP68 Waterproof, 7mm Thicker Cable, Audio/DVR Recorder, 12 Pcs LED Lights, 16GB Card</t>
  </si>
  <si>
    <t>B07ZPWDP1N</t>
  </si>
  <si>
    <t>Supereyes Otoscope, Upgraded 4mm Ultra-Thin Ear Endoscope, 1.0 Megapixels HD Ear Video Inspection Camera, USB Ear Borescope Waterproof with Flexible Shaped Hose for iOS &amp; Android Smartphone</t>
  </si>
  <si>
    <t>B0CPDR2LZL</t>
  </si>
  <si>
    <t>Sewer Camera with Self-Leveling &amp; 512Hz Transmitter &amp; Distance Counter Pipe Drain Inspection Camera 9" Monitor Borescope Industrial Endoscope (12pcs Light,16GB DVR,164ft/50m)</t>
  </si>
  <si>
    <t>B0D5M2WL2N</t>
  </si>
  <si>
    <t>9 inch Monitor 100ft/30m Pipe Inspection Video Camera,IP68 Waterproof 1080P Drain Sewer Pipeline Industrial Endoscope System with Distance Mark Camera DVR Recorder</t>
  </si>
  <si>
    <t>B0CLP62J18</t>
  </si>
  <si>
    <t>Endoscope Camera with Light, 4.3-inch LCD Display Borescope Inspection Camera, Waterproof, 8mm Camera Diameter, Support 11 Languages(10 Meter)</t>
  </si>
  <si>
    <t>B0D9YF49MC</t>
  </si>
  <si>
    <t>SYANSPAN Sewer Camera - 100FT Pipe Inspection Camera with 4.3" HD Screen, 16GB DVR, 8500mAh Battery, Ideal for Plumbers &amp; Homeowners (17MM/100FT)</t>
  </si>
  <si>
    <t>B0C2CVF5PT</t>
  </si>
  <si>
    <t>Iris Diaphragm Mechanical Adjustable Manual Aperture Lens Mechanical for Digital Camera M4 SK12 1~12mm</t>
  </si>
  <si>
    <t>12mm</t>
  </si>
  <si>
    <t>B0CJM9JWZL</t>
  </si>
  <si>
    <t>Topyond Industrial Endoscope Camera with Light, 1080P HD 8mm Borescope, 2.4" LCD Screen, 8 LED Lights, Waterproof Snake Camera for Mechanics, Plumbing, Automotive Inspection</t>
  </si>
  <si>
    <t>B0D4LH8YTZ</t>
  </si>
  <si>
    <t>Sewer Camera with 512Hz Sonde Transmitter Borescopes Self-Leveling Inspection Camera 1080P HD 7" IPS Screen IP68 Waterproof 0.2in/5MM Industrial Plumbing Endoscope Camera (50M)</t>
  </si>
  <si>
    <t>B0DNZ4T4SR</t>
  </si>
  <si>
    <t>Type-C 3 in 1 Endoscope Camera with Light,HD USB Borescope with 6 Adjustable LED Lights, IP67 Waterproof 16.5FT Semi-Rigid Snake Cord Camera with Type C,Android Phone,PC Tablet</t>
  </si>
  <si>
    <t>B006PEZ58M</t>
  </si>
  <si>
    <t>Milwaukee 2313-20 M12 M-Spector 360 Tool Only</t>
  </si>
  <si>
    <t>39.4ft</t>
  </si>
  <si>
    <t>B09HKTGBPK</t>
  </si>
  <si>
    <t>ANYSUN Sewer Camera's Accessories- Cable (100FT)</t>
  </si>
  <si>
    <t>B0C3H92RTS</t>
  </si>
  <si>
    <t>0.9inch/23mm Sewer Camera Head Protective Cover with Screwdriver,Pipe Inspection Camera Accessories</t>
  </si>
  <si>
    <t>B08QSM45SY</t>
  </si>
  <si>
    <t>Vividia VA-400W3B WiFi Bundle: W03B Wireless Box and VA-400 USB 1-Way Articulating Rigid Borescope with 0.33" Diameter and 15.7" Long Probe for iPhone iPad Windows PC Android Devices</t>
  </si>
  <si>
    <t>B0BLTY4HNG</t>
  </si>
  <si>
    <t>Autel MV480 MaxiVideo Inspection Camera Industrial Endoscope Semi-Rigid Flexible Cable 10-Level Adjustable LED Light Dual Front and Side Cameras High Resolution Advanced MV108 MV105 MV160 MV400 MV460</t>
  </si>
  <si>
    <t>B0CL4ZBFLV</t>
  </si>
  <si>
    <t>5.5mm Endoscope Borescope Inspection Camera with 6 LED Lights for Android, IP67 Waterproof Borescope Inspection Camera with Semi-Rigid Cable for Automotive Engine, HVAC, Drain Inspection (11.5FT)</t>
  </si>
  <si>
    <t>B0BZSHSNZH</t>
  </si>
  <si>
    <t>Industrial Endoscope, 8mm 1080P HD Digital Borescope Inspection Camera 4.3 Inch LCD Screen IP67 Waterproof Snake Camera with LED Lights(Green and Black,7m)</t>
  </si>
  <si>
    <t>B0FJ5NN2KG</t>
  </si>
  <si>
    <t>Industrial Endoscope Camera with 4.3'' HD Screen, 1080P Borescope Inspection Camera with 8 LED Lights, IP67 Waterproof Scope for Automotive, Pipe, Wall, Drain Inspection (5M (16.4FT))</t>
  </si>
  <si>
    <t>B0DDT8XC2S</t>
  </si>
  <si>
    <t>Anysun Sewer Inspection Camera with Locator, Self Leveling, Distance Counter, 7MM 100 Ft Cable, Pipe Camera with 9'' Color Screen DVR, IP68 Waterproof Plumbing Snake Camera for Pipe Inspection</t>
  </si>
  <si>
    <t>B0CH7QT9YD</t>
  </si>
  <si>
    <t>Anysun Replacement Camera Head with 512hz Transmitter, IP68 Waterproof HD Sewer Inspection Camera Head Accessories for SY985, 5100 Series</t>
  </si>
  <si>
    <t>B0FJ5KPPRB</t>
  </si>
  <si>
    <t>Industrial Endoscope Camera with 4.3'' HD Screen, 1080P Borescope Inspection Camera with 8 LED Lights, IP67 Waterproof Scope for Automotive, Pipe, Wall, Drain Inspection (10M (32.8FT))</t>
  </si>
  <si>
    <t>B0CMQPQ689</t>
  </si>
  <si>
    <t>SYOWNFS Sewer Camera with 512Hz Sonde Self-Leveling, Pipe Inspection Camera with DVR Recorder, Endoscope with Meter Counter 12pcs LED Lights for Plumbing 66ft/20m (16 GB SD Card Included)</t>
  </si>
  <si>
    <t>B01IB26MP0</t>
  </si>
  <si>
    <t>M12 M-SPECTOR FLEX 3'FTINS CAMERA CABLE KIT</t>
  </si>
  <si>
    <t>B07SJP5RL2</t>
  </si>
  <si>
    <t>Vividia PM-40 Handheld 4.0mm Diameter USB Digital Microscope Borescope Endoscope Camera with Metal Stand for Windows/MacBook/Android Phone and Tablet</t>
  </si>
  <si>
    <t>B0CP6P5C3M</t>
  </si>
  <si>
    <t>4-Way 360° Articulating Borescope, Joystick 5" HD Endoscope Camera with Light, Waterproof Snake Inspection Camera for Engine, Pipe, HVAC, Wall (6mm Single Lens-3.3FT Flexible Cable)</t>
  </si>
  <si>
    <t>B09BTDWTCQ</t>
  </si>
  <si>
    <t>VSP-600 Car Inspection Camera Videoscope Borescope Scope Camera HD Inspection Camera, Zoom Waterproof Borescope</t>
  </si>
  <si>
    <t>B0CMQPY3PZ</t>
  </si>
  <si>
    <t>SYOWNFS Sewer Camera with 512Hz Sonde Self-Leveling, Pipe Inspection Camera with DVR Recorder, Endoscope with 12pcs LED Lights for Plumbing, 165ft/50m (16GB SD Card Included)</t>
  </si>
  <si>
    <t>B0CMQQS51B</t>
  </si>
  <si>
    <t>SYOWNFS Sewer Camera with 512Hz Sonde Self-Leveling, Pipe Inspection Camera with DVR Recorder, Endoscope with 12pcs LED Lights for Plumbing, 100ft/30m (16GB SD Card Included)</t>
  </si>
  <si>
    <t>B0BBWBT9Y3</t>
  </si>
  <si>
    <t>USB Industrial Endoscope 6 LED Lights 7mm Probe IP67 Waterproof Pipe Inspection Camera for Measuring Pipes Underwater Viewing</t>
  </si>
  <si>
    <t>B0CY9FLRDV</t>
  </si>
  <si>
    <t>Milwoukee Fits Milwaukee 2319-20 M-Spector 4’ Inspection Camera,360 Inspection Camera,360 borescope</t>
  </si>
  <si>
    <t>B00PWKZCHE</t>
  </si>
  <si>
    <t>General Tools PCS55 PalmScope Compact Borescope Video Inspection Camera , Grey</t>
  </si>
  <si>
    <t>B0BBW9DBL7</t>
  </si>
  <si>
    <t>Industrial Endoscope USB Inspection Camera with 6 LED Lights 7mm Probe for PC Pipe Drain Automotive Engine Snake Camera</t>
  </si>
  <si>
    <t>B0BBWC74DX</t>
  </si>
  <si>
    <t>USB Endoscope Inspection Camera 7mm 6 LED Lights IP67 Borescope for Pipe Car Underwater Viewing 2M</t>
  </si>
  <si>
    <t>B005NHJIDU</t>
  </si>
  <si>
    <t>ViVidia AbleScope VA-800 USB Flexible Inspection Camera Borescope Vedioscope with 180 Degree Articulating 8.5mm Diameter Probe</t>
  </si>
  <si>
    <t>B0DRFWK9SD</t>
  </si>
  <si>
    <t>ESANHAO Sewer Pipe Camera with Distance Counter &amp; Light Borescope Inspection Camera with 9" AHD Screen for Plumber, Homeowners (50M)</t>
  </si>
  <si>
    <t>B0FNN4ZG8D</t>
  </si>
  <si>
    <t>Endoscope Camera with 4.3" Screen, 8 LED Lights, 8mm Borescope, IP67 Waterproof Snake Inspection Camera with Semi-Rigid Cable for Automotive, Plumbing, HVAC, Home DIY (2M (6.5FT))</t>
  </si>
  <si>
    <t>B0CMXZG7T4</t>
  </si>
  <si>
    <t>3 in 1 Endoscope Borescope Camera with 6 Adjustable LED Lights 3.9mm Lens Type C IP67 Waterproof Snake Camera 5 Meters Soft Cord</t>
  </si>
  <si>
    <t>B07KXMR5D8</t>
  </si>
  <si>
    <t>Inspection Camera MASO IP67 Waterproof Wireless HD 1200P Endoscope Camera with one Small Hook,WIFI Box Sucker,8 Led Lights,Cable length 2 M,Compatible with iOS/Android/Windows/Mac System</t>
  </si>
  <si>
    <t>B0FJWX92XL</t>
  </si>
  <si>
    <t>Endoscope ﻿Borescope Camera with Light, Inspection Camera with 4.3" IPS Screen 8 Adjustable LED Lights, IP67 Waterproof, Semi-Rigid Cord Bore Scope for ﻿Sewer Automotive Pipe Equipment﻿</t>
  </si>
  <si>
    <t>B0B2RMQCJ8</t>
  </si>
  <si>
    <t>Sanyipace Pushrod Coil Cable for Pipe Camera, 100FT/30M, Sewer Camera Accessories, Hard Waterproof Drain Camera Cable, ONLY for Model: 9300D</t>
  </si>
  <si>
    <t>B0CNLJZ1VK</t>
  </si>
  <si>
    <t>Anysun Sewer Camera Self Leveling, 512Hz Transmitter, Meter Counter, 10" HD 270 Degree Adjustable Pipe Camera with Keyboard, 1-Touch Video/Audio, Plumbing Snake Camera with 7mm Thicker Cable - 265Ft</t>
  </si>
  <si>
    <t>265ft</t>
  </si>
  <si>
    <t>B0FNN3VSSR</t>
  </si>
  <si>
    <t>Endoscope Camera with 4.3" Screen, 8 LED Lights, 8mm Borescope, IP67 Waterproof Snake Inspection Camera with Semi-Rigid Cable for Automotive, Plumbing, HVAC, Home DIY (5M (16.4FT))</t>
  </si>
  <si>
    <t>B0B2RK7SQB</t>
  </si>
  <si>
    <t>Sanyipace Pushrod Coil Cable for Pipe Camera, 165FT/50M, Sewer Camera Accessories, Hard Waterproof Drain Camera Cable, ONLY for Model: 9300D</t>
  </si>
  <si>
    <t>B0CDPWZBMM</t>
  </si>
  <si>
    <t>Sewer Camera 512Hz Transmitter,5MM Diameter Cable, Microphone/DVR, 165FT/50M Pipe Inspection Borescopes, 10.1'' HD 1080P IPS Screen Plumbing Camera IP68 Waterproof</t>
  </si>
  <si>
    <t>B0CDPWXHHL</t>
  </si>
  <si>
    <t>Sewer Camera 512Hz Transmitter,5MM Diameter Cable, Microphone/DVR, 66FT/20M Pipe Inspection Borescopes, 10.1'' HD 1080P IPS Screen Plumbing Camera IP68 Waterproof</t>
  </si>
  <si>
    <t>B0CDPVPP3S</t>
  </si>
  <si>
    <t>Sewer Camera 512Hz Transmitter,5MM Diameter Cable, Microphone/DVR, 98FT/30M Pipe Inspection Borescopes, 10.1'' HD 1080P IPS Screen Plumbing Camera IP68 Waterproof</t>
  </si>
  <si>
    <t>B0C8GQGDRP</t>
  </si>
  <si>
    <t>Borescope Inspection Camera Accessory, 23mm Pipe Inspection Camera 140 Degrees View Professional with 12 LED Lights for Pipe Camera</t>
  </si>
  <si>
    <t>B0BD4N11HJ</t>
  </si>
  <si>
    <t>Autel MV105 MaxiVideo Digital Inspection Camera 5.5mm Image Head HD Video Scope with Waterproof Snake Cable Work with PC and MX808 MS906S MS906TS MK906BT MK908P MS908P MS909 MS919 MS Ultra MS Elite</t>
  </si>
  <si>
    <t>B0CSZ4CFDR</t>
  </si>
  <si>
    <t>Acekool Articulating Borescope, 360 Endoscope Camera with Light,1280P Inspection Snake Camera for Borescope Automotive Engine 5.5ft Industrial Borescope</t>
  </si>
  <si>
    <t>B0GCKPNWTJ</t>
  </si>
  <si>
    <t>OKK Professional 166ft Sewer &amp; Drain Inspection Camera Kit-Features a 9" IPS Screen-1080P HD Self-Leveling Camera Head IP68 Waterproof, Built-in DVR with 32GB Card, 5100mAh Battery 7mm Cable</t>
  </si>
  <si>
    <t>B0C2CBFQNB</t>
  </si>
  <si>
    <t>USB Endoscope Camera IP67 Waterproof 6 LED Lights 5m Cable for Smartphone Inspection</t>
  </si>
  <si>
    <t>B0CXDVPQMX</t>
  </si>
  <si>
    <t>17mm Sewer Camera Accessories 6 LED Lights IP68 for Pipe Drain Camera Replacement with Protective Sleeve</t>
  </si>
  <si>
    <t>B07BSW3WFN</t>
  </si>
  <si>
    <t>WGear endoscope case for Depstech Wireless, USB, Wireless Borescope, AKASO, iksee, BlueFire, Mousand, Fantronics, ROTEK, mesh pocket for side mirror, hook etc</t>
  </si>
  <si>
    <t>B08HD8W26Y</t>
  </si>
  <si>
    <t>P40 Handheld Endoscope 1920 x 1080P Industrial Inspection Camera 4.3inch Color Display Screen Endoscope 8mm</t>
  </si>
  <si>
    <t>B0BNLP3ZR9</t>
  </si>
  <si>
    <t>Wohler VE 400 HD Video Endoscope</t>
  </si>
  <si>
    <t>B0CNV7FGHP</t>
  </si>
  <si>
    <t>JOSKAA Iridology Camera Iris Analyzer, 5.0 MP Iris Analysis Camera, Iridology Camera for Iris Analyzer, Left/Right/USB Lamp Analyzer with Iris Software, High Resolution 2560x1920</t>
  </si>
  <si>
    <t>B01I2574LM</t>
  </si>
  <si>
    <t>Milwaukee Electric Tool 2309-20 M-Spector Inspection Scope Kit, 9 mm, 4.92 " x 10.55 " x 13.39"</t>
  </si>
  <si>
    <t>B0D141G32T</t>
  </si>
  <si>
    <t>ESANHAO Sewer Camera Drain Snake Plumbing Inspection Camera 5" Screen with Video Recording DVR Included 32GB TF-Card (30M with Lcator)</t>
  </si>
  <si>
    <t>B07ZH9P8QH</t>
  </si>
  <si>
    <t>SKYBASIC Industrial Endoscope - Digital Borescope with 4.3 Inch LCD, HD Snake Camera, 6 LED Lights, Semi-Rigid Cable, 32GB Card and Tool - 16.5FT</t>
  </si>
  <si>
    <t>B0DK6XRYRH</t>
  </si>
  <si>
    <t>Anysun 5860 Model Sewer Camear Black Control Box Replacement, Including Monitor and Battery, Only for Anysun 5860 Serie Sewer Camera System</t>
  </si>
  <si>
    <t>B0D3KVKG97</t>
  </si>
  <si>
    <t>JINXINEBAY 4.3''Sewer Camera,Pipe Drain Inspection Camera with DVR,HD 1000TVL, 0.72FT/22MM Borescope with 12PCS LED Lights,Industrial Endoscope with 16GB TF Card and 5600MAH Battery (50M/164FT)</t>
  </si>
  <si>
    <t>B0DG4RFKFX</t>
  </si>
  <si>
    <t>Sewer Camera Self Leveling with Locator, 7MM Thicker Pushrod, Keyboard, Distance Counter, 10.1'' Large HD Monitor, 100Ft/30M Sewer Inspection Camera IP68 with DVR &amp; SD Card Industrial Borescope Snake</t>
  </si>
  <si>
    <t>B0DG594PYN</t>
  </si>
  <si>
    <t>Sewer Camera Self Leveling with Distance Counter &amp; Keyboard, 7MM Thicker Pushrod, 10.1'' Large HD Monitor, 100Ft/30M Sewer Pipe Inspection Camera IP68 with DVR &amp; SD Card Industrial Borescope Snake</t>
  </si>
  <si>
    <t>B0CPL1RHQV</t>
  </si>
  <si>
    <t>Endoscope Camera with Lights, 8mm Slim Probe Borescope Inspection Camera, 9.8ft Semi-Rigid Cable, IP67 Waterproof Snake C Amera for iOS Device,Gadget for Men</t>
  </si>
  <si>
    <t>B0DJSTV32W</t>
  </si>
  <si>
    <t>ZX3-D1 Two-Way Articulating Borescope with Light, 0.15in Industrial Endoscope Inspection Camera, 5-inch IPS Articulated Snake Camera, 8X Zoom Video Inspection Scope- 3.3FT</t>
  </si>
  <si>
    <t>B0D9VVW5XV</t>
  </si>
  <si>
    <t>Replacement Cable, Anysun Sewer Camera Parts Only for Anysun SY958 Series Sewer Inspection Camera</t>
  </si>
  <si>
    <t>B01D8UDBOK</t>
  </si>
  <si>
    <t>Milwaukee New 2313-21 12 Volt M12 Cordless Inspection Camera System Scope Sale</t>
  </si>
  <si>
    <t>B0DDT8R3BJ</t>
  </si>
  <si>
    <t>Anysun Sewer Inspection Camera with Locator, Self Leveling, Distance Counter, 7MM 165 Ft Cable, Pipe Camera with 10'' Color Screen DVR, IP68 Waterproof Plumbing Snake Camera for Pipe Inspection</t>
  </si>
  <si>
    <t>B0DLNMQVG5</t>
  </si>
  <si>
    <t>Endoscope Camera with Light</t>
  </si>
  <si>
    <t>B0DFBX5K4H</t>
  </si>
  <si>
    <t>Ubxvamm Endoscope Camera with Light, Borescope with Adjustable LED Light,Endoscope Camera,Waterproof Inspection Cameras</t>
  </si>
  <si>
    <t>B0DFBTRKSG</t>
  </si>
  <si>
    <t>B0DFBSJYXG</t>
  </si>
  <si>
    <t>B00UW6OQYI</t>
  </si>
  <si>
    <t>Vividia TVS-300DVR Telescopic Industrial Video Inspection Camera System 3 Meter Long with DVR Recording, 5" LCD Screen and Sturdy Case</t>
  </si>
  <si>
    <t>B00JXDWBMA</t>
  </si>
  <si>
    <t>Supereyes Y002 7mm 200X Waterproof Handheld Digital Microscope Borescope Endoscope Otoscope with LED</t>
  </si>
  <si>
    <t>B0CRRWDNC5</t>
  </si>
  <si>
    <t>Sewer Camera Big Guide Wheel Expandable,JQKJCAM Pipe Sewer Inspection Camera Accessory Parts Attachment for 0.9''/23MM Camera Head,Protector Standing and Skid for Drain Borescope</t>
  </si>
  <si>
    <t>B0D6W5RJHH</t>
  </si>
  <si>
    <t>SYANSPAN Sewer Camera with Locator, Borescopes 512HZ Pipe Receiver Aluminum Box, LED Display Water Line Locator, Underground Pipe Locator, for Pipe Inspection Camera</t>
  </si>
  <si>
    <t>B0C9SKGWZ9</t>
  </si>
  <si>
    <t>Endoscope, IP67 Borescope Inspection 2.0 Megapixels HD Snake Camera for Android and iOS Smartphone, Phone, PAD, Black, Compatible with Micro U</t>
  </si>
  <si>
    <t>B0CQK65MV3</t>
  </si>
  <si>
    <t>LANRU P100 Industrial Endoscope 8mm 1080P Digital Borescope IP67 Waterproof Snake Scope Camera Handheld Inspection Camera with 2.4'' IPS Screen 6 LED-Lights</t>
  </si>
  <si>
    <t>B0CQK4PV6R</t>
  </si>
  <si>
    <t>B09L16F7YB</t>
  </si>
  <si>
    <t>0.9inch/23mm Sewer Camera Head Accessories Self-Leveling for Industrial Drain Pipe Endoscope Camera with Wheel and Protective Cover</t>
  </si>
  <si>
    <t>B0FLY67WHM</t>
  </si>
  <si>
    <t>Saker T40 Endoscope</t>
  </si>
  <si>
    <t>B07BZB3XDF</t>
  </si>
  <si>
    <t>USB 3 in 1 Endoscope Inspection Camera 0.3 Megapixels IP67 Snake Camera with 6 Adjustable Led Light for Android Micro/Type C/USB PC – 1.5M Black</t>
  </si>
  <si>
    <t>B0F2MS1GPF</t>
  </si>
  <si>
    <t>ZDETGU Y102 USB 3-in- Borescope Camera with 5 5mm Lens 6LED Lights 5M Cable IP67 for and Compatible HD Inspection Camera</t>
  </si>
  <si>
    <t>B0CPL36CD9</t>
  </si>
  <si>
    <t>Endoscope Camera with Light,Inspection Camera 16.4ft Gadgets for Men 1080P HD Endoscope with 8 Adjustable LED Lights(9.8ft)</t>
  </si>
  <si>
    <t>B0FT33Q1BX</t>
  </si>
  <si>
    <t>B0CW9R7FV8</t>
  </si>
  <si>
    <t>0.15in (3.9mm) Ultra Thin Two-Way Articulating Turnable Borescope with Dimmable Light, Flexible Cable, Screen Rotation, Waterproof Probe, 3-Step Zoom</t>
  </si>
  <si>
    <t>B0D5TZ25W6</t>
  </si>
  <si>
    <t>HMWOKPOT 2.0 MP USB Portable Iridology Camera, Iris Analyzer with 12MP HD 30X Iris Lens and Driver-Free Analysis Software for Health Center, Spa</t>
  </si>
  <si>
    <t>B0G64JFPW4</t>
  </si>
  <si>
    <t>Endoscope Camera with Light, 1920P HD Endoscope Camera, Semi-Rigid Snake Probe, Inspection Borescope for iOS &amp; Android</t>
  </si>
  <si>
    <t>B0D1GDJMMT</t>
  </si>
  <si>
    <t>Sanyipace Battery ONLY Sewer Camera Model: F5100DJKABTX</t>
  </si>
  <si>
    <t>B0FNQSLBVH</t>
  </si>
  <si>
    <t>Sewer Camera with Self-Leveling, 9'' 1080P HD Screen, 165ft Plumbing Snake with Light, IP68 Waterproof Inspection Camera, Drain Pipe with DVR 16GB</t>
  </si>
  <si>
    <t>B0DH3VY6YN</t>
  </si>
  <si>
    <t>Endoscope Camera, Professional Industrial Snake Camera 1080P HD Inspection 4.3in LCD Display with Light for Sewer (CCYLEZwoz27h140m-12)</t>
  </si>
  <si>
    <t>B0DH3XC89T</t>
  </si>
  <si>
    <t>Endoscope Camera, Professional Industrial Snake Camera 1080P HD Inspection 4.3in LCD Display with Light for Sewer (CCYLEZwoz27h140m-11)</t>
  </si>
  <si>
    <t>B0CDQ58VBY</t>
  </si>
  <si>
    <t>USB Industrial Endoscope with 6 LED Lights 7mm Probe Pipe Inspection Camera IP67 for Measuring Pipes (1M)</t>
  </si>
  <si>
    <t>B0D9WSXMS3</t>
  </si>
  <si>
    <t>Triplett BR350CAM-5M-5.5MM Replacement Borescope Camera Probe for BR350, 5M Cable</t>
  </si>
  <si>
    <t>B08VVWVM7P</t>
  </si>
  <si>
    <t>Vividia VA-880 USB 2-Way Articulating Automotive Borescope Diagnostic Inspection Camera 8.5mm 0.335" Diameter 1m Long Probe for Mechanics Technician (WiFi Box + VA-880 Scope)</t>
  </si>
  <si>
    <t>B08VWBR4LJ</t>
  </si>
  <si>
    <t>Vividia VA-880 USB 2-Way Articulating Automotive Borescope Diagnostic Inspection Camera 8.5mm 0.335" Diameter 1m Long Probe for Mechanics Technician (VA-880 Scope only)</t>
  </si>
  <si>
    <t>B08VW1BRHJ</t>
  </si>
  <si>
    <t>Vividia VA-880 USB 2-Way Articulating Automotive Borescope Diagnostic Inspection Camera 8.5mm 0.335" Diameter 1m Long Probe for Mechanics Technician (LCD Monitor + VA-880 Scope)</t>
  </si>
  <si>
    <t>B01FLYOCGM</t>
  </si>
  <si>
    <t>Supereyes Y003 5.4mm Waterproof Handheld USB Digital Microscope Magnifier Borescope Endoscope with Side Mirrors</t>
  </si>
  <si>
    <t>B09QBDSQ19</t>
  </si>
  <si>
    <t>Vividia CT-4010 LCD/WiFi Flexible Two-Way Articulating Inspection Camera Borescope Videoscope with 4mm (0.16") Diameter 1.0m Long Waterproof IP67 Probe</t>
  </si>
  <si>
    <t>B0C7GJNTB9</t>
  </si>
  <si>
    <t>Splenssy Endoscope Camera with Light, 0.3 MP 7mm Lens HD Borescope with 6 Adjustable LED Lights, Endoscope with Semi-Rigid Snake Cable, IP67 Waterproof Inspection Camera</t>
  </si>
  <si>
    <t>B0CS6MRF2Z</t>
  </si>
  <si>
    <t>Auttoop 5.5 mm Borescope Inspection Snake Camera Waterproof,USB C Endoscope for Phone, Computer, 16.4 Ft Semi-Rigid Cord with 6 LED Lights, Compatible with Windows</t>
  </si>
  <si>
    <t>B00LE61MV0</t>
  </si>
  <si>
    <t>Vividia Mini 4.5mm Photo &amp; Video Recordable Flexible Inspection Camera Borescope Endoscope with 3.5" LCD Monitor</t>
  </si>
  <si>
    <t>4.5mm</t>
  </si>
  <si>
    <t>B0BZVN4HY8</t>
  </si>
  <si>
    <t>IPG For Industrial Endoscope Inspection Camera 4.3" LCD Screen Protector (2 Units) Hydrogel Invisible Screen Guard - HD Quality/Self-Healing/Bubble -Free for Endoscope</t>
  </si>
  <si>
    <t>B0B14ZT6GT</t>
  </si>
  <si>
    <t>Wall Charger AC Power Adapter for Extech BR250 BR200 borescope Inspection Camera</t>
  </si>
  <si>
    <t>B0D97SD7Q6</t>
  </si>
  <si>
    <t>Sewer Camera,197Ft/60M 512Hz Self-Leveling Pipe Inspection Camera with 9" 1080P Monitor, Distance Counter,0.28in/7mm Thicker Cable Plumbing Snake Borescope,16GB Card</t>
  </si>
  <si>
    <t>197ft</t>
  </si>
  <si>
    <t>B0D97V45MK</t>
  </si>
  <si>
    <t>Sewer Camera,165Ft/50M 512Hz Self-Leveling Pipe Inspection Camera with 9" 1080P Monitor, Distance Counter,0.28in/7mm Thicker Cable Plumbing Snake Borescope,16GB Card</t>
  </si>
  <si>
    <t>B0CKRRFPWY</t>
  </si>
  <si>
    <t>Industrial Borescope, IP67 Waterproof Inspection Endoscope 640x480 Resolution USB 5V Wide Compatibility for Pipe</t>
  </si>
  <si>
    <t>B0F489HT24</t>
  </si>
  <si>
    <t>Sewer Camera,Pipe Drain Inspection Camera with DVR, Plumbing Snake Camera with Light, 7'' HD 1080P IPS Screen,16X Digital Zoom,32GB Card,100FT/30M,IP68 Waterproof Borescope for Industrial Plumber</t>
  </si>
  <si>
    <t>B0FKGNSWW8</t>
  </si>
  <si>
    <t>Self-Leveling Sewer Camera, 200ft Cable Pipe Cameras System, HD1200TVL Stainless Steel Shell Infinitely Dimmable 12PCS LED IP68 Waterproof Inspection-Camera W/ 9-Inch Monitor, 8G Memory Card</t>
  </si>
  <si>
    <t>B0DDCTNDTF</t>
  </si>
  <si>
    <t>2324-21 Drain Camera, Inspection Camera, Borescope for Milwaukee M12 12V 360 Cordless M-Spector 10' Inspection Camera Kit</t>
  </si>
  <si>
    <t>B07RYBTQPC</t>
  </si>
  <si>
    <t>Dino-Lite Medical Trichoscope | Dino-Med Edge Series | USB Only | AF4115ZT(W)-T</t>
  </si>
  <si>
    <t>B019RAUAHG</t>
  </si>
  <si>
    <t>HHIP 8902-0065 Wired Borescope with LCD Monitor, 9 mm Camera Head</t>
  </si>
  <si>
    <t>B0DFYYPLQS</t>
  </si>
  <si>
    <t>Industrial Borescope Camera 7mm Diameter 2m Cable USB-C 2MP for Pipeline Inspection Aluminum Alloy</t>
  </si>
  <si>
    <t>B0D14SJ93Q</t>
  </si>
  <si>
    <t>3.9mm Borescope High Definition Inspection Camera, 6 LED Lights Flexible Endoscope Camera for Car Industry (Soft Cord 1m)</t>
  </si>
  <si>
    <t>B0FQTHB551</t>
  </si>
  <si>
    <t>HD Pure Cable Coil of Sanyipace Sewer Camera Devices, Length 100FT/30M, Diameter 0.28in/7mm, Excluding Coil Frame</t>
  </si>
  <si>
    <t>B0CMD25GSF</t>
  </si>
  <si>
    <t>Dodoam Sewer Camera, 200FT, 9" Screen Pipeline Inspection Camera with DVR Function &amp; 8 GB SD Card, Waterproof IP68 Borescope w/LED Lights, Industrial Endoscope（US Stock）</t>
  </si>
  <si>
    <t>B08J27J2QY</t>
  </si>
  <si>
    <t>Vividia AbleScope VA-408 USB Rigid Long Articulating Borescope with 180 Degree One-Way Articulation 8.5mm Diameter and 31 Inch Long Probe and 1280x720 Pixel Resolution (VA-408 and LCD Screen)</t>
  </si>
  <si>
    <t>B0CSJQMN4F</t>
  </si>
  <si>
    <t>JINXINEBAY Sewer Camera,Self-Leveling,512Hz Transmitter,10'' IPS Monitor,98.4ft Industrial Endoscope,0.28in/7mm Fiberglass Cable,1080P IP68 Waterproof Pipe Inspection Camera with DVR and 16GB Card</t>
  </si>
  <si>
    <t>B08J1SHSCJ</t>
  </si>
  <si>
    <t>Vividia AbleScope VA-408 USB Rigid Long Articulating Borescope with 180 Degree One-Way Articulation 8.5mm Diameter and 31 Inch Long Probe and 1280x720 Pixel Resolution (VA-408 USB only)</t>
  </si>
  <si>
    <t>B08J1Y8QHK</t>
  </si>
  <si>
    <t>Vividia AbleScope VA-408 USB Rigid Long Articulating Borescope with 180 Degree One-Way Articulation 8.5mm Diameter and 31 Inch Long Probe and 1280x720 Pixel Resolution (VA-408 and WiFi Box)</t>
  </si>
  <si>
    <t>B0FJ543JXH</t>
  </si>
  <si>
    <t>B003629WRQ</t>
  </si>
  <si>
    <t>Solar Eclipse SE001CAM Wall and Pipe Inspection Camera with 2.4" Color LCD Monitor</t>
  </si>
  <si>
    <t>B0CMV7M4JG</t>
  </si>
  <si>
    <t>5in LCD Industrial Endoscope Borescope Handheld Inspection Camera Borescope IP67 for Car Maintenance, Pipelin Repair, Mechanical Inspection (10m / 32.8ft)</t>
  </si>
  <si>
    <t>B0FK5LD87G</t>
  </si>
  <si>
    <t>Sewer Camera, Self-Leveling Distance Counter Borescope Pipe Inspection Camera with Pull Rod,9" HD 1080P Screen DVR/Audio Recorder 32G Card 7mm Cable Plumbing Snake Endoscope IP68 Waterproof</t>
  </si>
  <si>
    <t>B0DGXP7DHW</t>
  </si>
  <si>
    <t>NIHUIFA Borescope Endoscope Camera with Light Snake Cameras Inspection Cameras with Adjustable LED Light</t>
  </si>
  <si>
    <t>B0DCKGQPZ1</t>
  </si>
  <si>
    <t>7mm Endoscope Camera, USB Inspection Camera with Type C, USB, and MicroUSB Interfaces, 2m Snake HD Video Borescope Compatible with Phone and Tablet</t>
  </si>
  <si>
    <t>B0DGXPF1G5</t>
  </si>
  <si>
    <t>B0DGXHW6JJ</t>
  </si>
  <si>
    <t>B07YD2RJQF</t>
  </si>
  <si>
    <t>WiFi 3.9mm 2MP Telephoto Borescopes Endoscope Waterproof USB Pipe Car Inspection Camera 3 cm-8 cm Focal 6 White LED Bright Light Support Android, Windows &amp; MacBook PC, iOS (1M)</t>
  </si>
  <si>
    <t>B00LDZ20WW</t>
  </si>
  <si>
    <t>Vividia Mini 3.9mm Photo &amp; Video Recordable Flexible Inspection Camera Borescope Endoscope with Wireless 3.5" LCD Monitor</t>
  </si>
  <si>
    <t>B0DPRHDXQG</t>
  </si>
  <si>
    <t>ROYALEAD USB Phone Inspections Camera, Portable Borescope, Portable Inspections Camera, Black, Waterproof, 640x480 Resolution, For Auto Repairs, Equipment Maintenance, Household Tasks</t>
  </si>
  <si>
    <t>B0C7LV1WSY</t>
  </si>
  <si>
    <t>Vividia CXM-6010 Flexible Joystick Articulation Video Borescope 1 Meter Long Videoscope Inspection Camera Endoscope with 4.5" LCD Monitor (6mm Camera Head Diameter)</t>
  </si>
  <si>
    <t>B0CNV5RBBH</t>
  </si>
  <si>
    <t>BoxWave Screen Protector Compatible with Depstech Triple Lens borescope Inspection Camera (5 in) - ClearTouch Anti-Glare (2-Pack), Anti-Fingerprint Matte Film Skin</t>
  </si>
  <si>
    <t>B0CCS47QP1</t>
  </si>
  <si>
    <t>Sewer Camera,SYANSPAN 4.3"Pipe Drain Inspection Camera with Red Fiberglass Stiff Snake Cable,Dia 17mm Borescope w/LED Lights,Industrial Endoscope for Drain Pipe Plumbing(No DVR,66ft/20M)</t>
  </si>
  <si>
    <t>B0DTRS2K13</t>
  </si>
  <si>
    <t>BoxWave Screen Protector Compatible with Depstech Triple Lens borescope (7 in) - ClearTouch ImpactShield (2-Pack), Impenetrable Screen Protector Flexible Film</t>
  </si>
  <si>
    <t>B0DTLFY4BW</t>
  </si>
  <si>
    <t>Endoscope Camera Mobile Phone PC USB Type C 3 in 1 for Android with LED Light for Automobile 5meter Hard Wire 5.5mm</t>
  </si>
  <si>
    <t>B00Z19DSWW</t>
  </si>
  <si>
    <t>General Tools DCS660A Wet/Dry Recording Video Inspection System with 1 Meter Long &amp; 8mm Diameter Camera Tipped Probe</t>
  </si>
  <si>
    <t>B08PDNH3LV</t>
  </si>
  <si>
    <t>Lyman Borecam Pro: Wireless Bore Camera</t>
  </si>
  <si>
    <t>B0792F5YN9</t>
  </si>
  <si>
    <t>Omnihil AC/DC Power Adapter Compatible with General Tools DCS1800 Wireless Video Borescope System Power Supply</t>
  </si>
  <si>
    <t>B0DPHZ3VMV</t>
  </si>
  <si>
    <t>Endoscope Camera with Light, 3.9MM Type C/USB HD Borescope Inspection Camera, 15-20mm Depth of Field, Wide Angle Borescope Camera</t>
  </si>
  <si>
    <t>B0CTJ4DB4L</t>
  </si>
  <si>
    <t>Inspection Camera, Inspection Camera 5.5mm, Digital Endoscope 4.3inch Screen, 1080P, 11.5FT Cable, Automotive Plumbing, Borescopes (10m / 32.8ft)</t>
  </si>
  <si>
    <t>B008UCZBT0</t>
  </si>
  <si>
    <t>Vividia USB Flexible Inspection Camera Borescope Endoscope with 5x Zoom Function and 11.2mm Camera Head Outer Diameter</t>
  </si>
  <si>
    <t>11.2mm</t>
  </si>
  <si>
    <t>B0B5Z5P64N</t>
  </si>
  <si>
    <t>Cuifati 512hz Sewer Camera Locator, 512hz Pipe Locator Receiver and Transmitter for Sewer Camera, 5 Meters/6 Level Signal Strength/10 Hours Working</t>
  </si>
  <si>
    <t>B0F62NZLTC</t>
  </si>
  <si>
    <t>Danculpe Two-Way Articulating Borescope Camera with Light, Endoscope Inspection Camera with 3.3FT Semi-Rigid Probe, IP67 Waterproof Inspection, Flexible Snake Scope for Home Repair, Automotive</t>
  </si>
  <si>
    <t>B0DJ83168F</t>
  </si>
  <si>
    <t>wengjack USB Phone Inspections Camera Endoscope USB Inspections Camera Inspections Camera</t>
  </si>
  <si>
    <t>B0C14788YZ</t>
  </si>
  <si>
    <t>Sewer Camera 100ft Sewer Inspection Camera with Distance Counter and Keyboard 7" Screen IP68 Waterproof Industrial Endoscope Snake Camera 17MM Drain Pipe Inspection Camera</t>
  </si>
  <si>
    <t>B0C7LV2PLL</t>
  </si>
  <si>
    <t>Vividia CXM-4010 Flexible Joystick Articulation Video Borescope 1 Meter Long Videoscope Inspection Camera Endoscope with 4.5" LCD Monitor (4mm Camera Head Diameter)</t>
  </si>
  <si>
    <t>B07SGNF588</t>
  </si>
  <si>
    <t>Vividia GB-430 USB Digital Manual Focus Gun Barrel Borescope Endoscope Videoscope Inspection Camera with 4mm (0.158") Diameter and 12" (30 cm) Long Insertion Tube</t>
  </si>
  <si>
    <t>12.0"</t>
  </si>
  <si>
    <t>B0CVZVDNMP</t>
  </si>
  <si>
    <t>Anysun Sewer Camera Cable Bracket, 230Ft/70M, Only for Anysun 5100 All-in-One Pipe Inspection Camera System</t>
  </si>
  <si>
    <t>B0C6CTKG8H</t>
  </si>
  <si>
    <t>Calvan 85 Pistol Grip WiFi Borescope</t>
  </si>
  <si>
    <t>B0B3DXCYR1</t>
  </si>
  <si>
    <t>Sewer Camera with 100ft/30m for Drain Plumbing Inspection,Sewer Inspection Endoscope 7inch 1080P IPS Screen with DVR Recorder,Inspection Camera IP68 Waterproof Industrial Endoscope with 12PCS LEDs</t>
  </si>
  <si>
    <t>B0FWKRH94Y</t>
  </si>
  <si>
    <t>YDuupxe Endoscope Camera with Light, 5.5mm Probe, IP67 Waterproof, 5 Meter Semi- Cable, USB C Inspection Borescope for Android Smartphones, Car Engine, Pipe, Wall Inspection Tool</t>
  </si>
  <si>
    <t>B01HS8697E</t>
  </si>
  <si>
    <t>PCE Instruments PCE-VE 200 Industrial Borescope, for Visual inspections in Hard-to-Reach Areas, Features 1 m / 3.3 ft Probe, 3.5" Display, Plus LED Lighting and Image/Video Storage</t>
  </si>
  <si>
    <t>B09QD468XR</t>
  </si>
  <si>
    <t>Vividia BD-8050U USB Dual Camera Borescope with 8mm (0.32") Diameter 5m (16ft) Long Semi-Rigid Probe for Windows PC MacBook Chromebook and Android Devices</t>
  </si>
  <si>
    <t>B0BNLNCQS7</t>
  </si>
  <si>
    <t>Wohler VIS Camera Trolley</t>
  </si>
  <si>
    <t>B0B5VLRKBM</t>
  </si>
  <si>
    <t>Cuifati 512hz Sewer Camera Locator, 512hz Pipe Locator Receiver and Transmitter for Sewer Camera, 5 Meters/6 Level Strength/10 Hours Working(CA)</t>
  </si>
  <si>
    <t>B0FSZYFMRW</t>
  </si>
  <si>
    <t>Sumkea New Upgrade 512hz Locator and 512hz Sonde Transmitter Kit with Box for Sewer Inspection Camera, Only for Sumkea Sewer Camera 10DX1, 10DZ, 7DVE, 7DA, L09D, 7GY60A</t>
  </si>
  <si>
    <t>B0CLVT2TD7</t>
  </si>
  <si>
    <t>gernie Endoscope Camera 5.5Mm Hard Wire Light Cable Mobile Phone USB Car for Led 5M Hard Wire 5Meter Endoscopes</t>
  </si>
  <si>
    <t>B00APAM27Y</t>
  </si>
  <si>
    <t>Vividia Mini 8mm USB Flexible Inspection Camera Borescope Endoscope Microscope with Manual Focus and Mirrors for Side View</t>
  </si>
  <si>
    <t>B0FCGBDMJJ</t>
  </si>
  <si>
    <t>UNI-T Inspection Camera UT663B 1m/2m/3m Industrial Borescope Inspection Camera with 5 inch Screen 180° Turning High Definition Visual Endoscope(UT663B 2M)</t>
  </si>
  <si>
    <t>B0FCG5N9V2</t>
  </si>
  <si>
    <t>UNI-T Inspection Camera UT663B 1m/2m/3m Industrial Borescope Inspection Camera with 5 inch Screen 180° Turning High Definition Visual Endoscope(UT663B 3M)</t>
  </si>
  <si>
    <t>B0FPQRJL3Z</t>
  </si>
  <si>
    <t>Anysun Sewer Camera Self-Leveling with 512Hz Sonde, 9" HD Screen DVR Recorder, IP68 Waterproof Plumbing Pipe Borescope Inspection, 7mm Cable with Meter Marks(150FT)</t>
  </si>
  <si>
    <t>B0CNSG5LZN</t>
  </si>
  <si>
    <t>JOSKAA Iridology Camera, 5.0 Mp USB Iriscope Iris Analyzer Iridology Camera with Pro Iris English Software 30x Iris Lens Adjustable Focus, Multi-Function Iris Analysis Software for Beauty Salon, SPA</t>
  </si>
  <si>
    <t>B0B1BGF915</t>
  </si>
  <si>
    <t>Vividia PM-190 USB 12MP Digital Borescope Endoscope Microscope with 19mm Tube Diameter and Max. 12 Mega-Pixel Resolution</t>
  </si>
  <si>
    <t>19mm</t>
  </si>
  <si>
    <t>B0CCS5TZT6</t>
  </si>
  <si>
    <t>Sewer Camera,SYANSPAN 4.3"Pipe Drain Inspection Camera with Snake Cable,Waterproof IP68 Borescope w/LED Lights,Industrial Endoscope for Home Wall Duct Drain Pipe Plumbing(No DVR,33ft/10M)</t>
  </si>
  <si>
    <t>B0CCS3M34T</t>
  </si>
  <si>
    <t>SYANSPAN Sewer Camera,Borescope Camera with Light,4.3"Sewer Drain Pipe Inspection Camera Endoscope for Home Wall Duct Drain Pipe Plumbing(No DVR,164ft/50M)</t>
  </si>
  <si>
    <t>B0CNV59R6S</t>
  </si>
  <si>
    <t>BoxWave Screen Protector Compatible with Depstech Triple Lens borescope (7 in) - ClearTouch Crystal (2-Pack), HD Film Skin - Shields from Scratches</t>
  </si>
  <si>
    <t>B0FJXKBV6W</t>
  </si>
  <si>
    <t>BINBINNIAO S20 6mm Lens 360° Rotation Pipeline Detector Turnable Handheld Endoscope for Home Appliance Testing Blockage Troubleshoot(S20-6mm-4.3INCH)</t>
  </si>
  <si>
    <t>B0CCS3ZG6M</t>
  </si>
  <si>
    <t>Sewer Camera 100ft,SYANSPAN 4.3"Pipe Drain Inspection Camera with Red Fiberglass Stiff Snake Cable,Dia 17mm Industrial Endoscope for Home Wall Duct(No DVR,100ft/30M)</t>
  </si>
  <si>
    <t>B0CCS44KS1</t>
  </si>
  <si>
    <t>Sewer Camera 100ft,SYANSPAN 23mm Sewer Inspection Camera,16GB DVR Video Recording Endoscope Borescope w/ 8500mAh Low Temperature Resistant Battery(100ft/30M,16GB DVR)</t>
  </si>
  <si>
    <t>B0FNXCCPZ7</t>
  </si>
  <si>
    <t>Luocute Borescope Camera with Light, 1080P HD Digital Endoscope with 8 Adjustable LEDs 2m Cable, 4.3in LCD Screen Inspection Camera 8mm IP67 Water Resistants Sewer Cam</t>
  </si>
  <si>
    <t>B09PPHJ35Z</t>
  </si>
  <si>
    <t>K Tool International XD3K Digital Video Inspection Borescope for Garages, Repair Shops, and DIY, 2.5" LCD Color Screen, (4) AA Batteries, 8.5mm Camera, 4x Digital Zoom, 6-Level Adjustable LED Lighting</t>
  </si>
  <si>
    <t>B0D49NCDSK</t>
  </si>
  <si>
    <t>2MP HD Lens Articulating Borescope Camera with 5in Screen Inspection Rotatable View Angle for Excellent Inspection Experience 5 Meters 16.4ft</t>
  </si>
  <si>
    <t>B0FD4GDCDK</t>
  </si>
  <si>
    <t>Vividia ME-610A 360° Joystick Articulating Borescope, 6mm/0.24in Diameter, 3.3ft/1m Flexible IP67 Waterproof Probe, 5" LCD Monitor</t>
  </si>
  <si>
    <t>B0FD54M2V2</t>
  </si>
  <si>
    <t>Vividia ME-410A 360° Joystick Articulating Borescope, 4mm/0.16in Diameter, 3.3ft/1m Flexible IP67 Waterproof Probe, 4.3" LCD Monitor</t>
  </si>
  <si>
    <t>B0GMNX436S</t>
  </si>
  <si>
    <t>OKK 512Hz Self-Leveling Sewer Inspection Camera: Featuring a 12-LED Array, IP68 Waterproof Rating, and Durable Stainless Steel Housing</t>
  </si>
  <si>
    <t>B08C52QS6Y</t>
  </si>
  <si>
    <t>USB Endoscope 7mm Focus Camera Lens 1.5M Waterproof 6 LED Android Endoscope Mini USB Cable Endoscope</t>
  </si>
  <si>
    <t>B07NCZXTHX</t>
  </si>
  <si>
    <t>Vividia D3145 USB Digital 180 Degree One-Way Articulating Borescope with 4.5mm Diameter 1 Meter Long Camera Probe for Diesel Engines for PC Mac Android Phone Tablet Chromebook</t>
  </si>
  <si>
    <t>B0DN65NBT2</t>
  </si>
  <si>
    <t>HGIYA Borescopes 5.5mm Endoscope Inspection Snake Camera Borescope Micro USB Type-c USB 3 in 1 Waterproof Tube Sink Drain Pipe Camera with 6 Led Light for PC Laptop Computer OTG Phone</t>
  </si>
  <si>
    <t>B0D4TD9DJJ</t>
  </si>
  <si>
    <t>ESANHAO Sewer Camera with self-Leveling &amp; 512Hz Transmitter Drain Snake 164ft Plumbing Inspection Camera 5" Screen DVR Included 16GB TF-Card (50M)</t>
  </si>
  <si>
    <t>B0F9WCCBGQ</t>
  </si>
  <si>
    <t>1pc Thick 10mm Borosilicate View Mirror, Sight Glass Disc, Dia 50-165mm High Pressure Boiler Valve Lens(150x10mm)(50x10mm)</t>
  </si>
  <si>
    <t>10mm</t>
  </si>
  <si>
    <t>B0DHZMTS64</t>
  </si>
  <si>
    <t>WILDERNESSHOME Explore Hidden Spaces Like Never Before with Our Tools - Endoscope Camera with Light - 4.3" IPS Screen, 8 LED Lights, and IP67 Waterproof Design, 16.4FT Semi-Rigid Cord Bore Scope</t>
  </si>
  <si>
    <t>B0G8DN7V2G</t>
  </si>
  <si>
    <t>Articulating Borescope, 6mm Handheld Industrial Endoscope with 360° Rotation - 4.3 Inch LCD Screen, Semi-Rigid Cable for Pipeline &amp; Appliance Testing, Blockage Troubleshoot, Auto Focus, 6mm, 4.3IN</t>
  </si>
  <si>
    <t>B0C36BH761</t>
  </si>
  <si>
    <t>20M Endoscope, 20 Meter 5.5mm USB Endoscope Industrial Inspection Camera, 6 Adjustable LED for Pipe Car Inspection, Leads And Probes, Borescopes</t>
  </si>
  <si>
    <t>B0DQLNHPYW</t>
  </si>
  <si>
    <t>MeetChanning Pro-Grade 1920P HD Endoscope Camera with Lights for Phone and Tablet,Borescope Waterproof Inspection Camera 16.4FT Semi-Rigid for Pipe Inspection &amp; Industrial Use</t>
  </si>
  <si>
    <t>B0GCMK1YTF</t>
  </si>
  <si>
    <t>Sewer Camera Pipe Inspection Camera, Zoom for Pros &amp; Diyers HVAC, Pools, Mains, High-Rise Stacks, Oil/Gas Lines, Kitchen Clogs, Sewer Line Inspection, IP68 Waterproof, 7''Screen, 1000TVL Camera</t>
  </si>
  <si>
    <t>B0GCMFN8DT</t>
  </si>
  <si>
    <t>Sewer Camera, Zoom for Pros &amp; Diyers HVAC, Pools, Mains, High-Rise Stacks, Oil/Gas Lines, Kitchen Clogs, Pipe Inspection Camera, Sewer Line Inspection, IP68 Waterproof, 7''Screen, 1000TVL Camera</t>
  </si>
  <si>
    <t>B01171MZNA</t>
  </si>
  <si>
    <t>NTS200 Digital Endoscope 7.6mm Waterproof Inspection Camera 1M Probe Cable 4.3 Inch LCD-GOLDEN BLUE</t>
  </si>
  <si>
    <t>7.6mm</t>
  </si>
  <si>
    <t>B0D969CNRV</t>
  </si>
  <si>
    <t>Sewer Camera, 65.6 FT Inspection Camera, 4.3" LCD Screen Endoscope Camera, Scope Camera with 12 Adjustable LED Lights, Plumbing Camera for Plumber, Homeowners</t>
  </si>
  <si>
    <t>B0D8W8D2G2</t>
  </si>
  <si>
    <t>Sewer Camera, 65.6 FT Borescope with 512HZ Locator, 4.3" LCD Monitor with DVR Function Inspection Camera, Endoscope Camera, Plumbing Camera for Plumber, Homeowners</t>
  </si>
  <si>
    <t>B0D78K5FTY</t>
  </si>
  <si>
    <t>Endoscope Camera, 4.3inch LCD Screen, 8mm / 0.31inch Borescope Camera, 1080P HD Inspection Camera with 8 LED Lights, IP67 Snake Camera for Sewer (Sanpylrumgb4okse-11)</t>
  </si>
  <si>
    <t>B0D968V7K2</t>
  </si>
  <si>
    <t>Sewer Camera, 98.4 FT Inspection Camera with 512HZ Locator, 4.3" LCD Monitor with DVR Function Borescope, Endoscope Camera, Plumbing Camera for Plumber, Homeowners</t>
  </si>
  <si>
    <t>B0CS6RPTTQ</t>
  </si>
  <si>
    <t>ACAGALA Endoscope 0.3MP Endoscope 3 in 1 Endoscope with Adjustable LEDs 1/2/5 Meters</t>
  </si>
  <si>
    <t>B0GDMCTD4J</t>
  </si>
  <si>
    <t>Drain Sewer Pipeline Industrial Endoscop 512Hz Transmitter Image Self-Leveling Camera Head MAOTEWANG Well Pipe Inspection Camera</t>
  </si>
  <si>
    <t>B0CM8FRRC8</t>
  </si>
  <si>
    <t>ADBEN P100 Industrial Endoscope 5.5mm 1080P Digital Borescope IP67 Waterof Snake Scope Camera Handheld Inspection Camera with 2.4" IPS Screen 6 LED-Lights</t>
  </si>
  <si>
    <t>B098FKBKF6</t>
  </si>
  <si>
    <t>B0D54BF8SV</t>
  </si>
  <si>
    <t>NGCG Waterproof Duct Inspection Camera With 5-inch Screen Suitable For Plumber Fitting Wall Inspection Carbon Deposition Industrial Endoscope Camera Lens With Screen</t>
  </si>
  <si>
    <t>B0D54CJL4G</t>
  </si>
  <si>
    <t>NGCG Waterproof Duct Inspection Camera with 5-inch Screen, Suitable for Plumber Fitting Wall Inspection, Carbon Deposition, Industrial Endoscope Camera Lens with Screen</t>
  </si>
  <si>
    <t>B0CS6QRM53</t>
  </si>
  <si>
    <t>ACAGALA Endoscope 0.3MP 3 in 1 Endoscope with Adjustable LEDs 1/2/5 Meters</t>
  </si>
  <si>
    <t>B07DNGSLRT</t>
  </si>
  <si>
    <t>Vividia Ablescope UV-400 Articulating 0 to 180 Degree USB Digital Borescope Videoscope with UV/White LED Lights</t>
  </si>
  <si>
    <t>B0BW3L6PVB</t>
  </si>
  <si>
    <t>AN100-3.9 3-in-1 HD Ductoscope Tpye-C Interface Mobile Handset Pipeline Endoscope USB Output Fibrescope Waterproof Automotive Industrial Equipment Inspection with LED(1M-Softlines)</t>
  </si>
  <si>
    <t>B0BQZNM59X</t>
  </si>
  <si>
    <t>Endoscope Camera, Wireless USB Inspection Camera, Waterproof Borescope Inspection Camera with 6 LED Light, 3-in-1 HD Type C, for PC/Laptop/Computer/Android(Size:2m)</t>
  </si>
  <si>
    <t>B0CLRVR7SV</t>
  </si>
  <si>
    <t>Bi-Directional Articulating Borescope, 5-Inch Serpentine Camera with Illuminated Video Inspection Mirror for Automotive and Aerospace Mechanics, Men's Gadgets</t>
  </si>
  <si>
    <t>B0FW53JTBG</t>
  </si>
  <si>
    <t>Borescope Camera, 360-degree Industrial Pipe Endoscope, HD 1080P, Suitable for Car Maintenance and Pipeline Inspection,Industrial Endoscope</t>
  </si>
  <si>
    <t>B0B1BLYGHC</t>
  </si>
  <si>
    <t>Vividia CL-4010 Flexible USB 2-Way Articulation 4mm (0.16") Diameter 1m (3ft) Long Borescope Videoscope Inspection Camera for Windows PC MacBook Android MacOS Chromebook</t>
  </si>
  <si>
    <t>B09RQ4WXRL</t>
  </si>
  <si>
    <t>Vividia W2430 WiFi/USB Wireless USB 2-Way Articulation Rigid 4mm (0.16") Diameter Short 16" Long Borescope Videoscope Inspection Camera for Windows iPhone iPad Android MacOS Chromebook PC</t>
  </si>
  <si>
    <t>B0G25RPRQZ</t>
  </si>
  <si>
    <t>1080P Industrial Borescope 4.3 Inch HD Inspection Camera 8mm Lens 5M Cable IP67 Waterproof 8 LED Lights 2000mAh Battery Automotive Repair</t>
  </si>
  <si>
    <t>B0G2VSFHRL</t>
  </si>
  <si>
    <t>PROBE360 Articulating Borescope Camera with 5" 1080P HD Display, 6.2mm IP67 Waterproof Probe, 5X Zoom Industrial Endoscope with 2-Way Steering and Semi-Rigid Cable</t>
  </si>
  <si>
    <t>B0CZ3VVTC4</t>
  </si>
  <si>
    <t>Kircuit USB-C 5V AC/DC Adapter Compatible with Teslong MS450 50ft Sewer Camera 1080P Drain Plumbing Snake Inspection Flexible Borescope Endoscope Duct Fiber 5VDC Power Supply Cord Battery Charger PSU</t>
  </si>
  <si>
    <t>B0D5HSCNY1</t>
  </si>
  <si>
    <t>2600mAh Industrial Endoscope 1080P 4.3 Inch Digital Borescope Inspection Camera Waterproof Snake Camera For Car Engine 4.3 Inch Color Screen Car Inspection Camera Automotive Maintenance Tool Screen To</t>
  </si>
  <si>
    <t>B0DDY3ZS54</t>
  </si>
  <si>
    <t>Yunseity 1080P HD Digital Endoscope Camera with 4.3inch IPS Screen, 170 Degree Viewing Angle, IP67 Borescope Inspection Camera for Sewer Pipe, with LED Lights (5m / 16.4ft)</t>
  </si>
  <si>
    <t>B0CH52L5R6</t>
  </si>
  <si>
    <t>Endoscope with 4 LED Lights, 2560 5MP WiFi Wireless Endoscope Camera, Telephoto Zoom Borescope with Semi-Rigid Cable, 11mm IP68 Waterproof Inspection Camera</t>
  </si>
  <si>
    <t>11mm</t>
  </si>
  <si>
    <t>B09HRF4NBL</t>
  </si>
  <si>
    <t>Pipe Inspection Camera, Pipeline Endoscope 7in LCD Display for Slow Draining Pipes for Homeowner Inspection for Wall Inspection(30m)</t>
  </si>
  <si>
    <t>B0DSTWK4GG</t>
  </si>
  <si>
    <t>Happybuy Two-Way Articulating Borescope with Light, 0.25" Lens Inspection Camera, 5" IPS HD Screen, Flexible Fiber Optic Snake Scope for Wall, Automotive &amp; Engine Inspection, 4.9FT</t>
  </si>
  <si>
    <t>B07SHQLRQ5</t>
  </si>
  <si>
    <t>Vividia GB-430-WiFi Bundle: Vividia Rigid Gun Borescope GB-430 and VA-B2 WiFi AirBox for iOS Tablets iPhone and Android Phone and Tablet</t>
  </si>
  <si>
    <t>B075HSQY3B</t>
  </si>
  <si>
    <t>VA-980-WiFi Bundle: Vividia AbleScope VA-980 USB Semi-Flexible Articulating Borescope Plus VA-B2 WiFi AirBox for iPad iPhone and Android</t>
  </si>
  <si>
    <t>B0FPWMYBGV</t>
  </si>
  <si>
    <t>Handheld LED Endoscope Cold Light Source, High Brightness Industrial Borescope LED Lights, 10W Without Adaptors</t>
  </si>
  <si>
    <t>B0FSGMH3NB</t>
  </si>
  <si>
    <t>Industrial Borescope with 3 in 1 USB Type C USB, USB Endoscope Camera 720P HD, IP67 Inspection Camera with 6 LEDs, 49ft. Semi Cable for Phone Tablet (3.9MM)</t>
  </si>
  <si>
    <t>49ft</t>
  </si>
  <si>
    <t>B07MCX148K</t>
  </si>
  <si>
    <t>Vividia D3160 USB Digital 180 Degree One-Way Articulating Borescope with 5.9mm Diameter 1 Meter Long Camera Probe</t>
  </si>
  <si>
    <t>B0CS4MXR2Y</t>
  </si>
  <si>
    <t>BoxWave Cable Compatible with Depstech Dual Lens 5.0 Video Borescope Inspection Camera (5 in) - USB Expansion Adapter, Add USB Connected Hardware to Your Phone</t>
  </si>
  <si>
    <t>B0DJRS77PP</t>
  </si>
  <si>
    <t>Kapro 397 Deep Vision Borescope - Industrial Endoscope Camera with Light - IP67 Water Proof - 0.3M Pixel</t>
  </si>
  <si>
    <t>1.0ft</t>
  </si>
  <si>
    <t>B0BPCG1T59</t>
  </si>
  <si>
    <t>200ft Industrial Endoscope Camera with Light &amp; 9" LCD Screen + 8GB SD for 2" Dia Pipe, KPfaster Industrial Inspection Mirror System Drain Sewer Camera with Locator Cable Snake Chimney Plumbing</t>
  </si>
  <si>
    <t>B08HW7PWJZ</t>
  </si>
  <si>
    <t>Oumefar Black 15 Meter USB Endoscope Digital Inspection Snake Camera Borescope with 2 Megapixel Camera 6 LED Lights for Pipe Car Inspection</t>
  </si>
  <si>
    <t>B0CJFHVXMN</t>
  </si>
  <si>
    <t>Borescope Camera 5.5mm / 0.22in 3 in 1 USB Borescope Camera IP67 Inspection Endoscope for Inspection Maintenance (5M)</t>
  </si>
  <si>
    <t>B0CJFKRBGZ</t>
  </si>
  <si>
    <t>Borescope Camera 5.5mm / 0.22in 3 in 1 USB Borescope Camera IP67 Inspection Endoscope for Inspection Maintenance (1M)</t>
  </si>
  <si>
    <t>B0CJFKZWVM</t>
  </si>
  <si>
    <t>Borescope Camera 5.5mm / 0.22in 3 in 1 USB Borescope Camera IP67 Inspection Endoscope for Inspection Maintenance (3.5M)</t>
  </si>
  <si>
    <t>B0CH3G1TD2</t>
  </si>
  <si>
    <t>Industrial Endoscope, 2560P 5MP Digital Borescope Inspection Camera, 14mm IP68 Waterproof Autofocus Sewer Camera with 4 LED Lights, 2m Bendable Cable</t>
  </si>
  <si>
    <t>14mm</t>
  </si>
  <si>
    <t>B08NXK323G</t>
  </si>
  <si>
    <t>Handheld Endoscope, P40 8mm 1920 x 1080P IP67 Waterproof Portable Endoscope, 4.3inch Color Display Screen Handheld Endoscope, Borescopes And Fiberscopes</t>
  </si>
  <si>
    <t>B0FP44SMVW</t>
  </si>
  <si>
    <t>Hamwesh Industrial Endoscope, 8mm 1080P HD 70 Degree Digital Borescope Camera with Assist Light for Automotive Pipe Inspection (5m)</t>
  </si>
  <si>
    <t>B0CZNR8LWP</t>
  </si>
  <si>
    <t>MekUk Endoscope Endoscope Camera Measuring Tools 4.5 Inch IPS Screen Industrial Endoscope HD Borescope with 6 LED Lights for Automotive, Plumbing</t>
  </si>
  <si>
    <t>B077LBTCH1</t>
  </si>
  <si>
    <t>Vividia GB-4510 Gun Barrel Rigid 4.0mm Borescope Kit with Mirror Tube and Phone Attachment (Side View)</t>
  </si>
  <si>
    <t>B0CM2YRDJX</t>
  </si>
  <si>
    <t>GAOMON Dual Lens Serpentine Pipe Borescope with Illuminated Video Inspection Scope, 5-Inch IPS Screen, IP67 Waterproof LED Lights, 5.5-Feet Long, for Automotive, Aerospace, and Mechanical Inspections</t>
  </si>
  <si>
    <t>B0FLJDW8G6</t>
  </si>
  <si>
    <t>ERYUE 5.5mm USB 3 in 1 Endoscope Inspection Camera, HD 2.0MP CMOS Borescope with 6 LED Lights, 5M Cable for Android and, IP67 1/9 Inch Sensor with 5M USB Cable, Compatible with</t>
  </si>
  <si>
    <t>B0CQXWDFDT</t>
  </si>
  <si>
    <t>Two Way Articulating Borescope, 360 Degree Endoscope Inspection Camera, 3.5in Screen, with, Automotive Mechanics Fiber Optic Scope (1m / 3.3ft)</t>
  </si>
  <si>
    <t>B07GB716JW</t>
  </si>
  <si>
    <t>MeterTo HT-660 3.5˝ LCD Industrial Digital Portable Video Borescope Endoscope Inspection Snake Camera 300000 Pixels</t>
  </si>
  <si>
    <t>B0F8PJX87C</t>
  </si>
  <si>
    <t>Vividia CF-6010 360° Joystick Articulating Borescope, 6mm/0.24in Diameter, 3.3ft/1m Flexible IP67 Waterproof Probe, 5" LCD Monitor</t>
  </si>
  <si>
    <t>B0CQXVMRW5</t>
  </si>
  <si>
    <t>Two Way Articulating Borescope, 360 Degree Endoscope Inspection Camera, 3.5in Screen, with, Automotive Mechanics Fiber Optic Scope (/ 9.8ft)</t>
  </si>
  <si>
    <t>B0B2S7JKTY</t>
  </si>
  <si>
    <t>Vividia VS-R512 Analog Pipe Inspection Camera Locator Receiver for Underground Sewer Drain Camera with 512hz Sonde Plumbing and Septic Tank Supports All Devices with 512 Hertz Transmitter (Yellow)</t>
  </si>
  <si>
    <t>B0B2SBLTLV</t>
  </si>
  <si>
    <t>Vividia VS-R512 Analog Pipe Inspection Camera Locator Receiver for Underground Sewer Drain Camera with 512hz Sonde Plumbing and Septic Tank Supports All Devices with 512 Hertz Transmitter (Black)</t>
  </si>
  <si>
    <t>B08J5V581B</t>
  </si>
  <si>
    <t>Vividia VA-150 Two-Way Articulating Borescope Videoscope Inspection Camera with 6.0mm Diameter 80cm Long Probe and 2.7" LCD Monitor 640x480 Resolution for Automotive Aircraft Mechanics and Technicians</t>
  </si>
  <si>
    <t>B0F3DJ43SQ</t>
  </si>
  <si>
    <t>2025 Upgraded Two-Way Articulating Borescope, Endoscope Camera with Light, Fexible Snake Inspection Scope, Industrial Inspection Camera 1080 3.4screen (6MM-1M)</t>
  </si>
  <si>
    <t>B0F3DK2Z4P</t>
  </si>
  <si>
    <t>2025 Upgraded Two-Way Articulating Borescope, Endoscope Camera with Light, Fexible Snake Inspection Scope, Industrial Inspection Camera 1080 3.4screen (8MM-1M + Memory Card)</t>
  </si>
  <si>
    <t>B0F3DJ5DNW</t>
  </si>
  <si>
    <t>2025 Upgraded Two-Way Articulating Borescope, Endoscope Camera with Light, Fexible Snake Inspection Scope, Industrial Inspection Camera 1080 3.4screen (8MM-1M)</t>
  </si>
  <si>
    <t>B0F3DJSRSV</t>
  </si>
  <si>
    <t>2025 Upgraded Two-Way Articulating Borescope, Endoscope Camera with Light, Fexible Snake Inspection Scope, Industrial Inspection Camera 1080 3.4screen (8MM-1M Connected Phone(No Screen))</t>
  </si>
  <si>
    <t>B0F8QQLD4L</t>
  </si>
  <si>
    <t>Sewer Camera,Self-Leveling 512Hz Plumbing Snake Camera with 10" 1080P Monitor,7MM Thicker Cable,Distance Counter,165FT/50M Pipe Inspection Industrial Borescope with Keyboard,DVR Recorder 32GB</t>
  </si>
  <si>
    <t>B0F8QRCNY7</t>
  </si>
  <si>
    <t>Sewer Camera,Self-Leveling 512Hz Plumbing Snake Camera with 10" 1080P Monitor,7MM Thicker Cable,Distance Counter,230FT/70M Pipe Inspection Industrial Borescope with Keyboard,DVR Recorder 32GB</t>
  </si>
  <si>
    <t>B00J7PE7R6</t>
  </si>
  <si>
    <t>Vividia Handheld Digital Borescope Microscope for iPhone/iPad/Android/PC with Professional Multi-Functional Metal Stand</t>
  </si>
  <si>
    <t>B07CKZCJYK</t>
  </si>
  <si>
    <t>PCE Instruments PCE-VE 200SV1 Industrial Borescope for Visual inspections, Features 1 m / 3.3 ft Probe, 3.5" Display, Plus LED Lighting, Image Capture, and Waterproof Camera Head</t>
  </si>
  <si>
    <t>B008DYJWRC</t>
  </si>
  <si>
    <t>Klein Tools ET510 Borescope</t>
  </si>
  <si>
    <t>B0BXSTW54F</t>
  </si>
  <si>
    <t>Sewer Camera, 200FT, 9" Screen, Pipeline Inspection Camera with DVR Function &amp; 8 GB SD Card, Video Pipe Inspection Equipment IP68 Camera with 12 LED Lights, Sewer Drain Camera for Plumber, Homeowners</t>
  </si>
  <si>
    <t>B0CN46N7H9</t>
  </si>
  <si>
    <t>BENBOR Hard-to-reach Places Inspection Tool Endoscope Camera with 6 Led Lights Ip67 Waterproof Borescope for Android Soft 7mm 1M</t>
  </si>
  <si>
    <t>B071NF8FZC</t>
  </si>
  <si>
    <t>3-in-1 USB Endoscope Waterproof Semi-Rigid SnakeCable, Borescopes 5.5mm Inspection Camera IP67 Waterproof Snake Camera with 6 Adjustable LED Lights for Type-C &amp; Android &amp; PC, (5M/16ft)</t>
  </si>
  <si>
    <t>B0C7RZ837B</t>
  </si>
  <si>
    <t>Vividia DA-60 LCD/WiFi Flexible Joystick Articulating Inspection Camera Borescope Videoscope with 6mm (0.24") Diameter Waterproof IP67 Probe (1m / 3.3ft Long Probe)</t>
  </si>
  <si>
    <t>B0CQV75QMJ</t>
  </si>
  <si>
    <t>Unifizz Waterproof Snake Camera with Light 1920P HD Borescope with 8 Adjustable LED Lights Endoscope with 16.4ft Semi-Rigid 7.9mm IP67 Inspection Camera for iOS</t>
  </si>
  <si>
    <t>B0D869D25D</t>
  </si>
  <si>
    <t>5.0'' IPS Screen Waterproof Industrial Endoscope 8mm Single Lens 10 Meters Lenght Hard Cable HD1080P Sewer Car Piping Inspection Camera Borescope Take Photos Videos</t>
  </si>
  <si>
    <t>B082SLRHSQ</t>
  </si>
  <si>
    <t>Kircuit USB Data PC/Charger Cable Cord for Klein Tools ET510 Borescope Inspection Camera</t>
  </si>
  <si>
    <t>B083J16ZMZ</t>
  </si>
  <si>
    <t>Cal Van Tools 84 WiFi Borescope</t>
  </si>
  <si>
    <t>B0DQKFQ26Q</t>
  </si>
  <si>
    <t>Sewer Drain Inspection Camera IP68 Endoscope with 12 LED Lights for Pipeline Inspection, Sewer Pipe Inspection Probe with 360-Degree Rotation for Water Pipe Maintenance</t>
  </si>
  <si>
    <t>B0DNFC37SG</t>
  </si>
  <si>
    <t>Endoscope for Automotive Inspection, Portable Borescope with Display Screen, Visual Ear Spoon, for Automotive Inspection, Pipe Inspection</t>
  </si>
  <si>
    <t>B07NS1N7TF</t>
  </si>
  <si>
    <t>Inspection Camera 20-Meter 5.5mm 3 in 1 USB/Micro USB/Type-C Endoscope with 720P Camera for Pipe Car Inspection</t>
  </si>
  <si>
    <t>B0D2HSC46K</t>
  </si>
  <si>
    <t>QIUFANGM Sewer Camera Industrial Endoscope HD Micro Inspection Camera, Engine Cylinder Endoscope, Pipeline Camera (Size : 1m)</t>
  </si>
  <si>
    <t>B0CCVV1S1F</t>
  </si>
  <si>
    <t>1PCS NEW FOR Endoscope White Balance Cap MH-155</t>
  </si>
  <si>
    <t>B07RJNLX96</t>
  </si>
  <si>
    <t>Pipe Inspection Camera 165FT, Anysun Drain Sewer Industrial Endoscope 12 PCS LED Waterproof IP68 Snake Video System with 7 Inch LCD Monitor 1000TVL Camera with DVR Record(Include 8G SD Card)</t>
  </si>
  <si>
    <t>B0CGQ8CNG9</t>
  </si>
  <si>
    <t>Endoscope Camera, Length of 20m Cable, with Camera and Recording Function, Suitable for Inspection of Pipeline Sewers,Etc.</t>
  </si>
  <si>
    <t>B0D9JZYBZC</t>
  </si>
  <si>
    <t>Borescope,Endoscope Camera with Light, Waterproof Snake Camera Inspection Camera with Adjustable LED Light</t>
  </si>
  <si>
    <t>B0F3JS4FBH</t>
  </si>
  <si>
    <t>UT663B Industrial Borescope Automotive Pipeline Inspection Inspection,with 8 Adjustable LED Lights | 5.0" LCD Screen | 360° Rotatable HD 1080P Snake Camera, 8mm Probe Diameter IP67 (UT663B)</t>
  </si>
  <si>
    <t>B0DQXMM4S4</t>
  </si>
  <si>
    <t>Happybuy Sewer Camera, 164 ft/50 m, 4.3" Pipe Drain Inspection Camera with DVR &amp; LED Lights, Waterproof IP68 Borescope, Industrial Endoscope for Plumbing, Ducts, and Wall Inspection</t>
  </si>
  <si>
    <t>B09VCKQXFL</t>
  </si>
  <si>
    <t>Hilitand Sewer Camera Receiver, 16.5ft Pipe Inspection Camera with 512Hz Receiver, Plumbing Drain Camera Snake, Pipe Locators Underground Pipeline Inspection Tool(#3)</t>
  </si>
  <si>
    <t>B0DTV353JX</t>
  </si>
  <si>
    <t>7.9mm Car Endoscope Dual Lens with 4.5in Screen IP67 USB Charging 5 Meters Line Industrial Endoscope Camera, 9mm bore Scope, Boroscope Camera, Inspection Camera</t>
  </si>
  <si>
    <t>B005AMZ6K2</t>
  </si>
  <si>
    <t>Triplett CobraCam 5.5mm Waterproof &amp; Flexible Camera Wand, 3 ft - Works with Triplett Inspection Cameras 8125, 8120, 8115 (CC2-CAM3FM)</t>
  </si>
  <si>
    <t>B0BTD2SFYV</t>
  </si>
  <si>
    <t>Articulating Video Borescope, 5-inch IPS Articulating Endoscope Inspection Camera Two-Way 210° Steering Lens Waterproof Automotive Mechanic Fiber Optic Scope LED Light Control Multilingual</t>
  </si>
  <si>
    <t>B08T8J8H8C</t>
  </si>
  <si>
    <t>P30 Orange Hand-held Endoscopes Industrial 4.3inch High-Definition 1080P Display Screen Borescope with 8 LEDs - 1M</t>
  </si>
  <si>
    <t>B0CL4FCXDW</t>
  </si>
  <si>
    <t>Sunydog 90mm Guide Wheels Protective Cover for 23mm Pipe Sewer Pipeline Inspection Camera</t>
  </si>
  <si>
    <t>B09814QKSF</t>
  </si>
  <si>
    <t>Handheld Borescope 1080P HD Digital Industrial Endoscope with 4.3 Inch Detachable Screen &amp; 8mm Dual Lens Snake Camera, 32 GB TF Card, Inspection Tools for Automotive Sewer HVAC Pipe ( Color : 1M )</t>
  </si>
  <si>
    <t>B0DSL962KG</t>
  </si>
  <si>
    <t>B073ZHFCFL</t>
  </si>
  <si>
    <t>Vividia VQ-3910 Handheld 3.9mm (0.15") Diameter 2.4" LCD Screen Borescope Inspection Camera</t>
  </si>
  <si>
    <t>B09814ZGZY</t>
  </si>
  <si>
    <t>Handheld Borescope 1080P HD Digital Industrial Endoscope with 4.3 Inch Detachable Screen &amp; 8mm Dual Lens Snake Camera, 32 GB TF Card, Inspection Tools for Automotive Sewer HVAC Pipe ( Color : 10M )</t>
  </si>
  <si>
    <t>B09813JSW5</t>
  </si>
  <si>
    <t>Handheld Borescope 1080P HD Digital Industrial Endoscope with 4.3 Inch Detachable Screen &amp; 8mm Dual Lens Snake Camera, 32 GB TF Card, Inspection Tools for Automotive Sewer HVAC Pipe ( Color : 5M )</t>
  </si>
  <si>
    <t>B07W73MJYP</t>
  </si>
  <si>
    <t>Endoscope Camera 5.5mm Lens, 3-in-1 Borescope with 6 LED Lights &amp; 5M IP67 Waterproof Cable for Pipe, Automotive, and Home Inspection</t>
  </si>
  <si>
    <t>B097PXCJJL</t>
  </si>
  <si>
    <t>720P HD Industrial Endoscope with 5 Inch IPS Screen &amp; 5mm Dual Lens Borescope Camera, IP67 Waterproof, Built-in 32GB Memory Card, Hard Plastic Toolbox, 16.4ft Semi-Rigid Cable</t>
  </si>
  <si>
    <t>B0BP7RP3F2</t>
  </si>
  <si>
    <t>Anysun 512Hz Pipe Locator Receiver and 512Hz Sonde Transmitter for Sewer Inspection, Drain Camera Tools for DIYer or Replacement, for Anysun 7D1 Pipe Inspection Camera</t>
  </si>
  <si>
    <t>B08PDVT5N5</t>
  </si>
  <si>
    <t>Vividia VA-150 Gray Two-Way Articulating Borescope Videoscope Inspection Camera with 6mm Diameter Probe and 2.7" Monitor and 640x480 Image Resolution</t>
  </si>
  <si>
    <t>B07P2JGTNZ</t>
  </si>
  <si>
    <t>Pipeline Camera Control Box, Adjustable Camera, Good Image Clarity, Quickly and Accurately Find the Target (only for HBUDS、IHBUDS、Anysuns)</t>
  </si>
  <si>
    <t>B0CKHS2W4V</t>
  </si>
  <si>
    <t>Bi-Directional Articulating Borescope 5" LPS Screen 1080P Lens Endoscope, Dual Lens IP67 Water-Resistant LED Light and Serpentine Tube Scope, Suitable for Home Machinery Or Aerospace 32 GB TF Card</t>
  </si>
  <si>
    <t>B0DF2KHRCR</t>
  </si>
  <si>
    <t>DIMITU Borescope Endoscope Camera with Light Snake Cameras Inspection Cameras with Adjustable LED Light</t>
  </si>
  <si>
    <t>B0CLRWJW6K</t>
  </si>
  <si>
    <t>Single Lens Tube Borescope, 5-inch IPS Screen, 1080P HD Lens, IP67 Waterproof LED Light with Illuminated Video Inspection Mirror for Automotive, Aerospace and Mechanical Inspections</t>
  </si>
  <si>
    <t>B00Z0Q5VDA</t>
  </si>
  <si>
    <t>General Tools DCS665-ART Recording Borescope Video Inspection Camera with Articulating 1 Meter Long Waterproof Probe</t>
  </si>
  <si>
    <t>B0BDSDCK2X</t>
  </si>
  <si>
    <t>Ddkxndb Car DC Adapter Charger for Klein Tools ET510 Borescope Inspection Camera Power</t>
  </si>
  <si>
    <t>B08DV9R6T4</t>
  </si>
  <si>
    <t>Launch Tech 307010003-7 mm USB Inspection Camera/Borescope</t>
  </si>
  <si>
    <t>B09CG416YW</t>
  </si>
  <si>
    <t>UNI-T Industrial Endoscope UT665 Digital Borescope Sewer Camera for Engine HVAC Chimney Inspection Automotive Maintenance, 4 LED Lights 2.4” Screen Handheld Camera Snake Cable 3.3FT/1M IP67 Waterproof</t>
  </si>
  <si>
    <t>B0CNSJ8BZP</t>
  </si>
  <si>
    <t>Multi-function Iris Analyzer Iridology Camera, New 5.0 Mp USB Iriscope Iris Analyzer Iridology Camera with Pro Iris English Software 30x Iris Lens Adjustable Focus and Driver-Free Analysis Software</t>
  </si>
  <si>
    <t>B0C4LVB24Z</t>
  </si>
  <si>
    <t>7mm Inspection Camera, Adjustable Brightness USB Endoscope 6 LED Lights for Pipeline Repair Plumbing Inspection</t>
  </si>
  <si>
    <t>B0CVG1PG9K</t>
  </si>
  <si>
    <t>Flexible 5.5mm Endoscope Camera Borescope USB Type C Inspection Camera for Car Pipe Sewer Drain</t>
  </si>
  <si>
    <t>B0DFB9RLLX</t>
  </si>
  <si>
    <t>Ubxvamm Borescope,Endoscope Camera with Light, Waterproof Snake Cameras Inspection Cameras with Adjustable LED Light</t>
  </si>
  <si>
    <t>B0DFC338TD</t>
  </si>
  <si>
    <t>B0CNK1P7T7</t>
  </si>
  <si>
    <t>ZOIOT Endoscope Camera with Light, 1280HD Borescope Inspection Camera, 6 Adjustable LED Lights, Semi-Rigid Snake Cable 16.4FT, IP67 Waterproof, Black, USB-C, Android, iOS, Cool Gadgets for Men</t>
  </si>
  <si>
    <t>B06XXBTJBS</t>
  </si>
  <si>
    <t>[SmartFly] HB37S 3.7mm 1 Meter 3.5" LCD Endoscope Borescope Snake Inspection DVR Vehicle Inspection Pipeline</t>
  </si>
  <si>
    <t>B0CWS7NN8R</t>
  </si>
  <si>
    <t>K Tool International Video Inspection Borescope 5.5MM Imager Diameter</t>
  </si>
  <si>
    <t>B0CQJLW549</t>
  </si>
  <si>
    <t>Luejnbogty 3-in-1 Borescope Inspection Camera Built-in 6 IP67 Waterproof USB Type-C Endoscope for Android Smartphones/PC(1M 7Mm), black, 291757A2</t>
  </si>
  <si>
    <t>B0D6X55RWS</t>
  </si>
  <si>
    <t>BoxWave Screen Protector Compatible with Depstech Triple Lens borescope Inspection Camera (5 in) - ClearTouch Crystal ToughShield 9H (2-Pack), Clear 9H Tough Flexible Film Screen Protector</t>
  </si>
  <si>
    <t>B07198K75P</t>
  </si>
  <si>
    <t>4UCam 9mm Inspection Camera Color LCD plumbing endoscope waterproof optical scrope</t>
  </si>
  <si>
    <t>B07YD55YZY</t>
  </si>
  <si>
    <t>WiFi 5.5mm Telephoto Borescopes 5MP Underwater 5-1000CM Focal Endoscope Sewer Pipe Detector Camera Support Android iOS (2M)</t>
  </si>
  <si>
    <t>B0D7CN6WVY</t>
  </si>
  <si>
    <t>Articulating Video Borescope SVB303 4-Way 360° Articulating Borescope Industrial Endoscope With One-Button Photo&amp;Video Capture,High-Temp Protection,1080P HD Camera,Metal Mobile Phone Holder,Waterproof</t>
  </si>
  <si>
    <t>B0D2TYJ3XM</t>
  </si>
  <si>
    <t>ONEUNG 50FT Pipe Inspection Camera USB Endoscope Video Sewer Drain Cleaner,Waterproof</t>
  </si>
  <si>
    <t>B0CGJD9PL6</t>
  </si>
  <si>
    <t>Digital Inspection Endoscope, 1920x1080P Inspection Camera 90° Borescope Endoscope Snake Camera with Display Screen, for Pipeline Inspection</t>
  </si>
  <si>
    <t>B09BKW9T8R</t>
  </si>
  <si>
    <t>3.5M Smartphone Semi Rigid Endoscope,DC5V 7mm USB Semi-Rigid Endoscope Camera with 6PCS LED Lights Flexible Inspection Snake Camera Compatible with Android Smartphone</t>
  </si>
  <si>
    <t>B0B59FWPYP</t>
  </si>
  <si>
    <t>3T6B 1080P HD Dual Lens Endoscope, Borescope Inspection Camera with Light, Waterproof, Black, 4.3'' IPS Screen, 16.5 Ft Semi-Rigid Cable, USB Connectivity</t>
  </si>
  <si>
    <t>B0B8YZRQWM</t>
  </si>
  <si>
    <t>Zerodis Dual Lens Endoscope Borescope, Snake Inspection Camera Home Fiber Optic Camera with Flexible Cable for Sewer Duct Drain Pipe Car Repair(Orange)</t>
  </si>
  <si>
    <t>B0B2RKS5VZ</t>
  </si>
  <si>
    <t>Sewer Camera Locator, Handheld Pipe Inspection Camera Receiver Industrial Borescope Endoscope with LCD Screen, 512HZ</t>
  </si>
  <si>
    <t>B0BJKX93TM</t>
  </si>
  <si>
    <t>Self-Leveling Sewer Camera 200FT, Anysun 9" HD Screen Pipe Borescope Drain Inspection with 12pcs LED Light, DVR Recorder with 32GB Card, IP68 Waterproof Plumbing Cam, 7mm Cable with Depth Marker</t>
  </si>
  <si>
    <t>B0C1L65F94</t>
  </si>
  <si>
    <t>Industrial Borescope 4.5 Inch Screen 1080P High Definition Lens Endoscope Handheld Inspection Camera IP67 Snake Camera with 8 LED Lights</t>
  </si>
  <si>
    <t>B08TB7XCMN</t>
  </si>
  <si>
    <t>Vividia Ablescope VA-920 USB Videoscope Semi-Rigid One-Way Articulating Borescope Inspection Camera with 8.5mm (0.33") Diameter 35cm (13.8") Long Probe for Windows PC Mac and Selective Android Devices</t>
  </si>
  <si>
    <t>B0FZGZ5X3Z</t>
  </si>
  <si>
    <t>Endoscope with Light, 1920P HD Borescope with 8 Adjustable LED Lights, 16.4FT Semi-Rigid Snake Camera, IP67 Waterproof Inspection Tool for iPhone &amp; Android - Dual Lens (Red) 7t9</t>
  </si>
  <si>
    <t>B0FY1KCGZK</t>
  </si>
  <si>
    <t>Endoscope with Light, 1920P HD Borescope with 8 Adjustable LED Lights, 9.8FT Semi-Rigid Snake Camera, IP67 Waterproof Inspection Tool for iPhone &amp; Android - Dual Lens (Black)</t>
  </si>
  <si>
    <t>B0CGT1N3VR</t>
  </si>
  <si>
    <t>DEPSTECH DS300 Dual Lens Industrial Endoscope</t>
  </si>
  <si>
    <t>B0G2GS28RT</t>
  </si>
  <si>
    <t>SKYBASIC Industrial Endoscope Borescope Camera with Light, 4.3'' LCD Screen HD Digital Snake Handheld Waterproof Sewer Inspection Camera with 8 LED Lights</t>
  </si>
  <si>
    <t>B0GR4Y131Y</t>
  </si>
  <si>
    <t>Ralcam 360° Joystick Articulating Borescope, 6.2mm Probe 4 Ways Automotive Endoscope Inspection Camera with 6 Adjustable LED Lights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</si>
</sst>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
  </numFmts>
  <fonts count="6" x14ac:knownFonts="1">
    <font>
      <sz val="11"/>
      <color theme="1"/>
      <name val="Calibri"/>
      <family val="2"/>
      <scheme val="minor"/>
    </font>
    <font>
      <b/>
      <sz val="20"/>
      <color rgb="FF000000"/>
      <name val="Arial"/>
      <family val="2"/>
    </font>
    <font>
      <b/>
      <sz val="11"/>
      <color rgb="FF000000"/>
      <name val="Arial"/>
      <family val="2"/>
    </font>
    <font>
      <sz val="10"/>
      <color rgb="FF000000"/>
      <name val="Calibri"/>
      <family val="2"/>
    </font>
    <font>
      <u/>
      <sz val="10"/>
      <color rgb="FF0563C1"/>
      <name val="Calibri"/>
      <family val="2"/>
    </font>
    <font>
      <b/>
      <sz val="11"/>
      <color rgb="FFFFFFFF"/>
      <name val="Arial"/>
      <family val="2"/>
    </font>
  </fonts>
  <fills count="6">
    <fill>
      <patternFill patternType="none"/>
    </fill>
    <fill>
      <patternFill patternType="gray125"/>
    </fill>
    <fill>
      <patternFill patternType="solid">
        <fgColor rgb="FFB4A7D6"/>
      </patternFill>
    </fill>
    <fill>
      <patternFill patternType="solid">
        <fgColor rgb="FFD9D2E9"/>
      </patternFill>
    </fill>
    <fill>
      <patternFill patternType="solid">
        <fgColor rgb="FFEAE4F5"/>
      </patternFill>
    </fill>
    <fill>
      <patternFill patternType="solid">
        <fgColor rgb="FF2E1A47"/>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2E1A47"/>
      </left>
      <right style="thin">
        <color rgb="FF2E1A47"/>
      </right>
      <top style="medium">
        <color rgb="FF2E1A47"/>
      </top>
      <bottom style="medium">
        <color rgb="FF2E1A47"/>
      </bottom>
      <diagonal/>
    </border>
  </borders>
  <cellStyleXfs count="1">
    <xf numFmtId="0" fontId="0" fillId="0" borderId="0"/>
  </cellStyleXfs>
  <cellXfs count="23">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horizontal="left" vertical="center" wrapText="1"/>
    </xf>
    <xf numFmtId="3"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165" fontId="3" fillId="0" borderId="1" xfId="0" applyNumberFormat="1" applyFont="1" applyBorder="1" applyAlignment="1">
      <alignment horizontal="center" vertical="center"/>
    </xf>
    <xf numFmtId="166" fontId="3" fillId="0" borderId="1" xfId="0" applyNumberFormat="1" applyFont="1" applyBorder="1" applyAlignment="1">
      <alignment horizontal="center" vertical="center"/>
    </xf>
    <xf numFmtId="0" fontId="3" fillId="4" borderId="1" xfId="0" applyFont="1" applyFill="1" applyBorder="1" applyAlignment="1">
      <alignment horizontal="left" vertical="center" wrapText="1"/>
    </xf>
    <xf numFmtId="3" fontId="3" fillId="4" borderId="1" xfId="0" applyNumberFormat="1" applyFont="1" applyFill="1" applyBorder="1" applyAlignment="1">
      <alignment horizontal="center" vertical="center"/>
    </xf>
    <xf numFmtId="164" fontId="3" fillId="4" borderId="1" xfId="0" applyNumberFormat="1" applyFont="1" applyFill="1" applyBorder="1" applyAlignment="1">
      <alignment horizontal="center" vertical="center"/>
    </xf>
    <xf numFmtId="165" fontId="3" fillId="4" borderId="1" xfId="0" applyNumberFormat="1" applyFont="1" applyFill="1" applyBorder="1" applyAlignment="1">
      <alignment horizontal="center" vertical="center"/>
    </xf>
    <xf numFmtId="166" fontId="3" fillId="4"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4" fillId="0" borderId="1" xfId="0" applyFont="1" applyBorder="1" applyAlignment="1">
      <alignment horizontal="left" vertical="center" wrapText="1"/>
    </xf>
    <xf numFmtId="0" fontId="3" fillId="0" borderId="1" xfId="0" applyFont="1" applyBorder="1" applyAlignment="1">
      <alignment horizontal="center" vertical="center"/>
    </xf>
    <xf numFmtId="0" fontId="4" fillId="4" borderId="1" xfId="0" applyFont="1" applyFill="1" applyBorder="1" applyAlignment="1">
      <alignment horizontal="left" vertical="center" wrapText="1"/>
    </xf>
    <xf numFmtId="0" fontId="5" fillId="5" borderId="2" xfId="0" applyFont="1" applyFill="1" applyBorder="1" applyAlignment="1">
      <alignment horizontal="left" vertical="center"/>
    </xf>
    <xf numFmtId="3" fontId="5" fillId="5" borderId="2" xfId="0" applyNumberFormat="1" applyFont="1" applyFill="1" applyBorder="1" applyAlignment="1">
      <alignment horizontal="center" vertical="center"/>
    </xf>
    <xf numFmtId="164" fontId="5" fillId="5" borderId="2" xfId="0" applyNumberFormat="1" applyFont="1" applyFill="1" applyBorder="1" applyAlignment="1">
      <alignment horizontal="center" vertical="center"/>
    </xf>
    <xf numFmtId="165" fontId="5" fillId="5" borderId="2" xfId="0" applyNumberFormat="1" applyFont="1" applyFill="1" applyBorder="1" applyAlignment="1">
      <alignment horizontal="center" vertical="center"/>
    </xf>
    <xf numFmtId="166" fontId="5" fillId="5" borderId="2" xfId="0" applyNumberFormat="1" applyFont="1" applyFill="1" applyBorder="1" applyAlignment="1">
      <alignment horizontal="center" vertical="center"/>
    </xf>
    <xf numFmtId="0" fontId="1" fillId="2" borderId="0" xfId="0" applyFont="1" applyFill="1" applyAlignment="1">
      <alignment horizontal="center"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Top Brands - Monthly Revenue</a:t>
            </a:r>
          </a:p>
        </c:rich>
      </c:tx>
      <c:overlay val="1"/>
    </c:title>
    <c:autoTitleDeleted val="0"/>
    <c:plotArea>
      <c:layout/>
      <c:barChart>
        <c:barDir val="bar"/>
        <c:grouping val="clustered"/>
        <c:varyColors val="1"/>
        <c:ser>
          <c:idx val="0"/>
          <c:order val="0"/>
          <c:tx>
            <c:strRef>
              <c:f>Summary!$C$2</c:f>
              <c:strCache>
                <c:ptCount val="1"/>
                <c:pt idx="0">
                  <c:v>Monthly Rev</c:v>
                </c:pt>
              </c:strCache>
            </c:strRef>
          </c:tx>
          <c:spPr>
            <a:ln>
              <a:prstDash val="solid"/>
            </a:ln>
          </c:spPr>
          <c:invertIfNegative val="1"/>
          <c:dPt>
            <c:idx val="0"/>
            <c:invertIfNegative val="1"/>
            <c:bubble3D val="0"/>
            <c:spPr>
              <a:solidFill>
                <a:srgbClr val="6A4C93"/>
              </a:solidFill>
              <a:ln>
                <a:prstDash val="solid"/>
              </a:ln>
            </c:spPr>
            <c:extLst>
              <c:ext xmlns:c16="http://schemas.microsoft.com/office/drawing/2014/chart" uri="{C3380CC4-5D6E-409C-BE32-E72D297353CC}">
                <c16:uniqueId val="{00000001-4AEB-D540-9FA4-A688952ADCB1}"/>
              </c:ext>
            </c:extLst>
          </c:dPt>
          <c:dPt>
            <c:idx val="1"/>
            <c:invertIfNegative val="1"/>
            <c:bubble3D val="0"/>
            <c:spPr>
              <a:solidFill>
                <a:srgbClr val="8E7CC3"/>
              </a:solidFill>
              <a:ln>
                <a:prstDash val="solid"/>
              </a:ln>
            </c:spPr>
            <c:extLst>
              <c:ext xmlns:c16="http://schemas.microsoft.com/office/drawing/2014/chart" uri="{C3380CC4-5D6E-409C-BE32-E72D297353CC}">
                <c16:uniqueId val="{00000003-4AEB-D540-9FA4-A688952ADCB1}"/>
              </c:ext>
            </c:extLst>
          </c:dPt>
          <c:dPt>
            <c:idx val="2"/>
            <c:invertIfNegative val="1"/>
            <c:bubble3D val="0"/>
            <c:spPr>
              <a:solidFill>
                <a:srgbClr val="B4A7D6"/>
              </a:solidFill>
              <a:ln>
                <a:prstDash val="solid"/>
              </a:ln>
            </c:spPr>
            <c:extLst>
              <c:ext xmlns:c16="http://schemas.microsoft.com/office/drawing/2014/chart" uri="{C3380CC4-5D6E-409C-BE32-E72D297353CC}">
                <c16:uniqueId val="{00000005-4AEB-D540-9FA4-A688952ADCB1}"/>
              </c:ext>
            </c:extLst>
          </c:dPt>
          <c:dPt>
            <c:idx val="3"/>
            <c:invertIfNegative val="1"/>
            <c:bubble3D val="0"/>
            <c:spPr>
              <a:solidFill>
                <a:srgbClr val="4A90E2"/>
              </a:solidFill>
              <a:ln>
                <a:prstDash val="solid"/>
              </a:ln>
            </c:spPr>
            <c:extLst>
              <c:ext xmlns:c16="http://schemas.microsoft.com/office/drawing/2014/chart" uri="{C3380CC4-5D6E-409C-BE32-E72D297353CC}">
                <c16:uniqueId val="{00000007-4AEB-D540-9FA4-A688952ADCB1}"/>
              </c:ext>
            </c:extLst>
          </c:dPt>
          <c:dPt>
            <c:idx val="4"/>
            <c:invertIfNegative val="1"/>
            <c:bubble3D val="0"/>
            <c:spPr>
              <a:solidFill>
                <a:srgbClr val="50C2C9"/>
              </a:solidFill>
              <a:ln>
                <a:prstDash val="solid"/>
              </a:ln>
            </c:spPr>
            <c:extLst>
              <c:ext xmlns:c16="http://schemas.microsoft.com/office/drawing/2014/chart" uri="{C3380CC4-5D6E-409C-BE32-E72D297353CC}">
                <c16:uniqueId val="{00000009-4AEB-D540-9FA4-A688952ADCB1}"/>
              </c:ext>
            </c:extLst>
          </c:dPt>
          <c:dPt>
            <c:idx val="5"/>
            <c:invertIfNegative val="1"/>
            <c:bubble3D val="0"/>
            <c:spPr>
              <a:solidFill>
                <a:srgbClr val="7FB069"/>
              </a:solidFill>
              <a:ln>
                <a:prstDash val="solid"/>
              </a:ln>
            </c:spPr>
            <c:extLst>
              <c:ext xmlns:c16="http://schemas.microsoft.com/office/drawing/2014/chart" uri="{C3380CC4-5D6E-409C-BE32-E72D297353CC}">
                <c16:uniqueId val="{0000000B-4AEB-D540-9FA4-A688952ADCB1}"/>
              </c:ext>
            </c:extLst>
          </c:dPt>
          <c:dPt>
            <c:idx val="6"/>
            <c:invertIfNegative val="1"/>
            <c:bubble3D val="0"/>
            <c:spPr>
              <a:solidFill>
                <a:srgbClr val="F4B942"/>
              </a:solidFill>
              <a:ln>
                <a:prstDash val="solid"/>
              </a:ln>
            </c:spPr>
            <c:extLst>
              <c:ext xmlns:c16="http://schemas.microsoft.com/office/drawing/2014/chart" uri="{C3380CC4-5D6E-409C-BE32-E72D297353CC}">
                <c16:uniqueId val="{0000000D-4AEB-D540-9FA4-A688952ADCB1}"/>
              </c:ext>
            </c:extLst>
          </c:dPt>
          <c:dPt>
            <c:idx val="7"/>
            <c:invertIfNegative val="1"/>
            <c:bubble3D val="0"/>
            <c:spPr>
              <a:solidFill>
                <a:srgbClr val="E8833A"/>
              </a:solidFill>
              <a:ln>
                <a:prstDash val="solid"/>
              </a:ln>
            </c:spPr>
            <c:extLst>
              <c:ext xmlns:c16="http://schemas.microsoft.com/office/drawing/2014/chart" uri="{C3380CC4-5D6E-409C-BE32-E72D297353CC}">
                <c16:uniqueId val="{0000000F-4AEB-D540-9FA4-A688952ADCB1}"/>
              </c:ext>
            </c:extLst>
          </c:dPt>
          <c:dPt>
            <c:idx val="8"/>
            <c:invertIfNegative val="1"/>
            <c:bubble3D val="0"/>
            <c:spPr>
              <a:solidFill>
                <a:srgbClr val="D7567A"/>
              </a:solidFill>
              <a:ln>
                <a:prstDash val="solid"/>
              </a:ln>
            </c:spPr>
            <c:extLst>
              <c:ext xmlns:c16="http://schemas.microsoft.com/office/drawing/2014/chart" uri="{C3380CC4-5D6E-409C-BE32-E72D297353CC}">
                <c16:uniqueId val="{00000011-4AEB-D540-9FA4-A688952ADCB1}"/>
              </c:ext>
            </c:extLst>
          </c:dPt>
          <c:dPt>
            <c:idx val="9"/>
            <c:invertIfNegative val="1"/>
            <c:bubble3D val="0"/>
            <c:spPr>
              <a:solidFill>
                <a:srgbClr val="9B5DE5"/>
              </a:solidFill>
              <a:ln>
                <a:prstDash val="solid"/>
              </a:ln>
            </c:spPr>
            <c:extLst>
              <c:ext xmlns:c16="http://schemas.microsoft.com/office/drawing/2014/chart" uri="{C3380CC4-5D6E-409C-BE32-E72D297353CC}">
                <c16:uniqueId val="{00000013-4AEB-D540-9FA4-A688952ADCB1}"/>
              </c:ext>
            </c:extLst>
          </c:dPt>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Summary!$A$3:$A$12</c:f>
              <c:strCache>
                <c:ptCount val="10"/>
                <c:pt idx="0">
                  <c:v>Teslong</c:v>
                </c:pt>
                <c:pt idx="1">
                  <c:v>DEPSTECH</c:v>
                </c:pt>
                <c:pt idx="2">
                  <c:v>Kinpthy</c:v>
                </c:pt>
                <c:pt idx="3">
                  <c:v>VEVOR</c:v>
                </c:pt>
                <c:pt idx="4">
                  <c:v>DXZtoz</c:v>
                </c:pt>
                <c:pt idx="5">
                  <c:v>anysun</c:v>
                </c:pt>
                <c:pt idx="6">
                  <c:v>Sanyipace</c:v>
                </c:pt>
                <c:pt idx="7">
                  <c:v>Ralcam</c:v>
                </c:pt>
                <c:pt idx="8">
                  <c:v>Anykit</c:v>
                </c:pt>
                <c:pt idx="9">
                  <c:v>Daxiongmao</c:v>
                </c:pt>
              </c:strCache>
            </c:strRef>
          </c:cat>
          <c:val>
            <c:numRef>
              <c:f>Summary!$C$3:$C$12</c:f>
              <c:numCache>
                <c:formatCode>\$#,##0</c:formatCode>
                <c:ptCount val="10"/>
                <c:pt idx="0">
                  <c:v>2346573.29</c:v>
                </c:pt>
                <c:pt idx="1">
                  <c:v>579345.18999999994</c:v>
                </c:pt>
                <c:pt idx="2">
                  <c:v>376451.1</c:v>
                </c:pt>
                <c:pt idx="3">
                  <c:v>358421.63</c:v>
                </c:pt>
                <c:pt idx="4">
                  <c:v>347820.17</c:v>
                </c:pt>
                <c:pt idx="5">
                  <c:v>283273.45</c:v>
                </c:pt>
                <c:pt idx="6">
                  <c:v>205210.29</c:v>
                </c:pt>
                <c:pt idx="7">
                  <c:v>175634.34</c:v>
                </c:pt>
                <c:pt idx="8">
                  <c:v>154950.16</c:v>
                </c:pt>
                <c:pt idx="9">
                  <c:v>124901.55</c:v>
                </c:pt>
              </c:numCache>
            </c:numRef>
          </c:val>
          <c:extLst>
            <c:ext xmlns:c16="http://schemas.microsoft.com/office/drawing/2014/chart" uri="{C3380CC4-5D6E-409C-BE32-E72D297353CC}">
              <c16:uniqueId val="{00000014-4AEB-D540-9FA4-A688952ADCB1}"/>
            </c:ext>
          </c:extLst>
        </c:ser>
        <c:dLbls>
          <c:showLegendKey val="0"/>
          <c:showVal val="1"/>
          <c:showCatName val="0"/>
          <c:showSerName val="0"/>
          <c:showPercent val="0"/>
          <c:showBubbleSize val="1"/>
        </c:dLbls>
        <c:gapWidth val="150"/>
        <c:axId val="10"/>
        <c:axId val="100"/>
      </c:barChart>
      <c:catAx>
        <c:axId val="10"/>
        <c:scaling>
          <c:orientation val="minMax"/>
        </c:scaling>
        <c:delete val="1"/>
        <c:axPos val="l"/>
        <c:title>
          <c:tx>
            <c:rich>
              <a:bodyPr/>
              <a:lstStyle/>
              <a:p>
                <a:pPr>
                  <a:defRPr/>
                </a:pPr>
                <a:r>
                  <a:rPr lang="en-US"/>
                  <a:t>Monthly Revenue ($)</a:t>
                </a:r>
              </a:p>
            </c:rich>
          </c:tx>
          <c:overlay val="1"/>
        </c:title>
        <c:numFmt formatCode="\$#,##0" sourceLinked="0"/>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title>
          <c:tx>
            <c:rich>
              <a:bodyPr/>
              <a:lstStyle/>
              <a:p>
                <a:pPr>
                  <a:defRPr/>
                </a:pPr>
                <a:r>
                  <a:rPr lang="en-US"/>
                  <a:t>Brand</a:t>
                </a:r>
              </a:p>
            </c:rich>
          </c:tx>
          <c:overlay val="1"/>
        </c:title>
        <c:numFmt formatCode="\$#,##0" sourceLinked="1"/>
        <c:majorTickMark val="out"/>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Brand Revenue Share</a:t>
            </a:r>
          </a:p>
        </c:rich>
      </c:tx>
      <c:overlay val="1"/>
    </c:title>
    <c:autoTitleDeleted val="0"/>
    <c:plotArea>
      <c:layout/>
      <c:pieChart>
        <c:varyColors val="1"/>
        <c:ser>
          <c:idx val="0"/>
          <c:order val="0"/>
          <c:spPr>
            <a:ln>
              <a:prstDash val="solid"/>
            </a:ln>
          </c:spPr>
          <c:dLbls>
            <c:spPr>
              <a:noFill/>
              <a:ln>
                <a:noFill/>
              </a:ln>
              <a:effectLst/>
            </c:spPr>
            <c:showLegendKey val="0"/>
            <c:showVal val="0"/>
            <c:showCatName val="1"/>
            <c:showSerName val="0"/>
            <c:showPercent val="1"/>
            <c:showBubbleSize val="1"/>
            <c:showLeaderLines val="1"/>
            <c:extLst>
              <c:ext xmlns:c15="http://schemas.microsoft.com/office/drawing/2012/chart" uri="{CE6537A1-D6FC-4f65-9D91-7224C49458BB}"/>
            </c:extLst>
          </c:dLbls>
          <c:cat>
            <c:strRef>
              <c:f>Summary!$A$3:$A$12</c:f>
              <c:strCache>
                <c:ptCount val="10"/>
                <c:pt idx="0">
                  <c:v>Teslong</c:v>
                </c:pt>
                <c:pt idx="1">
                  <c:v>DEPSTECH</c:v>
                </c:pt>
                <c:pt idx="2">
                  <c:v>Kinpthy</c:v>
                </c:pt>
                <c:pt idx="3">
                  <c:v>VEVOR</c:v>
                </c:pt>
                <c:pt idx="4">
                  <c:v>DXZtoz</c:v>
                </c:pt>
                <c:pt idx="5">
                  <c:v>anysun</c:v>
                </c:pt>
                <c:pt idx="6">
                  <c:v>Sanyipace</c:v>
                </c:pt>
                <c:pt idx="7">
                  <c:v>Ralcam</c:v>
                </c:pt>
                <c:pt idx="8">
                  <c:v>Anykit</c:v>
                </c:pt>
                <c:pt idx="9">
                  <c:v>Daxiongmao</c:v>
                </c:pt>
              </c:strCache>
            </c:strRef>
          </c:cat>
          <c:val>
            <c:numRef>
              <c:f>Summary!$C$3:$C$12</c:f>
              <c:numCache>
                <c:formatCode>\$#,##0</c:formatCode>
                <c:ptCount val="10"/>
                <c:pt idx="0">
                  <c:v>2346573.29</c:v>
                </c:pt>
                <c:pt idx="1">
                  <c:v>579345.18999999994</c:v>
                </c:pt>
                <c:pt idx="2">
                  <c:v>376451.1</c:v>
                </c:pt>
                <c:pt idx="3">
                  <c:v>358421.63</c:v>
                </c:pt>
                <c:pt idx="4">
                  <c:v>347820.17</c:v>
                </c:pt>
                <c:pt idx="5">
                  <c:v>283273.45</c:v>
                </c:pt>
                <c:pt idx="6">
                  <c:v>205210.29</c:v>
                </c:pt>
                <c:pt idx="7">
                  <c:v>175634.34</c:v>
                </c:pt>
                <c:pt idx="8">
                  <c:v>154950.16</c:v>
                </c:pt>
                <c:pt idx="9">
                  <c:v>124901.55</c:v>
                </c:pt>
              </c:numCache>
            </c:numRef>
          </c:val>
          <c:extLst>
            <c:ext xmlns:c16="http://schemas.microsoft.com/office/drawing/2014/chart" uri="{C3380CC4-5D6E-409C-BE32-E72D297353CC}">
              <c16:uniqueId val="{00000000-255C-4A45-A2CA-2ED905FC9911}"/>
            </c:ext>
          </c:extLst>
        </c:ser>
        <c:dLbls>
          <c:showLegendKey val="0"/>
          <c:showVal val="0"/>
          <c:showCatName val="1"/>
          <c:showSerName val="0"/>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Type Revenue</a:t>
            </a:r>
          </a:p>
        </c:rich>
      </c:tx>
      <c:overlay val="1"/>
    </c:title>
    <c:autoTitleDeleted val="0"/>
    <c:plotArea>
      <c:layout/>
      <c:barChart>
        <c:barDir val="col"/>
        <c:grouping val="clustered"/>
        <c:varyColors val="1"/>
        <c:ser>
          <c:idx val="0"/>
          <c:order val="0"/>
          <c:tx>
            <c:strRef>
              <c:f>'Top 50 Summary'!$E$2</c:f>
              <c:strCache>
                <c:ptCount val="1"/>
                <c:pt idx="0">
                  <c:v>Revenue/Mo</c:v>
                </c:pt>
              </c:strCache>
            </c:strRef>
          </c:tx>
          <c:spPr>
            <a:ln>
              <a:prstDash val="solid"/>
            </a:ln>
          </c:spPr>
          <c:invertIfNegative val="1"/>
          <c:dPt>
            <c:idx val="0"/>
            <c:invertIfNegative val="1"/>
            <c:bubble3D val="0"/>
            <c:spPr>
              <a:solidFill>
                <a:srgbClr val="6A4C93"/>
              </a:solidFill>
              <a:ln>
                <a:prstDash val="solid"/>
              </a:ln>
            </c:spPr>
            <c:extLst>
              <c:ext xmlns:c16="http://schemas.microsoft.com/office/drawing/2014/chart" uri="{C3380CC4-5D6E-409C-BE32-E72D297353CC}">
                <c16:uniqueId val="{00000001-E9A6-2849-8525-D50126E8B5C7}"/>
              </c:ext>
            </c:extLst>
          </c:dPt>
          <c:dPt>
            <c:idx val="1"/>
            <c:invertIfNegative val="1"/>
            <c:bubble3D val="0"/>
            <c:spPr>
              <a:solidFill>
                <a:srgbClr val="8E7CC3"/>
              </a:solidFill>
              <a:ln>
                <a:prstDash val="solid"/>
              </a:ln>
            </c:spPr>
            <c:extLst>
              <c:ext xmlns:c16="http://schemas.microsoft.com/office/drawing/2014/chart" uri="{C3380CC4-5D6E-409C-BE32-E72D297353CC}">
                <c16:uniqueId val="{00000003-E9A6-2849-8525-D50126E8B5C7}"/>
              </c:ext>
            </c:extLst>
          </c:dPt>
          <c:dPt>
            <c:idx val="2"/>
            <c:invertIfNegative val="1"/>
            <c:bubble3D val="0"/>
            <c:spPr>
              <a:solidFill>
                <a:srgbClr val="B4A7D6"/>
              </a:solidFill>
              <a:ln>
                <a:prstDash val="solid"/>
              </a:ln>
            </c:spPr>
            <c:extLst>
              <c:ext xmlns:c16="http://schemas.microsoft.com/office/drawing/2014/chart" uri="{C3380CC4-5D6E-409C-BE32-E72D297353CC}">
                <c16:uniqueId val="{00000005-E9A6-2849-8525-D50126E8B5C7}"/>
              </c:ext>
            </c:extLst>
          </c:dPt>
          <c:dPt>
            <c:idx val="3"/>
            <c:invertIfNegative val="1"/>
            <c:bubble3D val="0"/>
            <c:spPr>
              <a:solidFill>
                <a:srgbClr val="4A90E2"/>
              </a:solidFill>
              <a:ln>
                <a:prstDash val="solid"/>
              </a:ln>
            </c:spPr>
            <c:extLst>
              <c:ext xmlns:c16="http://schemas.microsoft.com/office/drawing/2014/chart" uri="{C3380CC4-5D6E-409C-BE32-E72D297353CC}">
                <c16:uniqueId val="{00000007-E9A6-2849-8525-D50126E8B5C7}"/>
              </c:ext>
            </c:extLst>
          </c:dPt>
          <c:dPt>
            <c:idx val="4"/>
            <c:invertIfNegative val="1"/>
            <c:bubble3D val="0"/>
            <c:spPr>
              <a:solidFill>
                <a:srgbClr val="50C2C9"/>
              </a:solidFill>
              <a:ln>
                <a:prstDash val="solid"/>
              </a:ln>
            </c:spPr>
            <c:extLst>
              <c:ext xmlns:c16="http://schemas.microsoft.com/office/drawing/2014/chart" uri="{C3380CC4-5D6E-409C-BE32-E72D297353CC}">
                <c16:uniqueId val="{00000009-E9A6-2849-8525-D50126E8B5C7}"/>
              </c:ext>
            </c:extLst>
          </c:dPt>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'Top 50 Summary'!$A$3:$A$7</c:f>
              <c:strCache>
                <c:ptCount val="5"/>
                <c:pt idx="0">
                  <c:v>Articulation</c:v>
                </c:pt>
                <c:pt idx="1">
                  <c:v>USB</c:v>
                </c:pt>
                <c:pt idx="2">
                  <c:v>Sewer camera</c:v>
                </c:pt>
                <c:pt idx="3">
                  <c:v>Landscape</c:v>
                </c:pt>
                <c:pt idx="4">
                  <c:v>Handheld</c:v>
                </c:pt>
              </c:strCache>
            </c:strRef>
          </c:cat>
          <c:val>
            <c:numRef>
              <c:f>'Top 50 Summary'!$E$3:$E$7</c:f>
              <c:numCache>
                <c:formatCode>\$#,##0</c:formatCode>
                <c:ptCount val="5"/>
                <c:pt idx="0">
                  <c:v>2369652.5</c:v>
                </c:pt>
                <c:pt idx="1">
                  <c:v>608567.85</c:v>
                </c:pt>
                <c:pt idx="2">
                  <c:v>555076.54</c:v>
                </c:pt>
                <c:pt idx="3">
                  <c:v>401337.13</c:v>
                </c:pt>
                <c:pt idx="4">
                  <c:v>191838.64</c:v>
                </c:pt>
              </c:numCache>
            </c:numRef>
          </c:val>
          <c:extLst>
            <c:ext xmlns:c16="http://schemas.microsoft.com/office/drawing/2014/chart" uri="{C3380CC4-5D6E-409C-BE32-E72D297353CC}">
              <c16:uniqueId val="{0000000A-E9A6-2849-8525-D50126E8B5C7}"/>
            </c:ext>
          </c:extLst>
        </c:ser>
        <c:dLbls>
          <c:showLegendKey val="0"/>
          <c:showVal val="1"/>
          <c:showCatName val="0"/>
          <c:showSerName val="0"/>
          <c:showPercent val="0"/>
          <c:showBubbleSize val="1"/>
        </c:dLbls>
        <c:gapWidth val="150"/>
        <c:axId val="10"/>
        <c:axId val="100"/>
      </c:barChart>
      <c:catAx>
        <c:axId val="10"/>
        <c:scaling>
          <c:orientation val="minMax"/>
        </c:scaling>
        <c:delete val="0"/>
        <c:axPos val="b"/>
        <c:title>
          <c:tx>
            <c:rich>
              <a:bodyPr/>
              <a:lstStyle/>
              <a:p>
                <a:pPr>
                  <a:defRPr/>
                </a:pPr>
                <a:r>
                  <a:rPr lang="en-US"/>
                  <a:t>Type</a:t>
                </a:r>
              </a:p>
            </c:rich>
          </c:tx>
          <c:overlay val="1"/>
        </c:title>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Revenue ($)</a:t>
                </a:r>
              </a:p>
            </c:rich>
          </c:tx>
          <c:overlay val="1"/>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2/4-way Revenue Share</a:t>
            </a:r>
          </a:p>
        </c:rich>
      </c:tx>
      <c:overlay val="1"/>
    </c:title>
    <c:autoTitleDeleted val="0"/>
    <c:plotArea>
      <c:layout/>
      <c:pieChart>
        <c:varyColors val="1"/>
        <c:ser>
          <c:idx val="0"/>
          <c:order val="0"/>
          <c:spPr>
            <a:ln>
              <a:prstDash val="solid"/>
            </a:ln>
          </c:spPr>
          <c:dLbls>
            <c:spPr>
              <a:noFill/>
              <a:ln>
                <a:noFill/>
              </a:ln>
              <a:effectLst/>
            </c:spPr>
            <c:showLegendKey val="0"/>
            <c:showVal val="0"/>
            <c:showCatName val="1"/>
            <c:showSerName val="0"/>
            <c:showPercent val="1"/>
            <c:showBubbleSize val="1"/>
            <c:showLeaderLines val="1"/>
            <c:extLst>
              <c:ext xmlns:c15="http://schemas.microsoft.com/office/drawing/2012/chart" uri="{CE6537A1-D6FC-4f65-9D91-7224C49458BB}"/>
            </c:extLst>
          </c:dLbls>
          <c:cat>
            <c:strRef>
              <c:f>'Top 50 Summary'!$A$10:$A$12</c:f>
              <c:strCache>
                <c:ptCount val="3"/>
                <c:pt idx="0">
                  <c:v>2-way</c:v>
                </c:pt>
                <c:pt idx="1">
                  <c:v>4-way</c:v>
                </c:pt>
                <c:pt idx="2">
                  <c:v>No camera</c:v>
                </c:pt>
              </c:strCache>
            </c:strRef>
          </c:cat>
          <c:val>
            <c:numRef>
              <c:f>'Top 50 Summary'!$E$10:$E$12</c:f>
              <c:numCache>
                <c:formatCode>\$#,##0</c:formatCode>
                <c:ptCount val="3"/>
                <c:pt idx="0">
                  <c:v>3710519.57</c:v>
                </c:pt>
                <c:pt idx="1">
                  <c:v>239486.11</c:v>
                </c:pt>
                <c:pt idx="2">
                  <c:v>176466.98</c:v>
                </c:pt>
              </c:numCache>
            </c:numRef>
          </c:val>
          <c:extLst>
            <c:ext xmlns:c16="http://schemas.microsoft.com/office/drawing/2014/chart" uri="{C3380CC4-5D6E-409C-BE32-E72D297353CC}">
              <c16:uniqueId val="{00000000-4160-9047-AFA7-3B2D83A2C41C}"/>
            </c:ext>
          </c:extLst>
        </c:ser>
        <c:dLbls>
          <c:showLegendKey val="0"/>
          <c:showVal val="0"/>
          <c:showCatName val="1"/>
          <c:showSerName val="0"/>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Display Units</a:t>
            </a:r>
          </a:p>
        </c:rich>
      </c:tx>
      <c:overlay val="1"/>
    </c:title>
    <c:autoTitleDeleted val="0"/>
    <c:plotArea>
      <c:layout/>
      <c:barChart>
        <c:barDir val="col"/>
        <c:grouping val="clustered"/>
        <c:varyColors val="1"/>
        <c:ser>
          <c:idx val="0"/>
          <c:order val="0"/>
          <c:tx>
            <c:strRef>
              <c:f>'Top 50 Summary'!$C$14</c:f>
              <c:strCache>
                <c:ptCount val="1"/>
                <c:pt idx="0">
                  <c:v>Quantity/Mo</c:v>
                </c:pt>
              </c:strCache>
            </c:strRef>
          </c:tx>
          <c:spPr>
            <a:ln>
              <a:prstDash val="solid"/>
            </a:ln>
          </c:spPr>
          <c:invertIfNegative val="1"/>
          <c:dPt>
            <c:idx val="0"/>
            <c:invertIfNegative val="1"/>
            <c:bubble3D val="0"/>
            <c:spPr>
              <a:solidFill>
                <a:srgbClr val="6A4C93"/>
              </a:solidFill>
              <a:ln>
                <a:prstDash val="solid"/>
              </a:ln>
            </c:spPr>
            <c:extLst>
              <c:ext xmlns:c16="http://schemas.microsoft.com/office/drawing/2014/chart" uri="{C3380CC4-5D6E-409C-BE32-E72D297353CC}">
                <c16:uniqueId val="{00000001-51A3-3E4A-99E4-49CFBAC9CD72}"/>
              </c:ext>
            </c:extLst>
          </c:dPt>
          <c:dPt>
            <c:idx val="1"/>
            <c:invertIfNegative val="1"/>
            <c:bubble3D val="0"/>
            <c:spPr>
              <a:solidFill>
                <a:srgbClr val="8E7CC3"/>
              </a:solidFill>
              <a:ln>
                <a:prstDash val="solid"/>
              </a:ln>
            </c:spPr>
            <c:extLst>
              <c:ext xmlns:c16="http://schemas.microsoft.com/office/drawing/2014/chart" uri="{C3380CC4-5D6E-409C-BE32-E72D297353CC}">
                <c16:uniqueId val="{00000003-51A3-3E4A-99E4-49CFBAC9CD72}"/>
              </c:ext>
            </c:extLst>
          </c:dPt>
          <c:dPt>
            <c:idx val="2"/>
            <c:invertIfNegative val="1"/>
            <c:bubble3D val="0"/>
            <c:spPr>
              <a:solidFill>
                <a:srgbClr val="B4A7D6"/>
              </a:solidFill>
              <a:ln>
                <a:prstDash val="solid"/>
              </a:ln>
            </c:spPr>
            <c:extLst>
              <c:ext xmlns:c16="http://schemas.microsoft.com/office/drawing/2014/chart" uri="{C3380CC4-5D6E-409C-BE32-E72D297353CC}">
                <c16:uniqueId val="{00000005-51A3-3E4A-99E4-49CFBAC9CD72}"/>
              </c:ext>
            </c:extLst>
          </c:dPt>
          <c:dPt>
            <c:idx val="3"/>
            <c:invertIfNegative val="1"/>
            <c:bubble3D val="0"/>
            <c:spPr>
              <a:solidFill>
                <a:srgbClr val="4A90E2"/>
              </a:solidFill>
              <a:ln>
                <a:prstDash val="solid"/>
              </a:ln>
            </c:spPr>
            <c:extLst>
              <c:ext xmlns:c16="http://schemas.microsoft.com/office/drawing/2014/chart" uri="{C3380CC4-5D6E-409C-BE32-E72D297353CC}">
                <c16:uniqueId val="{00000007-51A3-3E4A-99E4-49CFBAC9CD72}"/>
              </c:ext>
            </c:extLst>
          </c:dPt>
          <c:dPt>
            <c:idx val="4"/>
            <c:invertIfNegative val="1"/>
            <c:bubble3D val="0"/>
            <c:spPr>
              <a:solidFill>
                <a:srgbClr val="50C2C9"/>
              </a:solidFill>
              <a:ln>
                <a:prstDash val="solid"/>
              </a:ln>
            </c:spPr>
            <c:extLst>
              <c:ext xmlns:c16="http://schemas.microsoft.com/office/drawing/2014/chart" uri="{C3380CC4-5D6E-409C-BE32-E72D297353CC}">
                <c16:uniqueId val="{00000009-51A3-3E4A-99E4-49CFBAC9CD72}"/>
              </c:ext>
            </c:extLst>
          </c:dPt>
          <c:dPt>
            <c:idx val="5"/>
            <c:invertIfNegative val="1"/>
            <c:bubble3D val="0"/>
            <c:spPr>
              <a:solidFill>
                <a:srgbClr val="7FB069"/>
              </a:solidFill>
              <a:ln>
                <a:prstDash val="solid"/>
              </a:ln>
            </c:spPr>
            <c:extLst>
              <c:ext xmlns:c16="http://schemas.microsoft.com/office/drawing/2014/chart" uri="{C3380CC4-5D6E-409C-BE32-E72D297353CC}">
                <c16:uniqueId val="{0000000B-51A3-3E4A-99E4-49CFBAC9CD72}"/>
              </c:ext>
            </c:extLst>
          </c:dPt>
          <c:dPt>
            <c:idx val="6"/>
            <c:invertIfNegative val="1"/>
            <c:bubble3D val="0"/>
            <c:spPr>
              <a:solidFill>
                <a:srgbClr val="F4B942"/>
              </a:solidFill>
              <a:ln>
                <a:prstDash val="solid"/>
              </a:ln>
            </c:spPr>
            <c:extLst>
              <c:ext xmlns:c16="http://schemas.microsoft.com/office/drawing/2014/chart" uri="{C3380CC4-5D6E-409C-BE32-E72D297353CC}">
                <c16:uniqueId val="{0000000D-51A3-3E4A-99E4-49CFBAC9CD72}"/>
              </c:ext>
            </c:extLst>
          </c:dPt>
          <c:dPt>
            <c:idx val="7"/>
            <c:invertIfNegative val="1"/>
            <c:bubble3D val="0"/>
            <c:spPr>
              <a:solidFill>
                <a:srgbClr val="E8833A"/>
              </a:solidFill>
              <a:ln>
                <a:prstDash val="solid"/>
              </a:ln>
            </c:spPr>
            <c:extLst>
              <c:ext xmlns:c16="http://schemas.microsoft.com/office/drawing/2014/chart" uri="{C3380CC4-5D6E-409C-BE32-E72D297353CC}">
                <c16:uniqueId val="{0000000F-51A3-3E4A-99E4-49CFBAC9CD72}"/>
              </c:ext>
            </c:extLst>
          </c:dPt>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'Top 50 Summary'!$A$15:$A$22</c:f>
              <c:strCache>
                <c:ptCount val="8"/>
                <c:pt idx="0">
                  <c:v>4.5"</c:v>
                </c:pt>
                <c:pt idx="1">
                  <c:v>5.0"</c:v>
                </c:pt>
                <c:pt idx="2">
                  <c:v>4.3"</c:v>
                </c:pt>
                <c:pt idx="3">
                  <c:v>App</c:v>
                </c:pt>
                <c:pt idx="4">
                  <c:v>9.0"</c:v>
                </c:pt>
                <c:pt idx="5">
                  <c:v>6.0"</c:v>
                </c:pt>
                <c:pt idx="6">
                  <c:v>2.4"</c:v>
                </c:pt>
                <c:pt idx="7">
                  <c:v>10.0"</c:v>
                </c:pt>
              </c:strCache>
            </c:strRef>
          </c:cat>
          <c:val>
            <c:numRef>
              <c:f>'Top 50 Summary'!$C$15:$C$22</c:f>
              <c:numCache>
                <c:formatCode>#,##0</c:formatCode>
                <c:ptCount val="8"/>
                <c:pt idx="0">
                  <c:v>10467</c:v>
                </c:pt>
                <c:pt idx="1">
                  <c:v>8026</c:v>
                </c:pt>
                <c:pt idx="2">
                  <c:v>10568</c:v>
                </c:pt>
                <c:pt idx="3">
                  <c:v>18543</c:v>
                </c:pt>
                <c:pt idx="4">
                  <c:v>479</c:v>
                </c:pt>
                <c:pt idx="5">
                  <c:v>204</c:v>
                </c:pt>
                <c:pt idx="6">
                  <c:v>460</c:v>
                </c:pt>
                <c:pt idx="7">
                  <c:v>34</c:v>
                </c:pt>
              </c:numCache>
            </c:numRef>
          </c:val>
          <c:extLst>
            <c:ext xmlns:c16="http://schemas.microsoft.com/office/drawing/2014/chart" uri="{C3380CC4-5D6E-409C-BE32-E72D297353CC}">
              <c16:uniqueId val="{00000010-51A3-3E4A-99E4-49CFBAC9CD72}"/>
            </c:ext>
          </c:extLst>
        </c:ser>
        <c:dLbls>
          <c:showLegendKey val="0"/>
          <c:showVal val="1"/>
          <c:showCatName val="0"/>
          <c:showSerName val="0"/>
          <c:showPercent val="0"/>
          <c:showBubbleSize val="1"/>
        </c:dLbls>
        <c:gapWidth val="150"/>
        <c:axId val="10"/>
        <c:axId val="100"/>
      </c:barChart>
      <c:catAx>
        <c:axId val="10"/>
        <c:scaling>
          <c:orientation val="minMax"/>
        </c:scaling>
        <c:delete val="0"/>
        <c:axPos val="b"/>
        <c:title>
          <c:tx>
            <c:rich>
              <a:bodyPr/>
              <a:lstStyle/>
              <a:p>
                <a:pPr>
                  <a:defRPr/>
                </a:pPr>
                <a:r>
                  <a:rPr lang="en-US"/>
                  <a:t>Display</a:t>
                </a:r>
              </a:p>
            </c:rich>
          </c:tx>
          <c:overlay val="1"/>
        </c:title>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Units</a:t>
                </a:r>
              </a:p>
            </c:rich>
          </c:tx>
          <c:overlay val="1"/>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Revenue by Price Tier</a:t>
            </a:r>
          </a:p>
        </c:rich>
      </c:tx>
      <c:overlay val="1"/>
    </c:title>
    <c:autoTitleDeleted val="0"/>
    <c:plotArea>
      <c:layout/>
      <c:barChart>
        <c:barDir val="col"/>
        <c:grouping val="clustered"/>
        <c:varyColors val="1"/>
        <c:ser>
          <c:idx val="0"/>
          <c:order val="0"/>
          <c:tx>
            <c:strRef>
              <c:f>'Price Tiers'!$B$2</c:f>
              <c:strCache>
                <c:ptCount val="1"/>
                <c:pt idx="0">
                  <c:v>Total Revenue</c:v>
                </c:pt>
              </c:strCache>
            </c:strRef>
          </c:tx>
          <c:spPr>
            <a:ln>
              <a:prstDash val="solid"/>
            </a:ln>
          </c:spPr>
          <c:invertIfNegative val="1"/>
          <c:dPt>
            <c:idx val="0"/>
            <c:invertIfNegative val="1"/>
            <c:bubble3D val="0"/>
            <c:spPr>
              <a:solidFill>
                <a:srgbClr val="6A4C93"/>
              </a:solidFill>
              <a:ln>
                <a:prstDash val="solid"/>
              </a:ln>
            </c:spPr>
            <c:extLst>
              <c:ext xmlns:c16="http://schemas.microsoft.com/office/drawing/2014/chart" uri="{C3380CC4-5D6E-409C-BE32-E72D297353CC}">
                <c16:uniqueId val="{00000001-433C-E541-B09E-8A508F26078F}"/>
              </c:ext>
            </c:extLst>
          </c:dPt>
          <c:dPt>
            <c:idx val="1"/>
            <c:invertIfNegative val="1"/>
            <c:bubble3D val="0"/>
            <c:spPr>
              <a:solidFill>
                <a:srgbClr val="8E7CC3"/>
              </a:solidFill>
              <a:ln>
                <a:prstDash val="solid"/>
              </a:ln>
            </c:spPr>
            <c:extLst>
              <c:ext xmlns:c16="http://schemas.microsoft.com/office/drawing/2014/chart" uri="{C3380CC4-5D6E-409C-BE32-E72D297353CC}">
                <c16:uniqueId val="{00000003-433C-E541-B09E-8A508F26078F}"/>
              </c:ext>
            </c:extLst>
          </c:dPt>
          <c:dPt>
            <c:idx val="2"/>
            <c:invertIfNegative val="1"/>
            <c:bubble3D val="0"/>
            <c:spPr>
              <a:solidFill>
                <a:srgbClr val="B4A7D6"/>
              </a:solidFill>
              <a:ln>
                <a:prstDash val="solid"/>
              </a:ln>
            </c:spPr>
            <c:extLst>
              <c:ext xmlns:c16="http://schemas.microsoft.com/office/drawing/2014/chart" uri="{C3380CC4-5D6E-409C-BE32-E72D297353CC}">
                <c16:uniqueId val="{00000005-433C-E541-B09E-8A508F26078F}"/>
              </c:ext>
            </c:extLst>
          </c:dPt>
          <c:dPt>
            <c:idx val="3"/>
            <c:invertIfNegative val="1"/>
            <c:bubble3D val="0"/>
            <c:spPr>
              <a:solidFill>
                <a:srgbClr val="4A90E2"/>
              </a:solidFill>
              <a:ln>
                <a:prstDash val="solid"/>
              </a:ln>
            </c:spPr>
            <c:extLst>
              <c:ext xmlns:c16="http://schemas.microsoft.com/office/drawing/2014/chart" uri="{C3380CC4-5D6E-409C-BE32-E72D297353CC}">
                <c16:uniqueId val="{00000007-433C-E541-B09E-8A508F26078F}"/>
              </c:ext>
            </c:extLst>
          </c:dPt>
          <c:dPt>
            <c:idx val="4"/>
            <c:invertIfNegative val="1"/>
            <c:bubble3D val="0"/>
            <c:spPr>
              <a:solidFill>
                <a:srgbClr val="50C2C9"/>
              </a:solidFill>
              <a:ln>
                <a:prstDash val="solid"/>
              </a:ln>
            </c:spPr>
            <c:extLst>
              <c:ext xmlns:c16="http://schemas.microsoft.com/office/drawing/2014/chart" uri="{C3380CC4-5D6E-409C-BE32-E72D297353CC}">
                <c16:uniqueId val="{00000009-433C-E541-B09E-8A508F26078F}"/>
              </c:ext>
            </c:extLst>
          </c:dPt>
          <c:dPt>
            <c:idx val="5"/>
            <c:invertIfNegative val="1"/>
            <c:bubble3D val="0"/>
            <c:spPr>
              <a:solidFill>
                <a:srgbClr val="7FB069"/>
              </a:solidFill>
              <a:ln>
                <a:prstDash val="solid"/>
              </a:ln>
            </c:spPr>
            <c:extLst>
              <c:ext xmlns:c16="http://schemas.microsoft.com/office/drawing/2014/chart" uri="{C3380CC4-5D6E-409C-BE32-E72D297353CC}">
                <c16:uniqueId val="{0000000B-433C-E541-B09E-8A508F26078F}"/>
              </c:ext>
            </c:extLst>
          </c:dPt>
          <c:dPt>
            <c:idx val="6"/>
            <c:invertIfNegative val="1"/>
            <c:bubble3D val="0"/>
            <c:spPr>
              <a:solidFill>
                <a:srgbClr val="F4B942"/>
              </a:solidFill>
              <a:ln>
                <a:prstDash val="solid"/>
              </a:ln>
            </c:spPr>
            <c:extLst>
              <c:ext xmlns:c16="http://schemas.microsoft.com/office/drawing/2014/chart" uri="{C3380CC4-5D6E-409C-BE32-E72D297353CC}">
                <c16:uniqueId val="{0000000D-433C-E541-B09E-8A508F26078F}"/>
              </c:ext>
            </c:extLst>
          </c:dPt>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'Price Tiers'!$A$3:$A$9</c:f>
              <c:strCache>
                <c:ptCount val="7"/>
                <c:pt idx="0">
                  <c:v>$0-40</c:v>
                </c:pt>
                <c:pt idx="1">
                  <c:v>$40-60</c:v>
                </c:pt>
                <c:pt idx="2">
                  <c:v>$60-90</c:v>
                </c:pt>
                <c:pt idx="3">
                  <c:v>$90-100</c:v>
                </c:pt>
                <c:pt idx="4">
                  <c:v>$100-150</c:v>
                </c:pt>
                <c:pt idx="5">
                  <c:v>$150-200</c:v>
                </c:pt>
                <c:pt idx="6">
                  <c:v>$200+</c:v>
                </c:pt>
              </c:strCache>
            </c:strRef>
          </c:cat>
          <c:val>
            <c:numRef>
              <c:f>'Price Tiers'!$B$3:$B$9</c:f>
              <c:numCache>
                <c:formatCode>\$#,##0</c:formatCode>
                <c:ptCount val="7"/>
                <c:pt idx="0">
                  <c:v>1477658.12</c:v>
                </c:pt>
                <c:pt idx="1">
                  <c:v>285948.75</c:v>
                </c:pt>
                <c:pt idx="2">
                  <c:v>758915.91</c:v>
                </c:pt>
                <c:pt idx="3">
                  <c:v>223889.6</c:v>
                </c:pt>
                <c:pt idx="4">
                  <c:v>2120972.9900000002</c:v>
                </c:pt>
                <c:pt idx="5">
                  <c:v>425464.97</c:v>
                </c:pt>
                <c:pt idx="6">
                  <c:v>1999330.89</c:v>
                </c:pt>
              </c:numCache>
            </c:numRef>
          </c:val>
          <c:extLst>
            <c:ext xmlns:c16="http://schemas.microsoft.com/office/drawing/2014/chart" uri="{C3380CC4-5D6E-409C-BE32-E72D297353CC}">
              <c16:uniqueId val="{0000000E-433C-E541-B09E-8A508F26078F}"/>
            </c:ext>
          </c:extLst>
        </c:ser>
        <c:dLbls>
          <c:showLegendKey val="0"/>
          <c:showVal val="1"/>
          <c:showCatName val="0"/>
          <c:showSerName val="0"/>
          <c:showPercent val="0"/>
          <c:showBubbleSize val="1"/>
        </c:dLbls>
        <c:gapWidth val="150"/>
        <c:axId val="10"/>
        <c:axId val="100"/>
      </c:barChart>
      <c:catAx>
        <c:axId val="10"/>
        <c:scaling>
          <c:orientation val="minMax"/>
        </c:scaling>
        <c:delete val="0"/>
        <c:axPos val="b"/>
        <c:title>
          <c:tx>
            <c:rich>
              <a:bodyPr/>
              <a:lstStyle/>
              <a:p>
                <a:pPr>
                  <a:defRPr/>
                </a:pPr>
                <a:r>
                  <a:rPr lang="en-US"/>
                  <a:t>Price Tier</a:t>
                </a:r>
              </a:p>
            </c:rich>
          </c:tx>
          <c:overlay val="1"/>
        </c:title>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Revenue ($)</a:t>
                </a:r>
              </a:p>
            </c:rich>
          </c:tx>
          <c:overlay val="1"/>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Unit Share by Price Tier</a:t>
            </a:r>
          </a:p>
        </c:rich>
      </c:tx>
      <c:overlay val="1"/>
    </c:title>
    <c:autoTitleDeleted val="0"/>
    <c:plotArea>
      <c:layout/>
      <c:pieChart>
        <c:varyColors val="1"/>
        <c:ser>
          <c:idx val="0"/>
          <c:order val="0"/>
          <c:spPr>
            <a:ln>
              <a:prstDash val="solid"/>
            </a:ln>
          </c:spPr>
          <c:dLbls>
            <c:spPr>
              <a:noFill/>
              <a:ln>
                <a:noFill/>
              </a:ln>
              <a:effectLst/>
            </c:spPr>
            <c:showLegendKey val="0"/>
            <c:showVal val="0"/>
            <c:showCatName val="1"/>
            <c:showSerName val="0"/>
            <c:showPercent val="1"/>
            <c:showBubbleSize val="1"/>
            <c:showLeaderLines val="1"/>
            <c:extLst>
              <c:ext xmlns:c15="http://schemas.microsoft.com/office/drawing/2012/chart" uri="{CE6537A1-D6FC-4f65-9D91-7224C49458BB}"/>
            </c:extLst>
          </c:dLbls>
          <c:cat>
            <c:strRef>
              <c:f>'Price Tiers'!$A$3:$A$9</c:f>
              <c:strCache>
                <c:ptCount val="7"/>
                <c:pt idx="0">
                  <c:v>$0-40</c:v>
                </c:pt>
                <c:pt idx="1">
                  <c:v>$40-60</c:v>
                </c:pt>
                <c:pt idx="2">
                  <c:v>$60-90</c:v>
                </c:pt>
                <c:pt idx="3">
                  <c:v>$90-100</c:v>
                </c:pt>
                <c:pt idx="4">
                  <c:v>$100-150</c:v>
                </c:pt>
                <c:pt idx="5">
                  <c:v>$150-200</c:v>
                </c:pt>
                <c:pt idx="6">
                  <c:v>$200+</c:v>
                </c:pt>
              </c:strCache>
            </c:strRef>
          </c:cat>
          <c:val>
            <c:numRef>
              <c:f>'Price Tiers'!$E$3:$E$9</c:f>
              <c:numCache>
                <c:formatCode>0.0%</c:formatCode>
                <c:ptCount val="7"/>
                <c:pt idx="0">
                  <c:v>0.55600000000000005</c:v>
                </c:pt>
                <c:pt idx="1">
                  <c:v>6.1699999999999998E-2</c:v>
                </c:pt>
                <c:pt idx="2">
                  <c:v>0.1037</c:v>
                </c:pt>
                <c:pt idx="3">
                  <c:v>2.3800000000000002E-2</c:v>
                </c:pt>
                <c:pt idx="4">
                  <c:v>0.1736</c:v>
                </c:pt>
                <c:pt idx="5">
                  <c:v>2.8799999999999999E-2</c:v>
                </c:pt>
                <c:pt idx="6">
                  <c:v>5.2400000000000002E-2</c:v>
                </c:pt>
              </c:numCache>
            </c:numRef>
          </c:val>
          <c:extLst>
            <c:ext xmlns:c16="http://schemas.microsoft.com/office/drawing/2014/chart" uri="{C3380CC4-5D6E-409C-BE32-E72D297353CC}">
              <c16:uniqueId val="{00000000-E735-954F-8B18-FCA354C8E3A6}"/>
            </c:ext>
          </c:extLst>
        </c:ser>
        <c:dLbls>
          <c:showLegendKey val="0"/>
          <c:showVal val="0"/>
          <c:showCatName val="1"/>
          <c:showSerName val="0"/>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Revenue Share by Price Tier</a:t>
            </a:r>
          </a:p>
        </c:rich>
      </c:tx>
      <c:overlay val="1"/>
    </c:title>
    <c:autoTitleDeleted val="0"/>
    <c:plotArea>
      <c:layout/>
      <c:barChart>
        <c:barDir val="col"/>
        <c:grouping val="clustered"/>
        <c:varyColors val="1"/>
        <c:ser>
          <c:idx val="0"/>
          <c:order val="0"/>
          <c:tx>
            <c:strRef>
              <c:f>'Price Tiers'!$D$2</c:f>
              <c:strCache>
                <c:ptCount val="1"/>
                <c:pt idx="0">
                  <c:v>Rev Share %</c:v>
                </c:pt>
              </c:strCache>
            </c:strRef>
          </c:tx>
          <c:spPr>
            <a:ln>
              <a:prstDash val="solid"/>
            </a:ln>
          </c:spPr>
          <c:invertIfNegative val="1"/>
          <c:dPt>
            <c:idx val="0"/>
            <c:invertIfNegative val="1"/>
            <c:bubble3D val="0"/>
            <c:spPr>
              <a:solidFill>
                <a:srgbClr val="6A4C93"/>
              </a:solidFill>
              <a:ln>
                <a:prstDash val="solid"/>
              </a:ln>
            </c:spPr>
            <c:extLst>
              <c:ext xmlns:c16="http://schemas.microsoft.com/office/drawing/2014/chart" uri="{C3380CC4-5D6E-409C-BE32-E72D297353CC}">
                <c16:uniqueId val="{00000001-42B5-104C-9E0B-C673596DF0D0}"/>
              </c:ext>
            </c:extLst>
          </c:dPt>
          <c:dPt>
            <c:idx val="1"/>
            <c:invertIfNegative val="1"/>
            <c:bubble3D val="0"/>
            <c:spPr>
              <a:solidFill>
                <a:srgbClr val="8E7CC3"/>
              </a:solidFill>
              <a:ln>
                <a:prstDash val="solid"/>
              </a:ln>
            </c:spPr>
            <c:extLst>
              <c:ext xmlns:c16="http://schemas.microsoft.com/office/drawing/2014/chart" uri="{C3380CC4-5D6E-409C-BE32-E72D297353CC}">
                <c16:uniqueId val="{00000003-42B5-104C-9E0B-C673596DF0D0}"/>
              </c:ext>
            </c:extLst>
          </c:dPt>
          <c:dPt>
            <c:idx val="2"/>
            <c:invertIfNegative val="1"/>
            <c:bubble3D val="0"/>
            <c:spPr>
              <a:solidFill>
                <a:srgbClr val="B4A7D6"/>
              </a:solidFill>
              <a:ln>
                <a:prstDash val="solid"/>
              </a:ln>
            </c:spPr>
            <c:extLst>
              <c:ext xmlns:c16="http://schemas.microsoft.com/office/drawing/2014/chart" uri="{C3380CC4-5D6E-409C-BE32-E72D297353CC}">
                <c16:uniqueId val="{00000005-42B5-104C-9E0B-C673596DF0D0}"/>
              </c:ext>
            </c:extLst>
          </c:dPt>
          <c:dPt>
            <c:idx val="3"/>
            <c:invertIfNegative val="1"/>
            <c:bubble3D val="0"/>
            <c:spPr>
              <a:solidFill>
                <a:srgbClr val="4A90E2"/>
              </a:solidFill>
              <a:ln>
                <a:prstDash val="solid"/>
              </a:ln>
            </c:spPr>
            <c:extLst>
              <c:ext xmlns:c16="http://schemas.microsoft.com/office/drawing/2014/chart" uri="{C3380CC4-5D6E-409C-BE32-E72D297353CC}">
                <c16:uniqueId val="{00000007-42B5-104C-9E0B-C673596DF0D0}"/>
              </c:ext>
            </c:extLst>
          </c:dPt>
          <c:dPt>
            <c:idx val="4"/>
            <c:invertIfNegative val="1"/>
            <c:bubble3D val="0"/>
            <c:spPr>
              <a:solidFill>
                <a:srgbClr val="50C2C9"/>
              </a:solidFill>
              <a:ln>
                <a:prstDash val="solid"/>
              </a:ln>
            </c:spPr>
            <c:extLst>
              <c:ext xmlns:c16="http://schemas.microsoft.com/office/drawing/2014/chart" uri="{C3380CC4-5D6E-409C-BE32-E72D297353CC}">
                <c16:uniqueId val="{00000009-42B5-104C-9E0B-C673596DF0D0}"/>
              </c:ext>
            </c:extLst>
          </c:dPt>
          <c:dPt>
            <c:idx val="5"/>
            <c:invertIfNegative val="1"/>
            <c:bubble3D val="0"/>
            <c:spPr>
              <a:solidFill>
                <a:srgbClr val="7FB069"/>
              </a:solidFill>
              <a:ln>
                <a:prstDash val="solid"/>
              </a:ln>
            </c:spPr>
            <c:extLst>
              <c:ext xmlns:c16="http://schemas.microsoft.com/office/drawing/2014/chart" uri="{C3380CC4-5D6E-409C-BE32-E72D297353CC}">
                <c16:uniqueId val="{0000000B-42B5-104C-9E0B-C673596DF0D0}"/>
              </c:ext>
            </c:extLst>
          </c:dPt>
          <c:dPt>
            <c:idx val="6"/>
            <c:invertIfNegative val="1"/>
            <c:bubble3D val="0"/>
            <c:spPr>
              <a:solidFill>
                <a:srgbClr val="F4B942"/>
              </a:solidFill>
              <a:ln>
                <a:prstDash val="solid"/>
              </a:ln>
            </c:spPr>
            <c:extLst>
              <c:ext xmlns:c16="http://schemas.microsoft.com/office/drawing/2014/chart" uri="{C3380CC4-5D6E-409C-BE32-E72D297353CC}">
                <c16:uniqueId val="{0000000D-42B5-104C-9E0B-C673596DF0D0}"/>
              </c:ext>
            </c:extLst>
          </c:dPt>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'Price Tiers'!$A$3:$A$9</c:f>
              <c:strCache>
                <c:ptCount val="7"/>
                <c:pt idx="0">
                  <c:v>$0-40</c:v>
                </c:pt>
                <c:pt idx="1">
                  <c:v>$40-60</c:v>
                </c:pt>
                <c:pt idx="2">
                  <c:v>$60-90</c:v>
                </c:pt>
                <c:pt idx="3">
                  <c:v>$90-100</c:v>
                </c:pt>
                <c:pt idx="4">
                  <c:v>$100-150</c:v>
                </c:pt>
                <c:pt idx="5">
                  <c:v>$150-200</c:v>
                </c:pt>
                <c:pt idx="6">
                  <c:v>$200+</c:v>
                </c:pt>
              </c:strCache>
            </c:strRef>
          </c:cat>
          <c:val>
            <c:numRef>
              <c:f>'Price Tiers'!$D$3:$D$9</c:f>
              <c:numCache>
                <c:formatCode>0.0%</c:formatCode>
                <c:ptCount val="7"/>
                <c:pt idx="0">
                  <c:v>0.2026</c:v>
                </c:pt>
                <c:pt idx="1">
                  <c:v>3.9199999999999999E-2</c:v>
                </c:pt>
                <c:pt idx="2">
                  <c:v>0.1041</c:v>
                </c:pt>
                <c:pt idx="3">
                  <c:v>3.0700000000000002E-2</c:v>
                </c:pt>
                <c:pt idx="4">
                  <c:v>0.29089999999999999</c:v>
                </c:pt>
                <c:pt idx="5">
                  <c:v>5.8299999999999998E-2</c:v>
                </c:pt>
                <c:pt idx="6">
                  <c:v>0.2742</c:v>
                </c:pt>
              </c:numCache>
            </c:numRef>
          </c:val>
          <c:extLst>
            <c:ext xmlns:c16="http://schemas.microsoft.com/office/drawing/2014/chart" uri="{C3380CC4-5D6E-409C-BE32-E72D297353CC}">
              <c16:uniqueId val="{0000000E-42B5-104C-9E0B-C673596DF0D0}"/>
            </c:ext>
          </c:extLst>
        </c:ser>
        <c:dLbls>
          <c:showLegendKey val="0"/>
          <c:showVal val="1"/>
          <c:showCatName val="0"/>
          <c:showSerName val="0"/>
          <c:showPercent val="0"/>
          <c:showBubbleSize val="1"/>
        </c:dLbls>
        <c:gapWidth val="150"/>
        <c:axId val="10"/>
        <c:axId val="100"/>
      </c:barChart>
      <c:catAx>
        <c:axId val="10"/>
        <c:scaling>
          <c:orientation val="minMax"/>
        </c:scaling>
        <c:delete val="0"/>
        <c:axPos val="b"/>
        <c:title>
          <c:tx>
            <c:rich>
              <a:bodyPr/>
              <a:lstStyle/>
              <a:p>
                <a:pPr>
                  <a:defRPr/>
                </a:pPr>
                <a:r>
                  <a:rPr lang="en-US"/>
                  <a:t>Price Tier</a:t>
                </a:r>
              </a:p>
            </c:rich>
          </c:tx>
          <c:overlay val="1"/>
        </c:title>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Revenue Share %</a:t>
                </a:r>
              </a:p>
            </c:rich>
          </c:tx>
          <c:overlay val="1"/>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8</xdr:col>
      <xdr:colOff>0</xdr:colOff>
      <xdr:row>2</xdr:row>
      <xdr:rowOff>0</xdr:rowOff>
    </xdr:from>
    <xdr:ext cx="11520000" cy="79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342900</xdr:colOff>
      <xdr:row>50</xdr:row>
      <xdr:rowOff>25400</xdr:rowOff>
    </xdr:from>
    <xdr:ext cx="9360000" cy="79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7</xdr:col>
      <xdr:colOff>0</xdr:colOff>
      <xdr:row>2</xdr:row>
      <xdr:rowOff>0</xdr:rowOff>
    </xdr:from>
    <xdr:ext cx="9360000" cy="648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495300</xdr:colOff>
      <xdr:row>34</xdr:row>
      <xdr:rowOff>12700</xdr:rowOff>
    </xdr:from>
    <xdr:ext cx="9360000" cy="792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6</xdr:col>
      <xdr:colOff>457200</xdr:colOff>
      <xdr:row>75</xdr:row>
      <xdr:rowOff>88900</xdr:rowOff>
    </xdr:from>
    <xdr:ext cx="9360000" cy="6480000"/>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7</xdr:col>
      <xdr:colOff>0</xdr:colOff>
      <xdr:row>2</xdr:row>
      <xdr:rowOff>0</xdr:rowOff>
    </xdr:from>
    <xdr:ext cx="9360000" cy="648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482600</xdr:colOff>
      <xdr:row>37</xdr:row>
      <xdr:rowOff>25400</xdr:rowOff>
    </xdr:from>
    <xdr:ext cx="9360000" cy="792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6</xdr:col>
      <xdr:colOff>520700</xdr:colOff>
      <xdr:row>80</xdr:row>
      <xdr:rowOff>12700</xdr:rowOff>
    </xdr:from>
    <xdr:ext cx="9360000" cy="6480000"/>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23335E1-81EB-3849-B655-7B6281CED85F}">
  <we:reference id="WA200009404" version="1.0.0.8" store="Omex" storeType="OMEX"/>
  <we:alternateReferences>
    <we:reference id="WA200009404" version="1.0.0.8" store="WA200009404" storeType="OMEX"/>
  </we:alternateReferences>
  <we:properties>
    <we:property name="claude.fileId" value="&quot;251fd759-0a02-41ef-ac46-b5f20079ff7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3"/>
  <sheetViews>
    <sheetView tabSelected="1" workbookViewId="0">
      <pane ySplit="2" topLeftCell="A3" activePane="bottomLeft" state="frozen"/>
      <selection pane="bottomLeft" activeCell="L423" sqref="L423"/>
    </sheetView>
  </sheetViews>
  <sheetFormatPr baseColWidth="10" defaultColWidth="8.83203125" defaultRowHeight="15" x14ac:dyDescent="0.2"/>
  <cols>
    <col min="1" max="1" width="22" customWidth="1"/>
    <col min="2" max="2" width="14" customWidth="1"/>
    <col min="3" max="4" width="16" customWidth="1"/>
    <col min="5" max="5" width="18" customWidth="1"/>
    <col min="6" max="6" width="14" customWidth="1"/>
    <col min="7" max="7" width="12" customWidth="1"/>
  </cols>
  <sheetData>
    <row r="1" spans="1:7" ht="34" customHeight="1" x14ac:dyDescent="0.2">
      <c r="A1" s="21" t="s">
        <v>0</v>
      </c>
      <c r="B1" s="22"/>
      <c r="C1" s="22"/>
      <c r="D1" s="22"/>
      <c r="E1" s="22"/>
      <c r="F1" s="22"/>
      <c r="G1" s="22"/>
    </row>
    <row r="2" spans="1:7" ht="30" customHeight="1" x14ac:dyDescent="0.2">
      <c r="A2" s="1" t="s">
        <v>1</v>
      </c>
      <c r="B2" s="1" t="s">
        <v>2</v>
      </c>
      <c r="C2" s="1" t="s">
        <v>3</v>
      </c>
      <c r="D2" s="1" t="s">
        <v>4</v>
      </c>
      <c r="E2" s="1" t="s">
        <v>5</v>
      </c>
      <c r="F2" s="1" t="s">
        <v>6</v>
      </c>
      <c r="G2" s="1" t="s">
        <v>7</v>
      </c>
    </row>
    <row r="3" spans="1:7" x14ac:dyDescent="0.2">
      <c r="A3" s="2" t="s">
        <v>8</v>
      </c>
      <c r="B3" s="3">
        <v>60</v>
      </c>
      <c r="C3" s="4">
        <v>2346573.29</v>
      </c>
      <c r="D3" s="3">
        <v>19719</v>
      </c>
      <c r="E3" s="5">
        <v>0.32179999999999997</v>
      </c>
      <c r="F3" s="4">
        <v>119</v>
      </c>
      <c r="G3" s="6">
        <v>4.51</v>
      </c>
    </row>
    <row r="4" spans="1:7" x14ac:dyDescent="0.2">
      <c r="A4" s="7" t="s">
        <v>9</v>
      </c>
      <c r="B4" s="8">
        <v>32</v>
      </c>
      <c r="C4" s="9">
        <v>579345.18999999994</v>
      </c>
      <c r="D4" s="8">
        <v>6810</v>
      </c>
      <c r="E4" s="10">
        <v>7.9399999999999998E-2</v>
      </c>
      <c r="F4" s="9">
        <v>85.07</v>
      </c>
      <c r="G4" s="11">
        <v>4.3600000000000003</v>
      </c>
    </row>
    <row r="5" spans="1:7" x14ac:dyDescent="0.2">
      <c r="A5" s="2" t="s">
        <v>10</v>
      </c>
      <c r="B5" s="3">
        <v>7</v>
      </c>
      <c r="C5" s="4">
        <v>376451.1</v>
      </c>
      <c r="D5" s="3">
        <v>12204</v>
      </c>
      <c r="E5" s="5">
        <v>5.16E-2</v>
      </c>
      <c r="F5" s="4">
        <v>30.85</v>
      </c>
      <c r="G5" s="6">
        <v>4.3</v>
      </c>
    </row>
    <row r="6" spans="1:7" x14ac:dyDescent="0.2">
      <c r="A6" s="7" t="s">
        <v>11</v>
      </c>
      <c r="B6" s="8">
        <v>38</v>
      </c>
      <c r="C6" s="9">
        <v>358421.63</v>
      </c>
      <c r="D6" s="8">
        <v>1623</v>
      </c>
      <c r="E6" s="10">
        <v>4.9200000000000001E-2</v>
      </c>
      <c r="F6" s="9">
        <v>220.84</v>
      </c>
      <c r="G6" s="11">
        <v>4.34</v>
      </c>
    </row>
    <row r="7" spans="1:7" x14ac:dyDescent="0.2">
      <c r="A7" s="2" t="s">
        <v>12</v>
      </c>
      <c r="B7" s="3">
        <v>4</v>
      </c>
      <c r="C7" s="4">
        <v>347820.17</v>
      </c>
      <c r="D7" s="3">
        <v>2501</v>
      </c>
      <c r="E7" s="5">
        <v>4.7699999999999999E-2</v>
      </c>
      <c r="F7" s="4">
        <v>139.07</v>
      </c>
      <c r="G7" s="6">
        <v>4.55</v>
      </c>
    </row>
    <row r="8" spans="1:7" x14ac:dyDescent="0.2">
      <c r="A8" s="7" t="s">
        <v>13</v>
      </c>
      <c r="B8" s="8">
        <v>124</v>
      </c>
      <c r="C8" s="9">
        <v>283273.45</v>
      </c>
      <c r="D8" s="8">
        <v>521</v>
      </c>
      <c r="E8" s="10">
        <v>3.8800000000000001E-2</v>
      </c>
      <c r="F8" s="9">
        <v>543.71</v>
      </c>
      <c r="G8" s="11">
        <v>4.26</v>
      </c>
    </row>
    <row r="9" spans="1:7" x14ac:dyDescent="0.2">
      <c r="A9" s="2" t="s">
        <v>14</v>
      </c>
      <c r="B9" s="3">
        <v>50</v>
      </c>
      <c r="C9" s="4">
        <v>205210.29</v>
      </c>
      <c r="D9" s="3">
        <v>467</v>
      </c>
      <c r="E9" s="5">
        <v>2.81E-2</v>
      </c>
      <c r="F9" s="4">
        <v>439.42</v>
      </c>
      <c r="G9" s="6">
        <v>4.26</v>
      </c>
    </row>
    <row r="10" spans="1:7" x14ac:dyDescent="0.2">
      <c r="A10" s="7" t="s">
        <v>15</v>
      </c>
      <c r="B10" s="8">
        <v>25</v>
      </c>
      <c r="C10" s="9">
        <v>175634.34</v>
      </c>
      <c r="D10" s="8">
        <v>910</v>
      </c>
      <c r="E10" s="10">
        <v>2.41E-2</v>
      </c>
      <c r="F10" s="9">
        <v>193</v>
      </c>
      <c r="G10" s="11">
        <v>4.37</v>
      </c>
    </row>
    <row r="11" spans="1:7" x14ac:dyDescent="0.2">
      <c r="A11" s="2" t="s">
        <v>16</v>
      </c>
      <c r="B11" s="3">
        <v>16</v>
      </c>
      <c r="C11" s="4">
        <v>154950.16</v>
      </c>
      <c r="D11" s="3">
        <v>2777</v>
      </c>
      <c r="E11" s="5">
        <v>2.12E-2</v>
      </c>
      <c r="F11" s="4">
        <v>55.8</v>
      </c>
      <c r="G11" s="6">
        <v>4.4400000000000004</v>
      </c>
    </row>
    <row r="12" spans="1:7" x14ac:dyDescent="0.2">
      <c r="A12" s="7" t="s">
        <v>17</v>
      </c>
      <c r="B12" s="8">
        <v>7</v>
      </c>
      <c r="C12" s="9">
        <v>124901.55</v>
      </c>
      <c r="D12" s="8">
        <v>3288</v>
      </c>
      <c r="E12" s="10">
        <v>1.7100000000000001E-2</v>
      </c>
      <c r="F12" s="9">
        <v>37.99</v>
      </c>
      <c r="G12" s="11">
        <v>4.47</v>
      </c>
    </row>
    <row r="13" spans="1:7" x14ac:dyDescent="0.2">
      <c r="A13" s="2" t="s">
        <v>18</v>
      </c>
      <c r="B13" s="3">
        <v>6</v>
      </c>
      <c r="C13" s="4">
        <v>97902.22</v>
      </c>
      <c r="D13" s="3">
        <v>2726</v>
      </c>
      <c r="E13" s="5">
        <v>1.34E-2</v>
      </c>
      <c r="F13" s="4">
        <v>35.909999999999997</v>
      </c>
      <c r="G13" s="6">
        <v>4.4400000000000004</v>
      </c>
    </row>
    <row r="14" spans="1:7" x14ac:dyDescent="0.2">
      <c r="A14" s="7" t="s">
        <v>19</v>
      </c>
      <c r="B14" s="8">
        <v>10</v>
      </c>
      <c r="C14" s="9">
        <v>96278.03</v>
      </c>
      <c r="D14" s="8">
        <v>883</v>
      </c>
      <c r="E14" s="10">
        <v>1.32E-2</v>
      </c>
      <c r="F14" s="9">
        <v>109.04</v>
      </c>
      <c r="G14" s="11">
        <v>4.12</v>
      </c>
    </row>
    <row r="15" spans="1:7" x14ac:dyDescent="0.2">
      <c r="A15" s="2" t="s">
        <v>20</v>
      </c>
      <c r="B15" s="3">
        <v>4</v>
      </c>
      <c r="C15" s="4">
        <v>94965.29</v>
      </c>
      <c r="D15" s="3">
        <v>2041</v>
      </c>
      <c r="E15" s="5">
        <v>1.2999999999999999E-2</v>
      </c>
      <c r="F15" s="4">
        <v>46.53</v>
      </c>
      <c r="G15" s="6">
        <v>4.49</v>
      </c>
    </row>
    <row r="16" spans="1:7" x14ac:dyDescent="0.2">
      <c r="A16" s="7" t="s">
        <v>21</v>
      </c>
      <c r="B16" s="8">
        <v>5</v>
      </c>
      <c r="C16" s="9">
        <v>89992.01</v>
      </c>
      <c r="D16" s="8">
        <v>242</v>
      </c>
      <c r="E16" s="10">
        <v>1.23E-2</v>
      </c>
      <c r="F16" s="9">
        <v>371.87</v>
      </c>
      <c r="G16" s="11">
        <v>4.38</v>
      </c>
    </row>
    <row r="17" spans="1:7" x14ac:dyDescent="0.2">
      <c r="A17" s="2" t="s">
        <v>22</v>
      </c>
      <c r="B17" s="3">
        <v>4</v>
      </c>
      <c r="C17" s="4">
        <v>85522.559999999998</v>
      </c>
      <c r="D17" s="3">
        <v>2655</v>
      </c>
      <c r="E17" s="5">
        <v>1.17E-2</v>
      </c>
      <c r="F17" s="4">
        <v>32.21</v>
      </c>
      <c r="G17" s="6">
        <v>4.2699999999999996</v>
      </c>
    </row>
    <row r="18" spans="1:7" x14ac:dyDescent="0.2">
      <c r="A18" s="7" t="s">
        <v>23</v>
      </c>
      <c r="B18" s="8">
        <v>59</v>
      </c>
      <c r="C18" s="9">
        <v>78915.490000000005</v>
      </c>
      <c r="D18" s="8">
        <v>339</v>
      </c>
      <c r="E18" s="10">
        <v>1.0800000000000001E-2</v>
      </c>
      <c r="F18" s="9">
        <v>232.79</v>
      </c>
      <c r="G18" s="11">
        <v>4.08</v>
      </c>
    </row>
    <row r="19" spans="1:7" x14ac:dyDescent="0.2">
      <c r="A19" s="2" t="s">
        <v>24</v>
      </c>
      <c r="B19" s="3">
        <v>11</v>
      </c>
      <c r="C19" s="4">
        <v>70781.31</v>
      </c>
      <c r="D19" s="3">
        <v>1740</v>
      </c>
      <c r="E19" s="5">
        <v>9.7000000000000003E-3</v>
      </c>
      <c r="F19" s="4">
        <v>40.68</v>
      </c>
      <c r="G19" s="6">
        <v>4.34</v>
      </c>
    </row>
    <row r="20" spans="1:7" x14ac:dyDescent="0.2">
      <c r="A20" s="7" t="s">
        <v>25</v>
      </c>
      <c r="B20" s="8">
        <v>5</v>
      </c>
      <c r="C20" s="9">
        <v>66605.429999999993</v>
      </c>
      <c r="D20" s="8">
        <v>458</v>
      </c>
      <c r="E20" s="10">
        <v>9.1000000000000004E-3</v>
      </c>
      <c r="F20" s="9">
        <v>145.43</v>
      </c>
      <c r="G20" s="11">
        <v>4.6100000000000003</v>
      </c>
    </row>
    <row r="21" spans="1:7" x14ac:dyDescent="0.2">
      <c r="A21" s="2" t="s">
        <v>26</v>
      </c>
      <c r="B21" s="3">
        <v>7</v>
      </c>
      <c r="C21" s="4">
        <v>60530.55</v>
      </c>
      <c r="D21" s="3">
        <v>1905</v>
      </c>
      <c r="E21" s="5">
        <v>8.3000000000000001E-3</v>
      </c>
      <c r="F21" s="4">
        <v>31.77</v>
      </c>
      <c r="G21" s="6">
        <v>4.46</v>
      </c>
    </row>
    <row r="22" spans="1:7" x14ac:dyDescent="0.2">
      <c r="A22" s="7" t="s">
        <v>27</v>
      </c>
      <c r="B22" s="8">
        <v>7</v>
      </c>
      <c r="C22" s="9">
        <v>59151.16</v>
      </c>
      <c r="D22" s="8">
        <v>147</v>
      </c>
      <c r="E22" s="10">
        <v>8.0999999999999996E-3</v>
      </c>
      <c r="F22" s="9">
        <v>402.39</v>
      </c>
      <c r="G22" s="11">
        <v>3.91</v>
      </c>
    </row>
    <row r="23" spans="1:7" x14ac:dyDescent="0.2">
      <c r="A23" s="2" t="s">
        <v>28</v>
      </c>
      <c r="B23" s="3">
        <v>11</v>
      </c>
      <c r="C23" s="4">
        <v>55344.99</v>
      </c>
      <c r="D23" s="3">
        <v>2243</v>
      </c>
      <c r="E23" s="5">
        <v>7.6E-3</v>
      </c>
      <c r="F23" s="4">
        <v>24.67</v>
      </c>
      <c r="G23" s="6">
        <v>4.22</v>
      </c>
    </row>
    <row r="24" spans="1:7" x14ac:dyDescent="0.2">
      <c r="A24" s="7" t="s">
        <v>29</v>
      </c>
      <c r="B24" s="8">
        <v>26</v>
      </c>
      <c r="C24" s="9">
        <v>53884.5</v>
      </c>
      <c r="D24" s="8">
        <v>205</v>
      </c>
      <c r="E24" s="10">
        <v>7.4000000000000003E-3</v>
      </c>
      <c r="F24" s="9">
        <v>262.85000000000002</v>
      </c>
      <c r="G24" s="11">
        <v>4.17</v>
      </c>
    </row>
    <row r="25" spans="1:7" x14ac:dyDescent="0.2">
      <c r="A25" s="2" t="s">
        <v>30</v>
      </c>
      <c r="B25" s="3">
        <v>4</v>
      </c>
      <c r="C25" s="4">
        <v>50864.84</v>
      </c>
      <c r="D25" s="3">
        <v>501</v>
      </c>
      <c r="E25" s="5">
        <v>7.0000000000000001E-3</v>
      </c>
      <c r="F25" s="4">
        <v>101.53</v>
      </c>
      <c r="G25" s="6">
        <v>4.67</v>
      </c>
    </row>
    <row r="26" spans="1:7" x14ac:dyDescent="0.2">
      <c r="A26" s="7" t="s">
        <v>31</v>
      </c>
      <c r="B26" s="8">
        <v>4</v>
      </c>
      <c r="C26" s="9">
        <v>49779.18</v>
      </c>
      <c r="D26" s="8">
        <v>1544</v>
      </c>
      <c r="E26" s="10">
        <v>6.7999999999999996E-3</v>
      </c>
      <c r="F26" s="9">
        <v>32.24</v>
      </c>
      <c r="G26" s="11">
        <v>4.5</v>
      </c>
    </row>
    <row r="27" spans="1:7" x14ac:dyDescent="0.2">
      <c r="A27" s="2" t="s">
        <v>32</v>
      </c>
      <c r="B27" s="3">
        <v>6</v>
      </c>
      <c r="C27" s="4">
        <v>47028.71</v>
      </c>
      <c r="D27" s="3">
        <v>883</v>
      </c>
      <c r="E27" s="5">
        <v>6.4000000000000003E-3</v>
      </c>
      <c r="F27" s="4">
        <v>53.26</v>
      </c>
      <c r="G27" s="6">
        <v>4.05</v>
      </c>
    </row>
    <row r="28" spans="1:7" x14ac:dyDescent="0.2">
      <c r="A28" s="7" t="s">
        <v>33</v>
      </c>
      <c r="B28" s="8">
        <v>24</v>
      </c>
      <c r="C28" s="9">
        <v>46890.7</v>
      </c>
      <c r="D28" s="8">
        <v>111</v>
      </c>
      <c r="E28" s="10">
        <v>6.4000000000000003E-3</v>
      </c>
      <c r="F28" s="9">
        <v>422.44</v>
      </c>
      <c r="G28" s="11">
        <v>4.3099999999999996</v>
      </c>
    </row>
    <row r="29" spans="1:7" x14ac:dyDescent="0.2">
      <c r="A29" s="2" t="s">
        <v>34</v>
      </c>
      <c r="B29" s="3">
        <v>14</v>
      </c>
      <c r="C29" s="4">
        <v>43264.19</v>
      </c>
      <c r="D29" s="3">
        <v>1954</v>
      </c>
      <c r="E29" s="5">
        <v>5.8999999999999999E-3</v>
      </c>
      <c r="F29" s="4">
        <v>22.14</v>
      </c>
      <c r="G29" s="6">
        <v>4.2699999999999996</v>
      </c>
    </row>
    <row r="30" spans="1:7" x14ac:dyDescent="0.2">
      <c r="A30" s="7" t="s">
        <v>35</v>
      </c>
      <c r="B30" s="8">
        <v>2</v>
      </c>
      <c r="C30" s="9">
        <v>42439.15</v>
      </c>
      <c r="D30" s="8">
        <v>460</v>
      </c>
      <c r="E30" s="10">
        <v>5.7999999999999996E-3</v>
      </c>
      <c r="F30" s="9">
        <v>92.26</v>
      </c>
      <c r="G30" s="11">
        <v>4.5999999999999996</v>
      </c>
    </row>
    <row r="31" spans="1:7" x14ac:dyDescent="0.2">
      <c r="A31" s="2" t="s">
        <v>36</v>
      </c>
      <c r="B31" s="3">
        <v>1</v>
      </c>
      <c r="C31" s="4">
        <v>41716.44</v>
      </c>
      <c r="D31" s="3">
        <v>363</v>
      </c>
      <c r="E31" s="5">
        <v>5.7000000000000002E-3</v>
      </c>
      <c r="F31" s="4">
        <v>114.92</v>
      </c>
      <c r="G31" s="6">
        <v>4.7</v>
      </c>
    </row>
    <row r="32" spans="1:7" x14ac:dyDescent="0.2">
      <c r="A32" s="7" t="s">
        <v>37</v>
      </c>
      <c r="B32" s="8">
        <v>5</v>
      </c>
      <c r="C32" s="9">
        <v>38493.269999999997</v>
      </c>
      <c r="D32" s="8">
        <v>1238</v>
      </c>
      <c r="E32" s="10">
        <v>5.3E-3</v>
      </c>
      <c r="F32" s="9">
        <v>31.09</v>
      </c>
      <c r="G32" s="11">
        <v>4.33</v>
      </c>
    </row>
    <row r="33" spans="1:7" x14ac:dyDescent="0.2">
      <c r="A33" s="2" t="s">
        <v>38</v>
      </c>
      <c r="B33" s="3">
        <v>4</v>
      </c>
      <c r="C33" s="4">
        <v>37324.94</v>
      </c>
      <c r="D33" s="3">
        <v>350</v>
      </c>
      <c r="E33" s="5">
        <v>5.1000000000000004E-3</v>
      </c>
      <c r="F33" s="4">
        <v>106.64</v>
      </c>
      <c r="G33" s="6">
        <v>4.53</v>
      </c>
    </row>
    <row r="34" spans="1:7" x14ac:dyDescent="0.2">
      <c r="A34" s="7" t="s">
        <v>39</v>
      </c>
      <c r="B34" s="8">
        <v>8</v>
      </c>
      <c r="C34" s="9">
        <v>35116.300000000003</v>
      </c>
      <c r="D34" s="8">
        <v>293</v>
      </c>
      <c r="E34" s="10">
        <v>4.7999999999999996E-3</v>
      </c>
      <c r="F34" s="9">
        <v>119.85</v>
      </c>
      <c r="G34" s="11">
        <v>4.6399999999999997</v>
      </c>
    </row>
    <row r="35" spans="1:7" x14ac:dyDescent="0.2">
      <c r="A35" s="2" t="s">
        <v>40</v>
      </c>
      <c r="B35" s="3">
        <v>38</v>
      </c>
      <c r="C35" s="4">
        <v>34578.29</v>
      </c>
      <c r="D35" s="3">
        <v>184</v>
      </c>
      <c r="E35" s="5">
        <v>4.7000000000000002E-3</v>
      </c>
      <c r="F35" s="4">
        <v>187.93</v>
      </c>
      <c r="G35" s="6">
        <v>3.96</v>
      </c>
    </row>
    <row r="36" spans="1:7" x14ac:dyDescent="0.2">
      <c r="A36" s="7" t="s">
        <v>41</v>
      </c>
      <c r="B36" s="8">
        <v>2</v>
      </c>
      <c r="C36" s="9">
        <v>33985.56</v>
      </c>
      <c r="D36" s="8">
        <v>1445</v>
      </c>
      <c r="E36" s="10">
        <v>4.7000000000000002E-3</v>
      </c>
      <c r="F36" s="9">
        <v>23.52</v>
      </c>
      <c r="G36" s="11">
        <v>4.4000000000000004</v>
      </c>
    </row>
    <row r="37" spans="1:7" x14ac:dyDescent="0.2">
      <c r="A37" s="2" t="s">
        <v>42</v>
      </c>
      <c r="B37" s="3">
        <v>4</v>
      </c>
      <c r="C37" s="4">
        <v>33408.019999999997</v>
      </c>
      <c r="D37" s="3">
        <v>49</v>
      </c>
      <c r="E37" s="5">
        <v>4.5999999999999999E-3</v>
      </c>
      <c r="F37" s="4">
        <v>681.8</v>
      </c>
      <c r="G37" s="6">
        <v>4.7</v>
      </c>
    </row>
    <row r="38" spans="1:7" x14ac:dyDescent="0.2">
      <c r="A38" s="7" t="s">
        <v>43</v>
      </c>
      <c r="B38" s="8">
        <v>25</v>
      </c>
      <c r="C38" s="9">
        <v>33376.83</v>
      </c>
      <c r="D38" s="8">
        <v>101</v>
      </c>
      <c r="E38" s="10">
        <v>4.5999999999999999E-3</v>
      </c>
      <c r="F38" s="9">
        <v>330.46</v>
      </c>
      <c r="G38" s="11">
        <v>3.96</v>
      </c>
    </row>
    <row r="39" spans="1:7" x14ac:dyDescent="0.2">
      <c r="A39" s="2" t="s">
        <v>44</v>
      </c>
      <c r="B39" s="3">
        <v>5</v>
      </c>
      <c r="C39" s="4">
        <v>32580.639999999999</v>
      </c>
      <c r="D39" s="3">
        <v>779</v>
      </c>
      <c r="E39" s="5">
        <v>4.4999999999999997E-3</v>
      </c>
      <c r="F39" s="4">
        <v>41.82</v>
      </c>
      <c r="G39" s="6">
        <v>4.49</v>
      </c>
    </row>
    <row r="40" spans="1:7" x14ac:dyDescent="0.2">
      <c r="A40" s="7" t="s">
        <v>45</v>
      </c>
      <c r="B40" s="8">
        <v>4</v>
      </c>
      <c r="C40" s="9">
        <v>30924.97</v>
      </c>
      <c r="D40" s="8">
        <v>1436</v>
      </c>
      <c r="E40" s="10">
        <v>4.1999999999999997E-3</v>
      </c>
      <c r="F40" s="9">
        <v>21.54</v>
      </c>
      <c r="G40" s="11">
        <v>4.3099999999999996</v>
      </c>
    </row>
    <row r="41" spans="1:7" x14ac:dyDescent="0.2">
      <c r="A41" s="2" t="s">
        <v>46</v>
      </c>
      <c r="B41" s="3">
        <v>2</v>
      </c>
      <c r="C41" s="4">
        <v>30388.75</v>
      </c>
      <c r="D41" s="3">
        <v>1641</v>
      </c>
      <c r="E41" s="5">
        <v>4.1999999999999997E-3</v>
      </c>
      <c r="F41" s="4">
        <v>18.52</v>
      </c>
      <c r="G41" s="6">
        <v>4.4000000000000004</v>
      </c>
    </row>
    <row r="42" spans="1:7" x14ac:dyDescent="0.2">
      <c r="A42" s="7" t="s">
        <v>47</v>
      </c>
      <c r="B42" s="8">
        <v>6</v>
      </c>
      <c r="C42" s="9">
        <v>29352.41</v>
      </c>
      <c r="D42" s="8">
        <v>94</v>
      </c>
      <c r="E42" s="10">
        <v>4.0000000000000001E-3</v>
      </c>
      <c r="F42" s="9">
        <v>312.26</v>
      </c>
      <c r="G42" s="11">
        <v>4</v>
      </c>
    </row>
    <row r="43" spans="1:7" x14ac:dyDescent="0.2">
      <c r="A43" s="2" t="s">
        <v>48</v>
      </c>
      <c r="B43" s="3">
        <v>5</v>
      </c>
      <c r="C43" s="4">
        <v>28386.01</v>
      </c>
      <c r="D43" s="3">
        <v>128</v>
      </c>
      <c r="E43" s="5">
        <v>3.8999999999999998E-3</v>
      </c>
      <c r="F43" s="4">
        <v>221.77</v>
      </c>
      <c r="G43" s="6">
        <v>4.67</v>
      </c>
    </row>
    <row r="44" spans="1:7" x14ac:dyDescent="0.2">
      <c r="A44" s="7" t="s">
        <v>49</v>
      </c>
      <c r="B44" s="8">
        <v>3</v>
      </c>
      <c r="C44" s="9">
        <v>27642.32</v>
      </c>
      <c r="D44" s="8">
        <v>1151</v>
      </c>
      <c r="E44" s="10">
        <v>3.8E-3</v>
      </c>
      <c r="F44" s="9">
        <v>24.02</v>
      </c>
      <c r="G44" s="11">
        <v>4.5199999999999996</v>
      </c>
    </row>
    <row r="45" spans="1:7" x14ac:dyDescent="0.2">
      <c r="A45" s="2" t="s">
        <v>50</v>
      </c>
      <c r="B45" s="3">
        <v>13</v>
      </c>
      <c r="C45" s="4">
        <v>27398.12</v>
      </c>
      <c r="D45" s="3">
        <v>40</v>
      </c>
      <c r="E45" s="5">
        <v>3.8E-3</v>
      </c>
      <c r="F45" s="4">
        <v>684.95</v>
      </c>
      <c r="G45" s="6">
        <v>4.43</v>
      </c>
    </row>
    <row r="46" spans="1:7" x14ac:dyDescent="0.2">
      <c r="A46" s="7" t="s">
        <v>51</v>
      </c>
      <c r="B46" s="8">
        <v>65</v>
      </c>
      <c r="C46" s="9">
        <v>26969.62</v>
      </c>
      <c r="D46" s="8">
        <v>91</v>
      </c>
      <c r="E46" s="10">
        <v>3.7000000000000002E-3</v>
      </c>
      <c r="F46" s="9">
        <v>296.37</v>
      </c>
      <c r="G46" s="11">
        <v>3.94</v>
      </c>
    </row>
    <row r="47" spans="1:7" x14ac:dyDescent="0.2">
      <c r="A47" s="2" t="s">
        <v>52</v>
      </c>
      <c r="B47" s="3">
        <v>8</v>
      </c>
      <c r="C47" s="4">
        <v>24428.04</v>
      </c>
      <c r="D47" s="3">
        <v>305</v>
      </c>
      <c r="E47" s="5">
        <v>3.3E-3</v>
      </c>
      <c r="F47" s="4">
        <v>80.09</v>
      </c>
      <c r="G47" s="6">
        <v>4.4800000000000004</v>
      </c>
    </row>
    <row r="48" spans="1:7" x14ac:dyDescent="0.2">
      <c r="A48" s="7" t="s">
        <v>53</v>
      </c>
      <c r="B48" s="8">
        <v>3</v>
      </c>
      <c r="C48" s="9">
        <v>23751.08</v>
      </c>
      <c r="D48" s="8">
        <v>980</v>
      </c>
      <c r="E48" s="10">
        <v>3.3E-3</v>
      </c>
      <c r="F48" s="9">
        <v>24.24</v>
      </c>
      <c r="G48" s="11">
        <v>4.4000000000000004</v>
      </c>
    </row>
    <row r="49" spans="1:7" x14ac:dyDescent="0.2">
      <c r="A49" s="2" t="s">
        <v>54</v>
      </c>
      <c r="B49" s="3">
        <v>2</v>
      </c>
      <c r="C49" s="4">
        <v>23303.55</v>
      </c>
      <c r="D49" s="3">
        <v>1588</v>
      </c>
      <c r="E49" s="5">
        <v>3.2000000000000002E-3</v>
      </c>
      <c r="F49" s="4">
        <v>14.67</v>
      </c>
      <c r="G49" s="6">
        <v>4.2</v>
      </c>
    </row>
    <row r="50" spans="1:7" x14ac:dyDescent="0.2">
      <c r="A50" s="7" t="s">
        <v>55</v>
      </c>
      <c r="B50" s="8">
        <v>23</v>
      </c>
      <c r="C50" s="9">
        <v>21958.71</v>
      </c>
      <c r="D50" s="8">
        <v>54</v>
      </c>
      <c r="E50" s="10">
        <v>3.0000000000000001E-3</v>
      </c>
      <c r="F50" s="9">
        <v>406.64</v>
      </c>
      <c r="G50" s="11">
        <v>4.07</v>
      </c>
    </row>
    <row r="51" spans="1:7" x14ac:dyDescent="0.2">
      <c r="A51" s="2" t="s">
        <v>56</v>
      </c>
      <c r="B51" s="3">
        <v>4</v>
      </c>
      <c r="C51" s="4">
        <v>21862.69</v>
      </c>
      <c r="D51" s="3">
        <v>923</v>
      </c>
      <c r="E51" s="5">
        <v>3.0000000000000001E-3</v>
      </c>
      <c r="F51" s="4">
        <v>23.69</v>
      </c>
      <c r="G51" s="6">
        <v>4.4000000000000004</v>
      </c>
    </row>
    <row r="52" spans="1:7" x14ac:dyDescent="0.2">
      <c r="A52" s="7" t="s">
        <v>57</v>
      </c>
      <c r="B52" s="8">
        <v>6</v>
      </c>
      <c r="C52" s="9">
        <v>21611.94</v>
      </c>
      <c r="D52" s="8">
        <v>49</v>
      </c>
      <c r="E52" s="10">
        <v>3.0000000000000001E-3</v>
      </c>
      <c r="F52" s="9">
        <v>441.06</v>
      </c>
      <c r="G52" s="11">
        <v>4.22</v>
      </c>
    </row>
    <row r="53" spans="1:7" x14ac:dyDescent="0.2">
      <c r="A53" s="2" t="s">
        <v>58</v>
      </c>
      <c r="B53" s="3">
        <v>10</v>
      </c>
      <c r="C53" s="4">
        <v>21528.18</v>
      </c>
      <c r="D53" s="3">
        <v>63</v>
      </c>
      <c r="E53" s="5">
        <v>3.0000000000000001E-3</v>
      </c>
      <c r="F53" s="4">
        <v>341.72</v>
      </c>
      <c r="G53" s="6">
        <v>4.01</v>
      </c>
    </row>
    <row r="54" spans="1:7" x14ac:dyDescent="0.2">
      <c r="A54" s="7" t="s">
        <v>59</v>
      </c>
      <c r="B54" s="8">
        <v>3</v>
      </c>
      <c r="C54" s="9">
        <v>19982.77</v>
      </c>
      <c r="D54" s="8">
        <v>637</v>
      </c>
      <c r="E54" s="10">
        <v>2.7000000000000001E-3</v>
      </c>
      <c r="F54" s="9">
        <v>31.37</v>
      </c>
      <c r="G54" s="11">
        <v>4.13</v>
      </c>
    </row>
    <row r="55" spans="1:7" x14ac:dyDescent="0.2">
      <c r="A55" s="2" t="s">
        <v>60</v>
      </c>
      <c r="B55" s="3">
        <v>1</v>
      </c>
      <c r="C55" s="4">
        <v>19686.3</v>
      </c>
      <c r="D55" s="3">
        <v>76</v>
      </c>
      <c r="E55" s="5">
        <v>2.7000000000000001E-3</v>
      </c>
      <c r="F55" s="4">
        <v>259.02999999999997</v>
      </c>
      <c r="G55" s="6">
        <v>4.5</v>
      </c>
    </row>
    <row r="56" spans="1:7" x14ac:dyDescent="0.2">
      <c r="A56" s="7" t="s">
        <v>61</v>
      </c>
      <c r="B56" s="8">
        <v>7</v>
      </c>
      <c r="C56" s="9">
        <v>19579.330000000002</v>
      </c>
      <c r="D56" s="8">
        <v>185</v>
      </c>
      <c r="E56" s="10">
        <v>2.7000000000000001E-3</v>
      </c>
      <c r="F56" s="9">
        <v>105.83</v>
      </c>
      <c r="G56" s="11">
        <v>4.21</v>
      </c>
    </row>
    <row r="57" spans="1:7" x14ac:dyDescent="0.2">
      <c r="A57" s="2" t="s">
        <v>62</v>
      </c>
      <c r="B57" s="3">
        <v>18</v>
      </c>
      <c r="C57" s="4">
        <v>18590.87</v>
      </c>
      <c r="D57" s="3">
        <v>309</v>
      </c>
      <c r="E57" s="5">
        <v>2.5000000000000001E-3</v>
      </c>
      <c r="F57" s="4">
        <v>60.16</v>
      </c>
      <c r="G57" s="6">
        <v>4.58</v>
      </c>
    </row>
    <row r="58" spans="1:7" x14ac:dyDescent="0.2">
      <c r="A58" s="7" t="s">
        <v>63</v>
      </c>
      <c r="B58" s="8">
        <v>3</v>
      </c>
      <c r="C58" s="9">
        <v>17282.64</v>
      </c>
      <c r="D58" s="8">
        <v>164</v>
      </c>
      <c r="E58" s="10">
        <v>2.3999999999999998E-3</v>
      </c>
      <c r="F58" s="9">
        <v>105.38</v>
      </c>
      <c r="G58" s="11">
        <v>4.7</v>
      </c>
    </row>
    <row r="59" spans="1:7" x14ac:dyDescent="0.2">
      <c r="A59" s="2" t="s">
        <v>64</v>
      </c>
      <c r="B59" s="3">
        <v>8</v>
      </c>
      <c r="C59" s="4">
        <v>14338.82</v>
      </c>
      <c r="D59" s="3">
        <v>24</v>
      </c>
      <c r="E59" s="5">
        <v>2E-3</v>
      </c>
      <c r="F59" s="4">
        <v>597.45000000000005</v>
      </c>
      <c r="G59" s="6">
        <v>0</v>
      </c>
    </row>
    <row r="60" spans="1:7" x14ac:dyDescent="0.2">
      <c r="A60" s="7" t="s">
        <v>65</v>
      </c>
      <c r="B60" s="8">
        <v>7</v>
      </c>
      <c r="C60" s="9">
        <v>13089.5</v>
      </c>
      <c r="D60" s="8">
        <v>485</v>
      </c>
      <c r="E60" s="10">
        <v>1.8E-3</v>
      </c>
      <c r="F60" s="9">
        <v>26.99</v>
      </c>
      <c r="G60" s="11">
        <v>4.3899999999999997</v>
      </c>
    </row>
    <row r="61" spans="1:7" x14ac:dyDescent="0.2">
      <c r="A61" s="2" t="s">
        <v>66</v>
      </c>
      <c r="B61" s="3">
        <v>5</v>
      </c>
      <c r="C61" s="4">
        <v>13057.87</v>
      </c>
      <c r="D61" s="3">
        <v>49</v>
      </c>
      <c r="E61" s="5">
        <v>1.8E-3</v>
      </c>
      <c r="F61" s="4">
        <v>266.49</v>
      </c>
      <c r="G61" s="6">
        <v>4.2</v>
      </c>
    </row>
    <row r="62" spans="1:7" x14ac:dyDescent="0.2">
      <c r="A62" s="7" t="s">
        <v>67</v>
      </c>
      <c r="B62" s="8">
        <v>2</v>
      </c>
      <c r="C62" s="9">
        <v>11943.77</v>
      </c>
      <c r="D62" s="8">
        <v>677</v>
      </c>
      <c r="E62" s="10">
        <v>1.6000000000000001E-3</v>
      </c>
      <c r="F62" s="9">
        <v>17.64</v>
      </c>
      <c r="G62" s="11">
        <v>4.3</v>
      </c>
    </row>
    <row r="63" spans="1:7" x14ac:dyDescent="0.2">
      <c r="A63" s="2" t="s">
        <v>68</v>
      </c>
      <c r="B63" s="3">
        <v>11</v>
      </c>
      <c r="C63" s="4">
        <v>11489.17</v>
      </c>
      <c r="D63" s="3">
        <v>168</v>
      </c>
      <c r="E63" s="5">
        <v>1.6000000000000001E-3</v>
      </c>
      <c r="F63" s="4">
        <v>68.39</v>
      </c>
      <c r="G63" s="6">
        <v>4.2300000000000004</v>
      </c>
    </row>
    <row r="64" spans="1:7" x14ac:dyDescent="0.2">
      <c r="A64" s="7" t="s">
        <v>69</v>
      </c>
      <c r="B64" s="8">
        <v>6</v>
      </c>
      <c r="C64" s="9">
        <v>10143.23</v>
      </c>
      <c r="D64" s="8">
        <v>53</v>
      </c>
      <c r="E64" s="10">
        <v>1.4E-3</v>
      </c>
      <c r="F64" s="9">
        <v>191.38</v>
      </c>
      <c r="G64" s="11">
        <v>4.3499999999999996</v>
      </c>
    </row>
    <row r="65" spans="1:7" x14ac:dyDescent="0.2">
      <c r="A65" s="2" t="s">
        <v>70</v>
      </c>
      <c r="B65" s="3">
        <v>2</v>
      </c>
      <c r="C65" s="4">
        <v>10063.950000000001</v>
      </c>
      <c r="D65" s="3">
        <v>26</v>
      </c>
      <c r="E65" s="5">
        <v>1.4E-3</v>
      </c>
      <c r="F65" s="4">
        <v>387.08</v>
      </c>
      <c r="G65" s="6">
        <v>4.2</v>
      </c>
    </row>
    <row r="66" spans="1:7" x14ac:dyDescent="0.2">
      <c r="A66" s="7" t="s">
        <v>71</v>
      </c>
      <c r="B66" s="8">
        <v>4</v>
      </c>
      <c r="C66" s="9">
        <v>9341.6200000000008</v>
      </c>
      <c r="D66" s="8">
        <v>331</v>
      </c>
      <c r="E66" s="10">
        <v>1.2999999999999999E-3</v>
      </c>
      <c r="F66" s="9">
        <v>28.22</v>
      </c>
      <c r="G66" s="11">
        <v>4.4400000000000004</v>
      </c>
    </row>
    <row r="67" spans="1:7" x14ac:dyDescent="0.2">
      <c r="A67" s="2" t="s">
        <v>72</v>
      </c>
      <c r="B67" s="3">
        <v>2</v>
      </c>
      <c r="C67" s="4">
        <v>8327.0400000000009</v>
      </c>
      <c r="D67" s="3">
        <v>34</v>
      </c>
      <c r="E67" s="5">
        <v>1.1000000000000001E-3</v>
      </c>
      <c r="F67" s="4">
        <v>244.91</v>
      </c>
      <c r="G67" s="6">
        <v>4.3600000000000003</v>
      </c>
    </row>
    <row r="68" spans="1:7" x14ac:dyDescent="0.2">
      <c r="A68" s="7" t="s">
        <v>73</v>
      </c>
      <c r="B68" s="8">
        <v>1</v>
      </c>
      <c r="C68" s="9">
        <v>8238.26</v>
      </c>
      <c r="D68" s="8">
        <v>78</v>
      </c>
      <c r="E68" s="10">
        <v>1.1000000000000001E-3</v>
      </c>
      <c r="F68" s="9">
        <v>105.62</v>
      </c>
      <c r="G68" s="11">
        <v>4.5999999999999996</v>
      </c>
    </row>
    <row r="69" spans="1:7" x14ac:dyDescent="0.2">
      <c r="A69" s="2" t="s">
        <v>74</v>
      </c>
      <c r="B69" s="3">
        <v>8</v>
      </c>
      <c r="C69" s="4">
        <v>7918.74</v>
      </c>
      <c r="D69" s="3">
        <v>237</v>
      </c>
      <c r="E69" s="5">
        <v>1.1000000000000001E-3</v>
      </c>
      <c r="F69" s="4">
        <v>33.409999999999997</v>
      </c>
      <c r="G69" s="6">
        <v>4.2</v>
      </c>
    </row>
    <row r="70" spans="1:7" x14ac:dyDescent="0.2">
      <c r="A70" s="7" t="s">
        <v>75</v>
      </c>
      <c r="B70" s="8">
        <v>2</v>
      </c>
      <c r="C70" s="9">
        <v>7129.02</v>
      </c>
      <c r="D70" s="8">
        <v>184</v>
      </c>
      <c r="E70" s="10">
        <v>1E-3</v>
      </c>
      <c r="F70" s="9">
        <v>38.74</v>
      </c>
      <c r="G70" s="11">
        <v>5</v>
      </c>
    </row>
    <row r="71" spans="1:7" x14ac:dyDescent="0.2">
      <c r="A71" s="2" t="s">
        <v>76</v>
      </c>
      <c r="B71" s="3">
        <v>1</v>
      </c>
      <c r="C71" s="4">
        <v>7105.56</v>
      </c>
      <c r="D71" s="3">
        <v>100</v>
      </c>
      <c r="E71" s="5">
        <v>1E-3</v>
      </c>
      <c r="F71" s="4">
        <v>71.06</v>
      </c>
      <c r="G71" s="6">
        <v>4.9000000000000004</v>
      </c>
    </row>
    <row r="72" spans="1:7" x14ac:dyDescent="0.2">
      <c r="A72" s="7" t="s">
        <v>77</v>
      </c>
      <c r="B72" s="8">
        <v>4</v>
      </c>
      <c r="C72" s="9">
        <v>5858.62</v>
      </c>
      <c r="D72" s="8">
        <v>16</v>
      </c>
      <c r="E72" s="10">
        <v>8.0000000000000004E-4</v>
      </c>
      <c r="F72" s="9">
        <v>366.16</v>
      </c>
      <c r="G72" s="11">
        <v>4.29</v>
      </c>
    </row>
    <row r="73" spans="1:7" x14ac:dyDescent="0.2">
      <c r="A73" s="2" t="s">
        <v>78</v>
      </c>
      <c r="B73" s="3">
        <v>5</v>
      </c>
      <c r="C73" s="4">
        <v>5822.94</v>
      </c>
      <c r="D73" s="3">
        <v>13</v>
      </c>
      <c r="E73" s="5">
        <v>8.0000000000000004E-4</v>
      </c>
      <c r="F73" s="4">
        <v>447.92</v>
      </c>
      <c r="G73" s="6">
        <v>3.78</v>
      </c>
    </row>
    <row r="74" spans="1:7" x14ac:dyDescent="0.2">
      <c r="A74" s="7" t="s">
        <v>79</v>
      </c>
      <c r="B74" s="8">
        <v>10</v>
      </c>
      <c r="C74" s="9">
        <v>5449.52</v>
      </c>
      <c r="D74" s="8">
        <v>13</v>
      </c>
      <c r="E74" s="10">
        <v>6.9999999999999999E-4</v>
      </c>
      <c r="F74" s="9">
        <v>419.19</v>
      </c>
      <c r="G74" s="11">
        <v>4.4400000000000004</v>
      </c>
    </row>
    <row r="75" spans="1:7" x14ac:dyDescent="0.2">
      <c r="A75" s="2" t="s">
        <v>80</v>
      </c>
      <c r="B75" s="3">
        <v>1</v>
      </c>
      <c r="C75" s="4">
        <v>5429.07</v>
      </c>
      <c r="D75" s="3">
        <v>78</v>
      </c>
      <c r="E75" s="5">
        <v>6.9999999999999999E-4</v>
      </c>
      <c r="F75" s="4">
        <v>69.599999999999994</v>
      </c>
      <c r="G75" s="6">
        <v>4.5999999999999996</v>
      </c>
    </row>
    <row r="76" spans="1:7" x14ac:dyDescent="0.2">
      <c r="A76" s="7" t="s">
        <v>81</v>
      </c>
      <c r="B76" s="8">
        <v>5</v>
      </c>
      <c r="C76" s="9">
        <v>5310.06</v>
      </c>
      <c r="D76" s="8">
        <v>14</v>
      </c>
      <c r="E76" s="10">
        <v>6.9999999999999999E-4</v>
      </c>
      <c r="F76" s="9">
        <v>379.29</v>
      </c>
      <c r="G76" s="11">
        <v>4.13</v>
      </c>
    </row>
    <row r="77" spans="1:7" x14ac:dyDescent="0.2">
      <c r="A77" s="2" t="s">
        <v>82</v>
      </c>
      <c r="B77" s="3">
        <v>1</v>
      </c>
      <c r="C77" s="4">
        <v>5249.29</v>
      </c>
      <c r="D77" s="3">
        <v>9</v>
      </c>
      <c r="E77" s="5">
        <v>6.9999999999999999E-4</v>
      </c>
      <c r="F77" s="4">
        <v>583.25</v>
      </c>
      <c r="G77" s="6">
        <v>5</v>
      </c>
    </row>
    <row r="78" spans="1:7" x14ac:dyDescent="0.2">
      <c r="A78" s="7" t="s">
        <v>83</v>
      </c>
      <c r="B78" s="8">
        <v>3</v>
      </c>
      <c r="C78" s="9">
        <v>5223.25</v>
      </c>
      <c r="D78" s="8">
        <v>44</v>
      </c>
      <c r="E78" s="10">
        <v>6.9999999999999999E-4</v>
      </c>
      <c r="F78" s="9">
        <v>118.71</v>
      </c>
      <c r="G78" s="11">
        <v>4.4000000000000004</v>
      </c>
    </row>
    <row r="79" spans="1:7" x14ac:dyDescent="0.2">
      <c r="A79" s="2" t="s">
        <v>84</v>
      </c>
      <c r="B79" s="3">
        <v>4</v>
      </c>
      <c r="C79" s="4">
        <v>5040.6400000000003</v>
      </c>
      <c r="D79" s="3">
        <v>37</v>
      </c>
      <c r="E79" s="5">
        <v>6.9999999999999999E-4</v>
      </c>
      <c r="F79" s="4">
        <v>136.22999999999999</v>
      </c>
      <c r="G79" s="6">
        <v>4.47</v>
      </c>
    </row>
    <row r="80" spans="1:7" x14ac:dyDescent="0.2">
      <c r="A80" s="7" t="s">
        <v>85</v>
      </c>
      <c r="B80" s="8">
        <v>6</v>
      </c>
      <c r="C80" s="9">
        <v>4799</v>
      </c>
      <c r="D80" s="8">
        <v>84</v>
      </c>
      <c r="E80" s="10">
        <v>6.9999999999999999E-4</v>
      </c>
      <c r="F80" s="9">
        <v>57.13</v>
      </c>
      <c r="G80" s="11">
        <v>4.22</v>
      </c>
    </row>
    <row r="81" spans="1:7" x14ac:dyDescent="0.2">
      <c r="A81" s="2" t="s">
        <v>86</v>
      </c>
      <c r="B81" s="3">
        <v>1</v>
      </c>
      <c r="C81" s="4">
        <v>4645.54</v>
      </c>
      <c r="D81" s="3">
        <v>38</v>
      </c>
      <c r="E81" s="5">
        <v>5.9999999999999995E-4</v>
      </c>
      <c r="F81" s="4">
        <v>122.25</v>
      </c>
      <c r="G81" s="6">
        <v>4.4000000000000004</v>
      </c>
    </row>
    <row r="82" spans="1:7" x14ac:dyDescent="0.2">
      <c r="A82" s="7" t="s">
        <v>87</v>
      </c>
      <c r="B82" s="8">
        <v>1</v>
      </c>
      <c r="C82" s="9">
        <v>4573.26</v>
      </c>
      <c r="D82" s="8">
        <v>15</v>
      </c>
      <c r="E82" s="10">
        <v>5.9999999999999995E-4</v>
      </c>
      <c r="F82" s="9">
        <v>304.88</v>
      </c>
      <c r="G82" s="11">
        <v>4.5</v>
      </c>
    </row>
    <row r="83" spans="1:7" x14ac:dyDescent="0.2">
      <c r="A83" s="2" t="s">
        <v>88</v>
      </c>
      <c r="B83" s="3">
        <v>4</v>
      </c>
      <c r="C83" s="4">
        <v>4525.7299999999996</v>
      </c>
      <c r="D83" s="3">
        <v>44</v>
      </c>
      <c r="E83" s="5">
        <v>5.9999999999999995E-4</v>
      </c>
      <c r="F83" s="4">
        <v>102.86</v>
      </c>
      <c r="G83" s="6">
        <v>4.3600000000000003</v>
      </c>
    </row>
    <row r="84" spans="1:7" x14ac:dyDescent="0.2">
      <c r="A84" s="7" t="s">
        <v>89</v>
      </c>
      <c r="B84" s="8">
        <v>10</v>
      </c>
      <c r="C84" s="9">
        <v>4508.7700000000004</v>
      </c>
      <c r="D84" s="8">
        <v>126</v>
      </c>
      <c r="E84" s="10">
        <v>5.9999999999999995E-4</v>
      </c>
      <c r="F84" s="9">
        <v>35.78</v>
      </c>
      <c r="G84" s="11">
        <v>4.12</v>
      </c>
    </row>
    <row r="85" spans="1:7" x14ac:dyDescent="0.2">
      <c r="A85" s="2" t="s">
        <v>90</v>
      </c>
      <c r="B85" s="3">
        <v>1</v>
      </c>
      <c r="C85" s="4">
        <v>4316.58</v>
      </c>
      <c r="D85" s="3">
        <v>285</v>
      </c>
      <c r="E85" s="5">
        <v>5.9999999999999995E-4</v>
      </c>
      <c r="F85" s="4">
        <v>15.15</v>
      </c>
      <c r="G85" s="6">
        <v>4.3</v>
      </c>
    </row>
    <row r="86" spans="1:7" x14ac:dyDescent="0.2">
      <c r="A86" s="7" t="s">
        <v>91</v>
      </c>
      <c r="B86" s="8">
        <v>1</v>
      </c>
      <c r="C86" s="9">
        <v>4290.79</v>
      </c>
      <c r="D86" s="8">
        <v>216</v>
      </c>
      <c r="E86" s="10">
        <v>5.9999999999999995E-4</v>
      </c>
      <c r="F86" s="9">
        <v>19.86</v>
      </c>
      <c r="G86" s="11">
        <v>4.4000000000000004</v>
      </c>
    </row>
    <row r="87" spans="1:7" x14ac:dyDescent="0.2">
      <c r="A87" s="2" t="s">
        <v>92</v>
      </c>
      <c r="B87" s="3">
        <v>1</v>
      </c>
      <c r="C87" s="4">
        <v>4107.04</v>
      </c>
      <c r="D87" s="3">
        <v>165</v>
      </c>
      <c r="E87" s="5">
        <v>5.9999999999999995E-4</v>
      </c>
      <c r="F87" s="4">
        <v>24.89</v>
      </c>
      <c r="G87" s="6">
        <v>4.5</v>
      </c>
    </row>
    <row r="88" spans="1:7" x14ac:dyDescent="0.2">
      <c r="A88" s="7" t="s">
        <v>93</v>
      </c>
      <c r="B88" s="8">
        <v>2</v>
      </c>
      <c r="C88" s="9">
        <v>4028.89</v>
      </c>
      <c r="D88" s="8">
        <v>204</v>
      </c>
      <c r="E88" s="10">
        <v>5.9999999999999995E-4</v>
      </c>
      <c r="F88" s="9">
        <v>19.75</v>
      </c>
      <c r="G88" s="11">
        <v>4.3099999999999996</v>
      </c>
    </row>
    <row r="89" spans="1:7" x14ac:dyDescent="0.2">
      <c r="A89" s="2" t="s">
        <v>94</v>
      </c>
      <c r="B89" s="3">
        <v>2</v>
      </c>
      <c r="C89" s="4">
        <v>3875.68</v>
      </c>
      <c r="D89" s="3">
        <v>8</v>
      </c>
      <c r="E89" s="5">
        <v>5.0000000000000001E-4</v>
      </c>
      <c r="F89" s="4">
        <v>484.46</v>
      </c>
      <c r="G89" s="6">
        <v>3.88</v>
      </c>
    </row>
    <row r="90" spans="1:7" x14ac:dyDescent="0.2">
      <c r="A90" s="7" t="s">
        <v>95</v>
      </c>
      <c r="B90" s="8">
        <v>3</v>
      </c>
      <c r="C90" s="9">
        <v>3351.68</v>
      </c>
      <c r="D90" s="8">
        <v>33</v>
      </c>
      <c r="E90" s="10">
        <v>5.0000000000000001E-4</v>
      </c>
      <c r="F90" s="9">
        <v>101.57</v>
      </c>
      <c r="G90" s="11">
        <v>5</v>
      </c>
    </row>
    <row r="91" spans="1:7" x14ac:dyDescent="0.2">
      <c r="A91" s="2" t="s">
        <v>96</v>
      </c>
      <c r="B91" s="3">
        <v>2</v>
      </c>
      <c r="C91" s="4">
        <v>3224.19</v>
      </c>
      <c r="D91" s="3">
        <v>32</v>
      </c>
      <c r="E91" s="5">
        <v>4.0000000000000002E-4</v>
      </c>
      <c r="F91" s="4">
        <v>100.76</v>
      </c>
      <c r="G91" s="6">
        <v>4</v>
      </c>
    </row>
    <row r="92" spans="1:7" x14ac:dyDescent="0.2">
      <c r="A92" s="7" t="s">
        <v>97</v>
      </c>
      <c r="B92" s="8">
        <v>2</v>
      </c>
      <c r="C92" s="9">
        <v>3202.62</v>
      </c>
      <c r="D92" s="8">
        <v>7</v>
      </c>
      <c r="E92" s="10">
        <v>4.0000000000000002E-4</v>
      </c>
      <c r="F92" s="9">
        <v>457.52</v>
      </c>
      <c r="G92" s="11">
        <v>2</v>
      </c>
    </row>
    <row r="93" spans="1:7" x14ac:dyDescent="0.2">
      <c r="A93" s="2" t="s">
        <v>98</v>
      </c>
      <c r="B93" s="3">
        <v>1</v>
      </c>
      <c r="C93" s="4">
        <v>3196.21</v>
      </c>
      <c r="D93" s="3">
        <v>139</v>
      </c>
      <c r="E93" s="5">
        <v>4.0000000000000002E-4</v>
      </c>
      <c r="F93" s="4">
        <v>22.99</v>
      </c>
      <c r="G93" s="6">
        <v>4.3</v>
      </c>
    </row>
    <row r="94" spans="1:7" x14ac:dyDescent="0.2">
      <c r="A94" s="7" t="s">
        <v>99</v>
      </c>
      <c r="B94" s="8">
        <v>1</v>
      </c>
      <c r="C94" s="9">
        <v>3129.41</v>
      </c>
      <c r="D94" s="8">
        <v>165</v>
      </c>
      <c r="E94" s="10">
        <v>4.0000000000000002E-4</v>
      </c>
      <c r="F94" s="9">
        <v>18.97</v>
      </c>
      <c r="G94" s="11">
        <v>4.4000000000000004</v>
      </c>
    </row>
    <row r="95" spans="1:7" x14ac:dyDescent="0.2">
      <c r="A95" s="2" t="s">
        <v>100</v>
      </c>
      <c r="B95" s="3">
        <v>1</v>
      </c>
      <c r="C95" s="4">
        <v>3126.99</v>
      </c>
      <c r="D95" s="3">
        <v>92</v>
      </c>
      <c r="E95" s="5">
        <v>4.0000000000000002E-4</v>
      </c>
      <c r="F95" s="4">
        <v>33.99</v>
      </c>
      <c r="G95" s="6">
        <v>4.5</v>
      </c>
    </row>
    <row r="96" spans="1:7" x14ac:dyDescent="0.2">
      <c r="A96" s="7" t="s">
        <v>101</v>
      </c>
      <c r="B96" s="8">
        <v>7</v>
      </c>
      <c r="C96" s="9">
        <v>3108.11</v>
      </c>
      <c r="D96" s="8">
        <v>15</v>
      </c>
      <c r="E96" s="10">
        <v>4.0000000000000002E-4</v>
      </c>
      <c r="F96" s="9">
        <v>207.21</v>
      </c>
      <c r="G96" s="11">
        <v>4.2</v>
      </c>
    </row>
    <row r="97" spans="1:7" x14ac:dyDescent="0.2">
      <c r="A97" s="2" t="s">
        <v>102</v>
      </c>
      <c r="B97" s="3">
        <v>1</v>
      </c>
      <c r="C97" s="4">
        <v>3089.31</v>
      </c>
      <c r="D97" s="3">
        <v>15</v>
      </c>
      <c r="E97" s="5">
        <v>4.0000000000000002E-4</v>
      </c>
      <c r="F97" s="4">
        <v>205.95</v>
      </c>
      <c r="G97" s="6">
        <v>3.7</v>
      </c>
    </row>
    <row r="98" spans="1:7" x14ac:dyDescent="0.2">
      <c r="A98" s="7" t="s">
        <v>103</v>
      </c>
      <c r="B98" s="8">
        <v>1</v>
      </c>
      <c r="C98" s="9">
        <v>3079.1</v>
      </c>
      <c r="D98" s="8">
        <v>44</v>
      </c>
      <c r="E98" s="10">
        <v>4.0000000000000002E-4</v>
      </c>
      <c r="F98" s="9">
        <v>69.98</v>
      </c>
      <c r="G98" s="11">
        <v>4.5</v>
      </c>
    </row>
    <row r="99" spans="1:7" x14ac:dyDescent="0.2">
      <c r="A99" s="2" t="s">
        <v>104</v>
      </c>
      <c r="B99" s="3">
        <v>7</v>
      </c>
      <c r="C99" s="4">
        <v>3038.32</v>
      </c>
      <c r="D99" s="3">
        <v>11</v>
      </c>
      <c r="E99" s="5">
        <v>4.0000000000000002E-4</v>
      </c>
      <c r="F99" s="4">
        <v>276.20999999999998</v>
      </c>
      <c r="G99" s="6">
        <v>3.88</v>
      </c>
    </row>
    <row r="100" spans="1:7" x14ac:dyDescent="0.2">
      <c r="A100" s="7" t="s">
        <v>105</v>
      </c>
      <c r="B100" s="8">
        <v>1</v>
      </c>
      <c r="C100" s="9">
        <v>2965.32</v>
      </c>
      <c r="D100" s="8">
        <v>74</v>
      </c>
      <c r="E100" s="10">
        <v>4.0000000000000002E-4</v>
      </c>
      <c r="F100" s="9">
        <v>40.07</v>
      </c>
      <c r="G100" s="11">
        <v>3.9</v>
      </c>
    </row>
    <row r="101" spans="1:7" x14ac:dyDescent="0.2">
      <c r="A101" s="2" t="s">
        <v>106</v>
      </c>
      <c r="B101" s="3">
        <v>1</v>
      </c>
      <c r="C101" s="4">
        <v>2808.91</v>
      </c>
      <c r="D101" s="3">
        <v>173</v>
      </c>
      <c r="E101" s="5">
        <v>4.0000000000000002E-4</v>
      </c>
      <c r="F101" s="4">
        <v>16.239999999999998</v>
      </c>
      <c r="G101" s="6">
        <v>4.0999999999999996</v>
      </c>
    </row>
    <row r="102" spans="1:7" x14ac:dyDescent="0.2">
      <c r="A102" s="7" t="s">
        <v>107</v>
      </c>
      <c r="B102" s="8">
        <v>1</v>
      </c>
      <c r="C102" s="9">
        <v>2786.27</v>
      </c>
      <c r="D102" s="8">
        <v>101</v>
      </c>
      <c r="E102" s="10">
        <v>4.0000000000000002E-4</v>
      </c>
      <c r="F102" s="9">
        <v>27.59</v>
      </c>
      <c r="G102" s="11">
        <v>4.3</v>
      </c>
    </row>
    <row r="103" spans="1:7" x14ac:dyDescent="0.2">
      <c r="A103" s="2" t="s">
        <v>108</v>
      </c>
      <c r="B103" s="3">
        <v>4</v>
      </c>
      <c r="C103" s="4">
        <v>2747.78</v>
      </c>
      <c r="D103" s="3">
        <v>7</v>
      </c>
      <c r="E103" s="5">
        <v>4.0000000000000002E-4</v>
      </c>
      <c r="F103" s="4">
        <v>392.54</v>
      </c>
      <c r="G103" s="6">
        <v>5</v>
      </c>
    </row>
    <row r="104" spans="1:7" x14ac:dyDescent="0.2">
      <c r="A104" s="7" t="s">
        <v>109</v>
      </c>
      <c r="B104" s="8">
        <v>8</v>
      </c>
      <c r="C104" s="9">
        <v>2703.28</v>
      </c>
      <c r="D104" s="8">
        <v>91</v>
      </c>
      <c r="E104" s="10">
        <v>4.0000000000000002E-4</v>
      </c>
      <c r="F104" s="9">
        <v>29.71</v>
      </c>
      <c r="G104" s="11">
        <v>3.91</v>
      </c>
    </row>
    <row r="105" spans="1:7" x14ac:dyDescent="0.2">
      <c r="A105" s="2" t="s">
        <v>110</v>
      </c>
      <c r="B105" s="3">
        <v>2</v>
      </c>
      <c r="C105" s="4">
        <v>2668</v>
      </c>
      <c r="D105" s="3">
        <v>108</v>
      </c>
      <c r="E105" s="5">
        <v>4.0000000000000002E-4</v>
      </c>
      <c r="F105" s="4">
        <v>24.7</v>
      </c>
      <c r="G105" s="6">
        <v>4.3</v>
      </c>
    </row>
    <row r="106" spans="1:7" x14ac:dyDescent="0.2">
      <c r="A106" s="7" t="s">
        <v>111</v>
      </c>
      <c r="B106" s="8">
        <v>3</v>
      </c>
      <c r="C106" s="9">
        <v>2597.69</v>
      </c>
      <c r="D106" s="8">
        <v>27</v>
      </c>
      <c r="E106" s="10">
        <v>4.0000000000000002E-4</v>
      </c>
      <c r="F106" s="9">
        <v>96.21</v>
      </c>
      <c r="G106" s="11">
        <v>4.6100000000000003</v>
      </c>
    </row>
    <row r="107" spans="1:7" x14ac:dyDescent="0.2">
      <c r="A107" s="2" t="s">
        <v>112</v>
      </c>
      <c r="B107" s="3">
        <v>2</v>
      </c>
      <c r="C107" s="4">
        <v>2584.13</v>
      </c>
      <c r="D107" s="3">
        <v>14</v>
      </c>
      <c r="E107" s="5">
        <v>4.0000000000000002E-4</v>
      </c>
      <c r="F107" s="4">
        <v>184.58</v>
      </c>
      <c r="G107" s="6">
        <v>4.2</v>
      </c>
    </row>
    <row r="108" spans="1:7" x14ac:dyDescent="0.2">
      <c r="A108" s="7" t="s">
        <v>113</v>
      </c>
      <c r="B108" s="8">
        <v>3</v>
      </c>
      <c r="C108" s="9">
        <v>2557.2399999999998</v>
      </c>
      <c r="D108" s="8">
        <v>92</v>
      </c>
      <c r="E108" s="10">
        <v>4.0000000000000002E-4</v>
      </c>
      <c r="F108" s="9">
        <v>27.8</v>
      </c>
      <c r="G108" s="11">
        <v>4.4000000000000004</v>
      </c>
    </row>
    <row r="109" spans="1:7" x14ac:dyDescent="0.2">
      <c r="A109" s="2" t="s">
        <v>114</v>
      </c>
      <c r="B109" s="3">
        <v>2</v>
      </c>
      <c r="C109" s="4">
        <v>2457.46</v>
      </c>
      <c r="D109" s="3">
        <v>141</v>
      </c>
      <c r="E109" s="5">
        <v>2.9999999999999997E-4</v>
      </c>
      <c r="F109" s="4">
        <v>17.43</v>
      </c>
      <c r="G109" s="6">
        <v>4.21</v>
      </c>
    </row>
    <row r="110" spans="1:7" x14ac:dyDescent="0.2">
      <c r="A110" s="7" t="s">
        <v>115</v>
      </c>
      <c r="B110" s="8">
        <v>1</v>
      </c>
      <c r="C110" s="9">
        <v>2291.08</v>
      </c>
      <c r="D110" s="8">
        <v>38</v>
      </c>
      <c r="E110" s="10">
        <v>2.9999999999999997E-4</v>
      </c>
      <c r="F110" s="9">
        <v>60.29</v>
      </c>
      <c r="G110" s="11">
        <v>4.0999999999999996</v>
      </c>
    </row>
    <row r="111" spans="1:7" x14ac:dyDescent="0.2">
      <c r="A111" s="2" t="s">
        <v>116</v>
      </c>
      <c r="B111" s="3">
        <v>2</v>
      </c>
      <c r="C111" s="4">
        <v>2248.9899999999998</v>
      </c>
      <c r="D111" s="3">
        <v>5</v>
      </c>
      <c r="E111" s="5">
        <v>2.9999999999999997E-4</v>
      </c>
      <c r="F111" s="4">
        <v>449.8</v>
      </c>
      <c r="G111" s="6">
        <v>4.07</v>
      </c>
    </row>
    <row r="112" spans="1:7" x14ac:dyDescent="0.2">
      <c r="A112" s="7" t="s">
        <v>117</v>
      </c>
      <c r="B112" s="8">
        <v>1</v>
      </c>
      <c r="C112" s="9">
        <v>2240.98</v>
      </c>
      <c r="D112" s="8">
        <v>2</v>
      </c>
      <c r="E112" s="10">
        <v>2.9999999999999997E-4</v>
      </c>
      <c r="F112" s="9">
        <v>1120.49</v>
      </c>
      <c r="G112" s="11">
        <v>2.9</v>
      </c>
    </row>
    <row r="113" spans="1:7" x14ac:dyDescent="0.2">
      <c r="A113" s="2" t="s">
        <v>118</v>
      </c>
      <c r="B113" s="3">
        <v>2</v>
      </c>
      <c r="C113" s="4">
        <v>2238.39</v>
      </c>
      <c r="D113" s="3">
        <v>101</v>
      </c>
      <c r="E113" s="5">
        <v>2.9999999999999997E-4</v>
      </c>
      <c r="F113" s="4">
        <v>22.16</v>
      </c>
      <c r="G113" s="6">
        <v>4.67</v>
      </c>
    </row>
    <row r="114" spans="1:7" x14ac:dyDescent="0.2">
      <c r="A114" s="7" t="s">
        <v>119</v>
      </c>
      <c r="B114" s="8">
        <v>3</v>
      </c>
      <c r="C114" s="9">
        <v>2098.87</v>
      </c>
      <c r="D114" s="8">
        <v>20</v>
      </c>
      <c r="E114" s="10">
        <v>2.9999999999999997E-4</v>
      </c>
      <c r="F114" s="9">
        <v>104.94</v>
      </c>
      <c r="G114" s="11">
        <v>4.41</v>
      </c>
    </row>
    <row r="115" spans="1:7" x14ac:dyDescent="0.2">
      <c r="A115" s="2" t="s">
        <v>120</v>
      </c>
      <c r="B115" s="3">
        <v>1</v>
      </c>
      <c r="C115" s="4">
        <v>1860.29</v>
      </c>
      <c r="D115" s="3">
        <v>62</v>
      </c>
      <c r="E115" s="5">
        <v>2.9999999999999997E-4</v>
      </c>
      <c r="F115" s="4">
        <v>30</v>
      </c>
      <c r="G115" s="6">
        <v>4</v>
      </c>
    </row>
    <row r="116" spans="1:7" x14ac:dyDescent="0.2">
      <c r="A116" s="7" t="s">
        <v>121</v>
      </c>
      <c r="B116" s="8">
        <v>2</v>
      </c>
      <c r="C116" s="9">
        <v>1835.23</v>
      </c>
      <c r="D116" s="8">
        <v>79</v>
      </c>
      <c r="E116" s="10">
        <v>2.9999999999999997E-4</v>
      </c>
      <c r="F116" s="9">
        <v>23.23</v>
      </c>
      <c r="G116" s="11">
        <v>4.5</v>
      </c>
    </row>
    <row r="117" spans="1:7" x14ac:dyDescent="0.2">
      <c r="A117" s="2" t="s">
        <v>122</v>
      </c>
      <c r="B117" s="3">
        <v>17</v>
      </c>
      <c r="C117" s="4">
        <v>1823.58</v>
      </c>
      <c r="D117" s="3">
        <v>39</v>
      </c>
      <c r="E117" s="5">
        <v>2.9999999999999997E-4</v>
      </c>
      <c r="F117" s="4">
        <v>46.76</v>
      </c>
      <c r="G117" s="6">
        <v>3.18</v>
      </c>
    </row>
    <row r="118" spans="1:7" x14ac:dyDescent="0.2">
      <c r="A118" s="7" t="s">
        <v>123</v>
      </c>
      <c r="B118" s="8">
        <v>3</v>
      </c>
      <c r="C118" s="9">
        <v>1806.18</v>
      </c>
      <c r="D118" s="8">
        <v>24</v>
      </c>
      <c r="E118" s="10">
        <v>2.0000000000000001E-4</v>
      </c>
      <c r="F118" s="9">
        <v>75.260000000000005</v>
      </c>
      <c r="G118" s="11">
        <v>3.6</v>
      </c>
    </row>
    <row r="119" spans="1:7" x14ac:dyDescent="0.2">
      <c r="A119" s="2" t="s">
        <v>124</v>
      </c>
      <c r="B119" s="3">
        <v>2</v>
      </c>
      <c r="C119" s="4">
        <v>1755.51</v>
      </c>
      <c r="D119" s="3">
        <v>4</v>
      </c>
      <c r="E119" s="5">
        <v>2.0000000000000001E-4</v>
      </c>
      <c r="F119" s="4">
        <v>438.88</v>
      </c>
      <c r="G119" s="6">
        <v>0</v>
      </c>
    </row>
    <row r="120" spans="1:7" x14ac:dyDescent="0.2">
      <c r="A120" s="7" t="s">
        <v>125</v>
      </c>
      <c r="B120" s="8">
        <v>1</v>
      </c>
      <c r="C120" s="9">
        <v>1753.73</v>
      </c>
      <c r="D120" s="8">
        <v>117</v>
      </c>
      <c r="E120" s="10">
        <v>2.0000000000000001E-4</v>
      </c>
      <c r="F120" s="9">
        <v>14.99</v>
      </c>
      <c r="G120" s="11">
        <v>4.9000000000000004</v>
      </c>
    </row>
    <row r="121" spans="1:7" x14ac:dyDescent="0.2">
      <c r="A121" s="2" t="s">
        <v>126</v>
      </c>
      <c r="B121" s="3">
        <v>3</v>
      </c>
      <c r="C121" s="4">
        <v>1749.86</v>
      </c>
      <c r="D121" s="3">
        <v>218</v>
      </c>
      <c r="E121" s="5">
        <v>2.0000000000000001E-4</v>
      </c>
      <c r="F121" s="4">
        <v>8.0299999999999994</v>
      </c>
      <c r="G121" s="6">
        <v>3.31</v>
      </c>
    </row>
    <row r="122" spans="1:7" x14ac:dyDescent="0.2">
      <c r="A122" s="7" t="s">
        <v>127</v>
      </c>
      <c r="B122" s="8">
        <v>1</v>
      </c>
      <c r="C122" s="9">
        <v>1715.52</v>
      </c>
      <c r="D122" s="8">
        <v>28</v>
      </c>
      <c r="E122" s="10">
        <v>2.0000000000000001E-4</v>
      </c>
      <c r="F122" s="9">
        <v>61.27</v>
      </c>
      <c r="G122" s="11">
        <v>4.5999999999999996</v>
      </c>
    </row>
    <row r="123" spans="1:7" x14ac:dyDescent="0.2">
      <c r="A123" s="2" t="s">
        <v>128</v>
      </c>
      <c r="B123" s="3">
        <v>3</v>
      </c>
      <c r="C123" s="4">
        <v>1708.72</v>
      </c>
      <c r="D123" s="3">
        <v>24</v>
      </c>
      <c r="E123" s="5">
        <v>2.0000000000000001E-4</v>
      </c>
      <c r="F123" s="4">
        <v>71.2</v>
      </c>
      <c r="G123" s="6">
        <v>4.2</v>
      </c>
    </row>
    <row r="124" spans="1:7" x14ac:dyDescent="0.2">
      <c r="A124" s="7" t="s">
        <v>129</v>
      </c>
      <c r="B124" s="8">
        <v>2</v>
      </c>
      <c r="C124" s="9">
        <v>1694.66</v>
      </c>
      <c r="D124" s="8">
        <v>3</v>
      </c>
      <c r="E124" s="10">
        <v>2.0000000000000001E-4</v>
      </c>
      <c r="F124" s="9">
        <v>564.89</v>
      </c>
      <c r="G124" s="11">
        <v>0</v>
      </c>
    </row>
    <row r="125" spans="1:7" x14ac:dyDescent="0.2">
      <c r="A125" s="2" t="s">
        <v>130</v>
      </c>
      <c r="B125" s="3">
        <v>1</v>
      </c>
      <c r="C125" s="4">
        <v>1533.53</v>
      </c>
      <c r="D125" s="3">
        <v>2</v>
      </c>
      <c r="E125" s="5">
        <v>2.0000000000000001E-4</v>
      </c>
      <c r="F125" s="4">
        <v>766.76</v>
      </c>
      <c r="G125" s="6">
        <v>0</v>
      </c>
    </row>
    <row r="126" spans="1:7" x14ac:dyDescent="0.2">
      <c r="A126" s="7" t="s">
        <v>131</v>
      </c>
      <c r="B126" s="8">
        <v>2</v>
      </c>
      <c r="C126" s="9">
        <v>1479.31</v>
      </c>
      <c r="D126" s="8">
        <v>85</v>
      </c>
      <c r="E126" s="10">
        <v>2.0000000000000001E-4</v>
      </c>
      <c r="F126" s="9">
        <v>17.399999999999999</v>
      </c>
      <c r="G126" s="11">
        <v>4.2</v>
      </c>
    </row>
    <row r="127" spans="1:7" x14ac:dyDescent="0.2">
      <c r="A127" s="2" t="s">
        <v>132</v>
      </c>
      <c r="B127" s="3">
        <v>3</v>
      </c>
      <c r="C127" s="4">
        <v>1430.43</v>
      </c>
      <c r="D127" s="3">
        <v>6</v>
      </c>
      <c r="E127" s="5">
        <v>2.0000000000000001E-4</v>
      </c>
      <c r="F127" s="4">
        <v>238.4</v>
      </c>
      <c r="G127" s="6">
        <v>4.07</v>
      </c>
    </row>
    <row r="128" spans="1:7" x14ac:dyDescent="0.2">
      <c r="A128" s="7" t="s">
        <v>133</v>
      </c>
      <c r="B128" s="8">
        <v>1</v>
      </c>
      <c r="C128" s="9">
        <v>1417.42</v>
      </c>
      <c r="D128" s="8">
        <v>34</v>
      </c>
      <c r="E128" s="10">
        <v>2.0000000000000001E-4</v>
      </c>
      <c r="F128" s="9">
        <v>41.69</v>
      </c>
      <c r="G128" s="11">
        <v>4.4000000000000004</v>
      </c>
    </row>
    <row r="129" spans="1:7" x14ac:dyDescent="0.2">
      <c r="A129" s="2" t="s">
        <v>134</v>
      </c>
      <c r="B129" s="3">
        <v>1</v>
      </c>
      <c r="C129" s="4">
        <v>1406.33</v>
      </c>
      <c r="D129" s="3">
        <v>2</v>
      </c>
      <c r="E129" s="5">
        <v>2.0000000000000001E-4</v>
      </c>
      <c r="F129" s="4">
        <v>703.16</v>
      </c>
      <c r="G129" s="6">
        <v>5</v>
      </c>
    </row>
    <row r="130" spans="1:7" x14ac:dyDescent="0.2">
      <c r="A130" s="7" t="s">
        <v>135</v>
      </c>
      <c r="B130" s="8">
        <v>2</v>
      </c>
      <c r="C130" s="9">
        <v>1379.06</v>
      </c>
      <c r="D130" s="8">
        <v>66</v>
      </c>
      <c r="E130" s="10">
        <v>2.0000000000000001E-4</v>
      </c>
      <c r="F130" s="9">
        <v>20.89</v>
      </c>
      <c r="G130" s="11">
        <v>4.7</v>
      </c>
    </row>
    <row r="131" spans="1:7" x14ac:dyDescent="0.2">
      <c r="A131" s="2" t="s">
        <v>136</v>
      </c>
      <c r="B131" s="3">
        <v>2</v>
      </c>
      <c r="C131" s="4">
        <v>1352.75</v>
      </c>
      <c r="D131" s="3">
        <v>65</v>
      </c>
      <c r="E131" s="5">
        <v>2.0000000000000001E-4</v>
      </c>
      <c r="F131" s="4">
        <v>20.81</v>
      </c>
      <c r="G131" s="6">
        <v>4.28</v>
      </c>
    </row>
    <row r="132" spans="1:7" x14ac:dyDescent="0.2">
      <c r="A132" s="7" t="s">
        <v>137</v>
      </c>
      <c r="B132" s="8">
        <v>15</v>
      </c>
      <c r="C132" s="9">
        <v>1349.06</v>
      </c>
      <c r="D132" s="8">
        <v>12</v>
      </c>
      <c r="E132" s="10">
        <v>2.0000000000000001E-4</v>
      </c>
      <c r="F132" s="9">
        <v>112.42</v>
      </c>
      <c r="G132" s="11">
        <v>3.51</v>
      </c>
    </row>
    <row r="133" spans="1:7" x14ac:dyDescent="0.2">
      <c r="A133" s="2" t="s">
        <v>138</v>
      </c>
      <c r="B133" s="3">
        <v>2</v>
      </c>
      <c r="C133" s="4">
        <v>1294.83</v>
      </c>
      <c r="D133" s="3">
        <v>18</v>
      </c>
      <c r="E133" s="5">
        <v>2.0000000000000001E-4</v>
      </c>
      <c r="F133" s="4">
        <v>71.94</v>
      </c>
      <c r="G133" s="6">
        <v>4.0599999999999996</v>
      </c>
    </row>
    <row r="134" spans="1:7" x14ac:dyDescent="0.2">
      <c r="A134" s="7" t="s">
        <v>139</v>
      </c>
      <c r="B134" s="8">
        <v>3</v>
      </c>
      <c r="C134" s="9">
        <v>1285.33</v>
      </c>
      <c r="D134" s="8">
        <v>10</v>
      </c>
      <c r="E134" s="10">
        <v>2.0000000000000001E-4</v>
      </c>
      <c r="F134" s="9">
        <v>128.53</v>
      </c>
      <c r="G134" s="11">
        <v>5</v>
      </c>
    </row>
    <row r="135" spans="1:7" x14ac:dyDescent="0.2">
      <c r="A135" s="2" t="s">
        <v>140</v>
      </c>
      <c r="B135" s="3">
        <v>1</v>
      </c>
      <c r="C135" s="4">
        <v>1272.1300000000001</v>
      </c>
      <c r="D135" s="3">
        <v>2</v>
      </c>
      <c r="E135" s="5">
        <v>2.0000000000000001E-4</v>
      </c>
      <c r="F135" s="4">
        <v>636.07000000000005</v>
      </c>
      <c r="G135" s="6">
        <v>0</v>
      </c>
    </row>
    <row r="136" spans="1:7" x14ac:dyDescent="0.2">
      <c r="A136" s="7" t="s">
        <v>141</v>
      </c>
      <c r="B136" s="8">
        <v>1</v>
      </c>
      <c r="C136" s="9">
        <v>1258.95</v>
      </c>
      <c r="D136" s="8">
        <v>5</v>
      </c>
      <c r="E136" s="10">
        <v>2.0000000000000001E-4</v>
      </c>
      <c r="F136" s="9">
        <v>251.79</v>
      </c>
      <c r="G136" s="11">
        <v>3.8</v>
      </c>
    </row>
    <row r="137" spans="1:7" x14ac:dyDescent="0.2">
      <c r="A137" s="2" t="s">
        <v>142</v>
      </c>
      <c r="B137" s="3">
        <v>1</v>
      </c>
      <c r="C137" s="4">
        <v>1233.6500000000001</v>
      </c>
      <c r="D137" s="3">
        <v>18</v>
      </c>
      <c r="E137" s="5">
        <v>2.0000000000000001E-4</v>
      </c>
      <c r="F137" s="4">
        <v>68.540000000000006</v>
      </c>
      <c r="G137" s="6">
        <v>4.4000000000000004</v>
      </c>
    </row>
    <row r="138" spans="1:7" x14ac:dyDescent="0.2">
      <c r="A138" s="7" t="s">
        <v>143</v>
      </c>
      <c r="B138" s="8">
        <v>2</v>
      </c>
      <c r="C138" s="9">
        <v>1225.53</v>
      </c>
      <c r="D138" s="8">
        <v>61</v>
      </c>
      <c r="E138" s="10">
        <v>2.0000000000000001E-4</v>
      </c>
      <c r="F138" s="9">
        <v>20.09</v>
      </c>
      <c r="G138" s="11">
        <v>4.25</v>
      </c>
    </row>
    <row r="139" spans="1:7" x14ac:dyDescent="0.2">
      <c r="A139" s="2" t="s">
        <v>144</v>
      </c>
      <c r="B139" s="3">
        <v>3</v>
      </c>
      <c r="C139" s="4">
        <v>1212.98</v>
      </c>
      <c r="D139" s="3">
        <v>34</v>
      </c>
      <c r="E139" s="5">
        <v>2.0000000000000001E-4</v>
      </c>
      <c r="F139" s="4">
        <v>35.68</v>
      </c>
      <c r="G139" s="6">
        <v>4.4400000000000004</v>
      </c>
    </row>
    <row r="140" spans="1:7" x14ac:dyDescent="0.2">
      <c r="A140" s="7" t="s">
        <v>145</v>
      </c>
      <c r="B140" s="8">
        <v>3</v>
      </c>
      <c r="C140" s="9">
        <v>1172.31</v>
      </c>
      <c r="D140" s="8">
        <v>23</v>
      </c>
      <c r="E140" s="10">
        <v>2.0000000000000001E-4</v>
      </c>
      <c r="F140" s="9">
        <v>50.97</v>
      </c>
      <c r="G140" s="11">
        <v>4.5599999999999996</v>
      </c>
    </row>
    <row r="141" spans="1:7" x14ac:dyDescent="0.2">
      <c r="A141" s="2" t="s">
        <v>146</v>
      </c>
      <c r="B141" s="3">
        <v>5</v>
      </c>
      <c r="C141" s="4">
        <v>1147.56</v>
      </c>
      <c r="D141" s="3">
        <v>52</v>
      </c>
      <c r="E141" s="5">
        <v>2.0000000000000001E-4</v>
      </c>
      <c r="F141" s="4">
        <v>22.07</v>
      </c>
      <c r="G141" s="6">
        <v>4.08</v>
      </c>
    </row>
    <row r="142" spans="1:7" x14ac:dyDescent="0.2">
      <c r="A142" s="7" t="s">
        <v>147</v>
      </c>
      <c r="B142" s="8">
        <v>1</v>
      </c>
      <c r="C142" s="9">
        <v>1082.32</v>
      </c>
      <c r="D142" s="8">
        <v>40</v>
      </c>
      <c r="E142" s="10">
        <v>1E-4</v>
      </c>
      <c r="F142" s="9">
        <v>27.06</v>
      </c>
      <c r="G142" s="11">
        <v>5</v>
      </c>
    </row>
    <row r="143" spans="1:7" x14ac:dyDescent="0.2">
      <c r="A143" s="2" t="s">
        <v>148</v>
      </c>
      <c r="B143" s="3">
        <v>2</v>
      </c>
      <c r="C143" s="4">
        <v>1078.8599999999999</v>
      </c>
      <c r="D143" s="3">
        <v>33</v>
      </c>
      <c r="E143" s="5">
        <v>1E-4</v>
      </c>
      <c r="F143" s="4">
        <v>32.69</v>
      </c>
      <c r="G143" s="6">
        <v>4.4000000000000004</v>
      </c>
    </row>
    <row r="144" spans="1:7" x14ac:dyDescent="0.2">
      <c r="A144" s="7" t="s">
        <v>149</v>
      </c>
      <c r="B144" s="8">
        <v>4</v>
      </c>
      <c r="C144" s="9">
        <v>989.14</v>
      </c>
      <c r="D144" s="8">
        <v>4</v>
      </c>
      <c r="E144" s="10">
        <v>1E-4</v>
      </c>
      <c r="F144" s="9">
        <v>247.29</v>
      </c>
      <c r="G144" s="11">
        <v>5</v>
      </c>
    </row>
    <row r="145" spans="1:7" x14ac:dyDescent="0.2">
      <c r="A145" s="2" t="s">
        <v>150</v>
      </c>
      <c r="B145" s="3">
        <v>1</v>
      </c>
      <c r="C145" s="4">
        <v>988.81</v>
      </c>
      <c r="D145" s="3">
        <v>35</v>
      </c>
      <c r="E145" s="5">
        <v>1E-4</v>
      </c>
      <c r="F145" s="4">
        <v>28.25</v>
      </c>
      <c r="G145" s="6">
        <v>4.2</v>
      </c>
    </row>
    <row r="146" spans="1:7" x14ac:dyDescent="0.2">
      <c r="A146" s="7" t="s">
        <v>151</v>
      </c>
      <c r="B146" s="8">
        <v>8</v>
      </c>
      <c r="C146" s="9">
        <v>957.78</v>
      </c>
      <c r="D146" s="8">
        <v>8</v>
      </c>
      <c r="E146" s="10">
        <v>1E-4</v>
      </c>
      <c r="F146" s="9">
        <v>119.72</v>
      </c>
      <c r="G146" s="11">
        <v>3.39</v>
      </c>
    </row>
    <row r="147" spans="1:7" x14ac:dyDescent="0.2">
      <c r="A147" s="2" t="s">
        <v>152</v>
      </c>
      <c r="B147" s="3">
        <v>3</v>
      </c>
      <c r="C147" s="4">
        <v>926.53</v>
      </c>
      <c r="D147" s="3">
        <v>17</v>
      </c>
      <c r="E147" s="5">
        <v>1E-4</v>
      </c>
      <c r="F147" s="4">
        <v>54.5</v>
      </c>
      <c r="G147" s="6">
        <v>4.83</v>
      </c>
    </row>
    <row r="148" spans="1:7" x14ac:dyDescent="0.2">
      <c r="A148" s="7" t="s">
        <v>153</v>
      </c>
      <c r="B148" s="8">
        <v>1</v>
      </c>
      <c r="C148" s="9">
        <v>908.35</v>
      </c>
      <c r="D148" s="8">
        <v>33</v>
      </c>
      <c r="E148" s="10">
        <v>1E-4</v>
      </c>
      <c r="F148" s="9">
        <v>27.53</v>
      </c>
      <c r="G148" s="11">
        <v>4.2</v>
      </c>
    </row>
    <row r="149" spans="1:7" x14ac:dyDescent="0.2">
      <c r="A149" s="2" t="s">
        <v>154</v>
      </c>
      <c r="B149" s="3">
        <v>1</v>
      </c>
      <c r="C149" s="4">
        <v>900.81</v>
      </c>
      <c r="D149" s="3">
        <v>47</v>
      </c>
      <c r="E149" s="5">
        <v>1E-4</v>
      </c>
      <c r="F149" s="4">
        <v>19.170000000000002</v>
      </c>
      <c r="G149" s="6">
        <v>4.0999999999999996</v>
      </c>
    </row>
    <row r="150" spans="1:7" x14ac:dyDescent="0.2">
      <c r="A150" s="7" t="s">
        <v>155</v>
      </c>
      <c r="B150" s="8">
        <v>1</v>
      </c>
      <c r="C150" s="9">
        <v>893.79</v>
      </c>
      <c r="D150" s="8">
        <v>7</v>
      </c>
      <c r="E150" s="10">
        <v>1E-4</v>
      </c>
      <c r="F150" s="9">
        <v>127.68</v>
      </c>
      <c r="G150" s="11">
        <v>3.5</v>
      </c>
    </row>
    <row r="151" spans="1:7" x14ac:dyDescent="0.2">
      <c r="A151" s="2" t="s">
        <v>156</v>
      </c>
      <c r="B151" s="3">
        <v>2</v>
      </c>
      <c r="C151" s="4">
        <v>853.45</v>
      </c>
      <c r="D151" s="3">
        <v>11</v>
      </c>
      <c r="E151" s="5">
        <v>1E-4</v>
      </c>
      <c r="F151" s="4">
        <v>77.59</v>
      </c>
      <c r="G151" s="6">
        <v>4.3</v>
      </c>
    </row>
    <row r="152" spans="1:7" x14ac:dyDescent="0.2">
      <c r="A152" s="7" t="s">
        <v>157</v>
      </c>
      <c r="B152" s="8">
        <v>3</v>
      </c>
      <c r="C152" s="9">
        <v>844.16</v>
      </c>
      <c r="D152" s="8">
        <v>1</v>
      </c>
      <c r="E152" s="10">
        <v>1E-4</v>
      </c>
      <c r="F152" s="9">
        <v>844.16</v>
      </c>
      <c r="G152" s="11">
        <v>2.33</v>
      </c>
    </row>
    <row r="153" spans="1:7" x14ac:dyDescent="0.2">
      <c r="A153" s="2" t="s">
        <v>158</v>
      </c>
      <c r="B153" s="3">
        <v>2</v>
      </c>
      <c r="C153" s="4">
        <v>842.1</v>
      </c>
      <c r="D153" s="3">
        <v>12</v>
      </c>
      <c r="E153" s="5">
        <v>1E-4</v>
      </c>
      <c r="F153" s="4">
        <v>70.17</v>
      </c>
      <c r="G153" s="6">
        <v>4.5</v>
      </c>
    </row>
    <row r="154" spans="1:7" x14ac:dyDescent="0.2">
      <c r="A154" s="7" t="s">
        <v>159</v>
      </c>
      <c r="B154" s="8">
        <v>3</v>
      </c>
      <c r="C154" s="9">
        <v>839.95</v>
      </c>
      <c r="D154" s="8">
        <v>30</v>
      </c>
      <c r="E154" s="10">
        <v>1E-4</v>
      </c>
      <c r="F154" s="9">
        <v>28</v>
      </c>
      <c r="G154" s="11">
        <v>4.4000000000000004</v>
      </c>
    </row>
    <row r="155" spans="1:7" x14ac:dyDescent="0.2">
      <c r="A155" s="2" t="s">
        <v>160</v>
      </c>
      <c r="B155" s="3">
        <v>1</v>
      </c>
      <c r="C155" s="4">
        <v>823.72</v>
      </c>
      <c r="D155" s="3">
        <v>2</v>
      </c>
      <c r="E155" s="5">
        <v>1E-4</v>
      </c>
      <c r="F155" s="4">
        <v>411.86</v>
      </c>
      <c r="G155" s="6">
        <v>0</v>
      </c>
    </row>
    <row r="156" spans="1:7" x14ac:dyDescent="0.2">
      <c r="A156" s="7" t="s">
        <v>161</v>
      </c>
      <c r="B156" s="8">
        <v>2</v>
      </c>
      <c r="C156" s="9">
        <v>795.44</v>
      </c>
      <c r="D156" s="8">
        <v>12</v>
      </c>
      <c r="E156" s="10">
        <v>1E-4</v>
      </c>
      <c r="F156" s="9">
        <v>66.290000000000006</v>
      </c>
      <c r="G156" s="11">
        <v>4.1500000000000004</v>
      </c>
    </row>
    <row r="157" spans="1:7" x14ac:dyDescent="0.2">
      <c r="A157" s="2" t="s">
        <v>162</v>
      </c>
      <c r="B157" s="3">
        <v>3</v>
      </c>
      <c r="C157" s="4">
        <v>793.51</v>
      </c>
      <c r="D157" s="3">
        <v>12</v>
      </c>
      <c r="E157" s="5">
        <v>1E-4</v>
      </c>
      <c r="F157" s="4">
        <v>66.13</v>
      </c>
      <c r="G157" s="6">
        <v>3.7</v>
      </c>
    </row>
    <row r="158" spans="1:7" x14ac:dyDescent="0.2">
      <c r="A158" s="7" t="s">
        <v>163</v>
      </c>
      <c r="B158" s="8">
        <v>2</v>
      </c>
      <c r="C158" s="9">
        <v>782.76</v>
      </c>
      <c r="D158" s="8">
        <v>8</v>
      </c>
      <c r="E158" s="10">
        <v>1E-4</v>
      </c>
      <c r="F158" s="9">
        <v>97.84</v>
      </c>
      <c r="G158" s="11">
        <v>4.7</v>
      </c>
    </row>
    <row r="159" spans="1:7" x14ac:dyDescent="0.2">
      <c r="A159" s="2" t="s">
        <v>164</v>
      </c>
      <c r="B159" s="3">
        <v>2</v>
      </c>
      <c r="C159" s="4">
        <v>766.26</v>
      </c>
      <c r="D159" s="3">
        <v>5</v>
      </c>
      <c r="E159" s="5">
        <v>1E-4</v>
      </c>
      <c r="F159" s="4">
        <v>153.25</v>
      </c>
      <c r="G159" s="6">
        <v>0</v>
      </c>
    </row>
    <row r="160" spans="1:7" x14ac:dyDescent="0.2">
      <c r="A160" s="7" t="s">
        <v>165</v>
      </c>
      <c r="B160" s="8">
        <v>2</v>
      </c>
      <c r="C160" s="9">
        <v>760.32</v>
      </c>
      <c r="D160" s="8">
        <v>7</v>
      </c>
      <c r="E160" s="10">
        <v>1E-4</v>
      </c>
      <c r="F160" s="9">
        <v>108.62</v>
      </c>
      <c r="G160" s="11">
        <v>4.3</v>
      </c>
    </row>
    <row r="161" spans="1:7" x14ac:dyDescent="0.2">
      <c r="A161" s="2" t="s">
        <v>166</v>
      </c>
      <c r="B161" s="3">
        <v>1</v>
      </c>
      <c r="C161" s="4">
        <v>726.29</v>
      </c>
      <c r="D161" s="3">
        <v>47</v>
      </c>
      <c r="E161" s="5">
        <v>1E-4</v>
      </c>
      <c r="F161" s="4">
        <v>15.45</v>
      </c>
      <c r="G161" s="6">
        <v>4.5</v>
      </c>
    </row>
    <row r="162" spans="1:7" x14ac:dyDescent="0.2">
      <c r="A162" s="7" t="s">
        <v>167</v>
      </c>
      <c r="B162" s="8">
        <v>1</v>
      </c>
      <c r="C162" s="9">
        <v>714.88</v>
      </c>
      <c r="D162" s="8">
        <v>31</v>
      </c>
      <c r="E162" s="10">
        <v>1E-4</v>
      </c>
      <c r="F162" s="9">
        <v>23.06</v>
      </c>
      <c r="G162" s="11">
        <v>4.4000000000000004</v>
      </c>
    </row>
    <row r="163" spans="1:7" x14ac:dyDescent="0.2">
      <c r="A163" s="2" t="s">
        <v>168</v>
      </c>
      <c r="B163" s="3">
        <v>1</v>
      </c>
      <c r="C163" s="4">
        <v>706.11</v>
      </c>
      <c r="D163" s="3">
        <v>7</v>
      </c>
      <c r="E163" s="5">
        <v>1E-4</v>
      </c>
      <c r="F163" s="4">
        <v>100.87</v>
      </c>
      <c r="G163" s="6">
        <v>5</v>
      </c>
    </row>
    <row r="164" spans="1:7" x14ac:dyDescent="0.2">
      <c r="A164" s="7" t="s">
        <v>169</v>
      </c>
      <c r="B164" s="8">
        <v>1</v>
      </c>
      <c r="C164" s="9">
        <v>705.01</v>
      </c>
      <c r="D164" s="8">
        <v>18</v>
      </c>
      <c r="E164" s="10">
        <v>1E-4</v>
      </c>
      <c r="F164" s="9">
        <v>39.17</v>
      </c>
      <c r="G164" s="11">
        <v>3</v>
      </c>
    </row>
    <row r="165" spans="1:7" x14ac:dyDescent="0.2">
      <c r="A165" s="2" t="s">
        <v>170</v>
      </c>
      <c r="B165" s="3">
        <v>2</v>
      </c>
      <c r="C165" s="4">
        <v>703.52</v>
      </c>
      <c r="D165" s="3">
        <v>4</v>
      </c>
      <c r="E165" s="5">
        <v>1E-4</v>
      </c>
      <c r="F165" s="4">
        <v>175.88</v>
      </c>
      <c r="G165" s="6">
        <v>3.8</v>
      </c>
    </row>
    <row r="166" spans="1:7" x14ac:dyDescent="0.2">
      <c r="A166" s="7" t="s">
        <v>171</v>
      </c>
      <c r="B166" s="8">
        <v>1</v>
      </c>
      <c r="C166" s="9">
        <v>675.4</v>
      </c>
      <c r="D166" s="8">
        <v>10</v>
      </c>
      <c r="E166" s="10">
        <v>1E-4</v>
      </c>
      <c r="F166" s="9">
        <v>67.540000000000006</v>
      </c>
      <c r="G166" s="11">
        <v>3.9</v>
      </c>
    </row>
    <row r="167" spans="1:7" x14ac:dyDescent="0.2">
      <c r="A167" s="2" t="s">
        <v>172</v>
      </c>
      <c r="B167" s="3">
        <v>1</v>
      </c>
      <c r="C167" s="4">
        <v>670.28</v>
      </c>
      <c r="D167" s="3">
        <v>26</v>
      </c>
      <c r="E167" s="5">
        <v>1E-4</v>
      </c>
      <c r="F167" s="4">
        <v>25.78</v>
      </c>
      <c r="G167" s="6">
        <v>3.9</v>
      </c>
    </row>
    <row r="168" spans="1:7" x14ac:dyDescent="0.2">
      <c r="A168" s="7" t="s">
        <v>173</v>
      </c>
      <c r="B168" s="8">
        <v>8</v>
      </c>
      <c r="C168" s="9">
        <v>617.13</v>
      </c>
      <c r="D168" s="8">
        <v>22</v>
      </c>
      <c r="E168" s="10">
        <v>1E-4</v>
      </c>
      <c r="F168" s="9">
        <v>28.05</v>
      </c>
      <c r="G168" s="11">
        <v>3.93</v>
      </c>
    </row>
    <row r="169" spans="1:7" x14ac:dyDescent="0.2">
      <c r="A169" s="2" t="s">
        <v>174</v>
      </c>
      <c r="B169" s="3">
        <v>1</v>
      </c>
      <c r="C169" s="4">
        <v>606.47</v>
      </c>
      <c r="D169" s="3">
        <v>2</v>
      </c>
      <c r="E169" s="5">
        <v>1E-4</v>
      </c>
      <c r="F169" s="4">
        <v>303.24</v>
      </c>
      <c r="G169" s="6">
        <v>4.4000000000000004</v>
      </c>
    </row>
    <row r="170" spans="1:7" x14ac:dyDescent="0.2">
      <c r="A170" s="7" t="s">
        <v>175</v>
      </c>
      <c r="B170" s="8">
        <v>2</v>
      </c>
      <c r="C170" s="9">
        <v>598.41</v>
      </c>
      <c r="D170" s="8">
        <v>11</v>
      </c>
      <c r="E170" s="10">
        <v>1E-4</v>
      </c>
      <c r="F170" s="9">
        <v>54.4</v>
      </c>
      <c r="G170" s="11">
        <v>5</v>
      </c>
    </row>
    <row r="171" spans="1:7" x14ac:dyDescent="0.2">
      <c r="A171" s="2" t="s">
        <v>176</v>
      </c>
      <c r="B171" s="3">
        <v>1</v>
      </c>
      <c r="C171" s="4">
        <v>586.9</v>
      </c>
      <c r="D171" s="3">
        <v>3</v>
      </c>
      <c r="E171" s="5">
        <v>1E-4</v>
      </c>
      <c r="F171" s="4">
        <v>195.63</v>
      </c>
      <c r="G171" s="6">
        <v>0</v>
      </c>
    </row>
    <row r="172" spans="1:7" x14ac:dyDescent="0.2">
      <c r="A172" s="7" t="s">
        <v>177</v>
      </c>
      <c r="B172" s="8">
        <v>1</v>
      </c>
      <c r="C172" s="9">
        <v>572.33000000000004</v>
      </c>
      <c r="D172" s="8">
        <v>1</v>
      </c>
      <c r="E172" s="10">
        <v>1E-4</v>
      </c>
      <c r="F172" s="9">
        <v>572.33000000000004</v>
      </c>
      <c r="G172" s="11">
        <v>1</v>
      </c>
    </row>
    <row r="173" spans="1:7" x14ac:dyDescent="0.2">
      <c r="A173" s="2" t="s">
        <v>178</v>
      </c>
      <c r="B173" s="3">
        <v>6</v>
      </c>
      <c r="C173" s="4">
        <v>570.34</v>
      </c>
      <c r="D173" s="3">
        <v>5</v>
      </c>
      <c r="E173" s="5">
        <v>1E-4</v>
      </c>
      <c r="F173" s="4">
        <v>114.07</v>
      </c>
      <c r="G173" s="6">
        <v>3.84</v>
      </c>
    </row>
    <row r="174" spans="1:7" x14ac:dyDescent="0.2">
      <c r="A174" s="7" t="s">
        <v>179</v>
      </c>
      <c r="B174" s="8">
        <v>1</v>
      </c>
      <c r="C174" s="9">
        <v>555.66</v>
      </c>
      <c r="D174" s="8">
        <v>31</v>
      </c>
      <c r="E174" s="10">
        <v>1E-4</v>
      </c>
      <c r="F174" s="9">
        <v>17.920000000000002</v>
      </c>
      <c r="G174" s="11">
        <v>4.4000000000000004</v>
      </c>
    </row>
    <row r="175" spans="1:7" x14ac:dyDescent="0.2">
      <c r="A175" s="2" t="s">
        <v>180</v>
      </c>
      <c r="B175" s="3">
        <v>1</v>
      </c>
      <c r="C175" s="4">
        <v>544.02</v>
      </c>
      <c r="D175" s="3">
        <v>15</v>
      </c>
      <c r="E175" s="5">
        <v>1E-4</v>
      </c>
      <c r="F175" s="4">
        <v>36.270000000000003</v>
      </c>
      <c r="G175" s="6">
        <v>3.7</v>
      </c>
    </row>
    <row r="176" spans="1:7" x14ac:dyDescent="0.2">
      <c r="A176" s="7" t="s">
        <v>181</v>
      </c>
      <c r="B176" s="8">
        <v>1</v>
      </c>
      <c r="C176" s="9">
        <v>518.03</v>
      </c>
      <c r="D176" s="8">
        <v>4</v>
      </c>
      <c r="E176" s="10">
        <v>1E-4</v>
      </c>
      <c r="F176" s="9">
        <v>129.51</v>
      </c>
      <c r="G176" s="11">
        <v>3.3</v>
      </c>
    </row>
    <row r="177" spans="1:7" x14ac:dyDescent="0.2">
      <c r="A177" s="2" t="s">
        <v>182</v>
      </c>
      <c r="B177" s="3">
        <v>2</v>
      </c>
      <c r="C177" s="4">
        <v>509.6</v>
      </c>
      <c r="D177" s="3">
        <v>28</v>
      </c>
      <c r="E177" s="5">
        <v>1E-4</v>
      </c>
      <c r="F177" s="4">
        <v>18.2</v>
      </c>
      <c r="G177" s="6">
        <v>3.9</v>
      </c>
    </row>
    <row r="178" spans="1:7" x14ac:dyDescent="0.2">
      <c r="A178" s="7" t="s">
        <v>183</v>
      </c>
      <c r="B178" s="8">
        <v>2</v>
      </c>
      <c r="C178" s="9">
        <v>505.42</v>
      </c>
      <c r="D178" s="8">
        <v>2</v>
      </c>
      <c r="E178" s="10">
        <v>1E-4</v>
      </c>
      <c r="F178" s="9">
        <v>252.71</v>
      </c>
      <c r="G178" s="11">
        <v>1</v>
      </c>
    </row>
    <row r="179" spans="1:7" x14ac:dyDescent="0.2">
      <c r="A179" s="2" t="s">
        <v>184</v>
      </c>
      <c r="B179" s="3">
        <v>1</v>
      </c>
      <c r="C179" s="4">
        <v>500.65</v>
      </c>
      <c r="D179" s="3">
        <v>25</v>
      </c>
      <c r="E179" s="5">
        <v>1E-4</v>
      </c>
      <c r="F179" s="4">
        <v>20.03</v>
      </c>
      <c r="G179" s="6">
        <v>4.4000000000000004</v>
      </c>
    </row>
    <row r="180" spans="1:7" x14ac:dyDescent="0.2">
      <c r="A180" s="7" t="s">
        <v>185</v>
      </c>
      <c r="B180" s="8">
        <v>1</v>
      </c>
      <c r="C180" s="9">
        <v>482.13</v>
      </c>
      <c r="D180" s="8">
        <v>22</v>
      </c>
      <c r="E180" s="10">
        <v>1E-4</v>
      </c>
      <c r="F180" s="9">
        <v>21.91</v>
      </c>
      <c r="G180" s="11">
        <v>3.4</v>
      </c>
    </row>
    <row r="181" spans="1:7" x14ac:dyDescent="0.2">
      <c r="A181" s="2" t="s">
        <v>186</v>
      </c>
      <c r="B181" s="3">
        <v>3</v>
      </c>
      <c r="C181" s="4">
        <v>470.12</v>
      </c>
      <c r="D181" s="3">
        <v>25</v>
      </c>
      <c r="E181" s="5">
        <v>1E-4</v>
      </c>
      <c r="F181" s="4">
        <v>18.8</v>
      </c>
      <c r="G181" s="6">
        <v>4</v>
      </c>
    </row>
    <row r="182" spans="1:7" x14ac:dyDescent="0.2">
      <c r="A182" s="7" t="s">
        <v>187</v>
      </c>
      <c r="B182" s="8">
        <v>3</v>
      </c>
      <c r="C182" s="9">
        <v>457.72</v>
      </c>
      <c r="D182" s="8">
        <v>2</v>
      </c>
      <c r="E182" s="10">
        <v>1E-4</v>
      </c>
      <c r="F182" s="9">
        <v>228.86</v>
      </c>
      <c r="G182" s="11">
        <v>0</v>
      </c>
    </row>
    <row r="183" spans="1:7" x14ac:dyDescent="0.2">
      <c r="A183" s="2" t="s">
        <v>188</v>
      </c>
      <c r="B183" s="3">
        <v>1</v>
      </c>
      <c r="C183" s="4">
        <v>400.32</v>
      </c>
      <c r="D183" s="3">
        <v>20</v>
      </c>
      <c r="E183" s="5">
        <v>1E-4</v>
      </c>
      <c r="F183" s="4">
        <v>20.02</v>
      </c>
      <c r="G183" s="6">
        <v>4.3</v>
      </c>
    </row>
    <row r="184" spans="1:7" x14ac:dyDescent="0.2">
      <c r="A184" s="7" t="s">
        <v>189</v>
      </c>
      <c r="B184" s="8">
        <v>3</v>
      </c>
      <c r="C184" s="9">
        <v>391.71</v>
      </c>
      <c r="D184" s="8">
        <v>19</v>
      </c>
      <c r="E184" s="10">
        <v>1E-4</v>
      </c>
      <c r="F184" s="9">
        <v>20.62</v>
      </c>
      <c r="G184" s="11">
        <v>3.61</v>
      </c>
    </row>
    <row r="185" spans="1:7" x14ac:dyDescent="0.2">
      <c r="A185" s="2" t="s">
        <v>190</v>
      </c>
      <c r="B185" s="3">
        <v>2</v>
      </c>
      <c r="C185" s="4">
        <v>390.66</v>
      </c>
      <c r="D185" s="3">
        <v>4</v>
      </c>
      <c r="E185" s="5">
        <v>1E-4</v>
      </c>
      <c r="F185" s="4">
        <v>97.66</v>
      </c>
      <c r="G185" s="6">
        <v>5</v>
      </c>
    </row>
    <row r="186" spans="1:7" x14ac:dyDescent="0.2">
      <c r="A186" s="7" t="s">
        <v>191</v>
      </c>
      <c r="B186" s="8">
        <v>1</v>
      </c>
      <c r="C186" s="9">
        <v>374.34</v>
      </c>
      <c r="D186" s="8">
        <v>15</v>
      </c>
      <c r="E186" s="10">
        <v>1E-4</v>
      </c>
      <c r="F186" s="9">
        <v>24.96</v>
      </c>
      <c r="G186" s="11">
        <v>3.8</v>
      </c>
    </row>
    <row r="187" spans="1:7" x14ac:dyDescent="0.2">
      <c r="A187" s="2" t="s">
        <v>192</v>
      </c>
      <c r="B187" s="3">
        <v>1</v>
      </c>
      <c r="C187" s="4">
        <v>371.39</v>
      </c>
      <c r="D187" s="3">
        <v>10</v>
      </c>
      <c r="E187" s="5">
        <v>1E-4</v>
      </c>
      <c r="F187" s="4">
        <v>37.14</v>
      </c>
      <c r="G187" s="6">
        <v>4.2</v>
      </c>
    </row>
    <row r="188" spans="1:7" x14ac:dyDescent="0.2">
      <c r="A188" s="7" t="s">
        <v>193</v>
      </c>
      <c r="B188" s="8">
        <v>1</v>
      </c>
      <c r="C188" s="9">
        <v>365.67</v>
      </c>
      <c r="D188" s="8">
        <v>22</v>
      </c>
      <c r="E188" s="10">
        <v>1E-4</v>
      </c>
      <c r="F188" s="9">
        <v>16.62</v>
      </c>
      <c r="G188" s="11">
        <v>4</v>
      </c>
    </row>
    <row r="189" spans="1:7" x14ac:dyDescent="0.2">
      <c r="A189" s="2" t="s">
        <v>194</v>
      </c>
      <c r="B189" s="3">
        <v>2</v>
      </c>
      <c r="C189" s="4">
        <v>364.42</v>
      </c>
      <c r="D189" s="3">
        <v>9</v>
      </c>
      <c r="E189" s="5">
        <v>0</v>
      </c>
      <c r="F189" s="4">
        <v>40.49</v>
      </c>
      <c r="G189" s="6">
        <v>4.6500000000000004</v>
      </c>
    </row>
    <row r="190" spans="1:7" x14ac:dyDescent="0.2">
      <c r="A190" s="7" t="s">
        <v>195</v>
      </c>
      <c r="B190" s="8">
        <v>1</v>
      </c>
      <c r="C190" s="9">
        <v>358.46</v>
      </c>
      <c r="D190" s="8">
        <v>1</v>
      </c>
      <c r="E190" s="10">
        <v>0</v>
      </c>
      <c r="F190" s="9">
        <v>358.46</v>
      </c>
      <c r="G190" s="11">
        <v>3.4</v>
      </c>
    </row>
    <row r="191" spans="1:7" x14ac:dyDescent="0.2">
      <c r="A191" s="2" t="s">
        <v>196</v>
      </c>
      <c r="B191" s="3">
        <v>1</v>
      </c>
      <c r="C191" s="4">
        <v>332.86</v>
      </c>
      <c r="D191" s="3">
        <v>4</v>
      </c>
      <c r="E191" s="5">
        <v>0</v>
      </c>
      <c r="F191" s="4">
        <v>83.22</v>
      </c>
      <c r="G191" s="6">
        <v>1</v>
      </c>
    </row>
    <row r="192" spans="1:7" x14ac:dyDescent="0.2">
      <c r="A192" s="7" t="s">
        <v>197</v>
      </c>
      <c r="B192" s="8">
        <v>1</v>
      </c>
      <c r="C192" s="9">
        <v>329.32</v>
      </c>
      <c r="D192" s="8">
        <v>10</v>
      </c>
      <c r="E192" s="10">
        <v>0</v>
      </c>
      <c r="F192" s="9">
        <v>32.93</v>
      </c>
      <c r="G192" s="11">
        <v>4.0999999999999996</v>
      </c>
    </row>
    <row r="193" spans="1:7" x14ac:dyDescent="0.2">
      <c r="A193" s="2" t="s">
        <v>198</v>
      </c>
      <c r="B193" s="3">
        <v>6</v>
      </c>
      <c r="C193" s="4">
        <v>311.52999999999997</v>
      </c>
      <c r="D193" s="3">
        <v>1</v>
      </c>
      <c r="E193" s="5">
        <v>0</v>
      </c>
      <c r="F193" s="4">
        <v>311.52999999999997</v>
      </c>
      <c r="G193" s="6">
        <v>0</v>
      </c>
    </row>
    <row r="194" spans="1:7" x14ac:dyDescent="0.2">
      <c r="A194" s="7" t="s">
        <v>199</v>
      </c>
      <c r="B194" s="8">
        <v>4</v>
      </c>
      <c r="C194" s="9">
        <v>302.27</v>
      </c>
      <c r="D194" s="8">
        <v>4</v>
      </c>
      <c r="E194" s="10">
        <v>0</v>
      </c>
      <c r="F194" s="9">
        <v>75.569999999999993</v>
      </c>
      <c r="G194" s="11">
        <v>4.54</v>
      </c>
    </row>
    <row r="195" spans="1:7" x14ac:dyDescent="0.2">
      <c r="A195" s="2" t="s">
        <v>200</v>
      </c>
      <c r="B195" s="3">
        <v>1</v>
      </c>
      <c r="C195" s="4">
        <v>298.26</v>
      </c>
      <c r="D195" s="3">
        <v>1</v>
      </c>
      <c r="E195" s="5">
        <v>0</v>
      </c>
      <c r="F195" s="4">
        <v>298.26</v>
      </c>
      <c r="G195" s="6">
        <v>4</v>
      </c>
    </row>
    <row r="196" spans="1:7" x14ac:dyDescent="0.2">
      <c r="A196" s="7" t="s">
        <v>201</v>
      </c>
      <c r="B196" s="8">
        <v>1</v>
      </c>
      <c r="C196" s="9">
        <v>290.44</v>
      </c>
      <c r="D196" s="8">
        <v>3</v>
      </c>
      <c r="E196" s="10">
        <v>0</v>
      </c>
      <c r="F196" s="9">
        <v>96.81</v>
      </c>
      <c r="G196" s="11">
        <v>0</v>
      </c>
    </row>
    <row r="197" spans="1:7" x14ac:dyDescent="0.2">
      <c r="A197" s="2" t="s">
        <v>202</v>
      </c>
      <c r="B197" s="3">
        <v>2</v>
      </c>
      <c r="C197" s="4">
        <v>289.45999999999998</v>
      </c>
      <c r="D197" s="3">
        <v>8</v>
      </c>
      <c r="E197" s="5">
        <v>0</v>
      </c>
      <c r="F197" s="4">
        <v>36.18</v>
      </c>
      <c r="G197" s="6">
        <v>4.3</v>
      </c>
    </row>
    <row r="198" spans="1:7" x14ac:dyDescent="0.2">
      <c r="A198" s="7" t="s">
        <v>203</v>
      </c>
      <c r="B198" s="8">
        <v>1</v>
      </c>
      <c r="C198" s="9">
        <v>283.60000000000002</v>
      </c>
      <c r="D198" s="8">
        <v>28</v>
      </c>
      <c r="E198" s="10">
        <v>0</v>
      </c>
      <c r="F198" s="9">
        <v>10.130000000000001</v>
      </c>
      <c r="G198" s="11">
        <v>3.5</v>
      </c>
    </row>
    <row r="199" spans="1:7" x14ac:dyDescent="0.2">
      <c r="A199" s="2" t="s">
        <v>204</v>
      </c>
      <c r="B199" s="3">
        <v>1</v>
      </c>
      <c r="C199" s="4">
        <v>278.19</v>
      </c>
      <c r="D199" s="3">
        <v>6</v>
      </c>
      <c r="E199" s="5">
        <v>0</v>
      </c>
      <c r="F199" s="4">
        <v>46.37</v>
      </c>
      <c r="G199" s="6">
        <v>3.5</v>
      </c>
    </row>
    <row r="200" spans="1:7" x14ac:dyDescent="0.2">
      <c r="A200" s="7" t="s">
        <v>205</v>
      </c>
      <c r="B200" s="8">
        <v>1</v>
      </c>
      <c r="C200" s="9">
        <v>278.08</v>
      </c>
      <c r="D200" s="8">
        <v>2</v>
      </c>
      <c r="E200" s="10">
        <v>0</v>
      </c>
      <c r="F200" s="9">
        <v>139.04</v>
      </c>
      <c r="G200" s="11">
        <v>5</v>
      </c>
    </row>
    <row r="201" spans="1:7" x14ac:dyDescent="0.2">
      <c r="A201" s="2" t="s">
        <v>206</v>
      </c>
      <c r="B201" s="3">
        <v>1</v>
      </c>
      <c r="C201" s="4">
        <v>271.97000000000003</v>
      </c>
      <c r="D201" s="3">
        <v>5</v>
      </c>
      <c r="E201" s="5">
        <v>0</v>
      </c>
      <c r="F201" s="4">
        <v>54.39</v>
      </c>
      <c r="G201" s="6">
        <v>4.8</v>
      </c>
    </row>
    <row r="202" spans="1:7" x14ac:dyDescent="0.2">
      <c r="A202" s="7" t="s">
        <v>207</v>
      </c>
      <c r="B202" s="8">
        <v>1</v>
      </c>
      <c r="C202" s="9">
        <v>271.79000000000002</v>
      </c>
      <c r="D202" s="8">
        <v>5</v>
      </c>
      <c r="E202" s="10">
        <v>0</v>
      </c>
      <c r="F202" s="9">
        <v>54.36</v>
      </c>
      <c r="G202" s="11">
        <v>4.4000000000000004</v>
      </c>
    </row>
    <row r="203" spans="1:7" x14ac:dyDescent="0.2">
      <c r="A203" s="2" t="s">
        <v>208</v>
      </c>
      <c r="B203" s="3">
        <v>1</v>
      </c>
      <c r="C203" s="4">
        <v>266.52999999999997</v>
      </c>
      <c r="D203" s="3">
        <v>9</v>
      </c>
      <c r="E203" s="5">
        <v>0</v>
      </c>
      <c r="F203" s="4">
        <v>29.61</v>
      </c>
      <c r="G203" s="6">
        <v>4.2</v>
      </c>
    </row>
    <row r="204" spans="1:7" x14ac:dyDescent="0.2">
      <c r="A204" s="7" t="s">
        <v>209</v>
      </c>
      <c r="B204" s="8">
        <v>1</v>
      </c>
      <c r="C204" s="9">
        <v>260.74</v>
      </c>
      <c r="D204" s="8">
        <v>14</v>
      </c>
      <c r="E204" s="10">
        <v>0</v>
      </c>
      <c r="F204" s="9">
        <v>18.62</v>
      </c>
      <c r="G204" s="11">
        <v>4.4000000000000004</v>
      </c>
    </row>
    <row r="205" spans="1:7" x14ac:dyDescent="0.2">
      <c r="A205" s="2" t="s">
        <v>210</v>
      </c>
      <c r="B205" s="3">
        <v>4</v>
      </c>
      <c r="C205" s="4">
        <v>241.88</v>
      </c>
      <c r="D205" s="3">
        <v>4</v>
      </c>
      <c r="E205" s="5">
        <v>0</v>
      </c>
      <c r="F205" s="4">
        <v>60.47</v>
      </c>
      <c r="G205" s="6">
        <v>0</v>
      </c>
    </row>
    <row r="206" spans="1:7" x14ac:dyDescent="0.2">
      <c r="A206" s="7" t="s">
        <v>211</v>
      </c>
      <c r="B206" s="8">
        <v>11</v>
      </c>
      <c r="C206" s="9">
        <v>240.05</v>
      </c>
      <c r="D206" s="8">
        <v>7</v>
      </c>
      <c r="E206" s="10">
        <v>0</v>
      </c>
      <c r="F206" s="9">
        <v>34.29</v>
      </c>
      <c r="G206" s="11">
        <v>5</v>
      </c>
    </row>
    <row r="207" spans="1:7" x14ac:dyDescent="0.2">
      <c r="A207" s="2" t="s">
        <v>212</v>
      </c>
      <c r="B207" s="3">
        <v>1</v>
      </c>
      <c r="C207" s="4">
        <v>225.76</v>
      </c>
      <c r="D207" s="3">
        <v>1</v>
      </c>
      <c r="E207" s="5">
        <v>0</v>
      </c>
      <c r="F207" s="4">
        <v>225.76</v>
      </c>
      <c r="G207" s="6">
        <v>0</v>
      </c>
    </row>
    <row r="208" spans="1:7" x14ac:dyDescent="0.2">
      <c r="A208" s="7" t="s">
        <v>213</v>
      </c>
      <c r="B208" s="8">
        <v>3</v>
      </c>
      <c r="C208" s="9">
        <v>218.92</v>
      </c>
      <c r="D208" s="8">
        <v>5</v>
      </c>
      <c r="E208" s="10">
        <v>0</v>
      </c>
      <c r="F208" s="9">
        <v>43.78</v>
      </c>
      <c r="G208" s="11">
        <v>4.8099999999999996</v>
      </c>
    </row>
    <row r="209" spans="1:7" x14ac:dyDescent="0.2">
      <c r="A209" s="2" t="s">
        <v>214</v>
      </c>
      <c r="B209" s="3">
        <v>2</v>
      </c>
      <c r="C209" s="4">
        <v>215.82</v>
      </c>
      <c r="D209" s="3">
        <v>3</v>
      </c>
      <c r="E209" s="5">
        <v>0</v>
      </c>
      <c r="F209" s="4">
        <v>71.94</v>
      </c>
      <c r="G209" s="6">
        <v>5</v>
      </c>
    </row>
    <row r="210" spans="1:7" x14ac:dyDescent="0.2">
      <c r="A210" s="7" t="s">
        <v>215</v>
      </c>
      <c r="B210" s="8">
        <v>1</v>
      </c>
      <c r="C210" s="9">
        <v>214.77</v>
      </c>
      <c r="D210" s="8">
        <v>7</v>
      </c>
      <c r="E210" s="10">
        <v>0</v>
      </c>
      <c r="F210" s="9">
        <v>30.68</v>
      </c>
      <c r="G210" s="11">
        <v>4.3</v>
      </c>
    </row>
    <row r="211" spans="1:7" x14ac:dyDescent="0.2">
      <c r="A211" s="2" t="s">
        <v>216</v>
      </c>
      <c r="B211" s="3">
        <v>4</v>
      </c>
      <c r="C211" s="4">
        <v>212.99</v>
      </c>
      <c r="D211" s="3">
        <v>17</v>
      </c>
      <c r="E211" s="5">
        <v>0</v>
      </c>
      <c r="F211" s="4">
        <v>12.53</v>
      </c>
      <c r="G211" s="6">
        <v>3.5</v>
      </c>
    </row>
    <row r="212" spans="1:7" x14ac:dyDescent="0.2">
      <c r="A212" s="7" t="s">
        <v>217</v>
      </c>
      <c r="B212" s="8">
        <v>2</v>
      </c>
      <c r="C212" s="9">
        <v>198.06</v>
      </c>
      <c r="D212" s="8">
        <v>5</v>
      </c>
      <c r="E212" s="10">
        <v>0</v>
      </c>
      <c r="F212" s="9">
        <v>39.61</v>
      </c>
      <c r="G212" s="11">
        <v>4.53</v>
      </c>
    </row>
    <row r="213" spans="1:7" x14ac:dyDescent="0.2">
      <c r="A213" s="2" t="s">
        <v>218</v>
      </c>
      <c r="B213" s="3">
        <v>2</v>
      </c>
      <c r="C213" s="4">
        <v>195.09</v>
      </c>
      <c r="D213" s="3">
        <v>19</v>
      </c>
      <c r="E213" s="5">
        <v>0</v>
      </c>
      <c r="F213" s="4">
        <v>10.27</v>
      </c>
      <c r="G213" s="6">
        <v>3</v>
      </c>
    </row>
    <row r="214" spans="1:7" x14ac:dyDescent="0.2">
      <c r="A214" s="7" t="s">
        <v>219</v>
      </c>
      <c r="B214" s="8">
        <v>1</v>
      </c>
      <c r="C214" s="9">
        <v>194.51</v>
      </c>
      <c r="D214" s="8">
        <v>1</v>
      </c>
      <c r="E214" s="10">
        <v>0</v>
      </c>
      <c r="F214" s="9">
        <v>194.51</v>
      </c>
      <c r="G214" s="11">
        <v>0</v>
      </c>
    </row>
    <row r="215" spans="1:7" x14ac:dyDescent="0.2">
      <c r="A215" s="2" t="s">
        <v>220</v>
      </c>
      <c r="B215" s="3">
        <v>1</v>
      </c>
      <c r="C215" s="4">
        <v>194.44</v>
      </c>
      <c r="D215" s="3">
        <v>2</v>
      </c>
      <c r="E215" s="5">
        <v>0</v>
      </c>
      <c r="F215" s="4">
        <v>97.22</v>
      </c>
      <c r="G215" s="6">
        <v>5</v>
      </c>
    </row>
    <row r="216" spans="1:7" x14ac:dyDescent="0.2">
      <c r="A216" s="7" t="s">
        <v>221</v>
      </c>
      <c r="B216" s="8">
        <v>3</v>
      </c>
      <c r="C216" s="9">
        <v>191.6</v>
      </c>
      <c r="D216" s="8">
        <v>7</v>
      </c>
      <c r="E216" s="10">
        <v>0</v>
      </c>
      <c r="F216" s="9">
        <v>27.37</v>
      </c>
      <c r="G216" s="11">
        <v>4.2</v>
      </c>
    </row>
    <row r="217" spans="1:7" x14ac:dyDescent="0.2">
      <c r="A217" s="2" t="s">
        <v>222</v>
      </c>
      <c r="B217" s="3">
        <v>2</v>
      </c>
      <c r="C217" s="4">
        <v>187.9</v>
      </c>
      <c r="D217" s="3">
        <v>1</v>
      </c>
      <c r="E217" s="5">
        <v>0</v>
      </c>
      <c r="F217" s="4">
        <v>187.9</v>
      </c>
      <c r="G217" s="6">
        <v>4.0999999999999996</v>
      </c>
    </row>
    <row r="218" spans="1:7" x14ac:dyDescent="0.2">
      <c r="A218" s="7" t="s">
        <v>223</v>
      </c>
      <c r="B218" s="8">
        <v>9</v>
      </c>
      <c r="C218" s="9">
        <v>180.88</v>
      </c>
      <c r="D218" s="8">
        <v>7</v>
      </c>
      <c r="E218" s="10">
        <v>0</v>
      </c>
      <c r="F218" s="9">
        <v>25.84</v>
      </c>
      <c r="G218" s="11">
        <v>3.74</v>
      </c>
    </row>
    <row r="219" spans="1:7" x14ac:dyDescent="0.2">
      <c r="A219" s="2" t="s">
        <v>224</v>
      </c>
      <c r="B219" s="3">
        <v>2</v>
      </c>
      <c r="C219" s="4">
        <v>180.48</v>
      </c>
      <c r="D219" s="3">
        <v>11</v>
      </c>
      <c r="E219" s="5">
        <v>0</v>
      </c>
      <c r="F219" s="4">
        <v>16.41</v>
      </c>
      <c r="G219" s="6">
        <v>4.3499999999999996</v>
      </c>
    </row>
    <row r="220" spans="1:7" x14ac:dyDescent="0.2">
      <c r="A220" s="7" t="s">
        <v>225</v>
      </c>
      <c r="B220" s="8">
        <v>1</v>
      </c>
      <c r="C220" s="9">
        <v>180.41</v>
      </c>
      <c r="D220" s="8">
        <v>10</v>
      </c>
      <c r="E220" s="10">
        <v>0</v>
      </c>
      <c r="F220" s="9">
        <v>18.04</v>
      </c>
      <c r="G220" s="11">
        <v>4.3</v>
      </c>
    </row>
    <row r="221" spans="1:7" x14ac:dyDescent="0.2">
      <c r="A221" s="2" t="s">
        <v>226</v>
      </c>
      <c r="B221" s="3">
        <v>1</v>
      </c>
      <c r="C221" s="4">
        <v>178.74</v>
      </c>
      <c r="D221" s="3">
        <v>4</v>
      </c>
      <c r="E221" s="5">
        <v>0</v>
      </c>
      <c r="F221" s="4">
        <v>44.69</v>
      </c>
      <c r="G221" s="6">
        <v>0</v>
      </c>
    </row>
    <row r="222" spans="1:7" x14ac:dyDescent="0.2">
      <c r="A222" s="7" t="s">
        <v>227</v>
      </c>
      <c r="B222" s="8">
        <v>1</v>
      </c>
      <c r="C222" s="9">
        <v>172.34</v>
      </c>
      <c r="D222" s="8">
        <v>1</v>
      </c>
      <c r="E222" s="10">
        <v>0</v>
      </c>
      <c r="F222" s="9">
        <v>172.34</v>
      </c>
      <c r="G222" s="11">
        <v>0</v>
      </c>
    </row>
    <row r="223" spans="1:7" x14ac:dyDescent="0.2">
      <c r="A223" s="2" t="s">
        <v>228</v>
      </c>
      <c r="B223" s="3">
        <v>2</v>
      </c>
      <c r="C223" s="4">
        <v>171.33</v>
      </c>
      <c r="D223" s="3">
        <v>13</v>
      </c>
      <c r="E223" s="5">
        <v>0</v>
      </c>
      <c r="F223" s="4">
        <v>13.18</v>
      </c>
      <c r="G223" s="6">
        <v>4.2</v>
      </c>
    </row>
    <row r="224" spans="1:7" x14ac:dyDescent="0.2">
      <c r="A224" s="7" t="s">
        <v>229</v>
      </c>
      <c r="B224" s="8">
        <v>3</v>
      </c>
      <c r="C224" s="9">
        <v>170.57</v>
      </c>
      <c r="D224" s="8">
        <v>28</v>
      </c>
      <c r="E224" s="10">
        <v>0</v>
      </c>
      <c r="F224" s="9">
        <v>6.09</v>
      </c>
      <c r="G224" s="11">
        <v>2.2000000000000002</v>
      </c>
    </row>
    <row r="225" spans="1:7" x14ac:dyDescent="0.2">
      <c r="A225" s="2" t="s">
        <v>230</v>
      </c>
      <c r="B225" s="3">
        <v>1</v>
      </c>
      <c r="C225" s="4">
        <v>165.72</v>
      </c>
      <c r="D225" s="3">
        <v>7</v>
      </c>
      <c r="E225" s="5">
        <v>0</v>
      </c>
      <c r="F225" s="4">
        <v>23.67</v>
      </c>
      <c r="G225" s="6">
        <v>4.7</v>
      </c>
    </row>
    <row r="226" spans="1:7" x14ac:dyDescent="0.2">
      <c r="A226" s="7" t="s">
        <v>231</v>
      </c>
      <c r="B226" s="8">
        <v>1</v>
      </c>
      <c r="C226" s="9">
        <v>157.09</v>
      </c>
      <c r="D226" s="8">
        <v>1</v>
      </c>
      <c r="E226" s="10">
        <v>0</v>
      </c>
      <c r="F226" s="9">
        <v>157.09</v>
      </c>
      <c r="G226" s="11">
        <v>3.4</v>
      </c>
    </row>
    <row r="227" spans="1:7" x14ac:dyDescent="0.2">
      <c r="A227" s="2" t="s">
        <v>232</v>
      </c>
      <c r="B227" s="3">
        <v>1</v>
      </c>
      <c r="C227" s="4">
        <v>155.24</v>
      </c>
      <c r="D227" s="3">
        <v>3</v>
      </c>
      <c r="E227" s="5">
        <v>0</v>
      </c>
      <c r="F227" s="4">
        <v>51.75</v>
      </c>
      <c r="G227" s="6">
        <v>0</v>
      </c>
    </row>
    <row r="228" spans="1:7" x14ac:dyDescent="0.2">
      <c r="A228" s="7" t="s">
        <v>233</v>
      </c>
      <c r="B228" s="8">
        <v>1</v>
      </c>
      <c r="C228" s="9">
        <v>154.29</v>
      </c>
      <c r="D228" s="8">
        <v>3</v>
      </c>
      <c r="E228" s="10">
        <v>0</v>
      </c>
      <c r="F228" s="9">
        <v>51.43</v>
      </c>
      <c r="G228" s="11">
        <v>0</v>
      </c>
    </row>
    <row r="229" spans="1:7" x14ac:dyDescent="0.2">
      <c r="A229" s="2" t="s">
        <v>234</v>
      </c>
      <c r="B229" s="3">
        <v>2</v>
      </c>
      <c r="C229" s="4">
        <v>153.63</v>
      </c>
      <c r="D229" s="3">
        <v>4</v>
      </c>
      <c r="E229" s="5">
        <v>0</v>
      </c>
      <c r="F229" s="4">
        <v>38.409999999999997</v>
      </c>
      <c r="G229" s="6">
        <v>0</v>
      </c>
    </row>
    <row r="230" spans="1:7" x14ac:dyDescent="0.2">
      <c r="A230" s="7" t="s">
        <v>235</v>
      </c>
      <c r="B230" s="8">
        <v>4</v>
      </c>
      <c r="C230" s="9">
        <v>150.52000000000001</v>
      </c>
      <c r="D230" s="8">
        <v>7</v>
      </c>
      <c r="E230" s="10">
        <v>0</v>
      </c>
      <c r="F230" s="9">
        <v>21.5</v>
      </c>
      <c r="G230" s="11">
        <v>5</v>
      </c>
    </row>
    <row r="231" spans="1:7" x14ac:dyDescent="0.2">
      <c r="A231" s="2" t="s">
        <v>236</v>
      </c>
      <c r="B231" s="3">
        <v>2</v>
      </c>
      <c r="C231" s="4">
        <v>148.83000000000001</v>
      </c>
      <c r="D231" s="3">
        <v>10</v>
      </c>
      <c r="E231" s="5">
        <v>0</v>
      </c>
      <c r="F231" s="4">
        <v>14.88</v>
      </c>
      <c r="G231" s="6">
        <v>3.98</v>
      </c>
    </row>
    <row r="232" spans="1:7" x14ac:dyDescent="0.2">
      <c r="A232" s="7" t="s">
        <v>237</v>
      </c>
      <c r="B232" s="8">
        <v>1</v>
      </c>
      <c r="C232" s="9">
        <v>148.16999999999999</v>
      </c>
      <c r="D232" s="8">
        <v>9</v>
      </c>
      <c r="E232" s="10">
        <v>0</v>
      </c>
      <c r="F232" s="9">
        <v>16.46</v>
      </c>
      <c r="G232" s="11">
        <v>3.5</v>
      </c>
    </row>
    <row r="233" spans="1:7" x14ac:dyDescent="0.2">
      <c r="A233" s="2" t="s">
        <v>238</v>
      </c>
      <c r="B233" s="3">
        <v>1</v>
      </c>
      <c r="C233" s="4">
        <v>135.72</v>
      </c>
      <c r="D233" s="3">
        <v>6</v>
      </c>
      <c r="E233" s="5">
        <v>0</v>
      </c>
      <c r="F233" s="4">
        <v>22.62</v>
      </c>
      <c r="G233" s="6">
        <v>4</v>
      </c>
    </row>
    <row r="234" spans="1:7" x14ac:dyDescent="0.2">
      <c r="A234" s="7" t="s">
        <v>239</v>
      </c>
      <c r="B234" s="8">
        <v>1</v>
      </c>
      <c r="C234" s="9">
        <v>135.34</v>
      </c>
      <c r="D234" s="8">
        <v>13</v>
      </c>
      <c r="E234" s="10">
        <v>0</v>
      </c>
      <c r="F234" s="9">
        <v>10.41</v>
      </c>
      <c r="G234" s="11">
        <v>3.2</v>
      </c>
    </row>
    <row r="235" spans="1:7" x14ac:dyDescent="0.2">
      <c r="A235" s="2" t="s">
        <v>240</v>
      </c>
      <c r="B235" s="3">
        <v>5</v>
      </c>
      <c r="C235" s="4">
        <v>132.38</v>
      </c>
      <c r="D235" s="3">
        <v>1</v>
      </c>
      <c r="E235" s="5">
        <v>0</v>
      </c>
      <c r="F235" s="4">
        <v>132.38</v>
      </c>
      <c r="G235" s="6">
        <v>1</v>
      </c>
    </row>
    <row r="236" spans="1:7" x14ac:dyDescent="0.2">
      <c r="A236" s="7" t="s">
        <v>241</v>
      </c>
      <c r="B236" s="8">
        <v>1</v>
      </c>
      <c r="C236" s="9">
        <v>132.37</v>
      </c>
      <c r="D236" s="8">
        <v>5</v>
      </c>
      <c r="E236" s="10">
        <v>0</v>
      </c>
      <c r="F236" s="9">
        <v>26.47</v>
      </c>
      <c r="G236" s="11">
        <v>4.3</v>
      </c>
    </row>
    <row r="237" spans="1:7" x14ac:dyDescent="0.2">
      <c r="A237" s="2" t="s">
        <v>242</v>
      </c>
      <c r="B237" s="3">
        <v>3</v>
      </c>
      <c r="C237" s="4">
        <v>128.74</v>
      </c>
      <c r="D237" s="3">
        <v>6</v>
      </c>
      <c r="E237" s="5">
        <v>0</v>
      </c>
      <c r="F237" s="4">
        <v>21.46</v>
      </c>
      <c r="G237" s="6">
        <v>4.5</v>
      </c>
    </row>
    <row r="238" spans="1:7" x14ac:dyDescent="0.2">
      <c r="A238" s="7" t="s">
        <v>243</v>
      </c>
      <c r="B238" s="8">
        <v>1</v>
      </c>
      <c r="C238" s="9">
        <v>122.79</v>
      </c>
      <c r="D238" s="8">
        <v>3</v>
      </c>
      <c r="E238" s="10">
        <v>0</v>
      </c>
      <c r="F238" s="9">
        <v>40.93</v>
      </c>
      <c r="G238" s="11">
        <v>5</v>
      </c>
    </row>
    <row r="239" spans="1:7" x14ac:dyDescent="0.2">
      <c r="A239" s="2" t="s">
        <v>244</v>
      </c>
      <c r="B239" s="3">
        <v>1</v>
      </c>
      <c r="C239" s="4">
        <v>113.23</v>
      </c>
      <c r="D239" s="3">
        <v>2</v>
      </c>
      <c r="E239" s="5">
        <v>0</v>
      </c>
      <c r="F239" s="4">
        <v>56.62</v>
      </c>
      <c r="G239" s="6">
        <v>0</v>
      </c>
    </row>
    <row r="240" spans="1:7" x14ac:dyDescent="0.2">
      <c r="A240" s="7" t="s">
        <v>245</v>
      </c>
      <c r="B240" s="8">
        <v>1</v>
      </c>
      <c r="C240" s="9">
        <v>98</v>
      </c>
      <c r="D240" s="8">
        <v>1</v>
      </c>
      <c r="E240" s="10">
        <v>0</v>
      </c>
      <c r="F240" s="9">
        <v>98</v>
      </c>
      <c r="G240" s="11">
        <v>3.7</v>
      </c>
    </row>
    <row r="241" spans="1:7" x14ac:dyDescent="0.2">
      <c r="A241" s="2" t="s">
        <v>246</v>
      </c>
      <c r="B241" s="3">
        <v>1</v>
      </c>
      <c r="C241" s="4">
        <v>95.41</v>
      </c>
      <c r="D241" s="3">
        <v>2</v>
      </c>
      <c r="E241" s="5">
        <v>0</v>
      </c>
      <c r="F241" s="4">
        <v>47.7</v>
      </c>
      <c r="G241" s="6">
        <v>3.7</v>
      </c>
    </row>
    <row r="242" spans="1:7" x14ac:dyDescent="0.2">
      <c r="A242" s="7" t="s">
        <v>247</v>
      </c>
      <c r="B242" s="8">
        <v>1</v>
      </c>
      <c r="C242" s="9">
        <v>90.58</v>
      </c>
      <c r="D242" s="8">
        <v>1</v>
      </c>
      <c r="E242" s="10">
        <v>0</v>
      </c>
      <c r="F242" s="9">
        <v>90.58</v>
      </c>
      <c r="G242" s="11">
        <v>4.4000000000000004</v>
      </c>
    </row>
    <row r="243" spans="1:7" x14ac:dyDescent="0.2">
      <c r="A243" s="2" t="s">
        <v>248</v>
      </c>
      <c r="B243" s="3">
        <v>4</v>
      </c>
      <c r="C243" s="4">
        <v>89.8</v>
      </c>
      <c r="D243" s="3">
        <v>5</v>
      </c>
      <c r="E243" s="5">
        <v>0</v>
      </c>
      <c r="F243" s="4">
        <v>17.96</v>
      </c>
      <c r="G243" s="6">
        <v>3.48</v>
      </c>
    </row>
    <row r="244" spans="1:7" x14ac:dyDescent="0.2">
      <c r="A244" s="7" t="s">
        <v>249</v>
      </c>
      <c r="B244" s="8">
        <v>2</v>
      </c>
      <c r="C244" s="9">
        <v>85.71</v>
      </c>
      <c r="D244" s="8">
        <v>4</v>
      </c>
      <c r="E244" s="10">
        <v>0</v>
      </c>
      <c r="F244" s="9">
        <v>21.43</v>
      </c>
      <c r="G244" s="11">
        <v>5</v>
      </c>
    </row>
    <row r="245" spans="1:7" x14ac:dyDescent="0.2">
      <c r="A245" s="2" t="s">
        <v>250</v>
      </c>
      <c r="B245" s="3">
        <v>2</v>
      </c>
      <c r="C245" s="4">
        <v>79.8</v>
      </c>
      <c r="D245" s="3">
        <v>4</v>
      </c>
      <c r="E245" s="5">
        <v>0</v>
      </c>
      <c r="F245" s="4">
        <v>19.95</v>
      </c>
      <c r="G245" s="6">
        <v>0</v>
      </c>
    </row>
    <row r="246" spans="1:7" x14ac:dyDescent="0.2">
      <c r="A246" s="7" t="s">
        <v>251</v>
      </c>
      <c r="B246" s="8">
        <v>1</v>
      </c>
      <c r="C246" s="9">
        <v>76.14</v>
      </c>
      <c r="D246" s="8">
        <v>5</v>
      </c>
      <c r="E246" s="10">
        <v>0</v>
      </c>
      <c r="F246" s="9">
        <v>15.23</v>
      </c>
      <c r="G246" s="11">
        <v>4.9000000000000004</v>
      </c>
    </row>
    <row r="247" spans="1:7" x14ac:dyDescent="0.2">
      <c r="A247" s="2" t="s">
        <v>252</v>
      </c>
      <c r="B247" s="3">
        <v>1</v>
      </c>
      <c r="C247" s="4">
        <v>73.55</v>
      </c>
      <c r="D247" s="3">
        <v>9</v>
      </c>
      <c r="E247" s="5">
        <v>0</v>
      </c>
      <c r="F247" s="4">
        <v>8.17</v>
      </c>
      <c r="G247" s="6">
        <v>5</v>
      </c>
    </row>
    <row r="248" spans="1:7" x14ac:dyDescent="0.2">
      <c r="A248" s="7" t="s">
        <v>253</v>
      </c>
      <c r="B248" s="8">
        <v>1</v>
      </c>
      <c r="C248" s="9">
        <v>73.17</v>
      </c>
      <c r="D248" s="8">
        <v>2</v>
      </c>
      <c r="E248" s="10">
        <v>0</v>
      </c>
      <c r="F248" s="9">
        <v>36.590000000000003</v>
      </c>
      <c r="G248" s="11">
        <v>3.6</v>
      </c>
    </row>
    <row r="249" spans="1:7" x14ac:dyDescent="0.2">
      <c r="A249" s="2" t="s">
        <v>254</v>
      </c>
      <c r="B249" s="3">
        <v>1</v>
      </c>
      <c r="C249" s="4">
        <v>67.02</v>
      </c>
      <c r="D249" s="3">
        <v>6</v>
      </c>
      <c r="E249" s="5">
        <v>0</v>
      </c>
      <c r="F249" s="4">
        <v>11.17</v>
      </c>
      <c r="G249" s="6">
        <v>0</v>
      </c>
    </row>
    <row r="250" spans="1:7" x14ac:dyDescent="0.2">
      <c r="A250" s="7" t="s">
        <v>255</v>
      </c>
      <c r="B250" s="8">
        <v>3</v>
      </c>
      <c r="C250" s="9">
        <v>66.37</v>
      </c>
      <c r="D250" s="8">
        <v>4</v>
      </c>
      <c r="E250" s="10">
        <v>0</v>
      </c>
      <c r="F250" s="9">
        <v>16.59</v>
      </c>
      <c r="G250" s="11">
        <v>0</v>
      </c>
    </row>
    <row r="251" spans="1:7" x14ac:dyDescent="0.2">
      <c r="A251" s="2" t="s">
        <v>256</v>
      </c>
      <c r="B251" s="3">
        <v>1</v>
      </c>
      <c r="C251" s="4">
        <v>63.68</v>
      </c>
      <c r="D251" s="3">
        <v>2</v>
      </c>
      <c r="E251" s="5">
        <v>0</v>
      </c>
      <c r="F251" s="4">
        <v>31.84</v>
      </c>
      <c r="G251" s="6">
        <v>3.9</v>
      </c>
    </row>
    <row r="252" spans="1:7" x14ac:dyDescent="0.2">
      <c r="A252" s="7" t="s">
        <v>257</v>
      </c>
      <c r="B252" s="8">
        <v>1</v>
      </c>
      <c r="C252" s="9">
        <v>61.14</v>
      </c>
      <c r="D252" s="8">
        <v>4</v>
      </c>
      <c r="E252" s="10">
        <v>0</v>
      </c>
      <c r="F252" s="9">
        <v>15.29</v>
      </c>
      <c r="G252" s="11">
        <v>5</v>
      </c>
    </row>
    <row r="253" spans="1:7" x14ac:dyDescent="0.2">
      <c r="A253" s="2" t="s">
        <v>258</v>
      </c>
      <c r="B253" s="3">
        <v>1</v>
      </c>
      <c r="C253" s="4">
        <v>60.82</v>
      </c>
      <c r="D253" s="3">
        <v>7</v>
      </c>
      <c r="E253" s="5">
        <v>0</v>
      </c>
      <c r="F253" s="4">
        <v>8.69</v>
      </c>
      <c r="G253" s="6">
        <v>0</v>
      </c>
    </row>
    <row r="254" spans="1:7" x14ac:dyDescent="0.2">
      <c r="A254" s="7" t="s">
        <v>259</v>
      </c>
      <c r="B254" s="8">
        <v>1</v>
      </c>
      <c r="C254" s="9">
        <v>59.97</v>
      </c>
      <c r="D254" s="8">
        <v>2</v>
      </c>
      <c r="E254" s="10">
        <v>0</v>
      </c>
      <c r="F254" s="9">
        <v>29.98</v>
      </c>
      <c r="G254" s="11">
        <v>0</v>
      </c>
    </row>
    <row r="255" spans="1:7" x14ac:dyDescent="0.2">
      <c r="A255" s="2" t="s">
        <v>260</v>
      </c>
      <c r="B255" s="3">
        <v>3</v>
      </c>
      <c r="C255" s="4">
        <v>56.65</v>
      </c>
      <c r="D255" s="3">
        <v>4</v>
      </c>
      <c r="E255" s="5">
        <v>0</v>
      </c>
      <c r="F255" s="4">
        <v>14.16</v>
      </c>
      <c r="G255" s="6">
        <v>4</v>
      </c>
    </row>
    <row r="256" spans="1:7" x14ac:dyDescent="0.2">
      <c r="A256" s="7" t="s">
        <v>261</v>
      </c>
      <c r="B256" s="8">
        <v>2</v>
      </c>
      <c r="C256" s="9">
        <v>53.49</v>
      </c>
      <c r="D256" s="8">
        <v>3</v>
      </c>
      <c r="E256" s="10">
        <v>0</v>
      </c>
      <c r="F256" s="9">
        <v>17.829999999999998</v>
      </c>
      <c r="G256" s="11">
        <v>4</v>
      </c>
    </row>
    <row r="257" spans="1:7" x14ac:dyDescent="0.2">
      <c r="A257" s="2" t="s">
        <v>262</v>
      </c>
      <c r="B257" s="3">
        <v>3</v>
      </c>
      <c r="C257" s="4">
        <v>52.85</v>
      </c>
      <c r="D257" s="3">
        <v>3</v>
      </c>
      <c r="E257" s="5">
        <v>0</v>
      </c>
      <c r="F257" s="4">
        <v>17.62</v>
      </c>
      <c r="G257" s="6">
        <v>5</v>
      </c>
    </row>
    <row r="258" spans="1:7" x14ac:dyDescent="0.2">
      <c r="A258" s="7" t="s">
        <v>263</v>
      </c>
      <c r="B258" s="8">
        <v>1</v>
      </c>
      <c r="C258" s="9">
        <v>52.07</v>
      </c>
      <c r="D258" s="8">
        <v>4</v>
      </c>
      <c r="E258" s="10">
        <v>0</v>
      </c>
      <c r="F258" s="9">
        <v>13.02</v>
      </c>
      <c r="G258" s="11">
        <v>3.6</v>
      </c>
    </row>
    <row r="259" spans="1:7" x14ac:dyDescent="0.2">
      <c r="A259" s="2" t="s">
        <v>264</v>
      </c>
      <c r="B259" s="3">
        <v>1</v>
      </c>
      <c r="C259" s="4">
        <v>50.93</v>
      </c>
      <c r="D259" s="3">
        <v>2</v>
      </c>
      <c r="E259" s="5">
        <v>0</v>
      </c>
      <c r="F259" s="4">
        <v>25.46</v>
      </c>
      <c r="G259" s="6">
        <v>3.6</v>
      </c>
    </row>
    <row r="260" spans="1:7" x14ac:dyDescent="0.2">
      <c r="A260" s="7" t="s">
        <v>265</v>
      </c>
      <c r="B260" s="8">
        <v>1</v>
      </c>
      <c r="C260" s="9">
        <v>48.89</v>
      </c>
      <c r="D260" s="8">
        <v>1</v>
      </c>
      <c r="E260" s="10">
        <v>0</v>
      </c>
      <c r="F260" s="9">
        <v>48.89</v>
      </c>
      <c r="G260" s="11">
        <v>4.0999999999999996</v>
      </c>
    </row>
    <row r="261" spans="1:7" x14ac:dyDescent="0.2">
      <c r="A261" s="2" t="s">
        <v>266</v>
      </c>
      <c r="B261" s="3">
        <v>1</v>
      </c>
      <c r="C261" s="4">
        <v>45.43</v>
      </c>
      <c r="D261" s="3">
        <v>1</v>
      </c>
      <c r="E261" s="5">
        <v>0</v>
      </c>
      <c r="F261" s="4">
        <v>45.43</v>
      </c>
      <c r="G261" s="6">
        <v>4.4000000000000004</v>
      </c>
    </row>
    <row r="262" spans="1:7" x14ac:dyDescent="0.2">
      <c r="A262" s="7" t="s">
        <v>267</v>
      </c>
      <c r="B262" s="8">
        <v>1</v>
      </c>
      <c r="C262" s="9">
        <v>43.5</v>
      </c>
      <c r="D262" s="8">
        <v>3</v>
      </c>
      <c r="E262" s="10">
        <v>0</v>
      </c>
      <c r="F262" s="9">
        <v>14.5</v>
      </c>
      <c r="G262" s="11">
        <v>3.7</v>
      </c>
    </row>
    <row r="263" spans="1:7" x14ac:dyDescent="0.2">
      <c r="A263" s="2" t="s">
        <v>268</v>
      </c>
      <c r="B263" s="3">
        <v>1</v>
      </c>
      <c r="C263" s="4">
        <v>41.53</v>
      </c>
      <c r="D263" s="3">
        <v>5</v>
      </c>
      <c r="E263" s="5">
        <v>0</v>
      </c>
      <c r="F263" s="4">
        <v>8.31</v>
      </c>
      <c r="G263" s="6">
        <v>0</v>
      </c>
    </row>
    <row r="264" spans="1:7" x14ac:dyDescent="0.2">
      <c r="A264" s="7" t="s">
        <v>269</v>
      </c>
      <c r="B264" s="8">
        <v>1</v>
      </c>
      <c r="C264" s="9">
        <v>40.33</v>
      </c>
      <c r="D264" s="8">
        <v>1</v>
      </c>
      <c r="E264" s="10">
        <v>0</v>
      </c>
      <c r="F264" s="9">
        <v>40.33</v>
      </c>
      <c r="G264" s="11">
        <v>4.4000000000000004</v>
      </c>
    </row>
    <row r="265" spans="1:7" x14ac:dyDescent="0.2">
      <c r="A265" s="2" t="s">
        <v>270</v>
      </c>
      <c r="B265" s="3">
        <v>2</v>
      </c>
      <c r="C265" s="4">
        <v>39.270000000000003</v>
      </c>
      <c r="D265" s="3">
        <v>1</v>
      </c>
      <c r="E265" s="5">
        <v>0</v>
      </c>
      <c r="F265" s="4">
        <v>39.270000000000003</v>
      </c>
      <c r="G265" s="6">
        <v>0</v>
      </c>
    </row>
    <row r="266" spans="1:7" x14ac:dyDescent="0.2">
      <c r="A266" s="7" t="s">
        <v>271</v>
      </c>
      <c r="B266" s="8">
        <v>2</v>
      </c>
      <c r="C266" s="9">
        <v>34.96</v>
      </c>
      <c r="D266" s="8">
        <v>2</v>
      </c>
      <c r="E266" s="10">
        <v>0</v>
      </c>
      <c r="F266" s="9">
        <v>17.48</v>
      </c>
      <c r="G266" s="11">
        <v>2.8</v>
      </c>
    </row>
    <row r="267" spans="1:7" x14ac:dyDescent="0.2">
      <c r="A267" s="2" t="s">
        <v>272</v>
      </c>
      <c r="B267" s="3">
        <v>1</v>
      </c>
      <c r="C267" s="4">
        <v>34.880000000000003</v>
      </c>
      <c r="D267" s="3">
        <v>2</v>
      </c>
      <c r="E267" s="5">
        <v>0</v>
      </c>
      <c r="F267" s="4">
        <v>17.440000000000001</v>
      </c>
      <c r="G267" s="6">
        <v>0</v>
      </c>
    </row>
    <row r="268" spans="1:7" x14ac:dyDescent="0.2">
      <c r="A268" s="7" t="s">
        <v>273</v>
      </c>
      <c r="B268" s="8">
        <v>1</v>
      </c>
      <c r="C268" s="9">
        <v>34.340000000000003</v>
      </c>
      <c r="D268" s="8">
        <v>1</v>
      </c>
      <c r="E268" s="10">
        <v>0</v>
      </c>
      <c r="F268" s="9">
        <v>34.340000000000003</v>
      </c>
      <c r="G268" s="11">
        <v>3.5</v>
      </c>
    </row>
    <row r="269" spans="1:7" x14ac:dyDescent="0.2">
      <c r="A269" s="2" t="s">
        <v>274</v>
      </c>
      <c r="B269" s="3">
        <v>6</v>
      </c>
      <c r="C269" s="4">
        <v>33.67</v>
      </c>
      <c r="D269" s="3">
        <v>1</v>
      </c>
      <c r="E269" s="5">
        <v>0</v>
      </c>
      <c r="F269" s="4">
        <v>33.67</v>
      </c>
      <c r="G269" s="6">
        <v>0</v>
      </c>
    </row>
    <row r="270" spans="1:7" x14ac:dyDescent="0.2">
      <c r="A270" s="7" t="s">
        <v>275</v>
      </c>
      <c r="B270" s="8">
        <v>1</v>
      </c>
      <c r="C270" s="9">
        <v>29.78</v>
      </c>
      <c r="D270" s="8">
        <v>1</v>
      </c>
      <c r="E270" s="10">
        <v>0</v>
      </c>
      <c r="F270" s="9">
        <v>29.78</v>
      </c>
      <c r="G270" s="11">
        <v>3.8</v>
      </c>
    </row>
    <row r="271" spans="1:7" x14ac:dyDescent="0.2">
      <c r="A271" s="2" t="s">
        <v>276</v>
      </c>
      <c r="B271" s="3">
        <v>1</v>
      </c>
      <c r="C271" s="4">
        <v>28.44</v>
      </c>
      <c r="D271" s="3">
        <v>1</v>
      </c>
      <c r="E271" s="5">
        <v>0</v>
      </c>
      <c r="F271" s="4">
        <v>28.44</v>
      </c>
      <c r="G271" s="6">
        <v>5</v>
      </c>
    </row>
    <row r="272" spans="1:7" x14ac:dyDescent="0.2">
      <c r="A272" s="7" t="s">
        <v>277</v>
      </c>
      <c r="B272" s="8">
        <v>1</v>
      </c>
      <c r="C272" s="9">
        <v>28.08</v>
      </c>
      <c r="D272" s="8">
        <v>1</v>
      </c>
      <c r="E272" s="10">
        <v>0</v>
      </c>
      <c r="F272" s="9">
        <v>28.08</v>
      </c>
      <c r="G272" s="11">
        <v>4.3</v>
      </c>
    </row>
    <row r="273" spans="1:7" x14ac:dyDescent="0.2">
      <c r="A273" s="2" t="s">
        <v>278</v>
      </c>
      <c r="B273" s="3">
        <v>3</v>
      </c>
      <c r="C273" s="4">
        <v>27.39</v>
      </c>
      <c r="D273" s="3">
        <v>2</v>
      </c>
      <c r="E273" s="5">
        <v>0</v>
      </c>
      <c r="F273" s="4">
        <v>13.7</v>
      </c>
      <c r="G273" s="6">
        <v>4.0999999999999996</v>
      </c>
    </row>
    <row r="274" spans="1:7" x14ac:dyDescent="0.2">
      <c r="A274" s="7" t="s">
        <v>279</v>
      </c>
      <c r="B274" s="8">
        <v>3</v>
      </c>
      <c r="C274" s="9">
        <v>26.69</v>
      </c>
      <c r="D274" s="8">
        <v>2</v>
      </c>
      <c r="E274" s="10">
        <v>0</v>
      </c>
      <c r="F274" s="9">
        <v>13.35</v>
      </c>
      <c r="G274" s="11">
        <v>2</v>
      </c>
    </row>
    <row r="275" spans="1:7" x14ac:dyDescent="0.2">
      <c r="A275" s="2" t="s">
        <v>280</v>
      </c>
      <c r="B275" s="3">
        <v>3</v>
      </c>
      <c r="C275" s="4">
        <v>26.66</v>
      </c>
      <c r="D275" s="3">
        <v>3</v>
      </c>
      <c r="E275" s="5">
        <v>0</v>
      </c>
      <c r="F275" s="4">
        <v>8.89</v>
      </c>
      <c r="G275" s="6">
        <v>0</v>
      </c>
    </row>
    <row r="276" spans="1:7" x14ac:dyDescent="0.2">
      <c r="A276" s="7" t="s">
        <v>281</v>
      </c>
      <c r="B276" s="8">
        <v>1</v>
      </c>
      <c r="C276" s="9">
        <v>25.82</v>
      </c>
      <c r="D276" s="8">
        <v>3</v>
      </c>
      <c r="E276" s="10">
        <v>0</v>
      </c>
      <c r="F276" s="9">
        <v>8.61</v>
      </c>
      <c r="G276" s="11">
        <v>5</v>
      </c>
    </row>
    <row r="277" spans="1:7" x14ac:dyDescent="0.2">
      <c r="A277" s="2" t="s">
        <v>282</v>
      </c>
      <c r="B277" s="3">
        <v>1</v>
      </c>
      <c r="C277" s="4">
        <v>22.02</v>
      </c>
      <c r="D277" s="3">
        <v>2</v>
      </c>
      <c r="E277" s="5">
        <v>0</v>
      </c>
      <c r="F277" s="4">
        <v>11.01</v>
      </c>
      <c r="G277" s="6">
        <v>1</v>
      </c>
    </row>
    <row r="278" spans="1:7" x14ac:dyDescent="0.2">
      <c r="A278" s="7" t="s">
        <v>283</v>
      </c>
      <c r="B278" s="8">
        <v>1</v>
      </c>
      <c r="C278" s="9">
        <v>21.6</v>
      </c>
      <c r="D278" s="8">
        <v>2</v>
      </c>
      <c r="E278" s="10">
        <v>0</v>
      </c>
      <c r="F278" s="9">
        <v>10.8</v>
      </c>
      <c r="G278" s="11">
        <v>0</v>
      </c>
    </row>
    <row r="279" spans="1:7" x14ac:dyDescent="0.2">
      <c r="A279" s="2" t="s">
        <v>284</v>
      </c>
      <c r="B279" s="3">
        <v>1</v>
      </c>
      <c r="C279" s="4">
        <v>21.39</v>
      </c>
      <c r="D279" s="3">
        <v>1</v>
      </c>
      <c r="E279" s="5">
        <v>0</v>
      </c>
      <c r="F279" s="4">
        <v>21.39</v>
      </c>
      <c r="G279" s="6">
        <v>4.3</v>
      </c>
    </row>
    <row r="280" spans="1:7" x14ac:dyDescent="0.2">
      <c r="A280" s="7" t="s">
        <v>285</v>
      </c>
      <c r="B280" s="8">
        <v>1</v>
      </c>
      <c r="C280" s="9">
        <v>20.97</v>
      </c>
      <c r="D280" s="8">
        <v>2</v>
      </c>
      <c r="E280" s="10">
        <v>0</v>
      </c>
      <c r="F280" s="9">
        <v>10.48</v>
      </c>
      <c r="G280" s="11">
        <v>3.6</v>
      </c>
    </row>
    <row r="281" spans="1:7" x14ac:dyDescent="0.2">
      <c r="A281" s="2" t="s">
        <v>286</v>
      </c>
      <c r="B281" s="3">
        <v>1</v>
      </c>
      <c r="C281" s="4">
        <v>18.39</v>
      </c>
      <c r="D281" s="3">
        <v>1</v>
      </c>
      <c r="E281" s="5">
        <v>0</v>
      </c>
      <c r="F281" s="4">
        <v>18.39</v>
      </c>
      <c r="G281" s="6">
        <v>0</v>
      </c>
    </row>
    <row r="282" spans="1:7" x14ac:dyDescent="0.2">
      <c r="A282" s="7" t="s">
        <v>287</v>
      </c>
      <c r="B282" s="8">
        <v>2</v>
      </c>
      <c r="C282" s="9">
        <v>18.25</v>
      </c>
      <c r="D282" s="8">
        <v>2</v>
      </c>
      <c r="E282" s="10">
        <v>0</v>
      </c>
      <c r="F282" s="9">
        <v>9.1199999999999992</v>
      </c>
      <c r="G282" s="11">
        <v>0</v>
      </c>
    </row>
    <row r="283" spans="1:7" x14ac:dyDescent="0.2">
      <c r="A283" s="2" t="s">
        <v>288</v>
      </c>
      <c r="B283" s="3">
        <v>2</v>
      </c>
      <c r="C283" s="4">
        <v>18.07</v>
      </c>
      <c r="D283" s="3">
        <v>1</v>
      </c>
      <c r="E283" s="5">
        <v>0</v>
      </c>
      <c r="F283" s="4">
        <v>18.07</v>
      </c>
      <c r="G283" s="6">
        <v>4</v>
      </c>
    </row>
    <row r="284" spans="1:7" x14ac:dyDescent="0.2">
      <c r="A284" s="7" t="s">
        <v>289</v>
      </c>
      <c r="B284" s="8">
        <v>1</v>
      </c>
      <c r="C284" s="9">
        <v>17.78</v>
      </c>
      <c r="D284" s="8">
        <v>2</v>
      </c>
      <c r="E284" s="10">
        <v>0</v>
      </c>
      <c r="F284" s="9">
        <v>8.89</v>
      </c>
      <c r="G284" s="11">
        <v>0</v>
      </c>
    </row>
    <row r="285" spans="1:7" x14ac:dyDescent="0.2">
      <c r="A285" s="2" t="s">
        <v>290</v>
      </c>
      <c r="B285" s="3">
        <v>2</v>
      </c>
      <c r="C285" s="4">
        <v>16.940000000000001</v>
      </c>
      <c r="D285" s="3">
        <v>1</v>
      </c>
      <c r="E285" s="5">
        <v>0</v>
      </c>
      <c r="F285" s="4">
        <v>16.940000000000001</v>
      </c>
      <c r="G285" s="6">
        <v>2.35</v>
      </c>
    </row>
    <row r="286" spans="1:7" x14ac:dyDescent="0.2">
      <c r="A286" s="7" t="s">
        <v>291</v>
      </c>
      <c r="B286" s="8">
        <v>1</v>
      </c>
      <c r="C286" s="9">
        <v>16.940000000000001</v>
      </c>
      <c r="D286" s="8">
        <v>1</v>
      </c>
      <c r="E286" s="10">
        <v>0</v>
      </c>
      <c r="F286" s="9">
        <v>16.940000000000001</v>
      </c>
      <c r="G286" s="11">
        <v>0</v>
      </c>
    </row>
    <row r="287" spans="1:7" x14ac:dyDescent="0.2">
      <c r="A287" s="2" t="s">
        <v>292</v>
      </c>
      <c r="B287" s="3">
        <v>1</v>
      </c>
      <c r="C287" s="4">
        <v>16.54</v>
      </c>
      <c r="D287" s="3">
        <v>1</v>
      </c>
      <c r="E287" s="5">
        <v>0</v>
      </c>
      <c r="F287" s="4">
        <v>16.54</v>
      </c>
      <c r="G287" s="6">
        <v>0</v>
      </c>
    </row>
    <row r="288" spans="1:7" x14ac:dyDescent="0.2">
      <c r="A288" s="7" t="s">
        <v>293</v>
      </c>
      <c r="B288" s="8">
        <v>1</v>
      </c>
      <c r="C288" s="9">
        <v>16.27</v>
      </c>
      <c r="D288" s="8">
        <v>2</v>
      </c>
      <c r="E288" s="10">
        <v>0</v>
      </c>
      <c r="F288" s="9">
        <v>8.1300000000000008</v>
      </c>
      <c r="G288" s="11">
        <v>5</v>
      </c>
    </row>
    <row r="289" spans="1:7" x14ac:dyDescent="0.2">
      <c r="A289" s="2" t="s">
        <v>294</v>
      </c>
      <c r="B289" s="3">
        <v>1</v>
      </c>
      <c r="C289" s="4">
        <v>14.93</v>
      </c>
      <c r="D289" s="3">
        <v>1</v>
      </c>
      <c r="E289" s="5">
        <v>0</v>
      </c>
      <c r="F289" s="4">
        <v>14.93</v>
      </c>
      <c r="G289" s="6">
        <v>3.2</v>
      </c>
    </row>
    <row r="290" spans="1:7" x14ac:dyDescent="0.2">
      <c r="A290" s="7" t="s">
        <v>295</v>
      </c>
      <c r="B290" s="8">
        <v>1</v>
      </c>
      <c r="C290" s="9">
        <v>14.66</v>
      </c>
      <c r="D290" s="8">
        <v>2</v>
      </c>
      <c r="E290" s="10">
        <v>0</v>
      </c>
      <c r="F290" s="9">
        <v>7.33</v>
      </c>
      <c r="G290" s="11">
        <v>2.9</v>
      </c>
    </row>
    <row r="291" spans="1:7" x14ac:dyDescent="0.2">
      <c r="A291" s="2" t="s">
        <v>296</v>
      </c>
      <c r="B291" s="3">
        <v>2</v>
      </c>
      <c r="C291" s="4">
        <v>14.26</v>
      </c>
      <c r="D291" s="3">
        <v>1</v>
      </c>
      <c r="E291" s="5">
        <v>0</v>
      </c>
      <c r="F291" s="4">
        <v>14.26</v>
      </c>
      <c r="G291" s="6">
        <v>0</v>
      </c>
    </row>
    <row r="292" spans="1:7" x14ac:dyDescent="0.2">
      <c r="A292" s="7" t="s">
        <v>297</v>
      </c>
      <c r="B292" s="8">
        <v>1</v>
      </c>
      <c r="C292" s="9">
        <v>12.37</v>
      </c>
      <c r="D292" s="8">
        <v>1</v>
      </c>
      <c r="E292" s="10">
        <v>0</v>
      </c>
      <c r="F292" s="9">
        <v>12.37</v>
      </c>
      <c r="G292" s="11">
        <v>0</v>
      </c>
    </row>
    <row r="293" spans="1:7" x14ac:dyDescent="0.2">
      <c r="A293" s="2" t="s">
        <v>298</v>
      </c>
      <c r="B293" s="3">
        <v>6</v>
      </c>
      <c r="C293" s="4">
        <v>11.3</v>
      </c>
      <c r="D293" s="3">
        <v>1</v>
      </c>
      <c r="E293" s="5">
        <v>0</v>
      </c>
      <c r="F293" s="4">
        <v>11.3</v>
      </c>
      <c r="G293" s="6">
        <v>3.7</v>
      </c>
    </row>
    <row r="294" spans="1:7" x14ac:dyDescent="0.2">
      <c r="A294" s="7" t="s">
        <v>299</v>
      </c>
      <c r="B294" s="8">
        <v>6</v>
      </c>
      <c r="C294" s="9">
        <v>7.58</v>
      </c>
      <c r="D294" s="8">
        <v>1</v>
      </c>
      <c r="E294" s="10">
        <v>0</v>
      </c>
      <c r="F294" s="9">
        <v>7.58</v>
      </c>
      <c r="G294" s="11">
        <v>4.2</v>
      </c>
    </row>
    <row r="295" spans="1:7" x14ac:dyDescent="0.2">
      <c r="A295" s="2" t="s">
        <v>300</v>
      </c>
      <c r="B295" s="3">
        <v>1</v>
      </c>
      <c r="C295" s="4">
        <v>5.91</v>
      </c>
      <c r="D295" s="3">
        <v>1</v>
      </c>
      <c r="E295" s="5">
        <v>0</v>
      </c>
      <c r="F295" s="4">
        <v>5.91</v>
      </c>
      <c r="G295" s="6">
        <v>0</v>
      </c>
    </row>
    <row r="296" spans="1:7" x14ac:dyDescent="0.2">
      <c r="A296" s="7" t="s">
        <v>301</v>
      </c>
      <c r="B296" s="8">
        <v>1</v>
      </c>
      <c r="C296" s="9">
        <v>5.0999999999999996</v>
      </c>
      <c r="D296" s="8">
        <v>1</v>
      </c>
      <c r="E296" s="10">
        <v>0</v>
      </c>
      <c r="F296" s="9">
        <v>5.0999999999999996</v>
      </c>
      <c r="G296" s="11">
        <v>0</v>
      </c>
    </row>
    <row r="297" spans="1:7" hidden="1" x14ac:dyDescent="0.2">
      <c r="A297" s="2" t="s">
        <v>302</v>
      </c>
      <c r="B297" s="3">
        <v>2</v>
      </c>
      <c r="C297" s="4">
        <v>0</v>
      </c>
      <c r="D297" s="3">
        <v>0</v>
      </c>
      <c r="E297" s="5">
        <v>0</v>
      </c>
      <c r="F297" s="4">
        <v>0</v>
      </c>
      <c r="G297" s="6">
        <v>0</v>
      </c>
    </row>
    <row r="298" spans="1:7" hidden="1" x14ac:dyDescent="0.2">
      <c r="A298" s="7" t="s">
        <v>303</v>
      </c>
      <c r="B298" s="8">
        <v>1</v>
      </c>
      <c r="C298" s="9">
        <v>0</v>
      </c>
      <c r="D298" s="8">
        <v>0</v>
      </c>
      <c r="E298" s="10">
        <v>0</v>
      </c>
      <c r="F298" s="9">
        <v>0</v>
      </c>
      <c r="G298" s="11">
        <v>0</v>
      </c>
    </row>
    <row r="299" spans="1:7" hidden="1" x14ac:dyDescent="0.2">
      <c r="A299" s="2" t="s">
        <v>304</v>
      </c>
      <c r="B299" s="3">
        <v>1</v>
      </c>
      <c r="C299" s="4">
        <v>0</v>
      </c>
      <c r="D299" s="3">
        <v>0</v>
      </c>
      <c r="E299" s="5">
        <v>0</v>
      </c>
      <c r="F299" s="4">
        <v>0</v>
      </c>
      <c r="G299" s="6">
        <v>0</v>
      </c>
    </row>
    <row r="300" spans="1:7" hidden="1" x14ac:dyDescent="0.2">
      <c r="A300" s="7" t="s">
        <v>305</v>
      </c>
      <c r="B300" s="8">
        <v>2</v>
      </c>
      <c r="C300" s="9">
        <v>0</v>
      </c>
      <c r="D300" s="8">
        <v>0</v>
      </c>
      <c r="E300" s="10">
        <v>0</v>
      </c>
      <c r="F300" s="9">
        <v>0</v>
      </c>
      <c r="G300" s="11">
        <v>3.4</v>
      </c>
    </row>
    <row r="301" spans="1:7" hidden="1" x14ac:dyDescent="0.2">
      <c r="A301" s="2" t="s">
        <v>306</v>
      </c>
      <c r="B301" s="3">
        <v>1</v>
      </c>
      <c r="C301" s="4">
        <v>0</v>
      </c>
      <c r="D301" s="3">
        <v>0</v>
      </c>
      <c r="E301" s="5">
        <v>0</v>
      </c>
      <c r="F301" s="4">
        <v>0</v>
      </c>
      <c r="G301" s="6">
        <v>0</v>
      </c>
    </row>
    <row r="302" spans="1:7" hidden="1" x14ac:dyDescent="0.2">
      <c r="A302" s="7" t="s">
        <v>307</v>
      </c>
      <c r="B302" s="8">
        <v>1</v>
      </c>
      <c r="C302" s="9">
        <v>0</v>
      </c>
      <c r="D302" s="8">
        <v>0</v>
      </c>
      <c r="E302" s="10">
        <v>0</v>
      </c>
      <c r="F302" s="9">
        <v>0</v>
      </c>
      <c r="G302" s="11">
        <v>4.0999999999999996</v>
      </c>
    </row>
    <row r="303" spans="1:7" hidden="1" x14ac:dyDescent="0.2">
      <c r="A303" s="2" t="s">
        <v>308</v>
      </c>
      <c r="B303" s="3">
        <v>2</v>
      </c>
      <c r="C303" s="4">
        <v>0</v>
      </c>
      <c r="D303" s="3">
        <v>0</v>
      </c>
      <c r="E303" s="5">
        <v>0</v>
      </c>
      <c r="F303" s="4">
        <v>0</v>
      </c>
      <c r="G303" s="6">
        <v>0</v>
      </c>
    </row>
    <row r="304" spans="1:7" hidden="1" x14ac:dyDescent="0.2">
      <c r="A304" s="7" t="s">
        <v>309</v>
      </c>
      <c r="B304" s="8">
        <v>1</v>
      </c>
      <c r="C304" s="9">
        <v>0</v>
      </c>
      <c r="D304" s="8">
        <v>0</v>
      </c>
      <c r="E304" s="10">
        <v>0</v>
      </c>
      <c r="F304" s="9">
        <v>0</v>
      </c>
      <c r="G304" s="11">
        <v>0</v>
      </c>
    </row>
    <row r="305" spans="1:7" hidden="1" x14ac:dyDescent="0.2">
      <c r="A305" s="2" t="s">
        <v>310</v>
      </c>
      <c r="B305" s="3">
        <v>3</v>
      </c>
      <c r="C305" s="4">
        <v>0</v>
      </c>
      <c r="D305" s="3">
        <v>0</v>
      </c>
      <c r="E305" s="5">
        <v>0</v>
      </c>
      <c r="F305" s="4">
        <v>0</v>
      </c>
      <c r="G305" s="6">
        <v>5</v>
      </c>
    </row>
    <row r="306" spans="1:7" hidden="1" x14ac:dyDescent="0.2">
      <c r="A306" s="7" t="s">
        <v>311</v>
      </c>
      <c r="B306" s="8">
        <v>2</v>
      </c>
      <c r="C306" s="9">
        <v>0</v>
      </c>
      <c r="D306" s="8">
        <v>0</v>
      </c>
      <c r="E306" s="10">
        <v>0</v>
      </c>
      <c r="F306" s="9">
        <v>0</v>
      </c>
      <c r="G306" s="11">
        <v>4</v>
      </c>
    </row>
    <row r="307" spans="1:7" hidden="1" x14ac:dyDescent="0.2">
      <c r="A307" s="2" t="s">
        <v>312</v>
      </c>
      <c r="B307" s="3">
        <v>1</v>
      </c>
      <c r="C307" s="4">
        <v>0</v>
      </c>
      <c r="D307" s="3">
        <v>0</v>
      </c>
      <c r="E307" s="5">
        <v>0</v>
      </c>
      <c r="F307" s="4">
        <v>0</v>
      </c>
      <c r="G307" s="6">
        <v>2.9</v>
      </c>
    </row>
    <row r="308" spans="1:7" hidden="1" x14ac:dyDescent="0.2">
      <c r="A308" s="7" t="s">
        <v>313</v>
      </c>
      <c r="B308" s="8">
        <v>1</v>
      </c>
      <c r="C308" s="9">
        <v>0</v>
      </c>
      <c r="D308" s="8">
        <v>0</v>
      </c>
      <c r="E308" s="10">
        <v>0</v>
      </c>
      <c r="F308" s="9">
        <v>0</v>
      </c>
      <c r="G308" s="11">
        <v>0</v>
      </c>
    </row>
    <row r="309" spans="1:7" hidden="1" x14ac:dyDescent="0.2">
      <c r="A309" s="2" t="s">
        <v>314</v>
      </c>
      <c r="B309" s="3">
        <v>1</v>
      </c>
      <c r="C309" s="4">
        <v>0</v>
      </c>
      <c r="D309" s="3">
        <v>0</v>
      </c>
      <c r="E309" s="5">
        <v>0</v>
      </c>
      <c r="F309" s="4">
        <v>0</v>
      </c>
      <c r="G309" s="6">
        <v>0</v>
      </c>
    </row>
    <row r="310" spans="1:7" hidden="1" x14ac:dyDescent="0.2">
      <c r="A310" s="7" t="s">
        <v>315</v>
      </c>
      <c r="B310" s="8">
        <v>4</v>
      </c>
      <c r="C310" s="9">
        <v>0</v>
      </c>
      <c r="D310" s="8">
        <v>0</v>
      </c>
      <c r="E310" s="10">
        <v>0</v>
      </c>
      <c r="F310" s="9">
        <v>0</v>
      </c>
      <c r="G310" s="11">
        <v>3.14</v>
      </c>
    </row>
    <row r="311" spans="1:7" hidden="1" x14ac:dyDescent="0.2">
      <c r="A311" s="2" t="s">
        <v>316</v>
      </c>
      <c r="B311" s="3">
        <v>1</v>
      </c>
      <c r="C311" s="4">
        <v>0</v>
      </c>
      <c r="D311" s="3">
        <v>0</v>
      </c>
      <c r="E311" s="5">
        <v>0</v>
      </c>
      <c r="F311" s="4">
        <v>0</v>
      </c>
      <c r="G311" s="6">
        <v>0</v>
      </c>
    </row>
    <row r="312" spans="1:7" hidden="1" x14ac:dyDescent="0.2">
      <c r="A312" s="7" t="s">
        <v>317</v>
      </c>
      <c r="B312" s="8">
        <v>1</v>
      </c>
      <c r="C312" s="9">
        <v>0</v>
      </c>
      <c r="D312" s="8">
        <v>0</v>
      </c>
      <c r="E312" s="10">
        <v>0</v>
      </c>
      <c r="F312" s="9">
        <v>0</v>
      </c>
      <c r="G312" s="11">
        <v>0</v>
      </c>
    </row>
    <row r="313" spans="1:7" hidden="1" x14ac:dyDescent="0.2">
      <c r="A313" s="2" t="s">
        <v>318</v>
      </c>
      <c r="B313" s="3">
        <v>1</v>
      </c>
      <c r="C313" s="4">
        <v>0</v>
      </c>
      <c r="D313" s="3">
        <v>0</v>
      </c>
      <c r="E313" s="5">
        <v>0</v>
      </c>
      <c r="F313" s="4">
        <v>0</v>
      </c>
      <c r="G313" s="6">
        <v>5</v>
      </c>
    </row>
    <row r="314" spans="1:7" hidden="1" x14ac:dyDescent="0.2">
      <c r="A314" s="7" t="s">
        <v>319</v>
      </c>
      <c r="B314" s="8">
        <v>1</v>
      </c>
      <c r="C314" s="9">
        <v>0</v>
      </c>
      <c r="D314" s="8">
        <v>0</v>
      </c>
      <c r="E314" s="10">
        <v>0</v>
      </c>
      <c r="F314" s="9">
        <v>0</v>
      </c>
      <c r="G314" s="11">
        <v>0</v>
      </c>
    </row>
    <row r="315" spans="1:7" hidden="1" x14ac:dyDescent="0.2">
      <c r="A315" s="2" t="s">
        <v>320</v>
      </c>
      <c r="B315" s="3">
        <v>1</v>
      </c>
      <c r="C315" s="4">
        <v>0</v>
      </c>
      <c r="D315" s="3">
        <v>0</v>
      </c>
      <c r="E315" s="5">
        <v>0</v>
      </c>
      <c r="F315" s="4">
        <v>0</v>
      </c>
      <c r="G315" s="6">
        <v>0</v>
      </c>
    </row>
    <row r="316" spans="1:7" hidden="1" x14ac:dyDescent="0.2">
      <c r="A316" s="7" t="s">
        <v>321</v>
      </c>
      <c r="B316" s="8">
        <v>1</v>
      </c>
      <c r="C316" s="9">
        <v>0</v>
      </c>
      <c r="D316" s="8">
        <v>0</v>
      </c>
      <c r="E316" s="10">
        <v>0</v>
      </c>
      <c r="F316" s="9">
        <v>0</v>
      </c>
      <c r="G316" s="11">
        <v>0</v>
      </c>
    </row>
    <row r="317" spans="1:7" hidden="1" x14ac:dyDescent="0.2">
      <c r="A317" s="2" t="s">
        <v>322</v>
      </c>
      <c r="B317" s="3">
        <v>1</v>
      </c>
      <c r="C317" s="4">
        <v>0</v>
      </c>
      <c r="D317" s="3">
        <v>0</v>
      </c>
      <c r="E317" s="5">
        <v>0</v>
      </c>
      <c r="F317" s="4">
        <v>0</v>
      </c>
      <c r="G317" s="6">
        <v>0</v>
      </c>
    </row>
    <row r="318" spans="1:7" hidden="1" x14ac:dyDescent="0.2">
      <c r="A318" s="7" t="s">
        <v>323</v>
      </c>
      <c r="B318" s="8">
        <v>1</v>
      </c>
      <c r="C318" s="9">
        <v>0</v>
      </c>
      <c r="D318" s="8">
        <v>0</v>
      </c>
      <c r="E318" s="10">
        <v>0</v>
      </c>
      <c r="F318" s="9">
        <v>0</v>
      </c>
      <c r="G318" s="11">
        <v>0</v>
      </c>
    </row>
    <row r="319" spans="1:7" hidden="1" x14ac:dyDescent="0.2">
      <c r="A319" s="2" t="s">
        <v>324</v>
      </c>
      <c r="B319" s="3">
        <v>1</v>
      </c>
      <c r="C319" s="4">
        <v>0</v>
      </c>
      <c r="D319" s="3">
        <v>0</v>
      </c>
      <c r="E319" s="5">
        <v>0</v>
      </c>
      <c r="F319" s="4">
        <v>0</v>
      </c>
      <c r="G319" s="6">
        <v>0</v>
      </c>
    </row>
    <row r="320" spans="1:7" hidden="1" x14ac:dyDescent="0.2">
      <c r="A320" s="7" t="s">
        <v>325</v>
      </c>
      <c r="B320" s="8">
        <v>2</v>
      </c>
      <c r="C320" s="9">
        <v>0</v>
      </c>
      <c r="D320" s="8">
        <v>0</v>
      </c>
      <c r="E320" s="10">
        <v>0</v>
      </c>
      <c r="F320" s="9">
        <v>0</v>
      </c>
      <c r="G320" s="11">
        <v>3.6</v>
      </c>
    </row>
    <row r="321" spans="1:7" hidden="1" x14ac:dyDescent="0.2">
      <c r="A321" s="2" t="s">
        <v>326</v>
      </c>
      <c r="B321" s="3">
        <v>1</v>
      </c>
      <c r="C321" s="4">
        <v>0</v>
      </c>
      <c r="D321" s="3">
        <v>0</v>
      </c>
      <c r="E321" s="5">
        <v>0</v>
      </c>
      <c r="F321" s="4">
        <v>0</v>
      </c>
      <c r="G321" s="6">
        <v>3.8</v>
      </c>
    </row>
    <row r="322" spans="1:7" hidden="1" x14ac:dyDescent="0.2">
      <c r="A322" s="7" t="s">
        <v>327</v>
      </c>
      <c r="B322" s="8">
        <v>1</v>
      </c>
      <c r="C322" s="9">
        <v>0</v>
      </c>
      <c r="D322" s="8">
        <v>0</v>
      </c>
      <c r="E322" s="10">
        <v>0</v>
      </c>
      <c r="F322" s="9">
        <v>0</v>
      </c>
      <c r="G322" s="11">
        <v>0</v>
      </c>
    </row>
    <row r="323" spans="1:7" hidden="1" x14ac:dyDescent="0.2">
      <c r="A323" s="2" t="s">
        <v>328</v>
      </c>
      <c r="B323" s="3">
        <v>3</v>
      </c>
      <c r="C323" s="4">
        <v>0</v>
      </c>
      <c r="D323" s="3">
        <v>0</v>
      </c>
      <c r="E323" s="5">
        <v>0</v>
      </c>
      <c r="F323" s="4">
        <v>0</v>
      </c>
      <c r="G323" s="6">
        <v>0</v>
      </c>
    </row>
    <row r="324" spans="1:7" hidden="1" x14ac:dyDescent="0.2">
      <c r="A324" s="7" t="s">
        <v>329</v>
      </c>
      <c r="B324" s="8">
        <v>1</v>
      </c>
      <c r="C324" s="9">
        <v>0</v>
      </c>
      <c r="D324" s="8">
        <v>0</v>
      </c>
      <c r="E324" s="10">
        <v>0</v>
      </c>
      <c r="F324" s="9">
        <v>0</v>
      </c>
      <c r="G324" s="11">
        <v>0</v>
      </c>
    </row>
    <row r="325" spans="1:7" hidden="1" x14ac:dyDescent="0.2">
      <c r="A325" s="2" t="s">
        <v>330</v>
      </c>
      <c r="B325" s="3">
        <v>1</v>
      </c>
      <c r="C325" s="4">
        <v>0</v>
      </c>
      <c r="D325" s="3">
        <v>0</v>
      </c>
      <c r="E325" s="5">
        <v>0</v>
      </c>
      <c r="F325" s="4">
        <v>0</v>
      </c>
      <c r="G325" s="6">
        <v>0</v>
      </c>
    </row>
    <row r="326" spans="1:7" hidden="1" x14ac:dyDescent="0.2">
      <c r="A326" s="7" t="s">
        <v>331</v>
      </c>
      <c r="B326" s="8">
        <v>1</v>
      </c>
      <c r="C326" s="9">
        <v>0</v>
      </c>
      <c r="D326" s="8">
        <v>0</v>
      </c>
      <c r="E326" s="10">
        <v>0</v>
      </c>
      <c r="F326" s="9">
        <v>0</v>
      </c>
      <c r="G326" s="11">
        <v>0</v>
      </c>
    </row>
    <row r="327" spans="1:7" hidden="1" x14ac:dyDescent="0.2">
      <c r="A327" s="2" t="s">
        <v>332</v>
      </c>
      <c r="B327" s="3">
        <v>3</v>
      </c>
      <c r="C327" s="4">
        <v>0</v>
      </c>
      <c r="D327" s="3">
        <v>0</v>
      </c>
      <c r="E327" s="5">
        <v>0</v>
      </c>
      <c r="F327" s="4">
        <v>0</v>
      </c>
      <c r="G327" s="6">
        <v>0</v>
      </c>
    </row>
    <row r="328" spans="1:7" hidden="1" x14ac:dyDescent="0.2">
      <c r="A328" s="7" t="s">
        <v>333</v>
      </c>
      <c r="B328" s="8">
        <v>2</v>
      </c>
      <c r="C328" s="9">
        <v>0</v>
      </c>
      <c r="D328" s="8">
        <v>0</v>
      </c>
      <c r="E328" s="10">
        <v>0</v>
      </c>
      <c r="F328" s="9">
        <v>0</v>
      </c>
      <c r="G328" s="11">
        <v>1</v>
      </c>
    </row>
    <row r="329" spans="1:7" hidden="1" x14ac:dyDescent="0.2">
      <c r="A329" s="2" t="s">
        <v>334</v>
      </c>
      <c r="B329" s="3">
        <v>2</v>
      </c>
      <c r="C329" s="4">
        <v>0</v>
      </c>
      <c r="D329" s="3">
        <v>0</v>
      </c>
      <c r="E329" s="5">
        <v>0</v>
      </c>
      <c r="F329" s="4">
        <v>0</v>
      </c>
      <c r="G329" s="6">
        <v>0</v>
      </c>
    </row>
    <row r="330" spans="1:7" hidden="1" x14ac:dyDescent="0.2">
      <c r="A330" s="7" t="s">
        <v>335</v>
      </c>
      <c r="B330" s="8">
        <v>1</v>
      </c>
      <c r="C330" s="9">
        <v>0</v>
      </c>
      <c r="D330" s="8">
        <v>0</v>
      </c>
      <c r="E330" s="10">
        <v>0</v>
      </c>
      <c r="F330" s="9">
        <v>0</v>
      </c>
      <c r="G330" s="11">
        <v>5</v>
      </c>
    </row>
    <row r="331" spans="1:7" hidden="1" x14ac:dyDescent="0.2">
      <c r="A331" s="2" t="s">
        <v>336</v>
      </c>
      <c r="B331" s="3">
        <v>1</v>
      </c>
      <c r="C331" s="4">
        <v>0</v>
      </c>
      <c r="D331" s="3">
        <v>0</v>
      </c>
      <c r="E331" s="5">
        <v>0</v>
      </c>
      <c r="F331" s="4">
        <v>0</v>
      </c>
      <c r="G331" s="6">
        <v>0</v>
      </c>
    </row>
    <row r="332" spans="1:7" hidden="1" x14ac:dyDescent="0.2">
      <c r="A332" s="7" t="s">
        <v>337</v>
      </c>
      <c r="B332" s="8">
        <v>1</v>
      </c>
      <c r="C332" s="9">
        <v>0</v>
      </c>
      <c r="D332" s="8">
        <v>0</v>
      </c>
      <c r="E332" s="10">
        <v>0</v>
      </c>
      <c r="F332" s="9">
        <v>0</v>
      </c>
      <c r="G332" s="11">
        <v>0</v>
      </c>
    </row>
    <row r="333" spans="1:7" hidden="1" x14ac:dyDescent="0.2">
      <c r="A333" s="2" t="s">
        <v>338</v>
      </c>
      <c r="B333" s="3">
        <v>1</v>
      </c>
      <c r="C333" s="4">
        <v>0</v>
      </c>
      <c r="D333" s="3">
        <v>0</v>
      </c>
      <c r="E333" s="5">
        <v>0</v>
      </c>
      <c r="F333" s="4">
        <v>0</v>
      </c>
      <c r="G333" s="6">
        <v>0</v>
      </c>
    </row>
    <row r="334" spans="1:7" hidden="1" x14ac:dyDescent="0.2">
      <c r="A334" s="7" t="s">
        <v>339</v>
      </c>
      <c r="B334" s="8">
        <v>1</v>
      </c>
      <c r="C334" s="9">
        <v>0</v>
      </c>
      <c r="D334" s="8">
        <v>0</v>
      </c>
      <c r="E334" s="10">
        <v>0</v>
      </c>
      <c r="F334" s="9">
        <v>0</v>
      </c>
      <c r="G334" s="11">
        <v>0</v>
      </c>
    </row>
    <row r="335" spans="1:7" hidden="1" x14ac:dyDescent="0.2">
      <c r="A335" s="2" t="s">
        <v>340</v>
      </c>
      <c r="B335" s="3">
        <v>1</v>
      </c>
      <c r="C335" s="4">
        <v>0</v>
      </c>
      <c r="D335" s="3">
        <v>0</v>
      </c>
      <c r="E335" s="5">
        <v>0</v>
      </c>
      <c r="F335" s="4">
        <v>0</v>
      </c>
      <c r="G335" s="6">
        <v>0</v>
      </c>
    </row>
    <row r="336" spans="1:7" hidden="1" x14ac:dyDescent="0.2">
      <c r="A336" s="7" t="s">
        <v>341</v>
      </c>
      <c r="B336" s="8">
        <v>1</v>
      </c>
      <c r="C336" s="9">
        <v>0</v>
      </c>
      <c r="D336" s="8">
        <v>0</v>
      </c>
      <c r="E336" s="10">
        <v>0</v>
      </c>
      <c r="F336" s="9">
        <v>0</v>
      </c>
      <c r="G336" s="11">
        <v>0</v>
      </c>
    </row>
    <row r="337" spans="1:7" hidden="1" x14ac:dyDescent="0.2">
      <c r="A337" s="2" t="s">
        <v>342</v>
      </c>
      <c r="B337" s="3">
        <v>1</v>
      </c>
      <c r="C337" s="4">
        <v>0</v>
      </c>
      <c r="D337" s="3">
        <v>0</v>
      </c>
      <c r="E337" s="5">
        <v>0</v>
      </c>
      <c r="F337" s="4">
        <v>0</v>
      </c>
      <c r="G337" s="6">
        <v>0</v>
      </c>
    </row>
    <row r="338" spans="1:7" hidden="1" x14ac:dyDescent="0.2">
      <c r="A338" s="7" t="s">
        <v>343</v>
      </c>
      <c r="B338" s="8">
        <v>1</v>
      </c>
      <c r="C338" s="9">
        <v>0</v>
      </c>
      <c r="D338" s="8">
        <v>0</v>
      </c>
      <c r="E338" s="10">
        <v>0</v>
      </c>
      <c r="F338" s="9">
        <v>0</v>
      </c>
      <c r="G338" s="11">
        <v>0</v>
      </c>
    </row>
    <row r="339" spans="1:7" hidden="1" x14ac:dyDescent="0.2">
      <c r="A339" s="2" t="s">
        <v>344</v>
      </c>
      <c r="B339" s="3">
        <v>1</v>
      </c>
      <c r="C339" s="4">
        <v>0</v>
      </c>
      <c r="D339" s="3">
        <v>0</v>
      </c>
      <c r="E339" s="5">
        <v>0</v>
      </c>
      <c r="F339" s="4">
        <v>0</v>
      </c>
      <c r="G339" s="6">
        <v>0</v>
      </c>
    </row>
    <row r="340" spans="1:7" hidden="1" x14ac:dyDescent="0.2">
      <c r="A340" s="7" t="s">
        <v>345</v>
      </c>
      <c r="B340" s="8">
        <v>1</v>
      </c>
      <c r="C340" s="9">
        <v>0</v>
      </c>
      <c r="D340" s="8">
        <v>0</v>
      </c>
      <c r="E340" s="10">
        <v>0</v>
      </c>
      <c r="F340" s="9">
        <v>0</v>
      </c>
      <c r="G340" s="11">
        <v>0</v>
      </c>
    </row>
    <row r="341" spans="1:7" hidden="1" x14ac:dyDescent="0.2">
      <c r="A341" s="2" t="s">
        <v>346</v>
      </c>
      <c r="B341" s="3">
        <v>1</v>
      </c>
      <c r="C341" s="4">
        <v>0</v>
      </c>
      <c r="D341" s="3">
        <v>0</v>
      </c>
      <c r="E341" s="5">
        <v>0</v>
      </c>
      <c r="F341" s="4">
        <v>0</v>
      </c>
      <c r="G341" s="6">
        <v>0</v>
      </c>
    </row>
    <row r="342" spans="1:7" hidden="1" x14ac:dyDescent="0.2">
      <c r="A342" s="7" t="s">
        <v>347</v>
      </c>
      <c r="B342" s="8">
        <v>2</v>
      </c>
      <c r="C342" s="9">
        <v>0</v>
      </c>
      <c r="D342" s="8">
        <v>0</v>
      </c>
      <c r="E342" s="10">
        <v>0</v>
      </c>
      <c r="F342" s="9">
        <v>0</v>
      </c>
      <c r="G342" s="11">
        <v>0</v>
      </c>
    </row>
    <row r="343" spans="1:7" hidden="1" x14ac:dyDescent="0.2">
      <c r="A343" s="2" t="s">
        <v>348</v>
      </c>
      <c r="B343" s="3">
        <v>1</v>
      </c>
      <c r="C343" s="4">
        <v>0</v>
      </c>
      <c r="D343" s="3">
        <v>0</v>
      </c>
      <c r="E343" s="5">
        <v>0</v>
      </c>
      <c r="F343" s="4">
        <v>0</v>
      </c>
      <c r="G343" s="6">
        <v>0</v>
      </c>
    </row>
    <row r="344" spans="1:7" hidden="1" x14ac:dyDescent="0.2">
      <c r="A344" s="7" t="s">
        <v>349</v>
      </c>
      <c r="B344" s="8">
        <v>1</v>
      </c>
      <c r="C344" s="9">
        <v>0</v>
      </c>
      <c r="D344" s="8">
        <v>0</v>
      </c>
      <c r="E344" s="10">
        <v>0</v>
      </c>
      <c r="F344" s="9">
        <v>0</v>
      </c>
      <c r="G344" s="11">
        <v>4.9000000000000004</v>
      </c>
    </row>
    <row r="345" spans="1:7" hidden="1" x14ac:dyDescent="0.2">
      <c r="A345" s="2" t="s">
        <v>350</v>
      </c>
      <c r="B345" s="3">
        <v>3</v>
      </c>
      <c r="C345" s="4">
        <v>0</v>
      </c>
      <c r="D345" s="3">
        <v>0</v>
      </c>
      <c r="E345" s="5">
        <v>0</v>
      </c>
      <c r="F345" s="4">
        <v>0</v>
      </c>
      <c r="G345" s="6">
        <v>5</v>
      </c>
    </row>
    <row r="346" spans="1:7" hidden="1" x14ac:dyDescent="0.2">
      <c r="A346" s="7" t="s">
        <v>351</v>
      </c>
      <c r="B346" s="8">
        <v>1</v>
      </c>
      <c r="C346" s="9">
        <v>0</v>
      </c>
      <c r="D346" s="8">
        <v>0</v>
      </c>
      <c r="E346" s="10">
        <v>0</v>
      </c>
      <c r="F346" s="9">
        <v>0</v>
      </c>
      <c r="G346" s="11">
        <v>2.9</v>
      </c>
    </row>
    <row r="347" spans="1:7" hidden="1" x14ac:dyDescent="0.2">
      <c r="A347" s="2" t="s">
        <v>352</v>
      </c>
      <c r="B347" s="3">
        <v>1</v>
      </c>
      <c r="C347" s="4">
        <v>0</v>
      </c>
      <c r="D347" s="3">
        <v>0</v>
      </c>
      <c r="E347" s="5">
        <v>0</v>
      </c>
      <c r="F347" s="4">
        <v>0</v>
      </c>
      <c r="G347" s="6">
        <v>0</v>
      </c>
    </row>
    <row r="348" spans="1:7" hidden="1" x14ac:dyDescent="0.2">
      <c r="A348" s="7" t="s">
        <v>353</v>
      </c>
      <c r="B348" s="8">
        <v>1</v>
      </c>
      <c r="C348" s="9">
        <v>0</v>
      </c>
      <c r="D348" s="8">
        <v>0</v>
      </c>
      <c r="E348" s="10">
        <v>0</v>
      </c>
      <c r="F348" s="9">
        <v>0</v>
      </c>
      <c r="G348" s="11">
        <v>0</v>
      </c>
    </row>
    <row r="349" spans="1:7" hidden="1" x14ac:dyDescent="0.2">
      <c r="A349" s="2" t="s">
        <v>354</v>
      </c>
      <c r="B349" s="3">
        <v>4</v>
      </c>
      <c r="C349" s="4">
        <v>0</v>
      </c>
      <c r="D349" s="3">
        <v>0</v>
      </c>
      <c r="E349" s="5">
        <v>0</v>
      </c>
      <c r="F349" s="4">
        <v>0</v>
      </c>
      <c r="G349" s="6">
        <v>3.35</v>
      </c>
    </row>
    <row r="350" spans="1:7" hidden="1" x14ac:dyDescent="0.2">
      <c r="A350" s="7" t="s">
        <v>355</v>
      </c>
      <c r="B350" s="8">
        <v>1</v>
      </c>
      <c r="C350" s="9">
        <v>0</v>
      </c>
      <c r="D350" s="8">
        <v>0</v>
      </c>
      <c r="E350" s="10">
        <v>0</v>
      </c>
      <c r="F350" s="9">
        <v>0</v>
      </c>
      <c r="G350" s="11">
        <v>0</v>
      </c>
    </row>
    <row r="351" spans="1:7" hidden="1" x14ac:dyDescent="0.2">
      <c r="A351" s="2" t="s">
        <v>356</v>
      </c>
      <c r="B351" s="3">
        <v>2</v>
      </c>
      <c r="C351" s="4">
        <v>0</v>
      </c>
      <c r="D351" s="3">
        <v>0</v>
      </c>
      <c r="E351" s="5">
        <v>0</v>
      </c>
      <c r="F351" s="4">
        <v>0</v>
      </c>
      <c r="G351" s="6">
        <v>0</v>
      </c>
    </row>
    <row r="352" spans="1:7" hidden="1" x14ac:dyDescent="0.2">
      <c r="A352" s="7" t="s">
        <v>357</v>
      </c>
      <c r="B352" s="8">
        <v>1</v>
      </c>
      <c r="C352" s="9">
        <v>0</v>
      </c>
      <c r="D352" s="8">
        <v>0</v>
      </c>
      <c r="E352" s="10">
        <v>0</v>
      </c>
      <c r="F352" s="9">
        <v>0</v>
      </c>
      <c r="G352" s="11">
        <v>0</v>
      </c>
    </row>
    <row r="353" spans="1:7" hidden="1" x14ac:dyDescent="0.2">
      <c r="A353" s="2" t="s">
        <v>358</v>
      </c>
      <c r="B353" s="3">
        <v>7</v>
      </c>
      <c r="C353" s="4">
        <v>0</v>
      </c>
      <c r="D353" s="3">
        <v>0</v>
      </c>
      <c r="E353" s="5">
        <v>0</v>
      </c>
      <c r="F353" s="4">
        <v>0</v>
      </c>
      <c r="G353" s="6">
        <v>4.1399999999999997</v>
      </c>
    </row>
    <row r="354" spans="1:7" hidden="1" x14ac:dyDescent="0.2">
      <c r="A354" s="7" t="s">
        <v>359</v>
      </c>
      <c r="B354" s="8">
        <v>1</v>
      </c>
      <c r="C354" s="9">
        <v>0</v>
      </c>
      <c r="D354" s="8">
        <v>0</v>
      </c>
      <c r="E354" s="10">
        <v>0</v>
      </c>
      <c r="F354" s="9">
        <v>0</v>
      </c>
      <c r="G354" s="11">
        <v>2.4</v>
      </c>
    </row>
    <row r="355" spans="1:7" hidden="1" x14ac:dyDescent="0.2">
      <c r="A355" s="2" t="s">
        <v>360</v>
      </c>
      <c r="B355" s="3">
        <v>1</v>
      </c>
      <c r="C355" s="4">
        <v>0</v>
      </c>
      <c r="D355" s="3">
        <v>0</v>
      </c>
      <c r="E355" s="5">
        <v>0</v>
      </c>
      <c r="F355" s="4">
        <v>0</v>
      </c>
      <c r="G355" s="6">
        <v>4.3</v>
      </c>
    </row>
    <row r="356" spans="1:7" hidden="1" x14ac:dyDescent="0.2">
      <c r="A356" s="7" t="s">
        <v>361</v>
      </c>
      <c r="B356" s="8">
        <v>1</v>
      </c>
      <c r="C356" s="9">
        <v>0</v>
      </c>
      <c r="D356" s="8">
        <v>0</v>
      </c>
      <c r="E356" s="10">
        <v>0</v>
      </c>
      <c r="F356" s="9">
        <v>0</v>
      </c>
      <c r="G356" s="11">
        <v>3.2</v>
      </c>
    </row>
    <row r="357" spans="1:7" hidden="1" x14ac:dyDescent="0.2">
      <c r="A357" s="2" t="s">
        <v>362</v>
      </c>
      <c r="B357" s="3">
        <v>2</v>
      </c>
      <c r="C357" s="4">
        <v>0</v>
      </c>
      <c r="D357" s="3">
        <v>0</v>
      </c>
      <c r="E357" s="5">
        <v>0</v>
      </c>
      <c r="F357" s="4">
        <v>0</v>
      </c>
      <c r="G357" s="6">
        <v>5</v>
      </c>
    </row>
    <row r="358" spans="1:7" hidden="1" x14ac:dyDescent="0.2">
      <c r="A358" s="7" t="s">
        <v>363</v>
      </c>
      <c r="B358" s="8">
        <v>1</v>
      </c>
      <c r="C358" s="9">
        <v>0</v>
      </c>
      <c r="D358" s="8">
        <v>0</v>
      </c>
      <c r="E358" s="10">
        <v>0</v>
      </c>
      <c r="F358" s="9">
        <v>0</v>
      </c>
      <c r="G358" s="11">
        <v>0</v>
      </c>
    </row>
    <row r="359" spans="1:7" hidden="1" x14ac:dyDescent="0.2">
      <c r="A359" s="2" t="s">
        <v>364</v>
      </c>
      <c r="B359" s="3">
        <v>1</v>
      </c>
      <c r="C359" s="4">
        <v>0</v>
      </c>
      <c r="D359" s="3">
        <v>0</v>
      </c>
      <c r="E359" s="5">
        <v>0</v>
      </c>
      <c r="F359" s="4">
        <v>0</v>
      </c>
      <c r="G359" s="6">
        <v>0</v>
      </c>
    </row>
    <row r="360" spans="1:7" hidden="1" x14ac:dyDescent="0.2">
      <c r="A360" s="7" t="s">
        <v>365</v>
      </c>
      <c r="B360" s="8">
        <v>1</v>
      </c>
      <c r="C360" s="9">
        <v>0</v>
      </c>
      <c r="D360" s="8">
        <v>0</v>
      </c>
      <c r="E360" s="10">
        <v>0</v>
      </c>
      <c r="F360" s="9">
        <v>0</v>
      </c>
      <c r="G360" s="11">
        <v>0</v>
      </c>
    </row>
    <row r="361" spans="1:7" hidden="1" x14ac:dyDescent="0.2">
      <c r="A361" s="2" t="s">
        <v>366</v>
      </c>
      <c r="B361" s="3">
        <v>1</v>
      </c>
      <c r="C361" s="4">
        <v>0</v>
      </c>
      <c r="D361" s="3">
        <v>0</v>
      </c>
      <c r="E361" s="5">
        <v>0</v>
      </c>
      <c r="F361" s="4">
        <v>0</v>
      </c>
      <c r="G361" s="6">
        <v>0</v>
      </c>
    </row>
    <row r="362" spans="1:7" hidden="1" x14ac:dyDescent="0.2">
      <c r="A362" s="7" t="s">
        <v>367</v>
      </c>
      <c r="B362" s="8">
        <v>1</v>
      </c>
      <c r="C362" s="9">
        <v>0</v>
      </c>
      <c r="D362" s="8">
        <v>0</v>
      </c>
      <c r="E362" s="10">
        <v>0</v>
      </c>
      <c r="F362" s="9">
        <v>0</v>
      </c>
      <c r="G362" s="11">
        <v>3.5</v>
      </c>
    </row>
    <row r="363" spans="1:7" hidden="1" x14ac:dyDescent="0.2">
      <c r="A363" s="2" t="s">
        <v>368</v>
      </c>
      <c r="B363" s="3">
        <v>4</v>
      </c>
      <c r="C363" s="4">
        <v>0</v>
      </c>
      <c r="D363" s="3">
        <v>0</v>
      </c>
      <c r="E363" s="5">
        <v>0</v>
      </c>
      <c r="F363" s="4">
        <v>0</v>
      </c>
      <c r="G363" s="6">
        <v>0</v>
      </c>
    </row>
    <row r="364" spans="1:7" hidden="1" x14ac:dyDescent="0.2">
      <c r="A364" s="7" t="s">
        <v>369</v>
      </c>
      <c r="B364" s="8">
        <v>2</v>
      </c>
      <c r="C364" s="9">
        <v>0</v>
      </c>
      <c r="D364" s="8">
        <v>0</v>
      </c>
      <c r="E364" s="10">
        <v>0</v>
      </c>
      <c r="F364" s="9">
        <v>0</v>
      </c>
      <c r="G364" s="11">
        <v>0</v>
      </c>
    </row>
    <row r="365" spans="1:7" hidden="1" x14ac:dyDescent="0.2">
      <c r="A365" s="2" t="s">
        <v>370</v>
      </c>
      <c r="B365" s="3">
        <v>1</v>
      </c>
      <c r="C365" s="4">
        <v>0</v>
      </c>
      <c r="D365" s="3">
        <v>0</v>
      </c>
      <c r="E365" s="5">
        <v>0</v>
      </c>
      <c r="F365" s="4">
        <v>0</v>
      </c>
      <c r="G365" s="6">
        <v>0</v>
      </c>
    </row>
    <row r="366" spans="1:7" hidden="1" x14ac:dyDescent="0.2">
      <c r="A366" s="7" t="s">
        <v>371</v>
      </c>
      <c r="B366" s="8">
        <v>1</v>
      </c>
      <c r="C366" s="9">
        <v>0</v>
      </c>
      <c r="D366" s="8">
        <v>0</v>
      </c>
      <c r="E366" s="10">
        <v>0</v>
      </c>
      <c r="F366" s="9">
        <v>0</v>
      </c>
      <c r="G366" s="11">
        <v>0</v>
      </c>
    </row>
    <row r="367" spans="1:7" hidden="1" x14ac:dyDescent="0.2">
      <c r="A367" s="2" t="s">
        <v>372</v>
      </c>
      <c r="B367" s="3">
        <v>1</v>
      </c>
      <c r="C367" s="4">
        <v>0</v>
      </c>
      <c r="D367" s="3">
        <v>0</v>
      </c>
      <c r="E367" s="5">
        <v>0</v>
      </c>
      <c r="F367" s="4">
        <v>0</v>
      </c>
      <c r="G367" s="6">
        <v>0</v>
      </c>
    </row>
    <row r="368" spans="1:7" hidden="1" x14ac:dyDescent="0.2">
      <c r="A368" s="7" t="s">
        <v>373</v>
      </c>
      <c r="B368" s="8">
        <v>1</v>
      </c>
      <c r="C368" s="9">
        <v>0</v>
      </c>
      <c r="D368" s="8">
        <v>0</v>
      </c>
      <c r="E368" s="10">
        <v>0</v>
      </c>
      <c r="F368" s="9">
        <v>0</v>
      </c>
      <c r="G368" s="11">
        <v>4.2</v>
      </c>
    </row>
    <row r="369" spans="1:7" hidden="1" x14ac:dyDescent="0.2">
      <c r="A369" s="2" t="s">
        <v>374</v>
      </c>
      <c r="B369" s="3">
        <v>3</v>
      </c>
      <c r="C369" s="4">
        <v>0</v>
      </c>
      <c r="D369" s="3">
        <v>0</v>
      </c>
      <c r="E369" s="5">
        <v>0</v>
      </c>
      <c r="F369" s="4">
        <v>0</v>
      </c>
      <c r="G369" s="6">
        <v>1.8</v>
      </c>
    </row>
    <row r="370" spans="1:7" hidden="1" x14ac:dyDescent="0.2">
      <c r="A370" s="7" t="s">
        <v>375</v>
      </c>
      <c r="B370" s="8">
        <v>1</v>
      </c>
      <c r="C370" s="9">
        <v>0</v>
      </c>
      <c r="D370" s="8">
        <v>0</v>
      </c>
      <c r="E370" s="10">
        <v>0</v>
      </c>
      <c r="F370" s="9">
        <v>0</v>
      </c>
      <c r="G370" s="11">
        <v>0</v>
      </c>
    </row>
    <row r="371" spans="1:7" hidden="1" x14ac:dyDescent="0.2">
      <c r="A371" s="2" t="s">
        <v>376</v>
      </c>
      <c r="B371" s="3">
        <v>1</v>
      </c>
      <c r="C371" s="4">
        <v>0</v>
      </c>
      <c r="D371" s="3">
        <v>0</v>
      </c>
      <c r="E371" s="5">
        <v>0</v>
      </c>
      <c r="F371" s="4">
        <v>0</v>
      </c>
      <c r="G371" s="6">
        <v>0</v>
      </c>
    </row>
    <row r="372" spans="1:7" hidden="1" x14ac:dyDescent="0.2">
      <c r="A372" s="7" t="s">
        <v>377</v>
      </c>
      <c r="B372" s="8">
        <v>1</v>
      </c>
      <c r="C372" s="9">
        <v>0</v>
      </c>
      <c r="D372" s="8">
        <v>0</v>
      </c>
      <c r="E372" s="10">
        <v>0</v>
      </c>
      <c r="F372" s="9">
        <v>0</v>
      </c>
      <c r="G372" s="11">
        <v>0</v>
      </c>
    </row>
    <row r="373" spans="1:7" hidden="1" x14ac:dyDescent="0.2">
      <c r="A373" s="2" t="s">
        <v>378</v>
      </c>
      <c r="B373" s="3">
        <v>2</v>
      </c>
      <c r="C373" s="4">
        <v>0</v>
      </c>
      <c r="D373" s="3">
        <v>0</v>
      </c>
      <c r="E373" s="5">
        <v>0</v>
      </c>
      <c r="F373" s="4">
        <v>0</v>
      </c>
      <c r="G373" s="6">
        <v>5</v>
      </c>
    </row>
    <row r="374" spans="1:7" hidden="1" x14ac:dyDescent="0.2">
      <c r="A374" s="7" t="s">
        <v>379</v>
      </c>
      <c r="B374" s="8">
        <v>1</v>
      </c>
      <c r="C374" s="9">
        <v>0</v>
      </c>
      <c r="D374" s="8">
        <v>0</v>
      </c>
      <c r="E374" s="10">
        <v>0</v>
      </c>
      <c r="F374" s="9">
        <v>0</v>
      </c>
      <c r="G374" s="11">
        <v>0</v>
      </c>
    </row>
    <row r="375" spans="1:7" hidden="1" x14ac:dyDescent="0.2">
      <c r="A375" s="2" t="s">
        <v>380</v>
      </c>
      <c r="B375" s="3">
        <v>3</v>
      </c>
      <c r="C375" s="4">
        <v>0</v>
      </c>
      <c r="D375" s="3">
        <v>0</v>
      </c>
      <c r="E375" s="5">
        <v>0</v>
      </c>
      <c r="F375" s="4">
        <v>0</v>
      </c>
      <c r="G375" s="6">
        <v>0</v>
      </c>
    </row>
    <row r="376" spans="1:7" hidden="1" x14ac:dyDescent="0.2">
      <c r="A376" s="7" t="s">
        <v>381</v>
      </c>
      <c r="B376" s="8">
        <v>2</v>
      </c>
      <c r="C376" s="9">
        <v>0</v>
      </c>
      <c r="D376" s="8">
        <v>0</v>
      </c>
      <c r="E376" s="10">
        <v>0</v>
      </c>
      <c r="F376" s="9">
        <v>0</v>
      </c>
      <c r="G376" s="11">
        <v>0</v>
      </c>
    </row>
    <row r="377" spans="1:7" hidden="1" x14ac:dyDescent="0.2">
      <c r="A377" s="2" t="s">
        <v>382</v>
      </c>
      <c r="B377" s="3">
        <v>1</v>
      </c>
      <c r="C377" s="4">
        <v>0</v>
      </c>
      <c r="D377" s="3">
        <v>0</v>
      </c>
      <c r="E377" s="5">
        <v>0</v>
      </c>
      <c r="F377" s="4">
        <v>0</v>
      </c>
      <c r="G377" s="6">
        <v>0</v>
      </c>
    </row>
    <row r="378" spans="1:7" hidden="1" x14ac:dyDescent="0.2">
      <c r="A378" s="7" t="s">
        <v>383</v>
      </c>
      <c r="B378" s="8">
        <v>1</v>
      </c>
      <c r="C378" s="9">
        <v>0</v>
      </c>
      <c r="D378" s="8">
        <v>0</v>
      </c>
      <c r="E378" s="10">
        <v>0</v>
      </c>
      <c r="F378" s="9">
        <v>0</v>
      </c>
      <c r="G378" s="11">
        <v>0</v>
      </c>
    </row>
    <row r="379" spans="1:7" hidden="1" x14ac:dyDescent="0.2">
      <c r="A379" s="2" t="s">
        <v>384</v>
      </c>
      <c r="B379" s="3">
        <v>1</v>
      </c>
      <c r="C379" s="4">
        <v>0</v>
      </c>
      <c r="D379" s="3">
        <v>0</v>
      </c>
      <c r="E379" s="5">
        <v>0</v>
      </c>
      <c r="F379" s="4">
        <v>0</v>
      </c>
      <c r="G379" s="6">
        <v>2</v>
      </c>
    </row>
    <row r="380" spans="1:7" hidden="1" x14ac:dyDescent="0.2">
      <c r="A380" s="7" t="s">
        <v>385</v>
      </c>
      <c r="B380" s="8">
        <v>2</v>
      </c>
      <c r="C380" s="9">
        <v>0</v>
      </c>
      <c r="D380" s="8">
        <v>0</v>
      </c>
      <c r="E380" s="10">
        <v>0</v>
      </c>
      <c r="F380" s="9">
        <v>0</v>
      </c>
      <c r="G380" s="11">
        <v>0</v>
      </c>
    </row>
    <row r="381" spans="1:7" hidden="1" x14ac:dyDescent="0.2">
      <c r="A381" s="2" t="s">
        <v>386</v>
      </c>
      <c r="B381" s="3">
        <v>1</v>
      </c>
      <c r="C381" s="4">
        <v>0</v>
      </c>
      <c r="D381" s="3">
        <v>0</v>
      </c>
      <c r="E381" s="5">
        <v>0</v>
      </c>
      <c r="F381" s="4">
        <v>0</v>
      </c>
      <c r="G381" s="6">
        <v>5</v>
      </c>
    </row>
    <row r="382" spans="1:7" hidden="1" x14ac:dyDescent="0.2">
      <c r="A382" s="7" t="s">
        <v>387</v>
      </c>
      <c r="B382" s="8">
        <v>1</v>
      </c>
      <c r="C382" s="9">
        <v>0</v>
      </c>
      <c r="D382" s="8">
        <v>0</v>
      </c>
      <c r="E382" s="10">
        <v>0</v>
      </c>
      <c r="F382" s="9">
        <v>0</v>
      </c>
      <c r="G382" s="11">
        <v>0</v>
      </c>
    </row>
    <row r="383" spans="1:7" hidden="1" x14ac:dyDescent="0.2">
      <c r="A383" s="2" t="s">
        <v>388</v>
      </c>
      <c r="B383" s="3">
        <v>1</v>
      </c>
      <c r="C383" s="4">
        <v>0</v>
      </c>
      <c r="D383" s="3">
        <v>0</v>
      </c>
      <c r="E383" s="5">
        <v>0</v>
      </c>
      <c r="F383" s="4">
        <v>0</v>
      </c>
      <c r="G383" s="6">
        <v>0</v>
      </c>
    </row>
    <row r="384" spans="1:7" hidden="1" x14ac:dyDescent="0.2">
      <c r="A384" s="7" t="s">
        <v>389</v>
      </c>
      <c r="B384" s="8">
        <v>1</v>
      </c>
      <c r="C384" s="9">
        <v>0</v>
      </c>
      <c r="D384" s="8">
        <v>0</v>
      </c>
      <c r="E384" s="10">
        <v>0</v>
      </c>
      <c r="F384" s="9">
        <v>0</v>
      </c>
      <c r="G384" s="11">
        <v>0</v>
      </c>
    </row>
    <row r="385" spans="1:7" hidden="1" x14ac:dyDescent="0.2">
      <c r="A385" s="2" t="s">
        <v>390</v>
      </c>
      <c r="B385" s="3">
        <v>2</v>
      </c>
      <c r="C385" s="4">
        <v>0</v>
      </c>
      <c r="D385" s="3">
        <v>0</v>
      </c>
      <c r="E385" s="5">
        <v>0</v>
      </c>
      <c r="F385" s="4">
        <v>0</v>
      </c>
      <c r="G385" s="6">
        <v>0</v>
      </c>
    </row>
    <row r="386" spans="1:7" hidden="1" x14ac:dyDescent="0.2">
      <c r="A386" s="7" t="s">
        <v>391</v>
      </c>
      <c r="B386" s="8">
        <v>2</v>
      </c>
      <c r="C386" s="9">
        <v>0</v>
      </c>
      <c r="D386" s="8">
        <v>0</v>
      </c>
      <c r="E386" s="10">
        <v>0</v>
      </c>
      <c r="F386" s="9">
        <v>0</v>
      </c>
      <c r="G386" s="11">
        <v>3</v>
      </c>
    </row>
    <row r="387" spans="1:7" hidden="1" x14ac:dyDescent="0.2">
      <c r="A387" s="2" t="s">
        <v>392</v>
      </c>
      <c r="B387" s="3">
        <v>4</v>
      </c>
      <c r="C387" s="4">
        <v>0</v>
      </c>
      <c r="D387" s="3">
        <v>0</v>
      </c>
      <c r="E387" s="5">
        <v>0</v>
      </c>
      <c r="F387" s="4">
        <v>0</v>
      </c>
      <c r="G387" s="6">
        <v>0</v>
      </c>
    </row>
    <row r="388" spans="1:7" hidden="1" x14ac:dyDescent="0.2">
      <c r="A388" s="7" t="s">
        <v>393</v>
      </c>
      <c r="B388" s="8">
        <v>1</v>
      </c>
      <c r="C388" s="9">
        <v>0</v>
      </c>
      <c r="D388" s="8">
        <v>0</v>
      </c>
      <c r="E388" s="10">
        <v>0</v>
      </c>
      <c r="F388" s="9">
        <v>0</v>
      </c>
      <c r="G388" s="11">
        <v>0</v>
      </c>
    </row>
    <row r="389" spans="1:7" hidden="1" x14ac:dyDescent="0.2">
      <c r="A389" s="2" t="s">
        <v>394</v>
      </c>
      <c r="B389" s="3">
        <v>1</v>
      </c>
      <c r="C389" s="4">
        <v>0</v>
      </c>
      <c r="D389" s="3">
        <v>0</v>
      </c>
      <c r="E389" s="5">
        <v>0</v>
      </c>
      <c r="F389" s="4">
        <v>0</v>
      </c>
      <c r="G389" s="6">
        <v>5</v>
      </c>
    </row>
    <row r="390" spans="1:7" hidden="1" x14ac:dyDescent="0.2">
      <c r="A390" s="7" t="s">
        <v>395</v>
      </c>
      <c r="B390" s="8">
        <v>1</v>
      </c>
      <c r="C390" s="9">
        <v>0</v>
      </c>
      <c r="D390" s="8">
        <v>0</v>
      </c>
      <c r="E390" s="10">
        <v>0</v>
      </c>
      <c r="F390" s="9">
        <v>0</v>
      </c>
      <c r="G390" s="11">
        <v>0</v>
      </c>
    </row>
    <row r="391" spans="1:7" hidden="1" x14ac:dyDescent="0.2">
      <c r="A391" s="2" t="s">
        <v>396</v>
      </c>
      <c r="B391" s="3">
        <v>1</v>
      </c>
      <c r="C391" s="4">
        <v>0</v>
      </c>
      <c r="D391" s="3">
        <v>0</v>
      </c>
      <c r="E391" s="5">
        <v>0</v>
      </c>
      <c r="F391" s="4">
        <v>0</v>
      </c>
      <c r="G391" s="6">
        <v>0</v>
      </c>
    </row>
    <row r="392" spans="1:7" hidden="1" x14ac:dyDescent="0.2">
      <c r="A392" s="7" t="s">
        <v>397</v>
      </c>
      <c r="B392" s="8">
        <v>1</v>
      </c>
      <c r="C392" s="9">
        <v>0</v>
      </c>
      <c r="D392" s="8">
        <v>0</v>
      </c>
      <c r="E392" s="10">
        <v>0</v>
      </c>
      <c r="F392" s="9">
        <v>0</v>
      </c>
      <c r="G392" s="11">
        <v>0</v>
      </c>
    </row>
    <row r="393" spans="1:7" hidden="1" x14ac:dyDescent="0.2">
      <c r="A393" s="2" t="s">
        <v>398</v>
      </c>
      <c r="B393" s="3">
        <v>1</v>
      </c>
      <c r="C393" s="4">
        <v>0</v>
      </c>
      <c r="D393" s="3">
        <v>0</v>
      </c>
      <c r="E393" s="5">
        <v>0</v>
      </c>
      <c r="F393" s="4">
        <v>0</v>
      </c>
      <c r="G393" s="6">
        <v>5</v>
      </c>
    </row>
    <row r="394" spans="1:7" hidden="1" x14ac:dyDescent="0.2">
      <c r="A394" s="7" t="s">
        <v>399</v>
      </c>
      <c r="B394" s="8">
        <v>1</v>
      </c>
      <c r="C394" s="9">
        <v>0</v>
      </c>
      <c r="D394" s="8">
        <v>0</v>
      </c>
      <c r="E394" s="10">
        <v>0</v>
      </c>
      <c r="F394" s="9">
        <v>0</v>
      </c>
      <c r="G394" s="11">
        <v>4.0999999999999996</v>
      </c>
    </row>
    <row r="395" spans="1:7" hidden="1" x14ac:dyDescent="0.2">
      <c r="A395" s="2" t="s">
        <v>400</v>
      </c>
      <c r="B395" s="3">
        <v>1</v>
      </c>
      <c r="C395" s="4">
        <v>0</v>
      </c>
      <c r="D395" s="3">
        <v>0</v>
      </c>
      <c r="E395" s="5">
        <v>0</v>
      </c>
      <c r="F395" s="4">
        <v>0</v>
      </c>
      <c r="G395" s="6">
        <v>4.7</v>
      </c>
    </row>
    <row r="396" spans="1:7" hidden="1" x14ac:dyDescent="0.2">
      <c r="A396" s="7" t="s">
        <v>401</v>
      </c>
      <c r="B396" s="8">
        <v>1</v>
      </c>
      <c r="C396" s="9">
        <v>0</v>
      </c>
      <c r="D396" s="8">
        <v>0</v>
      </c>
      <c r="E396" s="10">
        <v>0</v>
      </c>
      <c r="F396" s="9">
        <v>0</v>
      </c>
      <c r="G396" s="11">
        <v>3</v>
      </c>
    </row>
    <row r="397" spans="1:7" hidden="1" x14ac:dyDescent="0.2">
      <c r="A397" s="2" t="s">
        <v>402</v>
      </c>
      <c r="B397" s="3">
        <v>2</v>
      </c>
      <c r="C397" s="4">
        <v>0</v>
      </c>
      <c r="D397" s="3">
        <v>0</v>
      </c>
      <c r="E397" s="5">
        <v>0</v>
      </c>
      <c r="F397" s="4">
        <v>0</v>
      </c>
      <c r="G397" s="6">
        <v>1</v>
      </c>
    </row>
    <row r="398" spans="1:7" hidden="1" x14ac:dyDescent="0.2">
      <c r="A398" s="7" t="s">
        <v>403</v>
      </c>
      <c r="B398" s="8">
        <v>2</v>
      </c>
      <c r="C398" s="9">
        <v>0</v>
      </c>
      <c r="D398" s="8">
        <v>0</v>
      </c>
      <c r="E398" s="10">
        <v>0</v>
      </c>
      <c r="F398" s="9">
        <v>0</v>
      </c>
      <c r="G398" s="11">
        <v>0</v>
      </c>
    </row>
    <row r="399" spans="1:7" hidden="1" x14ac:dyDescent="0.2">
      <c r="A399" s="2" t="s">
        <v>404</v>
      </c>
      <c r="B399" s="3">
        <v>1</v>
      </c>
      <c r="C399" s="4">
        <v>0</v>
      </c>
      <c r="D399" s="3">
        <v>0</v>
      </c>
      <c r="E399" s="5">
        <v>0</v>
      </c>
      <c r="F399" s="4">
        <v>0</v>
      </c>
      <c r="G399" s="6">
        <v>0</v>
      </c>
    </row>
    <row r="400" spans="1:7" hidden="1" x14ac:dyDescent="0.2">
      <c r="A400" s="7" t="s">
        <v>405</v>
      </c>
      <c r="B400" s="8">
        <v>3</v>
      </c>
      <c r="C400" s="9">
        <v>0</v>
      </c>
      <c r="D400" s="8">
        <v>0</v>
      </c>
      <c r="E400" s="10">
        <v>0</v>
      </c>
      <c r="F400" s="9">
        <v>0</v>
      </c>
      <c r="G400" s="11">
        <v>0</v>
      </c>
    </row>
    <row r="401" spans="1:7" hidden="1" x14ac:dyDescent="0.2">
      <c r="A401" s="2" t="s">
        <v>406</v>
      </c>
      <c r="B401" s="3">
        <v>1</v>
      </c>
      <c r="C401" s="4">
        <v>0</v>
      </c>
      <c r="D401" s="3">
        <v>0</v>
      </c>
      <c r="E401" s="5">
        <v>0</v>
      </c>
      <c r="F401" s="4">
        <v>0</v>
      </c>
      <c r="G401" s="6">
        <v>0</v>
      </c>
    </row>
    <row r="402" spans="1:7" hidden="1" x14ac:dyDescent="0.2">
      <c r="A402" s="7" t="s">
        <v>407</v>
      </c>
      <c r="B402" s="8">
        <v>1</v>
      </c>
      <c r="C402" s="9">
        <v>0</v>
      </c>
      <c r="D402" s="8">
        <v>0</v>
      </c>
      <c r="E402" s="10">
        <v>0</v>
      </c>
      <c r="F402" s="9">
        <v>0</v>
      </c>
      <c r="G402" s="11">
        <v>0</v>
      </c>
    </row>
    <row r="403" spans="1:7" hidden="1" x14ac:dyDescent="0.2">
      <c r="A403" s="2" t="s">
        <v>408</v>
      </c>
      <c r="B403" s="3">
        <v>1</v>
      </c>
      <c r="C403" s="4">
        <v>0</v>
      </c>
      <c r="D403" s="3">
        <v>0</v>
      </c>
      <c r="E403" s="5">
        <v>0</v>
      </c>
      <c r="F403" s="4">
        <v>0</v>
      </c>
      <c r="G403" s="6">
        <v>3.8</v>
      </c>
    </row>
    <row r="404" spans="1:7" hidden="1" x14ac:dyDescent="0.2">
      <c r="A404" s="7" t="s">
        <v>409</v>
      </c>
      <c r="B404" s="8">
        <v>2</v>
      </c>
      <c r="C404" s="9">
        <v>0</v>
      </c>
      <c r="D404" s="8">
        <v>0</v>
      </c>
      <c r="E404" s="10">
        <v>0</v>
      </c>
      <c r="F404" s="9">
        <v>0</v>
      </c>
      <c r="G404" s="11">
        <v>0</v>
      </c>
    </row>
    <row r="405" spans="1:7" hidden="1" x14ac:dyDescent="0.2">
      <c r="A405" s="2" t="s">
        <v>410</v>
      </c>
      <c r="B405" s="3">
        <v>1</v>
      </c>
      <c r="C405" s="4">
        <v>0</v>
      </c>
      <c r="D405" s="3">
        <v>0</v>
      </c>
      <c r="E405" s="5">
        <v>0</v>
      </c>
      <c r="F405" s="4">
        <v>0</v>
      </c>
      <c r="G405" s="6">
        <v>0</v>
      </c>
    </row>
    <row r="406" spans="1:7" hidden="1" x14ac:dyDescent="0.2">
      <c r="A406" s="7" t="s">
        <v>411</v>
      </c>
      <c r="B406" s="8">
        <v>1</v>
      </c>
      <c r="C406" s="9">
        <v>0</v>
      </c>
      <c r="D406" s="8">
        <v>0</v>
      </c>
      <c r="E406" s="10">
        <v>0</v>
      </c>
      <c r="F406" s="9">
        <v>0</v>
      </c>
      <c r="G406" s="11">
        <v>0</v>
      </c>
    </row>
    <row r="407" spans="1:7" hidden="1" x14ac:dyDescent="0.2">
      <c r="A407" s="2" t="s">
        <v>412</v>
      </c>
      <c r="B407" s="3">
        <v>1</v>
      </c>
      <c r="C407" s="4">
        <v>0</v>
      </c>
      <c r="D407" s="3">
        <v>0</v>
      </c>
      <c r="E407" s="5">
        <v>0</v>
      </c>
      <c r="F407" s="4">
        <v>0</v>
      </c>
      <c r="G407" s="6">
        <v>3</v>
      </c>
    </row>
    <row r="408" spans="1:7" hidden="1" x14ac:dyDescent="0.2">
      <c r="A408" s="7" t="s">
        <v>413</v>
      </c>
      <c r="B408" s="8">
        <v>1</v>
      </c>
      <c r="C408" s="9">
        <v>0</v>
      </c>
      <c r="D408" s="8">
        <v>0</v>
      </c>
      <c r="E408" s="10">
        <v>0</v>
      </c>
      <c r="F408" s="9">
        <v>0</v>
      </c>
      <c r="G408" s="11">
        <v>5</v>
      </c>
    </row>
    <row r="409" spans="1:7" hidden="1" x14ac:dyDescent="0.2">
      <c r="A409" s="2" t="s">
        <v>414</v>
      </c>
      <c r="B409" s="3">
        <v>1</v>
      </c>
      <c r="C409" s="4">
        <v>0</v>
      </c>
      <c r="D409" s="3">
        <v>0</v>
      </c>
      <c r="E409" s="5">
        <v>0</v>
      </c>
      <c r="F409" s="4">
        <v>0</v>
      </c>
      <c r="G409" s="6">
        <v>0</v>
      </c>
    </row>
    <row r="410" spans="1:7" hidden="1" x14ac:dyDescent="0.2">
      <c r="A410" s="7" t="s">
        <v>415</v>
      </c>
      <c r="B410" s="8">
        <v>1</v>
      </c>
      <c r="C410" s="9">
        <v>0</v>
      </c>
      <c r="D410" s="8">
        <v>0</v>
      </c>
      <c r="E410" s="10">
        <v>0</v>
      </c>
      <c r="F410" s="9">
        <v>0</v>
      </c>
      <c r="G410" s="11">
        <v>4.4000000000000004</v>
      </c>
    </row>
    <row r="411" spans="1:7" hidden="1" x14ac:dyDescent="0.2">
      <c r="A411" s="2" t="s">
        <v>416</v>
      </c>
      <c r="B411" s="3">
        <v>1</v>
      </c>
      <c r="C411" s="4">
        <v>0</v>
      </c>
      <c r="D411" s="3">
        <v>0</v>
      </c>
      <c r="E411" s="5">
        <v>0</v>
      </c>
      <c r="F411" s="4">
        <v>0</v>
      </c>
      <c r="G411" s="6">
        <v>3.8</v>
      </c>
    </row>
    <row r="412" spans="1:7" hidden="1" x14ac:dyDescent="0.2">
      <c r="A412" s="7" t="s">
        <v>417</v>
      </c>
      <c r="B412" s="8">
        <v>1</v>
      </c>
      <c r="C412" s="9">
        <v>0</v>
      </c>
      <c r="D412" s="8">
        <v>0</v>
      </c>
      <c r="E412" s="10">
        <v>0</v>
      </c>
      <c r="F412" s="9">
        <v>0</v>
      </c>
      <c r="G412" s="11">
        <v>0</v>
      </c>
    </row>
    <row r="413" spans="1:7" hidden="1" x14ac:dyDescent="0.2">
      <c r="A413" s="2" t="s">
        <v>418</v>
      </c>
      <c r="B413" s="3">
        <v>1</v>
      </c>
      <c r="C413" s="4">
        <v>0</v>
      </c>
      <c r="D413" s="3">
        <v>0</v>
      </c>
      <c r="E413" s="5">
        <v>0</v>
      </c>
      <c r="F413" s="4">
        <v>0</v>
      </c>
      <c r="G413" s="6">
        <v>0</v>
      </c>
    </row>
    <row r="414" spans="1:7" hidden="1" x14ac:dyDescent="0.2">
      <c r="A414" s="7" t="s">
        <v>419</v>
      </c>
      <c r="B414" s="8">
        <v>1</v>
      </c>
      <c r="C414" s="9">
        <v>0</v>
      </c>
      <c r="D414" s="8">
        <v>0</v>
      </c>
      <c r="E414" s="10">
        <v>0</v>
      </c>
      <c r="F414" s="9">
        <v>0</v>
      </c>
      <c r="G414" s="11">
        <v>0</v>
      </c>
    </row>
    <row r="415" spans="1:7" hidden="1" x14ac:dyDescent="0.2">
      <c r="A415" s="2" t="s">
        <v>420</v>
      </c>
      <c r="B415" s="3">
        <v>1</v>
      </c>
      <c r="C415" s="4">
        <v>0</v>
      </c>
      <c r="D415" s="3">
        <v>0</v>
      </c>
      <c r="E415" s="5">
        <v>0</v>
      </c>
      <c r="F415" s="4">
        <v>0</v>
      </c>
      <c r="G415" s="6">
        <v>2.5</v>
      </c>
    </row>
    <row r="416" spans="1:7" hidden="1" x14ac:dyDescent="0.2">
      <c r="A416" s="7" t="s">
        <v>421</v>
      </c>
      <c r="B416" s="8">
        <v>2</v>
      </c>
      <c r="C416" s="9">
        <v>0</v>
      </c>
      <c r="D416" s="8">
        <v>0</v>
      </c>
      <c r="E416" s="10">
        <v>0</v>
      </c>
      <c r="F416" s="9">
        <v>0</v>
      </c>
      <c r="G416" s="11">
        <v>3.28</v>
      </c>
    </row>
    <row r="417" spans="1:7" hidden="1" x14ac:dyDescent="0.2">
      <c r="A417" s="2" t="s">
        <v>422</v>
      </c>
      <c r="B417" s="3">
        <v>1</v>
      </c>
      <c r="C417" s="4">
        <v>0</v>
      </c>
      <c r="D417" s="3">
        <v>0</v>
      </c>
      <c r="E417" s="5">
        <v>0</v>
      </c>
      <c r="F417" s="4">
        <v>0</v>
      </c>
      <c r="G417" s="6">
        <v>0</v>
      </c>
    </row>
    <row r="418" spans="1:7" hidden="1" x14ac:dyDescent="0.2">
      <c r="A418" s="7" t="s">
        <v>423</v>
      </c>
      <c r="B418" s="8">
        <v>1</v>
      </c>
      <c r="C418" s="9">
        <v>0</v>
      </c>
      <c r="D418" s="8">
        <v>0</v>
      </c>
      <c r="E418" s="10">
        <v>0</v>
      </c>
      <c r="F418" s="9">
        <v>0</v>
      </c>
      <c r="G418" s="11">
        <v>0</v>
      </c>
    </row>
    <row r="419" spans="1:7" hidden="1" x14ac:dyDescent="0.2">
      <c r="A419" s="2" t="s">
        <v>424</v>
      </c>
      <c r="B419" s="3">
        <v>1</v>
      </c>
      <c r="C419" s="4">
        <v>0</v>
      </c>
      <c r="D419" s="3">
        <v>0</v>
      </c>
      <c r="E419" s="5">
        <v>0</v>
      </c>
      <c r="F419" s="4">
        <v>0</v>
      </c>
      <c r="G419" s="6">
        <v>4</v>
      </c>
    </row>
    <row r="420" spans="1:7" hidden="1" x14ac:dyDescent="0.2">
      <c r="A420" s="7" t="s">
        <v>425</v>
      </c>
      <c r="B420" s="8">
        <v>1</v>
      </c>
      <c r="C420" s="9">
        <v>0</v>
      </c>
      <c r="D420" s="8">
        <v>0</v>
      </c>
      <c r="E420" s="10">
        <v>0</v>
      </c>
      <c r="F420" s="9">
        <v>0</v>
      </c>
      <c r="G420" s="11">
        <v>4.0999999999999996</v>
      </c>
    </row>
    <row r="421" spans="1:7" hidden="1" x14ac:dyDescent="0.2">
      <c r="A421" s="2" t="s">
        <v>426</v>
      </c>
      <c r="B421" s="3">
        <v>1</v>
      </c>
      <c r="C421" s="4">
        <v>0</v>
      </c>
      <c r="D421" s="3">
        <v>0</v>
      </c>
      <c r="E421" s="5">
        <v>0</v>
      </c>
      <c r="F421" s="4">
        <v>0</v>
      </c>
      <c r="G421" s="6">
        <v>4.5</v>
      </c>
    </row>
    <row r="422" spans="1:7" hidden="1" x14ac:dyDescent="0.2">
      <c r="A422" s="7"/>
      <c r="B422" s="8">
        <v>1</v>
      </c>
      <c r="C422" s="9">
        <v>0</v>
      </c>
      <c r="D422" s="8">
        <v>0</v>
      </c>
      <c r="E422" s="10">
        <v>0</v>
      </c>
      <c r="F422" s="9">
        <v>0</v>
      </c>
      <c r="G422" s="12"/>
    </row>
    <row r="423" spans="1:7" ht="22" customHeight="1" x14ac:dyDescent="0.2">
      <c r="A423" s="16" t="s">
        <v>427</v>
      </c>
      <c r="B423" s="17">
        <v>1593</v>
      </c>
      <c r="C423" s="18">
        <v>7292181.2300000004</v>
      </c>
      <c r="D423" s="17">
        <v>94298</v>
      </c>
      <c r="E423" s="19">
        <v>1</v>
      </c>
      <c r="F423" s="18">
        <v>77.33</v>
      </c>
      <c r="G423" s="20">
        <f>AVERAGEIF(G2:G422,"&lt;&gt;0")</f>
        <v>4.083569023569023</v>
      </c>
    </row>
  </sheetData>
  <mergeCells count="1">
    <mergeCell ref="A1:G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2"/>
  <sheetViews>
    <sheetView topLeftCell="D1" workbookViewId="0">
      <pane ySplit="2" topLeftCell="A3" activePane="bottomLeft" state="frozen"/>
      <selection pane="bottomLeft" sqref="A1:O1"/>
    </sheetView>
  </sheetViews>
  <sheetFormatPr baseColWidth="10" defaultColWidth="8.83203125" defaultRowHeight="15" x14ac:dyDescent="0.2"/>
  <cols>
    <col min="1" max="1" width="14" customWidth="1"/>
    <col min="2" max="2" width="62" customWidth="1"/>
    <col min="3" max="3" width="18" customWidth="1"/>
    <col min="4" max="4" width="16" customWidth="1"/>
    <col min="5" max="5" width="12" customWidth="1"/>
    <col min="6" max="7" width="16" customWidth="1"/>
    <col min="8" max="8" width="12" customWidth="1"/>
    <col min="9" max="9" width="14" customWidth="1"/>
    <col min="10" max="10" width="22" customWidth="1"/>
    <col min="11" max="11" width="12" customWidth="1"/>
    <col min="12" max="12" width="14" customWidth="1"/>
    <col min="13" max="13" width="16" customWidth="1"/>
    <col min="14" max="14" width="12" customWidth="1"/>
    <col min="15" max="15" width="14" customWidth="1"/>
  </cols>
  <sheetData>
    <row r="1" spans="1:15" ht="34" customHeight="1" x14ac:dyDescent="0.2">
      <c r="A1" s="21" t="s">
        <v>428</v>
      </c>
      <c r="B1" s="22"/>
      <c r="C1" s="22"/>
      <c r="D1" s="22"/>
      <c r="E1" s="22"/>
      <c r="F1" s="22"/>
      <c r="G1" s="22"/>
      <c r="H1" s="22"/>
      <c r="I1" s="22"/>
      <c r="J1" s="22"/>
      <c r="K1" s="22"/>
      <c r="L1" s="22"/>
      <c r="M1" s="22"/>
      <c r="N1" s="22"/>
      <c r="O1" s="22"/>
    </row>
    <row r="2" spans="1:15" ht="30" customHeight="1" x14ac:dyDescent="0.2">
      <c r="A2" s="1" t="s">
        <v>429</v>
      </c>
      <c r="B2" s="1" t="s">
        <v>430</v>
      </c>
      <c r="C2" s="1" t="s">
        <v>1</v>
      </c>
      <c r="D2" s="1" t="s">
        <v>431</v>
      </c>
      <c r="E2" s="1" t="s">
        <v>432</v>
      </c>
      <c r="F2" s="1" t="s">
        <v>3</v>
      </c>
      <c r="G2" s="1" t="s">
        <v>4</v>
      </c>
      <c r="H2" s="1" t="s">
        <v>7</v>
      </c>
      <c r="I2" s="1" t="s">
        <v>433</v>
      </c>
      <c r="J2" s="1" t="s">
        <v>434</v>
      </c>
      <c r="K2" s="1" t="s">
        <v>435</v>
      </c>
      <c r="L2" s="1" t="s">
        <v>436</v>
      </c>
      <c r="M2" s="1" t="s">
        <v>437</v>
      </c>
      <c r="N2" s="1" t="s">
        <v>438</v>
      </c>
      <c r="O2" s="1" t="s">
        <v>439</v>
      </c>
    </row>
    <row r="3" spans="1:15" ht="45" x14ac:dyDescent="0.2">
      <c r="A3" s="2" t="s">
        <v>440</v>
      </c>
      <c r="B3" s="2" t="s">
        <v>441</v>
      </c>
      <c r="C3" s="2" t="s">
        <v>8</v>
      </c>
      <c r="D3" s="2" t="s">
        <v>442</v>
      </c>
      <c r="E3" s="4">
        <v>103.98</v>
      </c>
      <c r="F3" s="4">
        <v>1039447.5</v>
      </c>
      <c r="G3" s="3">
        <v>8093</v>
      </c>
      <c r="H3" s="6">
        <v>4.5999999999999996</v>
      </c>
      <c r="I3" s="3">
        <v>1542</v>
      </c>
      <c r="J3" s="13" t="str">
        <f>HYPERLINK("https://amazon.com/dp/B0CJY5C9QX","Amazon - B0CJY5C9QX")</f>
        <v>Amazon - B0CJY5C9QX</v>
      </c>
      <c r="K3" s="14" t="s">
        <v>443</v>
      </c>
      <c r="L3" s="14" t="s">
        <v>444</v>
      </c>
      <c r="M3" s="14" t="s">
        <v>445</v>
      </c>
      <c r="N3" s="14" t="s">
        <v>446</v>
      </c>
      <c r="O3" s="14" t="s">
        <v>447</v>
      </c>
    </row>
    <row r="4" spans="1:15" ht="45" x14ac:dyDescent="0.2">
      <c r="A4" s="7" t="s">
        <v>448</v>
      </c>
      <c r="B4" s="7" t="s">
        <v>449</v>
      </c>
      <c r="C4" s="7" t="s">
        <v>10</v>
      </c>
      <c r="D4" s="7" t="s">
        <v>450</v>
      </c>
      <c r="E4" s="9">
        <v>35.99</v>
      </c>
      <c r="F4" s="9">
        <v>206884.29</v>
      </c>
      <c r="G4" s="8">
        <v>5800</v>
      </c>
      <c r="H4" s="11">
        <v>4.3</v>
      </c>
      <c r="I4" s="8">
        <v>6029</v>
      </c>
      <c r="J4" s="15" t="str">
        <f>HYPERLINK("https://amazon.com/dp/B0C9JR3N4W","Amazon - B0C9JR3N4W")</f>
        <v>Amazon - B0C9JR3N4W</v>
      </c>
      <c r="K4" s="12" t="s">
        <v>443</v>
      </c>
      <c r="L4" s="12" t="s">
        <v>451</v>
      </c>
      <c r="M4" s="12" t="s">
        <v>445</v>
      </c>
      <c r="N4" s="12" t="s">
        <v>452</v>
      </c>
      <c r="O4" s="12" t="s">
        <v>453</v>
      </c>
    </row>
    <row r="5" spans="1:15" ht="30" x14ac:dyDescent="0.2">
      <c r="A5" s="2" t="s">
        <v>454</v>
      </c>
      <c r="B5" s="2" t="s">
        <v>455</v>
      </c>
      <c r="C5" s="2" t="s">
        <v>12</v>
      </c>
      <c r="D5" s="2" t="s">
        <v>442</v>
      </c>
      <c r="E5" s="4">
        <v>139.38999999999999</v>
      </c>
      <c r="F5" s="4">
        <v>195203.83</v>
      </c>
      <c r="G5" s="3">
        <v>1401</v>
      </c>
      <c r="H5" s="6">
        <v>4.5999999999999996</v>
      </c>
      <c r="I5" s="3">
        <v>1717</v>
      </c>
      <c r="J5" s="13" t="str">
        <f>HYPERLINK("https://amazon.com/dp/B0B28HRSBP","Amazon - B0B28HRSBP")</f>
        <v>Amazon - B0B28HRSBP</v>
      </c>
      <c r="K5" s="14" t="s">
        <v>443</v>
      </c>
      <c r="L5" s="14" t="s">
        <v>456</v>
      </c>
      <c r="M5" s="14" t="s">
        <v>457</v>
      </c>
      <c r="N5" s="14" t="s">
        <v>446</v>
      </c>
      <c r="O5" s="14" t="s">
        <v>458</v>
      </c>
    </row>
    <row r="6" spans="1:15" ht="30" x14ac:dyDescent="0.2">
      <c r="A6" s="7" t="s">
        <v>459</v>
      </c>
      <c r="B6" s="7" t="s">
        <v>460</v>
      </c>
      <c r="C6" s="7" t="s">
        <v>8</v>
      </c>
      <c r="D6" s="7" t="s">
        <v>442</v>
      </c>
      <c r="E6" s="9">
        <v>139.99</v>
      </c>
      <c r="F6" s="9">
        <v>156648.32999999999</v>
      </c>
      <c r="G6" s="8">
        <v>1148</v>
      </c>
      <c r="H6" s="11">
        <v>4.5999999999999996</v>
      </c>
      <c r="I6" s="8">
        <v>320</v>
      </c>
      <c r="J6" s="15" t="str">
        <f>HYPERLINK("https://amazon.com/dp/B0DT4H7QQM","Amazon - B0DT4H7QQM")</f>
        <v>Amazon - B0DT4H7QQM</v>
      </c>
      <c r="K6" s="12" t="s">
        <v>443</v>
      </c>
      <c r="L6" s="12" t="s">
        <v>461</v>
      </c>
      <c r="M6" s="12" t="s">
        <v>462</v>
      </c>
      <c r="N6" s="12" t="s">
        <v>446</v>
      </c>
      <c r="O6" s="12" t="s">
        <v>447</v>
      </c>
    </row>
    <row r="7" spans="1:15" ht="45" x14ac:dyDescent="0.2">
      <c r="A7" s="2" t="s">
        <v>463</v>
      </c>
      <c r="B7" s="2" t="s">
        <v>464</v>
      </c>
      <c r="C7" s="2" t="s">
        <v>8</v>
      </c>
      <c r="D7" s="2" t="s">
        <v>442</v>
      </c>
      <c r="E7" s="4">
        <v>149.99</v>
      </c>
      <c r="F7" s="4">
        <v>146493.76999999999</v>
      </c>
      <c r="G7" s="3">
        <v>977</v>
      </c>
      <c r="H7" s="6">
        <v>4.5999999999999996</v>
      </c>
      <c r="I7" s="3">
        <v>458</v>
      </c>
      <c r="J7" s="13" t="str">
        <f>HYPERLINK("https://amazon.com/dp/B0CJY6SWBN","Amazon - B0CJY6SWBN")</f>
        <v>Amazon - B0CJY6SWBN</v>
      </c>
      <c r="K7" s="14" t="s">
        <v>443</v>
      </c>
      <c r="L7" s="14" t="s">
        <v>444</v>
      </c>
      <c r="M7" s="14" t="s">
        <v>445</v>
      </c>
      <c r="N7" s="14" t="s">
        <v>452</v>
      </c>
      <c r="O7" s="14" t="s">
        <v>447</v>
      </c>
    </row>
    <row r="8" spans="1:15" ht="45" x14ac:dyDescent="0.2">
      <c r="A8" s="7" t="s">
        <v>465</v>
      </c>
      <c r="B8" s="7" t="s">
        <v>466</v>
      </c>
      <c r="C8" s="7" t="s">
        <v>10</v>
      </c>
      <c r="D8" s="7" t="s">
        <v>450</v>
      </c>
      <c r="E8" s="9">
        <v>25.99</v>
      </c>
      <c r="F8" s="9">
        <v>134601.03</v>
      </c>
      <c r="G8" s="8">
        <v>5126</v>
      </c>
      <c r="H8" s="11">
        <v>4.3</v>
      </c>
      <c r="I8" s="8">
        <v>6016</v>
      </c>
      <c r="J8" s="15" t="str">
        <f>HYPERLINK("https://amazon.com/dp/B0C4V5LWWL","Amazon - B0C4V5LWWL")</f>
        <v>Amazon - B0C4V5LWWL</v>
      </c>
      <c r="K8" s="12" t="s">
        <v>443</v>
      </c>
      <c r="L8" s="12" t="s">
        <v>451</v>
      </c>
      <c r="M8" s="12" t="s">
        <v>445</v>
      </c>
      <c r="N8" s="12" t="s">
        <v>446</v>
      </c>
      <c r="O8" s="12" t="s">
        <v>453</v>
      </c>
    </row>
    <row r="9" spans="1:15" ht="45" x14ac:dyDescent="0.2">
      <c r="A9" s="2" t="s">
        <v>467</v>
      </c>
      <c r="B9" s="2" t="s">
        <v>468</v>
      </c>
      <c r="C9" s="2" t="s">
        <v>8</v>
      </c>
      <c r="D9" s="2" t="s">
        <v>469</v>
      </c>
      <c r="E9" s="4">
        <v>159.99</v>
      </c>
      <c r="F9" s="4">
        <v>108039.75</v>
      </c>
      <c r="G9" s="3">
        <v>675</v>
      </c>
      <c r="H9" s="6">
        <v>4.5999999999999996</v>
      </c>
      <c r="I9" s="3">
        <v>3612</v>
      </c>
      <c r="J9" s="13" t="str">
        <f>HYPERLINK("https://amazon.com/dp/B07TV2BFVR","Amazon - B07TV2BFVR")</f>
        <v>Amazon - B07TV2BFVR</v>
      </c>
      <c r="K9" s="14" t="s">
        <v>443</v>
      </c>
      <c r="L9" s="14" t="s">
        <v>461</v>
      </c>
      <c r="M9" s="14" t="s">
        <v>462</v>
      </c>
      <c r="N9" s="14" t="s">
        <v>452</v>
      </c>
      <c r="O9" s="14" t="s">
        <v>453</v>
      </c>
    </row>
    <row r="10" spans="1:15" ht="45" x14ac:dyDescent="0.2">
      <c r="A10" s="7" t="s">
        <v>470</v>
      </c>
      <c r="B10" s="7" t="s">
        <v>471</v>
      </c>
      <c r="C10" s="7" t="s">
        <v>9</v>
      </c>
      <c r="D10" s="7" t="s">
        <v>472</v>
      </c>
      <c r="E10" s="9">
        <v>85.47</v>
      </c>
      <c r="F10" s="9">
        <v>101673.65</v>
      </c>
      <c r="G10" s="8">
        <v>1039</v>
      </c>
      <c r="H10" s="11">
        <v>4.3</v>
      </c>
      <c r="I10" s="8">
        <v>1480</v>
      </c>
      <c r="J10" s="15" t="str">
        <f>HYPERLINK("https://amazon.com/dp/B0BL7RK5JJ","Amazon - B0BL7RK5JJ")</f>
        <v>Amazon - B0BL7RK5JJ</v>
      </c>
      <c r="K10" s="12" t="s">
        <v>443</v>
      </c>
      <c r="L10" s="12" t="s">
        <v>461</v>
      </c>
      <c r="M10" s="12" t="s">
        <v>303</v>
      </c>
      <c r="N10" s="12" t="s">
        <v>473</v>
      </c>
      <c r="O10" s="12" t="s">
        <v>303</v>
      </c>
    </row>
    <row r="11" spans="1:15" ht="45" x14ac:dyDescent="0.2">
      <c r="A11" s="2" t="s">
        <v>474</v>
      </c>
      <c r="B11" s="2" t="s">
        <v>475</v>
      </c>
      <c r="C11" s="2" t="s">
        <v>12</v>
      </c>
      <c r="D11" s="2" t="s">
        <v>442</v>
      </c>
      <c r="E11" s="4">
        <v>159.99</v>
      </c>
      <c r="F11" s="4">
        <v>97593.56</v>
      </c>
      <c r="G11" s="3">
        <v>734</v>
      </c>
      <c r="H11" s="6">
        <v>4.5</v>
      </c>
      <c r="I11" s="3">
        <v>549</v>
      </c>
      <c r="J11" s="13" t="str">
        <f>HYPERLINK("https://amazon.com/dp/B0C3B32Q9Z","Amazon - B0C3B32Q9Z")</f>
        <v>Amazon - B0C3B32Q9Z</v>
      </c>
      <c r="K11" s="14" t="s">
        <v>443</v>
      </c>
      <c r="L11" s="14" t="s">
        <v>461</v>
      </c>
      <c r="M11" s="14" t="s">
        <v>445</v>
      </c>
      <c r="N11" s="14" t="s">
        <v>452</v>
      </c>
      <c r="O11" s="14" t="s">
        <v>447</v>
      </c>
    </row>
    <row r="12" spans="1:15" ht="45" x14ac:dyDescent="0.2">
      <c r="A12" s="7" t="s">
        <v>476</v>
      </c>
      <c r="B12" s="7" t="s">
        <v>477</v>
      </c>
      <c r="C12" s="7" t="s">
        <v>9</v>
      </c>
      <c r="D12" s="7" t="s">
        <v>478</v>
      </c>
      <c r="E12" s="9">
        <v>137.79</v>
      </c>
      <c r="F12" s="9">
        <v>93173.89</v>
      </c>
      <c r="G12" s="8">
        <v>887</v>
      </c>
      <c r="H12" s="11">
        <v>4.4000000000000004</v>
      </c>
      <c r="I12" s="8">
        <v>332</v>
      </c>
      <c r="J12" s="15" t="str">
        <f>HYPERLINK("https://amazon.com/dp/B0DD6YVBHD","Amazon - B0DD6YVBHD")</f>
        <v>Amazon - B0DD6YVBHD</v>
      </c>
      <c r="K12" s="12" t="s">
        <v>443</v>
      </c>
      <c r="L12" s="12" t="s">
        <v>461</v>
      </c>
      <c r="M12" s="12" t="s">
        <v>445</v>
      </c>
      <c r="N12" s="12" t="s">
        <v>473</v>
      </c>
      <c r="O12" s="12" t="s">
        <v>479</v>
      </c>
    </row>
    <row r="13" spans="1:15" ht="45" x14ac:dyDescent="0.2">
      <c r="A13" s="2" t="s">
        <v>480</v>
      </c>
      <c r="B13" s="2" t="s">
        <v>481</v>
      </c>
      <c r="C13" s="2" t="s">
        <v>8</v>
      </c>
      <c r="D13" s="2" t="s">
        <v>442</v>
      </c>
      <c r="E13" s="4">
        <v>509.98</v>
      </c>
      <c r="F13" s="4">
        <v>90360.46</v>
      </c>
      <c r="G13" s="3">
        <v>155</v>
      </c>
      <c r="H13" s="6">
        <v>4.4000000000000004</v>
      </c>
      <c r="I13" s="3">
        <v>53</v>
      </c>
      <c r="J13" s="13" t="str">
        <f>HYPERLINK("https://amazon.com/dp/B0CLG67RHF","Amazon - B0CLG67RHF")</f>
        <v>Amazon - B0CLG67RHF</v>
      </c>
      <c r="K13" s="14" t="s">
        <v>482</v>
      </c>
      <c r="L13" s="14" t="s">
        <v>483</v>
      </c>
      <c r="M13" s="14" t="s">
        <v>484</v>
      </c>
      <c r="N13" s="14" t="s">
        <v>446</v>
      </c>
      <c r="O13" s="14" t="s">
        <v>447</v>
      </c>
    </row>
    <row r="14" spans="1:15" ht="45" x14ac:dyDescent="0.2">
      <c r="A14" s="7" t="s">
        <v>485</v>
      </c>
      <c r="B14" s="7" t="s">
        <v>486</v>
      </c>
      <c r="C14" s="7" t="s">
        <v>9</v>
      </c>
      <c r="D14" s="7" t="s">
        <v>442</v>
      </c>
      <c r="E14" s="9">
        <v>119.98</v>
      </c>
      <c r="F14" s="9">
        <v>85960.31</v>
      </c>
      <c r="G14" s="8">
        <v>584</v>
      </c>
      <c r="H14" s="11">
        <v>4.5999999999999996</v>
      </c>
      <c r="I14" s="8">
        <v>395</v>
      </c>
      <c r="J14" s="15" t="str">
        <f>HYPERLINK("https://amazon.com/dp/B0F62WJY8N","Amazon - B0F62WJY8N")</f>
        <v>Amazon - B0F62WJY8N</v>
      </c>
      <c r="K14" s="12" t="s">
        <v>443</v>
      </c>
      <c r="L14" s="12" t="s">
        <v>444</v>
      </c>
      <c r="M14" s="12" t="s">
        <v>445</v>
      </c>
      <c r="N14" s="12" t="s">
        <v>452</v>
      </c>
      <c r="O14" s="12" t="s">
        <v>487</v>
      </c>
    </row>
    <row r="15" spans="1:15" ht="45" x14ac:dyDescent="0.2">
      <c r="A15" s="2" t="s">
        <v>488</v>
      </c>
      <c r="B15" s="2" t="s">
        <v>489</v>
      </c>
      <c r="C15" s="2" t="s">
        <v>9</v>
      </c>
      <c r="D15" s="2" t="s">
        <v>478</v>
      </c>
      <c r="E15" s="4">
        <v>69.989999999999995</v>
      </c>
      <c r="F15" s="4">
        <v>82171.289999999994</v>
      </c>
      <c r="G15" s="3">
        <v>1420</v>
      </c>
      <c r="H15" s="6">
        <v>4.5</v>
      </c>
      <c r="I15" s="3">
        <v>7036</v>
      </c>
      <c r="J15" s="13" t="str">
        <f>HYPERLINK("https://amazon.com/dp/B0928Q3T42","Amazon - B0928Q3T42")</f>
        <v>Amazon - B0928Q3T42</v>
      </c>
      <c r="K15" s="14" t="s">
        <v>443</v>
      </c>
      <c r="L15" s="14" t="s">
        <v>456</v>
      </c>
      <c r="M15" s="14" t="s">
        <v>445</v>
      </c>
      <c r="N15" s="14" t="s">
        <v>452</v>
      </c>
      <c r="O15" s="14" t="s">
        <v>453</v>
      </c>
    </row>
    <row r="16" spans="1:15" ht="45" x14ac:dyDescent="0.2">
      <c r="A16" s="7" t="s">
        <v>490</v>
      </c>
      <c r="B16" s="7" t="s">
        <v>491</v>
      </c>
      <c r="C16" s="7" t="s">
        <v>22</v>
      </c>
      <c r="D16" s="7" t="s">
        <v>450</v>
      </c>
      <c r="E16" s="9">
        <v>24.68</v>
      </c>
      <c r="F16" s="9">
        <v>75238.740000000005</v>
      </c>
      <c r="G16" s="8">
        <v>2274</v>
      </c>
      <c r="H16" s="11">
        <v>4.2</v>
      </c>
      <c r="I16" s="8">
        <v>1365</v>
      </c>
      <c r="J16" s="15" t="str">
        <f>HYPERLINK("https://amazon.com/dp/B0CMCSGPJC","Amazon - B0CMCSGPJC")</f>
        <v>Amazon - B0CMCSGPJC</v>
      </c>
      <c r="K16" s="12" t="s">
        <v>443</v>
      </c>
      <c r="L16" s="12" t="s">
        <v>451</v>
      </c>
      <c r="M16" s="12" t="s">
        <v>445</v>
      </c>
      <c r="N16" s="12" t="s">
        <v>452</v>
      </c>
      <c r="O16" s="12" t="s">
        <v>453</v>
      </c>
    </row>
    <row r="17" spans="1:15" ht="45" x14ac:dyDescent="0.2">
      <c r="A17" s="2" t="s">
        <v>492</v>
      </c>
      <c r="B17" s="2" t="s">
        <v>493</v>
      </c>
      <c r="C17" s="2" t="s">
        <v>16</v>
      </c>
      <c r="D17" s="2" t="s">
        <v>442</v>
      </c>
      <c r="E17" s="4">
        <v>79.989999999999995</v>
      </c>
      <c r="F17" s="4">
        <v>67852.11</v>
      </c>
      <c r="G17" s="3">
        <v>889</v>
      </c>
      <c r="H17" s="6">
        <v>4.5999999999999996</v>
      </c>
      <c r="I17" s="3">
        <v>91</v>
      </c>
      <c r="J17" s="13" t="str">
        <f>HYPERLINK("https://amazon.com/dp/B0FGJ8WVGP","Amazon - B0FGJ8WVGP")</f>
        <v>Amazon - B0FGJ8WVGP</v>
      </c>
      <c r="K17" s="14" t="s">
        <v>443</v>
      </c>
      <c r="L17" s="14" t="s">
        <v>456</v>
      </c>
      <c r="M17" s="14" t="s">
        <v>462</v>
      </c>
      <c r="N17" s="14" t="s">
        <v>446</v>
      </c>
      <c r="O17" s="14" t="s">
        <v>494</v>
      </c>
    </row>
    <row r="18" spans="1:15" ht="45" x14ac:dyDescent="0.2">
      <c r="A18" s="7" t="s">
        <v>495</v>
      </c>
      <c r="B18" s="7" t="s">
        <v>496</v>
      </c>
      <c r="C18" s="7" t="s">
        <v>9</v>
      </c>
      <c r="D18" s="7" t="s">
        <v>472</v>
      </c>
      <c r="E18" s="9">
        <v>74.989999999999995</v>
      </c>
      <c r="F18" s="9">
        <v>63146.559999999998</v>
      </c>
      <c r="G18" s="8">
        <v>898</v>
      </c>
      <c r="H18" s="11">
        <v>4.7</v>
      </c>
      <c r="I18" s="8">
        <v>261</v>
      </c>
      <c r="J18" s="15" t="str">
        <f>HYPERLINK("https://amazon.com/dp/B0FKM8K5QX","Amazon - B0FKM8K5QX")</f>
        <v>Amazon - B0FKM8K5QX</v>
      </c>
      <c r="K18" s="12" t="s">
        <v>443</v>
      </c>
      <c r="L18" s="12" t="s">
        <v>461</v>
      </c>
      <c r="M18" s="12" t="s">
        <v>303</v>
      </c>
      <c r="N18" s="12" t="s">
        <v>473</v>
      </c>
      <c r="O18" s="12" t="s">
        <v>453</v>
      </c>
    </row>
    <row r="19" spans="1:15" ht="45" x14ac:dyDescent="0.2">
      <c r="A19" s="2" t="s">
        <v>497</v>
      </c>
      <c r="B19" s="2" t="s">
        <v>498</v>
      </c>
      <c r="C19" s="2" t="s">
        <v>8</v>
      </c>
      <c r="D19" s="2" t="s">
        <v>442</v>
      </c>
      <c r="E19" s="4">
        <v>299.99</v>
      </c>
      <c r="F19" s="4">
        <v>62435.43</v>
      </c>
      <c r="G19" s="3">
        <v>223</v>
      </c>
      <c r="H19" s="6">
        <v>4.2</v>
      </c>
      <c r="I19" s="3">
        <v>223</v>
      </c>
      <c r="J19" s="13" t="str">
        <f>HYPERLINK("https://amazon.com/dp/B0CHW4FLS7","Amazon - B0CHW4FLS7")</f>
        <v>Amazon - B0CHW4FLS7</v>
      </c>
      <c r="K19" s="14" t="s">
        <v>443</v>
      </c>
      <c r="L19" s="14" t="s">
        <v>461</v>
      </c>
      <c r="M19" s="14" t="s">
        <v>499</v>
      </c>
      <c r="N19" s="14" t="s">
        <v>452</v>
      </c>
      <c r="O19" s="14" t="s">
        <v>447</v>
      </c>
    </row>
    <row r="20" spans="1:15" ht="30" x14ac:dyDescent="0.2">
      <c r="A20" s="7" t="s">
        <v>500</v>
      </c>
      <c r="B20" s="7" t="s">
        <v>501</v>
      </c>
      <c r="C20" s="7" t="s">
        <v>11</v>
      </c>
      <c r="D20" s="7" t="s">
        <v>472</v>
      </c>
      <c r="E20" s="9">
        <v>879.99</v>
      </c>
      <c r="F20" s="9">
        <v>61138.43</v>
      </c>
      <c r="G20" s="8">
        <v>69</v>
      </c>
      <c r="H20" s="11">
        <v>4</v>
      </c>
      <c r="I20" s="8">
        <v>27</v>
      </c>
      <c r="J20" s="15" t="str">
        <f>HYPERLINK("https://amazon.com/dp/B0CM3FBXJT","Amazon - B0CM3FBXJT")</f>
        <v>Amazon - B0CM3FBXJT</v>
      </c>
      <c r="K20" s="12" t="s">
        <v>443</v>
      </c>
      <c r="L20" s="12" t="s">
        <v>502</v>
      </c>
      <c r="M20" s="12" t="s">
        <v>503</v>
      </c>
      <c r="N20" s="12" t="s">
        <v>446</v>
      </c>
      <c r="O20" s="12" t="s">
        <v>504</v>
      </c>
    </row>
    <row r="21" spans="1:15" ht="45" x14ac:dyDescent="0.2">
      <c r="A21" s="2" t="s">
        <v>505</v>
      </c>
      <c r="B21" s="2" t="s">
        <v>506</v>
      </c>
      <c r="C21" s="2" t="s">
        <v>8</v>
      </c>
      <c r="D21" s="2" t="s">
        <v>472</v>
      </c>
      <c r="E21" s="4">
        <v>79.989999999999995</v>
      </c>
      <c r="F21" s="4">
        <v>60502.85</v>
      </c>
      <c r="G21" s="3">
        <v>756</v>
      </c>
      <c r="H21" s="6">
        <v>4.4000000000000004</v>
      </c>
      <c r="I21" s="3">
        <v>149</v>
      </c>
      <c r="J21" s="13" t="str">
        <f>HYPERLINK("https://amazon.com/dp/B0DGGM7X88","Amazon - B0DGGM7X88")</f>
        <v>Amazon - B0DGGM7X88</v>
      </c>
      <c r="K21" s="14" t="s">
        <v>443</v>
      </c>
      <c r="L21" s="14" t="s">
        <v>456</v>
      </c>
      <c r="M21" s="14" t="s">
        <v>303</v>
      </c>
      <c r="N21" s="14" t="s">
        <v>452</v>
      </c>
      <c r="O21" s="14" t="s">
        <v>453</v>
      </c>
    </row>
    <row r="22" spans="1:15" ht="45" x14ac:dyDescent="0.2">
      <c r="A22" s="7" t="s">
        <v>507</v>
      </c>
      <c r="B22" s="7" t="s">
        <v>508</v>
      </c>
      <c r="C22" s="7" t="s">
        <v>8</v>
      </c>
      <c r="D22" s="7" t="s">
        <v>478</v>
      </c>
      <c r="E22" s="9">
        <v>49.99</v>
      </c>
      <c r="F22" s="9">
        <v>57624.12</v>
      </c>
      <c r="G22" s="8">
        <v>1239</v>
      </c>
      <c r="H22" s="11">
        <v>4.5</v>
      </c>
      <c r="I22" s="8">
        <v>421</v>
      </c>
      <c r="J22" s="15" t="str">
        <f>HYPERLINK("https://amazon.com/dp/B0DK965BZP","Amazon - B0DK965BZP")</f>
        <v>Amazon - B0DK965BZP</v>
      </c>
      <c r="K22" s="12" t="s">
        <v>443</v>
      </c>
      <c r="L22" s="12" t="s">
        <v>456</v>
      </c>
      <c r="M22" s="12" t="s">
        <v>445</v>
      </c>
      <c r="N22" s="12" t="s">
        <v>446</v>
      </c>
      <c r="O22" s="12" t="s">
        <v>453</v>
      </c>
    </row>
    <row r="23" spans="1:15" ht="45" x14ac:dyDescent="0.2">
      <c r="A23" s="2" t="s">
        <v>509</v>
      </c>
      <c r="B23" s="2" t="s">
        <v>510</v>
      </c>
      <c r="C23" s="2" t="s">
        <v>8</v>
      </c>
      <c r="D23" s="2" t="s">
        <v>442</v>
      </c>
      <c r="E23" s="4">
        <v>349.99</v>
      </c>
      <c r="F23" s="4">
        <v>57372.54</v>
      </c>
      <c r="G23" s="3">
        <v>173</v>
      </c>
      <c r="H23" s="6">
        <v>4</v>
      </c>
      <c r="I23" s="3">
        <v>107</v>
      </c>
      <c r="J23" s="13" t="str">
        <f>HYPERLINK("https://amazon.com/dp/B0CLG4LHWP","Amazon - B0CLG4LHWP")</f>
        <v>Amazon - B0CLG4LHWP</v>
      </c>
      <c r="K23" s="14" t="s">
        <v>443</v>
      </c>
      <c r="L23" s="14" t="s">
        <v>461</v>
      </c>
      <c r="M23" s="14" t="s">
        <v>511</v>
      </c>
      <c r="N23" s="14" t="s">
        <v>446</v>
      </c>
      <c r="O23" s="14" t="s">
        <v>447</v>
      </c>
    </row>
    <row r="24" spans="1:15" ht="45" x14ac:dyDescent="0.2">
      <c r="A24" s="7" t="s">
        <v>512</v>
      </c>
      <c r="B24" s="7" t="s">
        <v>513</v>
      </c>
      <c r="C24" s="7" t="s">
        <v>17</v>
      </c>
      <c r="D24" s="7" t="s">
        <v>478</v>
      </c>
      <c r="E24" s="9">
        <v>39.99</v>
      </c>
      <c r="F24" s="9">
        <v>55768.04</v>
      </c>
      <c r="G24" s="8">
        <v>1747</v>
      </c>
      <c r="H24" s="11">
        <v>4.5</v>
      </c>
      <c r="I24" s="8">
        <v>4262</v>
      </c>
      <c r="J24" s="15" t="str">
        <f>HYPERLINK("https://amazon.com/dp/B0C3R381FC","Amazon - B0C3R381FC")</f>
        <v>Amazon - B0C3R381FC</v>
      </c>
      <c r="K24" s="12" t="s">
        <v>514</v>
      </c>
      <c r="L24" s="12" t="s">
        <v>456</v>
      </c>
      <c r="M24" s="12" t="s">
        <v>445</v>
      </c>
      <c r="N24" s="12" t="s">
        <v>446</v>
      </c>
      <c r="O24" s="12" t="s">
        <v>453</v>
      </c>
    </row>
    <row r="25" spans="1:15" ht="45" x14ac:dyDescent="0.2">
      <c r="A25" s="2" t="s">
        <v>515</v>
      </c>
      <c r="B25" s="2" t="s">
        <v>516</v>
      </c>
      <c r="C25" s="2" t="s">
        <v>21</v>
      </c>
      <c r="D25" s="2" t="s">
        <v>472</v>
      </c>
      <c r="E25" s="4">
        <v>399.99</v>
      </c>
      <c r="F25" s="4">
        <v>54602.11</v>
      </c>
      <c r="G25" s="3">
        <v>137</v>
      </c>
      <c r="H25" s="6">
        <v>4.4000000000000004</v>
      </c>
      <c r="I25" s="3">
        <v>107</v>
      </c>
      <c r="J25" s="13" t="str">
        <f>HYPERLINK("https://amazon.com/dp/B0FFGDMNSX","Amazon - B0FFGDMNSX")</f>
        <v>Amazon - B0FFGDMNSX</v>
      </c>
      <c r="K25" s="14" t="s">
        <v>443</v>
      </c>
      <c r="L25" s="14" t="s">
        <v>502</v>
      </c>
      <c r="M25" s="14" t="s">
        <v>303</v>
      </c>
      <c r="N25" s="14" t="s">
        <v>446</v>
      </c>
      <c r="O25" s="14" t="s">
        <v>517</v>
      </c>
    </row>
    <row r="26" spans="1:15" ht="45" x14ac:dyDescent="0.2">
      <c r="A26" s="7" t="s">
        <v>518</v>
      </c>
      <c r="B26" s="7" t="s">
        <v>519</v>
      </c>
      <c r="C26" s="7" t="s">
        <v>8</v>
      </c>
      <c r="D26" s="7" t="s">
        <v>442</v>
      </c>
      <c r="E26" s="9">
        <v>449.99</v>
      </c>
      <c r="F26" s="9">
        <v>51497.72</v>
      </c>
      <c r="G26" s="8">
        <v>121</v>
      </c>
      <c r="H26" s="11">
        <v>4.0999999999999996</v>
      </c>
      <c r="I26" s="8">
        <v>46</v>
      </c>
      <c r="J26" s="15" t="str">
        <f>HYPERLINK("https://amazon.com/dp/B0DTHZDGYD","Amazon - B0DTHZDGYD")</f>
        <v>Amazon - B0DTHZDGYD</v>
      </c>
      <c r="K26" s="12" t="s">
        <v>482</v>
      </c>
      <c r="L26" s="12" t="s">
        <v>461</v>
      </c>
      <c r="M26" s="12" t="s">
        <v>484</v>
      </c>
      <c r="N26" s="12" t="s">
        <v>446</v>
      </c>
      <c r="O26" s="12" t="s">
        <v>447</v>
      </c>
    </row>
    <row r="27" spans="1:15" ht="45" x14ac:dyDescent="0.2">
      <c r="A27" s="2" t="s">
        <v>520</v>
      </c>
      <c r="B27" s="2" t="s">
        <v>521</v>
      </c>
      <c r="C27" s="2" t="s">
        <v>20</v>
      </c>
      <c r="D27" s="2" t="s">
        <v>469</v>
      </c>
      <c r="E27" s="4">
        <v>29.98</v>
      </c>
      <c r="F27" s="4">
        <v>48921.23</v>
      </c>
      <c r="G27" s="3">
        <v>1016</v>
      </c>
      <c r="H27" s="6">
        <v>4.5</v>
      </c>
      <c r="I27" s="3">
        <v>726</v>
      </c>
      <c r="J27" s="13" t="str">
        <f>HYPERLINK("https://amazon.com/dp/B0DWSKVF5H","Amazon - B0DWSKVF5H")</f>
        <v>Amazon - B0DWSKVF5H</v>
      </c>
      <c r="K27" s="14" t="s">
        <v>514</v>
      </c>
      <c r="L27" s="14" t="s">
        <v>461</v>
      </c>
      <c r="M27" s="14" t="s">
        <v>445</v>
      </c>
      <c r="N27" s="14" t="s">
        <v>452</v>
      </c>
      <c r="O27" s="14" t="s">
        <v>453</v>
      </c>
    </row>
    <row r="28" spans="1:15" ht="30" x14ac:dyDescent="0.2">
      <c r="A28" s="7" t="s">
        <v>522</v>
      </c>
      <c r="B28" s="7" t="s">
        <v>523</v>
      </c>
      <c r="C28" s="7" t="s">
        <v>19</v>
      </c>
      <c r="D28" s="7" t="s">
        <v>478</v>
      </c>
      <c r="E28" s="9">
        <v>169.99</v>
      </c>
      <c r="F28" s="9">
        <v>46018.49</v>
      </c>
      <c r="G28" s="8">
        <v>271</v>
      </c>
      <c r="H28" s="11">
        <v>4.5</v>
      </c>
      <c r="I28" s="8">
        <v>53</v>
      </c>
      <c r="J28" s="15" t="str">
        <f>HYPERLINK("https://amazon.com/dp/B0DLDS8N7D","Amazon - B0DLDS8N7D")</f>
        <v>Amazon - B0DLDS8N7D</v>
      </c>
      <c r="K28" s="12" t="s">
        <v>443</v>
      </c>
      <c r="L28" s="12" t="s">
        <v>456</v>
      </c>
      <c r="M28" s="12" t="s">
        <v>462</v>
      </c>
      <c r="N28" s="12" t="s">
        <v>452</v>
      </c>
      <c r="O28" s="12" t="s">
        <v>524</v>
      </c>
    </row>
    <row r="29" spans="1:15" ht="45" x14ac:dyDescent="0.2">
      <c r="A29" s="2" t="s">
        <v>525</v>
      </c>
      <c r="B29" s="2" t="s">
        <v>526</v>
      </c>
      <c r="C29" s="2" t="s">
        <v>11</v>
      </c>
      <c r="D29" s="2" t="s">
        <v>472</v>
      </c>
      <c r="E29" s="4">
        <v>405.9</v>
      </c>
      <c r="F29" s="4">
        <v>45319.56</v>
      </c>
      <c r="G29" s="3">
        <v>127</v>
      </c>
      <c r="H29" s="6">
        <v>4.7</v>
      </c>
      <c r="I29" s="3">
        <v>13</v>
      </c>
      <c r="J29" s="13" t="str">
        <f>HYPERLINK("https://amazon.com/dp/B0DNMJ1WWW","Amazon - B0DNMJ1WWW")</f>
        <v>Amazon - B0DNMJ1WWW</v>
      </c>
      <c r="K29" s="14" t="s">
        <v>443</v>
      </c>
      <c r="L29" s="14" t="s">
        <v>502</v>
      </c>
      <c r="M29" s="14" t="s">
        <v>303</v>
      </c>
      <c r="N29" s="14" t="s">
        <v>446</v>
      </c>
      <c r="O29" s="14" t="s">
        <v>527</v>
      </c>
    </row>
    <row r="30" spans="1:15" ht="30" x14ac:dyDescent="0.2">
      <c r="A30" s="7" t="s">
        <v>528</v>
      </c>
      <c r="B30" s="7" t="s">
        <v>529</v>
      </c>
      <c r="C30" s="7" t="s">
        <v>35</v>
      </c>
      <c r="D30" s="7" t="s">
        <v>442</v>
      </c>
      <c r="E30" s="9">
        <v>99.99</v>
      </c>
      <c r="F30" s="9">
        <v>42439.15</v>
      </c>
      <c r="G30" s="8">
        <v>460</v>
      </c>
      <c r="H30" s="11">
        <v>4.5999999999999996</v>
      </c>
      <c r="I30" s="8">
        <v>89</v>
      </c>
      <c r="J30" s="15" t="str">
        <f>HYPERLINK("https://amazon.com/dp/B082JCSB4Z","Amazon - B082JCSB4Z")</f>
        <v>Amazon - B082JCSB4Z</v>
      </c>
      <c r="K30" s="12" t="s">
        <v>443</v>
      </c>
      <c r="L30" s="12" t="s">
        <v>530</v>
      </c>
      <c r="M30" s="12" t="s">
        <v>303</v>
      </c>
      <c r="N30" s="12" t="s">
        <v>446</v>
      </c>
      <c r="O30" s="12" t="s">
        <v>303</v>
      </c>
    </row>
    <row r="31" spans="1:15" ht="45" x14ac:dyDescent="0.2">
      <c r="A31" s="2" t="s">
        <v>531</v>
      </c>
      <c r="B31" s="2" t="s">
        <v>532</v>
      </c>
      <c r="C31" s="2" t="s">
        <v>27</v>
      </c>
      <c r="D31" s="2" t="s">
        <v>472</v>
      </c>
      <c r="E31" s="4">
        <v>399.99</v>
      </c>
      <c r="F31" s="4">
        <v>41938.33</v>
      </c>
      <c r="G31" s="3">
        <v>105</v>
      </c>
      <c r="H31" s="6">
        <v>4.0999999999999996</v>
      </c>
      <c r="I31" s="3">
        <v>24</v>
      </c>
      <c r="J31" s="13" t="str">
        <f>HYPERLINK("https://amazon.com/dp/B0FKH261T7","Amazon - B0FKH261T7")</f>
        <v>Amazon - B0FKH261T7</v>
      </c>
      <c r="K31" s="14" t="s">
        <v>443</v>
      </c>
      <c r="L31" s="14" t="s">
        <v>502</v>
      </c>
      <c r="M31" s="14" t="s">
        <v>303</v>
      </c>
      <c r="N31" s="14" t="s">
        <v>446</v>
      </c>
      <c r="O31" s="14" t="s">
        <v>517</v>
      </c>
    </row>
    <row r="32" spans="1:15" ht="45" x14ac:dyDescent="0.2">
      <c r="A32" s="7" t="s">
        <v>533</v>
      </c>
      <c r="B32" s="7" t="s">
        <v>534</v>
      </c>
      <c r="C32" s="7" t="s">
        <v>36</v>
      </c>
      <c r="D32" s="7" t="s">
        <v>442</v>
      </c>
      <c r="E32" s="9">
        <v>89.99</v>
      </c>
      <c r="F32" s="9">
        <v>41716.44</v>
      </c>
      <c r="G32" s="8">
        <v>363</v>
      </c>
      <c r="H32" s="11">
        <v>4.7</v>
      </c>
      <c r="I32" s="8">
        <v>90</v>
      </c>
      <c r="J32" s="15" t="str">
        <f>HYPERLINK("https://amazon.com/dp/B0FFT6SJHW","Amazon - B0FFT6SJHW")</f>
        <v>Amazon - B0FFT6SJHW</v>
      </c>
      <c r="K32" s="12" t="s">
        <v>443</v>
      </c>
      <c r="L32" s="12" t="s">
        <v>461</v>
      </c>
      <c r="M32" s="12" t="s">
        <v>535</v>
      </c>
      <c r="N32" s="12" t="s">
        <v>446</v>
      </c>
      <c r="O32" s="12" t="s">
        <v>536</v>
      </c>
    </row>
    <row r="33" spans="1:15" ht="45" x14ac:dyDescent="0.2">
      <c r="A33" s="2" t="s">
        <v>537</v>
      </c>
      <c r="B33" s="2" t="s">
        <v>538</v>
      </c>
      <c r="C33" s="2" t="s">
        <v>18</v>
      </c>
      <c r="D33" s="2" t="s">
        <v>450</v>
      </c>
      <c r="E33" s="4">
        <v>25.48</v>
      </c>
      <c r="F33" s="4">
        <v>38540.99</v>
      </c>
      <c r="G33" s="3">
        <v>1343</v>
      </c>
      <c r="H33" s="6">
        <v>4.4000000000000004</v>
      </c>
      <c r="I33" s="3">
        <v>1658</v>
      </c>
      <c r="J33" s="13" t="str">
        <f>HYPERLINK("https://amazon.com/dp/B0DGFBCH38","Amazon - B0DGFBCH38")</f>
        <v>Amazon - B0DGFBCH38</v>
      </c>
      <c r="K33" s="14" t="s">
        <v>443</v>
      </c>
      <c r="L33" s="14" t="s">
        <v>451</v>
      </c>
      <c r="M33" s="14" t="s">
        <v>445</v>
      </c>
      <c r="N33" s="14" t="s">
        <v>452</v>
      </c>
      <c r="O33" s="14" t="s">
        <v>453</v>
      </c>
    </row>
    <row r="34" spans="1:15" ht="45" x14ac:dyDescent="0.2">
      <c r="A34" s="7" t="s">
        <v>539</v>
      </c>
      <c r="B34" s="7" t="s">
        <v>540</v>
      </c>
      <c r="C34" s="7" t="s">
        <v>8</v>
      </c>
      <c r="D34" s="7" t="s">
        <v>472</v>
      </c>
      <c r="E34" s="9">
        <v>79.989999999999995</v>
      </c>
      <c r="F34" s="9">
        <v>37621.43</v>
      </c>
      <c r="G34" s="8">
        <v>489</v>
      </c>
      <c r="H34" s="11">
        <v>4.4000000000000004</v>
      </c>
      <c r="I34" s="8">
        <v>2323</v>
      </c>
      <c r="J34" s="15" t="str">
        <f>HYPERLINK("https://amazon.com/dp/B086X1XGN1","Amazon - B086X1XGN1")</f>
        <v>Amazon - B086X1XGN1</v>
      </c>
      <c r="K34" s="12" t="s">
        <v>443</v>
      </c>
      <c r="L34" s="12" t="s">
        <v>444</v>
      </c>
      <c r="M34" s="12" t="s">
        <v>303</v>
      </c>
      <c r="N34" s="12" t="s">
        <v>452</v>
      </c>
      <c r="O34" s="12" t="s">
        <v>453</v>
      </c>
    </row>
    <row r="35" spans="1:15" ht="45" x14ac:dyDescent="0.2">
      <c r="A35" s="2" t="s">
        <v>541</v>
      </c>
      <c r="B35" s="2" t="s">
        <v>542</v>
      </c>
      <c r="C35" s="2" t="s">
        <v>8</v>
      </c>
      <c r="D35" s="2" t="s">
        <v>442</v>
      </c>
      <c r="E35" s="4">
        <v>139.99</v>
      </c>
      <c r="F35" s="4">
        <v>37214.239999999998</v>
      </c>
      <c r="G35" s="3">
        <v>266</v>
      </c>
      <c r="H35" s="6">
        <v>4.5999999999999996</v>
      </c>
      <c r="I35" s="3">
        <v>3612</v>
      </c>
      <c r="J35" s="13" t="str">
        <f>HYPERLINK("https://amazon.com/dp/B08519F2W9","Amazon - B08519F2W9")</f>
        <v>Amazon - B08519F2W9</v>
      </c>
      <c r="K35" s="14" t="s">
        <v>443</v>
      </c>
      <c r="L35" s="14" t="s">
        <v>461</v>
      </c>
      <c r="M35" s="14" t="s">
        <v>303</v>
      </c>
      <c r="N35" s="14" t="s">
        <v>452</v>
      </c>
      <c r="O35" s="14" t="s">
        <v>543</v>
      </c>
    </row>
    <row r="36" spans="1:15" ht="45" x14ac:dyDescent="0.2">
      <c r="A36" s="7" t="s">
        <v>544</v>
      </c>
      <c r="B36" s="7" t="s">
        <v>545</v>
      </c>
      <c r="C36" s="7" t="s">
        <v>26</v>
      </c>
      <c r="D36" s="7" t="s">
        <v>478</v>
      </c>
      <c r="E36" s="9">
        <v>29.98</v>
      </c>
      <c r="F36" s="9">
        <v>36900.050000000003</v>
      </c>
      <c r="G36" s="8">
        <v>1242</v>
      </c>
      <c r="H36" s="11">
        <v>4.5</v>
      </c>
      <c r="I36" s="8">
        <v>524</v>
      </c>
      <c r="J36" s="15" t="str">
        <f>HYPERLINK("https://amazon.com/dp/B0F1CXQ3YS","Amazon - B0F1CXQ3YS")</f>
        <v>Amazon - B0F1CXQ3YS</v>
      </c>
      <c r="K36" s="12" t="s">
        <v>514</v>
      </c>
      <c r="L36" s="12" t="s">
        <v>456</v>
      </c>
      <c r="M36" s="12" t="s">
        <v>445</v>
      </c>
      <c r="N36" s="12" t="s">
        <v>446</v>
      </c>
      <c r="O36" s="12" t="s">
        <v>453</v>
      </c>
    </row>
    <row r="37" spans="1:15" ht="45" x14ac:dyDescent="0.2">
      <c r="A37" s="2" t="s">
        <v>546</v>
      </c>
      <c r="B37" s="2" t="s">
        <v>547</v>
      </c>
      <c r="C37" s="2" t="s">
        <v>12</v>
      </c>
      <c r="D37" s="2" t="s">
        <v>442</v>
      </c>
      <c r="E37" s="4">
        <v>159.99</v>
      </c>
      <c r="F37" s="4">
        <v>35062.129999999997</v>
      </c>
      <c r="G37" s="3">
        <v>220</v>
      </c>
      <c r="H37" s="6">
        <v>4.7</v>
      </c>
      <c r="I37" s="3">
        <v>49</v>
      </c>
      <c r="J37" s="13" t="str">
        <f>HYPERLINK("https://amazon.com/dp/B0DNFL72B5","Amazon - B0DNFL72B5")</f>
        <v>Amazon - B0DNFL72B5</v>
      </c>
      <c r="K37" s="14" t="s">
        <v>443</v>
      </c>
      <c r="L37" s="14" t="s">
        <v>461</v>
      </c>
      <c r="M37" s="14" t="s">
        <v>499</v>
      </c>
      <c r="N37" s="14" t="s">
        <v>452</v>
      </c>
      <c r="O37" s="14" t="s">
        <v>447</v>
      </c>
    </row>
    <row r="38" spans="1:15" ht="45" x14ac:dyDescent="0.2">
      <c r="A38" s="7" t="s">
        <v>548</v>
      </c>
      <c r="B38" s="7" t="s">
        <v>549</v>
      </c>
      <c r="C38" s="7" t="s">
        <v>17</v>
      </c>
      <c r="D38" s="7" t="s">
        <v>469</v>
      </c>
      <c r="E38" s="9">
        <v>41.99</v>
      </c>
      <c r="F38" s="9">
        <v>34877.660000000003</v>
      </c>
      <c r="G38" s="8">
        <v>897</v>
      </c>
      <c r="H38" s="11">
        <v>4.4000000000000004</v>
      </c>
      <c r="I38" s="8">
        <v>2131</v>
      </c>
      <c r="J38" s="15" t="str">
        <f>HYPERLINK("https://amazon.com/dp/B0BXSMSS7M","Amazon - B0BXSMSS7M")</f>
        <v>Amazon - B0BXSMSS7M</v>
      </c>
      <c r="K38" s="12" t="s">
        <v>514</v>
      </c>
      <c r="L38" s="12" t="s">
        <v>456</v>
      </c>
      <c r="M38" s="12" t="s">
        <v>445</v>
      </c>
      <c r="N38" s="12" t="s">
        <v>446</v>
      </c>
      <c r="O38" s="12" t="s">
        <v>453</v>
      </c>
    </row>
    <row r="39" spans="1:15" ht="45" x14ac:dyDescent="0.2">
      <c r="A39" s="2" t="s">
        <v>550</v>
      </c>
      <c r="B39" s="2" t="s">
        <v>551</v>
      </c>
      <c r="C39" s="2" t="s">
        <v>8</v>
      </c>
      <c r="D39" s="2" t="s">
        <v>442</v>
      </c>
      <c r="E39" s="4">
        <v>699.99</v>
      </c>
      <c r="F39" s="4">
        <v>34665.5</v>
      </c>
      <c r="G39" s="3">
        <v>49</v>
      </c>
      <c r="H39" s="6">
        <v>4.0999999999999996</v>
      </c>
      <c r="I39" s="3">
        <v>27</v>
      </c>
      <c r="J39" s="13" t="str">
        <f>HYPERLINK("https://amazon.com/dp/B0D7PYRRKD","Amazon - B0D7PYRRKD")</f>
        <v>Amazon - B0D7PYRRKD</v>
      </c>
      <c r="K39" s="14" t="s">
        <v>482</v>
      </c>
      <c r="L39" s="14" t="s">
        <v>483</v>
      </c>
      <c r="M39" s="14" t="s">
        <v>511</v>
      </c>
      <c r="N39" s="14" t="s">
        <v>446</v>
      </c>
      <c r="O39" s="14" t="s">
        <v>447</v>
      </c>
    </row>
    <row r="40" spans="1:15" ht="45" x14ac:dyDescent="0.2">
      <c r="A40" s="7" t="s">
        <v>552</v>
      </c>
      <c r="B40" s="7" t="s">
        <v>553</v>
      </c>
      <c r="C40" s="7" t="s">
        <v>8</v>
      </c>
      <c r="D40" s="7" t="s">
        <v>450</v>
      </c>
      <c r="E40" s="9">
        <v>79.989999999999995</v>
      </c>
      <c r="F40" s="9">
        <v>33817.870000000003</v>
      </c>
      <c r="G40" s="8">
        <v>423</v>
      </c>
      <c r="H40" s="11">
        <v>4.2</v>
      </c>
      <c r="I40" s="8">
        <v>157</v>
      </c>
      <c r="J40" s="15" t="str">
        <f>HYPERLINK("https://amazon.com/dp/B0F2H49C2D","Amazon - B0F2H49C2D")</f>
        <v>Amazon - B0F2H49C2D</v>
      </c>
      <c r="K40" s="12" t="s">
        <v>443</v>
      </c>
      <c r="L40" s="12" t="s">
        <v>451</v>
      </c>
      <c r="M40" s="12" t="s">
        <v>303</v>
      </c>
      <c r="N40" s="12" t="s">
        <v>446</v>
      </c>
      <c r="O40" s="12" t="s">
        <v>447</v>
      </c>
    </row>
    <row r="41" spans="1:15" ht="45" x14ac:dyDescent="0.2">
      <c r="A41" s="2" t="s">
        <v>554</v>
      </c>
      <c r="B41" s="2" t="s">
        <v>555</v>
      </c>
      <c r="C41" s="2" t="s">
        <v>15</v>
      </c>
      <c r="D41" s="2" t="s">
        <v>442</v>
      </c>
      <c r="E41" s="4">
        <v>299.99</v>
      </c>
      <c r="F41" s="4">
        <v>33706.26</v>
      </c>
      <c r="G41" s="3">
        <v>128</v>
      </c>
      <c r="H41" s="6">
        <v>4.3</v>
      </c>
      <c r="I41" s="3">
        <v>233</v>
      </c>
      <c r="J41" s="13" t="str">
        <f>HYPERLINK("https://amazon.com/dp/B0DSW1DKTZ","Amazon - B0DSW1DKTZ")</f>
        <v>Amazon - B0DSW1DKTZ</v>
      </c>
      <c r="K41" s="14" t="s">
        <v>482</v>
      </c>
      <c r="L41" s="14" t="s">
        <v>461</v>
      </c>
      <c r="M41" s="14" t="s">
        <v>499</v>
      </c>
      <c r="N41" s="14" t="s">
        <v>452</v>
      </c>
      <c r="O41" s="14" t="s">
        <v>447</v>
      </c>
    </row>
    <row r="42" spans="1:15" ht="30" x14ac:dyDescent="0.2">
      <c r="A42" s="7" t="s">
        <v>556</v>
      </c>
      <c r="B42" s="7" t="s">
        <v>557</v>
      </c>
      <c r="C42" s="7" t="s">
        <v>8</v>
      </c>
      <c r="D42" s="7" t="s">
        <v>442</v>
      </c>
      <c r="E42" s="9">
        <v>279.99</v>
      </c>
      <c r="F42" s="9">
        <v>32889.03</v>
      </c>
      <c r="G42" s="8">
        <v>135</v>
      </c>
      <c r="H42" s="11">
        <v>4.7</v>
      </c>
      <c r="I42" s="8">
        <v>572</v>
      </c>
      <c r="J42" s="15" t="str">
        <f>HYPERLINK("https://amazon.com/dp/B09ZV7KJHL","Amazon - B09ZV7KJHL")</f>
        <v>Amazon - B09ZV7KJHL</v>
      </c>
      <c r="K42" s="12" t="s">
        <v>443</v>
      </c>
      <c r="L42" s="12" t="s">
        <v>461</v>
      </c>
      <c r="M42" s="12" t="s">
        <v>445</v>
      </c>
      <c r="N42" s="12" t="s">
        <v>446</v>
      </c>
      <c r="O42" s="12" t="s">
        <v>447</v>
      </c>
    </row>
    <row r="43" spans="1:15" ht="45" x14ac:dyDescent="0.2">
      <c r="A43" s="2" t="s">
        <v>558</v>
      </c>
      <c r="B43" s="2" t="s">
        <v>559</v>
      </c>
      <c r="C43" s="2" t="s">
        <v>9</v>
      </c>
      <c r="D43" s="2" t="s">
        <v>442</v>
      </c>
      <c r="E43" s="4">
        <v>94.99</v>
      </c>
      <c r="F43" s="4">
        <v>31838.02</v>
      </c>
      <c r="G43" s="3">
        <v>324</v>
      </c>
      <c r="H43" s="6">
        <v>4.5999999999999996</v>
      </c>
      <c r="I43" s="3">
        <v>395</v>
      </c>
      <c r="J43" s="13" t="str">
        <f>HYPERLINK("https://amazon.com/dp/B0DT16R78W","Amazon - B0DT16R78W")</f>
        <v>Amazon - B0DT16R78W</v>
      </c>
      <c r="K43" s="14" t="s">
        <v>443</v>
      </c>
      <c r="L43" s="14" t="s">
        <v>444</v>
      </c>
      <c r="M43" s="14" t="s">
        <v>445</v>
      </c>
      <c r="N43" s="14" t="s">
        <v>452</v>
      </c>
      <c r="O43" s="14" t="s">
        <v>447</v>
      </c>
    </row>
    <row r="44" spans="1:15" ht="45" x14ac:dyDescent="0.2">
      <c r="A44" s="7" t="s">
        <v>560</v>
      </c>
      <c r="B44" s="7" t="s">
        <v>561</v>
      </c>
      <c r="C44" s="7" t="s">
        <v>8</v>
      </c>
      <c r="D44" s="7" t="s">
        <v>450</v>
      </c>
      <c r="E44" s="9">
        <v>39.99</v>
      </c>
      <c r="F44" s="9">
        <v>31673.46</v>
      </c>
      <c r="G44" s="8">
        <v>792</v>
      </c>
      <c r="H44" s="11">
        <v>4.2</v>
      </c>
      <c r="I44" s="8">
        <v>875</v>
      </c>
      <c r="J44" s="15" t="str">
        <f>HYPERLINK("https://amazon.com/dp/B0CL4KT182","Amazon - B0CL4KT182")</f>
        <v>Amazon - B0CL4KT182</v>
      </c>
      <c r="K44" s="12" t="s">
        <v>443</v>
      </c>
      <c r="L44" s="12" t="s">
        <v>451</v>
      </c>
      <c r="M44" s="12" t="s">
        <v>457</v>
      </c>
      <c r="N44" s="12" t="s">
        <v>446</v>
      </c>
      <c r="O44" s="12" t="s">
        <v>479</v>
      </c>
    </row>
    <row r="45" spans="1:15" ht="45" x14ac:dyDescent="0.2">
      <c r="A45" s="2" t="s">
        <v>562</v>
      </c>
      <c r="B45" s="2" t="s">
        <v>563</v>
      </c>
      <c r="C45" s="2" t="s">
        <v>14</v>
      </c>
      <c r="D45" s="2" t="s">
        <v>472</v>
      </c>
      <c r="E45" s="4">
        <v>899.99</v>
      </c>
      <c r="F45" s="4">
        <v>30891.58</v>
      </c>
      <c r="G45" s="3">
        <v>34</v>
      </c>
      <c r="H45" s="6">
        <v>4.8</v>
      </c>
      <c r="I45" s="3">
        <v>6</v>
      </c>
      <c r="J45" s="13" t="str">
        <f>HYPERLINK("https://amazon.com/dp/B0FLVB6GYH","Amazon - B0FLVB6GYH")</f>
        <v>Amazon - B0FLVB6GYH</v>
      </c>
      <c r="K45" s="14" t="s">
        <v>443</v>
      </c>
      <c r="L45" s="14" t="s">
        <v>564</v>
      </c>
      <c r="M45" s="14" t="s">
        <v>565</v>
      </c>
      <c r="N45" s="14" t="s">
        <v>446</v>
      </c>
      <c r="O45" s="14" t="s">
        <v>517</v>
      </c>
    </row>
    <row r="46" spans="1:15" ht="45" x14ac:dyDescent="0.2">
      <c r="A46" s="7" t="s">
        <v>566</v>
      </c>
      <c r="B46" s="7" t="s">
        <v>567</v>
      </c>
      <c r="C46" s="7" t="s">
        <v>8</v>
      </c>
      <c r="D46" s="7" t="s">
        <v>450</v>
      </c>
      <c r="E46" s="9">
        <v>29.99</v>
      </c>
      <c r="F46" s="9">
        <v>30790.68</v>
      </c>
      <c r="G46" s="8">
        <v>1086</v>
      </c>
      <c r="H46" s="11">
        <v>4.4000000000000004</v>
      </c>
      <c r="I46" s="8">
        <v>1073</v>
      </c>
      <c r="J46" s="15" t="str">
        <f>HYPERLINK("https://amazon.com/dp/B0C1GFBTDC","Amazon - B0C1GFBTDC")</f>
        <v>Amazon - B0C1GFBTDC</v>
      </c>
      <c r="K46" s="12" t="s">
        <v>443</v>
      </c>
      <c r="L46" s="12" t="s">
        <v>451</v>
      </c>
      <c r="M46" s="12" t="s">
        <v>445</v>
      </c>
      <c r="N46" s="12" t="s">
        <v>446</v>
      </c>
      <c r="O46" s="12" t="s">
        <v>487</v>
      </c>
    </row>
    <row r="47" spans="1:15" ht="45" x14ac:dyDescent="0.2">
      <c r="A47" s="2" t="s">
        <v>568</v>
      </c>
      <c r="B47" s="2" t="s">
        <v>569</v>
      </c>
      <c r="C47" s="2" t="s">
        <v>11</v>
      </c>
      <c r="D47" s="2" t="s">
        <v>472</v>
      </c>
      <c r="E47" s="4">
        <v>755.9</v>
      </c>
      <c r="F47" s="4">
        <v>30713.33</v>
      </c>
      <c r="G47" s="3">
        <v>41</v>
      </c>
      <c r="H47" s="6">
        <v>3.4</v>
      </c>
      <c r="I47" s="3">
        <v>10</v>
      </c>
      <c r="J47" s="13" t="str">
        <f>HYPERLINK("https://amazon.com/dp/B0DNMGM6MH","Amazon - B0DNMGM6MH")</f>
        <v>Amazon - B0DNMGM6MH</v>
      </c>
      <c r="K47" s="14" t="s">
        <v>443</v>
      </c>
      <c r="L47" s="14" t="s">
        <v>502</v>
      </c>
      <c r="M47" s="14" t="s">
        <v>303</v>
      </c>
      <c r="N47" s="14" t="s">
        <v>446</v>
      </c>
      <c r="O47" s="14" t="s">
        <v>570</v>
      </c>
    </row>
    <row r="48" spans="1:15" ht="30" x14ac:dyDescent="0.2">
      <c r="A48" s="7" t="s">
        <v>571</v>
      </c>
      <c r="B48" s="7" t="s">
        <v>572</v>
      </c>
      <c r="C48" s="7" t="s">
        <v>19</v>
      </c>
      <c r="D48" s="7" t="s">
        <v>478</v>
      </c>
      <c r="E48" s="9">
        <v>101.98</v>
      </c>
      <c r="F48" s="9">
        <v>29681.25</v>
      </c>
      <c r="G48" s="8">
        <v>289</v>
      </c>
      <c r="H48" s="11">
        <v>4.5</v>
      </c>
      <c r="I48" s="8">
        <v>84</v>
      </c>
      <c r="J48" s="15" t="str">
        <f>HYPERLINK("https://amazon.com/dp/B0D54NQWZH","Amazon - B0D54NQWZH")</f>
        <v>Amazon - B0D54NQWZH</v>
      </c>
      <c r="K48" s="12" t="s">
        <v>443</v>
      </c>
      <c r="L48" s="12" t="s">
        <v>456</v>
      </c>
      <c r="M48" s="12" t="s">
        <v>462</v>
      </c>
      <c r="N48" s="12" t="s">
        <v>446</v>
      </c>
      <c r="O48" s="12" t="s">
        <v>524</v>
      </c>
    </row>
    <row r="49" spans="1:15" ht="30" x14ac:dyDescent="0.2">
      <c r="A49" s="2" t="s">
        <v>573</v>
      </c>
      <c r="B49" s="2" t="s">
        <v>574</v>
      </c>
      <c r="C49" s="2" t="s">
        <v>41</v>
      </c>
      <c r="D49" s="2" t="s">
        <v>450</v>
      </c>
      <c r="E49" s="4">
        <v>22.99</v>
      </c>
      <c r="F49" s="4">
        <v>29354.79</v>
      </c>
      <c r="G49" s="3">
        <v>1280</v>
      </c>
      <c r="H49" s="6">
        <v>4.3</v>
      </c>
      <c r="I49" s="3">
        <v>645</v>
      </c>
      <c r="J49" s="13" t="str">
        <f>HYPERLINK("https://amazon.com/dp/B0CZHT2VHS","Amazon - B0CZHT2VHS")</f>
        <v>Amazon - B0CZHT2VHS</v>
      </c>
      <c r="K49" s="14" t="s">
        <v>443</v>
      </c>
      <c r="L49" s="14" t="s">
        <v>451</v>
      </c>
      <c r="M49" s="14" t="s">
        <v>445</v>
      </c>
      <c r="N49" s="14" t="s">
        <v>446</v>
      </c>
      <c r="O49" s="14" t="s">
        <v>453</v>
      </c>
    </row>
    <row r="50" spans="1:15" ht="45" x14ac:dyDescent="0.2">
      <c r="A50" s="7" t="s">
        <v>575</v>
      </c>
      <c r="B50" s="7" t="s">
        <v>576</v>
      </c>
      <c r="C50" s="7" t="s">
        <v>15</v>
      </c>
      <c r="D50" s="7" t="s">
        <v>442</v>
      </c>
      <c r="E50" s="9">
        <v>259.99</v>
      </c>
      <c r="F50" s="9">
        <v>29256.17</v>
      </c>
      <c r="G50" s="8">
        <v>119</v>
      </c>
      <c r="H50" s="11">
        <v>4.2</v>
      </c>
      <c r="I50" s="8">
        <v>209</v>
      </c>
      <c r="J50" s="15" t="str">
        <f>HYPERLINK("https://amazon.com/dp/B0FJFD212D","Amazon - B0FJFD212D")</f>
        <v>Amazon - B0FJFD212D</v>
      </c>
      <c r="K50" s="12" t="s">
        <v>482</v>
      </c>
      <c r="L50" s="12" t="s">
        <v>456</v>
      </c>
      <c r="M50" s="12" t="s">
        <v>577</v>
      </c>
      <c r="N50" s="12" t="s">
        <v>446</v>
      </c>
      <c r="O50" s="12" t="s">
        <v>578</v>
      </c>
    </row>
    <row r="51" spans="1:15" ht="45" x14ac:dyDescent="0.2">
      <c r="A51" s="2" t="s">
        <v>579</v>
      </c>
      <c r="B51" s="2" t="s">
        <v>580</v>
      </c>
      <c r="C51" s="2" t="s">
        <v>8</v>
      </c>
      <c r="D51" s="2" t="s">
        <v>450</v>
      </c>
      <c r="E51" s="4">
        <v>65.989999999999995</v>
      </c>
      <c r="F51" s="4">
        <v>27666</v>
      </c>
      <c r="G51" s="3">
        <v>419</v>
      </c>
      <c r="H51" s="6">
        <v>4.3</v>
      </c>
      <c r="I51" s="3">
        <v>187</v>
      </c>
      <c r="J51" s="13" t="str">
        <f>HYPERLINK("https://amazon.com/dp/B0DRP8LPF8","Amazon - B0DRP8LPF8")</f>
        <v>Amazon - B0DRP8LPF8</v>
      </c>
      <c r="K51" s="14" t="s">
        <v>443</v>
      </c>
      <c r="L51" s="14" t="s">
        <v>451</v>
      </c>
      <c r="M51" s="14" t="s">
        <v>303</v>
      </c>
      <c r="N51" s="14" t="s">
        <v>446</v>
      </c>
      <c r="O51" s="14" t="s">
        <v>303</v>
      </c>
    </row>
    <row r="52" spans="1:15" ht="45" x14ac:dyDescent="0.2">
      <c r="A52" s="7" t="s">
        <v>581</v>
      </c>
      <c r="B52" s="7" t="s">
        <v>582</v>
      </c>
      <c r="C52" s="7" t="s">
        <v>18</v>
      </c>
      <c r="D52" s="7" t="s">
        <v>472</v>
      </c>
      <c r="E52" s="9">
        <v>99.99</v>
      </c>
      <c r="F52" s="9">
        <v>27528.71</v>
      </c>
      <c r="G52" s="8">
        <v>298</v>
      </c>
      <c r="H52" s="11">
        <v>4.5999999999999996</v>
      </c>
      <c r="I52" s="8">
        <v>398</v>
      </c>
      <c r="J52" s="15" t="str">
        <f>HYPERLINK("https://amazon.com/dp/B0FZJ4CQB6","Amazon - B0FZJ4CQB6")</f>
        <v>Amazon - B0FZJ4CQB6</v>
      </c>
      <c r="K52" s="12" t="s">
        <v>443</v>
      </c>
      <c r="L52" s="12" t="s">
        <v>456</v>
      </c>
      <c r="M52" s="12" t="s">
        <v>303</v>
      </c>
      <c r="N52" s="12" t="s">
        <v>452</v>
      </c>
      <c r="O52" s="12" t="s">
        <v>447</v>
      </c>
    </row>
  </sheetData>
  <autoFilter ref="A2:O52" xr:uid="{00000000-0009-0000-0000-000001000000}"/>
  <mergeCells count="1">
    <mergeCell ref="A1:O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2"/>
  <sheetViews>
    <sheetView workbookViewId="0">
      <pane ySplit="2" topLeftCell="A3" activePane="bottomLeft" state="frozen"/>
      <selection pane="bottomLeft" activeCell="B7" sqref="B7"/>
    </sheetView>
  </sheetViews>
  <sheetFormatPr baseColWidth="10" defaultColWidth="8.83203125" defaultRowHeight="15" x14ac:dyDescent="0.2"/>
  <cols>
    <col min="1" max="1" width="14" customWidth="1"/>
    <col min="2" max="2" width="62" customWidth="1"/>
    <col min="3" max="3" width="18" customWidth="1"/>
    <col min="4" max="4" width="16" customWidth="1"/>
    <col min="5" max="5" width="12" customWidth="1"/>
    <col min="6" max="7" width="16" customWidth="1"/>
    <col min="8" max="8" width="12" customWidth="1"/>
    <col min="9" max="9" width="14" customWidth="1"/>
    <col min="10" max="10" width="22" customWidth="1"/>
    <col min="11" max="11" width="12" customWidth="1"/>
    <col min="12" max="12" width="14" customWidth="1"/>
    <col min="13" max="13" width="16" customWidth="1"/>
    <col min="14" max="14" width="12" customWidth="1"/>
    <col min="15" max="15" width="14" customWidth="1"/>
  </cols>
  <sheetData>
    <row r="1" spans="1:15" ht="34" customHeight="1" x14ac:dyDescent="0.2">
      <c r="A1" s="21" t="s">
        <v>583</v>
      </c>
      <c r="B1" s="22"/>
      <c r="C1" s="22"/>
      <c r="D1" s="22"/>
      <c r="E1" s="22"/>
      <c r="F1" s="22"/>
      <c r="G1" s="22"/>
      <c r="H1" s="22"/>
      <c r="I1" s="22"/>
      <c r="J1" s="22"/>
      <c r="K1" s="22"/>
      <c r="L1" s="22"/>
      <c r="M1" s="22"/>
      <c r="N1" s="22"/>
      <c r="O1" s="22"/>
    </row>
    <row r="2" spans="1:15" ht="30" customHeight="1" x14ac:dyDescent="0.2">
      <c r="A2" s="1" t="s">
        <v>429</v>
      </c>
      <c r="B2" s="1" t="s">
        <v>430</v>
      </c>
      <c r="C2" s="1" t="s">
        <v>1</v>
      </c>
      <c r="D2" s="1" t="s">
        <v>431</v>
      </c>
      <c r="E2" s="1" t="s">
        <v>432</v>
      </c>
      <c r="F2" s="1" t="s">
        <v>3</v>
      </c>
      <c r="G2" s="1" t="s">
        <v>4</v>
      </c>
      <c r="H2" s="1" t="s">
        <v>7</v>
      </c>
      <c r="I2" s="1" t="s">
        <v>433</v>
      </c>
      <c r="J2" s="1" t="s">
        <v>434</v>
      </c>
      <c r="K2" s="1" t="s">
        <v>435</v>
      </c>
      <c r="L2" s="1" t="s">
        <v>436</v>
      </c>
      <c r="M2" s="1" t="s">
        <v>437</v>
      </c>
      <c r="N2" s="1" t="s">
        <v>438</v>
      </c>
      <c r="O2" s="1" t="s">
        <v>439</v>
      </c>
    </row>
    <row r="3" spans="1:15" ht="45" x14ac:dyDescent="0.2">
      <c r="A3" s="2" t="s">
        <v>440</v>
      </c>
      <c r="B3" s="2" t="s">
        <v>441</v>
      </c>
      <c r="C3" s="2" t="s">
        <v>8</v>
      </c>
      <c r="D3" s="2" t="s">
        <v>442</v>
      </c>
      <c r="E3" s="4">
        <v>103.98</v>
      </c>
      <c r="F3" s="4">
        <v>1039447.5</v>
      </c>
      <c r="G3" s="3">
        <v>8093</v>
      </c>
      <c r="H3" s="6">
        <v>4.5999999999999996</v>
      </c>
      <c r="I3" s="3">
        <v>1542</v>
      </c>
      <c r="J3" s="13" t="str">
        <f>HYPERLINK("https://amazon.com/dp/B0CJY5C9QX","Amazon - B0CJY5C9QX")</f>
        <v>Amazon - B0CJY5C9QX</v>
      </c>
      <c r="K3" s="14" t="s">
        <v>443</v>
      </c>
      <c r="L3" s="14" t="s">
        <v>444</v>
      </c>
      <c r="M3" s="14" t="s">
        <v>445</v>
      </c>
      <c r="N3" s="14" t="s">
        <v>446</v>
      </c>
      <c r="O3" s="14" t="s">
        <v>447</v>
      </c>
    </row>
    <row r="4" spans="1:15" ht="45" x14ac:dyDescent="0.2">
      <c r="A4" s="7" t="s">
        <v>448</v>
      </c>
      <c r="B4" s="7" t="s">
        <v>449</v>
      </c>
      <c r="C4" s="7" t="s">
        <v>10</v>
      </c>
      <c r="D4" s="7" t="s">
        <v>450</v>
      </c>
      <c r="E4" s="9">
        <v>35.99</v>
      </c>
      <c r="F4" s="9">
        <v>206884.29</v>
      </c>
      <c r="G4" s="8">
        <v>5800</v>
      </c>
      <c r="H4" s="11">
        <v>4.3</v>
      </c>
      <c r="I4" s="8">
        <v>6029</v>
      </c>
      <c r="J4" s="15" t="str">
        <f>HYPERLINK("https://amazon.com/dp/B0C9JR3N4W","Amazon - B0C9JR3N4W")</f>
        <v>Amazon - B0C9JR3N4W</v>
      </c>
      <c r="K4" s="12" t="s">
        <v>443</v>
      </c>
      <c r="L4" s="12" t="s">
        <v>451</v>
      </c>
      <c r="M4" s="12" t="s">
        <v>445</v>
      </c>
      <c r="N4" s="12" t="s">
        <v>452</v>
      </c>
      <c r="O4" s="12" t="s">
        <v>453</v>
      </c>
    </row>
    <row r="5" spans="1:15" ht="45" x14ac:dyDescent="0.2">
      <c r="A5" s="2" t="s">
        <v>465</v>
      </c>
      <c r="B5" s="2" t="s">
        <v>466</v>
      </c>
      <c r="C5" s="2" t="s">
        <v>10</v>
      </c>
      <c r="D5" s="2" t="s">
        <v>450</v>
      </c>
      <c r="E5" s="4">
        <v>25.99</v>
      </c>
      <c r="F5" s="4">
        <v>134601.03</v>
      </c>
      <c r="G5" s="3">
        <v>5126</v>
      </c>
      <c r="H5" s="6">
        <v>4.3</v>
      </c>
      <c r="I5" s="3">
        <v>6016</v>
      </c>
      <c r="J5" s="13" t="str">
        <f>HYPERLINK("https://amazon.com/dp/B0C4V5LWWL","Amazon - B0C4V5LWWL")</f>
        <v>Amazon - B0C4V5LWWL</v>
      </c>
      <c r="K5" s="14" t="s">
        <v>443</v>
      </c>
      <c r="L5" s="14" t="s">
        <v>451</v>
      </c>
      <c r="M5" s="14" t="s">
        <v>445</v>
      </c>
      <c r="N5" s="14" t="s">
        <v>446</v>
      </c>
      <c r="O5" s="14" t="s">
        <v>453</v>
      </c>
    </row>
    <row r="6" spans="1:15" ht="45" x14ac:dyDescent="0.2">
      <c r="A6" s="7" t="s">
        <v>490</v>
      </c>
      <c r="B6" s="7" t="s">
        <v>491</v>
      </c>
      <c r="C6" s="7" t="s">
        <v>22</v>
      </c>
      <c r="D6" s="7" t="s">
        <v>450</v>
      </c>
      <c r="E6" s="9">
        <v>24.68</v>
      </c>
      <c r="F6" s="9">
        <v>75238.740000000005</v>
      </c>
      <c r="G6" s="8">
        <v>2274</v>
      </c>
      <c r="H6" s="11">
        <v>4.2</v>
      </c>
      <c r="I6" s="8">
        <v>1365</v>
      </c>
      <c r="J6" s="15" t="str">
        <f>HYPERLINK("https://amazon.com/dp/B0CMCSGPJC","Amazon - B0CMCSGPJC")</f>
        <v>Amazon - B0CMCSGPJC</v>
      </c>
      <c r="K6" s="12" t="s">
        <v>443</v>
      </c>
      <c r="L6" s="12" t="s">
        <v>451</v>
      </c>
      <c r="M6" s="12" t="s">
        <v>445</v>
      </c>
      <c r="N6" s="12" t="s">
        <v>452</v>
      </c>
      <c r="O6" s="12" t="s">
        <v>453</v>
      </c>
    </row>
    <row r="7" spans="1:15" ht="45" x14ac:dyDescent="0.2">
      <c r="A7" s="2" t="s">
        <v>512</v>
      </c>
      <c r="B7" s="2" t="s">
        <v>513</v>
      </c>
      <c r="C7" s="2" t="s">
        <v>17</v>
      </c>
      <c r="D7" s="2" t="s">
        <v>478</v>
      </c>
      <c r="E7" s="4">
        <v>39.99</v>
      </c>
      <c r="F7" s="4">
        <v>55768.04</v>
      </c>
      <c r="G7" s="3">
        <v>1747</v>
      </c>
      <c r="H7" s="6">
        <v>4.5</v>
      </c>
      <c r="I7" s="3">
        <v>4262</v>
      </c>
      <c r="J7" s="13" t="str">
        <f>HYPERLINK("https://amazon.com/dp/B0C3R381FC","Amazon - B0C3R381FC")</f>
        <v>Amazon - B0C3R381FC</v>
      </c>
      <c r="K7" s="14" t="s">
        <v>514</v>
      </c>
      <c r="L7" s="14" t="s">
        <v>456</v>
      </c>
      <c r="M7" s="14" t="s">
        <v>445</v>
      </c>
      <c r="N7" s="14" t="s">
        <v>446</v>
      </c>
      <c r="O7" s="14" t="s">
        <v>453</v>
      </c>
    </row>
    <row r="8" spans="1:15" ht="45" x14ac:dyDescent="0.2">
      <c r="A8" s="7" t="s">
        <v>584</v>
      </c>
      <c r="B8" s="7" t="s">
        <v>585</v>
      </c>
      <c r="C8" s="7" t="s">
        <v>54</v>
      </c>
      <c r="D8" s="7" t="s">
        <v>450</v>
      </c>
      <c r="E8" s="9">
        <v>14.24</v>
      </c>
      <c r="F8" s="9">
        <v>23262.9</v>
      </c>
      <c r="G8" s="8">
        <v>1585</v>
      </c>
      <c r="H8" s="11">
        <v>4.2</v>
      </c>
      <c r="I8" s="8">
        <v>104</v>
      </c>
      <c r="J8" s="15" t="str">
        <f>HYPERLINK("https://amazon.com/dp/B0FXR9VFSV","Amazon - B0FXR9VFSV")</f>
        <v>Amazon - B0FXR9VFSV</v>
      </c>
      <c r="K8" s="12" t="s">
        <v>443</v>
      </c>
      <c r="L8" s="12" t="s">
        <v>451</v>
      </c>
      <c r="M8" s="12" t="s">
        <v>303</v>
      </c>
      <c r="N8" s="12" t="s">
        <v>446</v>
      </c>
      <c r="O8" s="12" t="s">
        <v>453</v>
      </c>
    </row>
    <row r="9" spans="1:15" ht="45" x14ac:dyDescent="0.2">
      <c r="A9" s="2" t="s">
        <v>488</v>
      </c>
      <c r="B9" s="2" t="s">
        <v>489</v>
      </c>
      <c r="C9" s="2" t="s">
        <v>9</v>
      </c>
      <c r="D9" s="2" t="s">
        <v>478</v>
      </c>
      <c r="E9" s="4">
        <v>69.989999999999995</v>
      </c>
      <c r="F9" s="4">
        <v>82171.289999999994</v>
      </c>
      <c r="G9" s="3">
        <v>1420</v>
      </c>
      <c r="H9" s="6">
        <v>4.5</v>
      </c>
      <c r="I9" s="3">
        <v>7036</v>
      </c>
      <c r="J9" s="13" t="str">
        <f>HYPERLINK("https://amazon.com/dp/B0928Q3T42","Amazon - B0928Q3T42")</f>
        <v>Amazon - B0928Q3T42</v>
      </c>
      <c r="K9" s="14" t="s">
        <v>443</v>
      </c>
      <c r="L9" s="14" t="s">
        <v>456</v>
      </c>
      <c r="M9" s="14" t="s">
        <v>445</v>
      </c>
      <c r="N9" s="14" t="s">
        <v>452</v>
      </c>
      <c r="O9" s="14" t="s">
        <v>453</v>
      </c>
    </row>
    <row r="10" spans="1:15" ht="30" x14ac:dyDescent="0.2">
      <c r="A10" s="7" t="s">
        <v>586</v>
      </c>
      <c r="B10" s="7" t="s">
        <v>587</v>
      </c>
      <c r="C10" s="7" t="s">
        <v>46</v>
      </c>
      <c r="D10" s="7" t="s">
        <v>442</v>
      </c>
      <c r="E10" s="9">
        <v>15.99</v>
      </c>
      <c r="F10" s="9">
        <v>23601.93</v>
      </c>
      <c r="G10" s="8">
        <v>1406</v>
      </c>
      <c r="H10" s="11">
        <v>4.4000000000000004</v>
      </c>
      <c r="I10" s="8">
        <v>1234</v>
      </c>
      <c r="J10" s="15" t="str">
        <f>HYPERLINK("https://amazon.com/dp/B0C4FBM6GV","Amazon - B0C4FBM6GV")</f>
        <v>Amazon - B0C4FBM6GV</v>
      </c>
      <c r="K10" s="12" t="s">
        <v>443</v>
      </c>
      <c r="L10" s="12" t="s">
        <v>303</v>
      </c>
      <c r="M10" s="12" t="s">
        <v>303</v>
      </c>
      <c r="N10" s="12" t="s">
        <v>446</v>
      </c>
      <c r="O10" s="12" t="s">
        <v>453</v>
      </c>
    </row>
    <row r="11" spans="1:15" ht="30" x14ac:dyDescent="0.2">
      <c r="A11" s="2" t="s">
        <v>454</v>
      </c>
      <c r="B11" s="2" t="s">
        <v>455</v>
      </c>
      <c r="C11" s="2" t="s">
        <v>12</v>
      </c>
      <c r="D11" s="2" t="s">
        <v>442</v>
      </c>
      <c r="E11" s="4">
        <v>139.38999999999999</v>
      </c>
      <c r="F11" s="4">
        <v>195203.83</v>
      </c>
      <c r="G11" s="3">
        <v>1401</v>
      </c>
      <c r="H11" s="6">
        <v>4.5999999999999996</v>
      </c>
      <c r="I11" s="3">
        <v>1717</v>
      </c>
      <c r="J11" s="13" t="str">
        <f>HYPERLINK("https://amazon.com/dp/B0B28HRSBP","Amazon - B0B28HRSBP")</f>
        <v>Amazon - B0B28HRSBP</v>
      </c>
      <c r="K11" s="14" t="s">
        <v>443</v>
      </c>
      <c r="L11" s="14" t="s">
        <v>456</v>
      </c>
      <c r="M11" s="14" t="s">
        <v>457</v>
      </c>
      <c r="N11" s="14" t="s">
        <v>446</v>
      </c>
      <c r="O11" s="14" t="s">
        <v>458</v>
      </c>
    </row>
    <row r="12" spans="1:15" ht="45" x14ac:dyDescent="0.2">
      <c r="A12" s="7" t="s">
        <v>537</v>
      </c>
      <c r="B12" s="7" t="s">
        <v>538</v>
      </c>
      <c r="C12" s="7" t="s">
        <v>18</v>
      </c>
      <c r="D12" s="7" t="s">
        <v>450</v>
      </c>
      <c r="E12" s="9">
        <v>25.48</v>
      </c>
      <c r="F12" s="9">
        <v>38540.99</v>
      </c>
      <c r="G12" s="8">
        <v>1343</v>
      </c>
      <c r="H12" s="11">
        <v>4.4000000000000004</v>
      </c>
      <c r="I12" s="8">
        <v>1658</v>
      </c>
      <c r="J12" s="15" t="str">
        <f>HYPERLINK("https://amazon.com/dp/B0DGFBCH38","Amazon - B0DGFBCH38")</f>
        <v>Amazon - B0DGFBCH38</v>
      </c>
      <c r="K12" s="12" t="s">
        <v>443</v>
      </c>
      <c r="L12" s="12" t="s">
        <v>451</v>
      </c>
      <c r="M12" s="12" t="s">
        <v>445</v>
      </c>
      <c r="N12" s="12" t="s">
        <v>452</v>
      </c>
      <c r="O12" s="12" t="s">
        <v>453</v>
      </c>
    </row>
    <row r="13" spans="1:15" ht="30" x14ac:dyDescent="0.2">
      <c r="A13" s="2" t="s">
        <v>573</v>
      </c>
      <c r="B13" s="2" t="s">
        <v>574</v>
      </c>
      <c r="C13" s="2" t="s">
        <v>41</v>
      </c>
      <c r="D13" s="2" t="s">
        <v>450</v>
      </c>
      <c r="E13" s="4">
        <v>22.99</v>
      </c>
      <c r="F13" s="4">
        <v>29354.79</v>
      </c>
      <c r="G13" s="3">
        <v>1280</v>
      </c>
      <c r="H13" s="6">
        <v>4.3</v>
      </c>
      <c r="I13" s="3">
        <v>645</v>
      </c>
      <c r="J13" s="13" t="str">
        <f>HYPERLINK("https://amazon.com/dp/B0CZHT2VHS","Amazon - B0CZHT2VHS")</f>
        <v>Amazon - B0CZHT2VHS</v>
      </c>
      <c r="K13" s="14" t="s">
        <v>443</v>
      </c>
      <c r="L13" s="14" t="s">
        <v>451</v>
      </c>
      <c r="M13" s="14" t="s">
        <v>445</v>
      </c>
      <c r="N13" s="14" t="s">
        <v>446</v>
      </c>
      <c r="O13" s="14" t="s">
        <v>453</v>
      </c>
    </row>
    <row r="14" spans="1:15" ht="45" x14ac:dyDescent="0.2">
      <c r="A14" s="7" t="s">
        <v>544</v>
      </c>
      <c r="B14" s="7" t="s">
        <v>545</v>
      </c>
      <c r="C14" s="7" t="s">
        <v>26</v>
      </c>
      <c r="D14" s="7" t="s">
        <v>478</v>
      </c>
      <c r="E14" s="9">
        <v>29.98</v>
      </c>
      <c r="F14" s="9">
        <v>36900.050000000003</v>
      </c>
      <c r="G14" s="8">
        <v>1242</v>
      </c>
      <c r="H14" s="11">
        <v>4.5</v>
      </c>
      <c r="I14" s="8">
        <v>524</v>
      </c>
      <c r="J14" s="15" t="str">
        <f>HYPERLINK("https://amazon.com/dp/B0F1CXQ3YS","Amazon - B0F1CXQ3YS")</f>
        <v>Amazon - B0F1CXQ3YS</v>
      </c>
      <c r="K14" s="12" t="s">
        <v>514</v>
      </c>
      <c r="L14" s="12" t="s">
        <v>456</v>
      </c>
      <c r="M14" s="12" t="s">
        <v>445</v>
      </c>
      <c r="N14" s="12" t="s">
        <v>446</v>
      </c>
      <c r="O14" s="12" t="s">
        <v>453</v>
      </c>
    </row>
    <row r="15" spans="1:15" ht="45" x14ac:dyDescent="0.2">
      <c r="A15" s="2" t="s">
        <v>507</v>
      </c>
      <c r="B15" s="2" t="s">
        <v>508</v>
      </c>
      <c r="C15" s="2" t="s">
        <v>8</v>
      </c>
      <c r="D15" s="2" t="s">
        <v>478</v>
      </c>
      <c r="E15" s="4">
        <v>49.99</v>
      </c>
      <c r="F15" s="4">
        <v>57624.12</v>
      </c>
      <c r="G15" s="3">
        <v>1239</v>
      </c>
      <c r="H15" s="6">
        <v>4.5</v>
      </c>
      <c r="I15" s="3">
        <v>421</v>
      </c>
      <c r="J15" s="13" t="str">
        <f>HYPERLINK("https://amazon.com/dp/B0DK965BZP","Amazon - B0DK965BZP")</f>
        <v>Amazon - B0DK965BZP</v>
      </c>
      <c r="K15" s="14" t="s">
        <v>443</v>
      </c>
      <c r="L15" s="14" t="s">
        <v>456</v>
      </c>
      <c r="M15" s="14" t="s">
        <v>445</v>
      </c>
      <c r="N15" s="14" t="s">
        <v>446</v>
      </c>
      <c r="O15" s="14" t="s">
        <v>453</v>
      </c>
    </row>
    <row r="16" spans="1:15" ht="45" x14ac:dyDescent="0.2">
      <c r="A16" s="7" t="s">
        <v>588</v>
      </c>
      <c r="B16" s="7" t="s">
        <v>589</v>
      </c>
      <c r="C16" s="7" t="s">
        <v>34</v>
      </c>
      <c r="D16" s="7" t="s">
        <v>450</v>
      </c>
      <c r="E16" s="9">
        <v>18.89</v>
      </c>
      <c r="F16" s="9">
        <v>23733.85</v>
      </c>
      <c r="G16" s="8">
        <v>1193</v>
      </c>
      <c r="H16" s="11">
        <v>4.3</v>
      </c>
      <c r="I16" s="8">
        <v>639</v>
      </c>
      <c r="J16" s="15" t="str">
        <f>HYPERLINK("https://amazon.com/dp/B0FC2HS5GZ","Amazon - B0FC2HS5GZ")</f>
        <v>Amazon - B0FC2HS5GZ</v>
      </c>
      <c r="K16" s="12" t="s">
        <v>443</v>
      </c>
      <c r="L16" s="12" t="s">
        <v>451</v>
      </c>
      <c r="M16" s="12" t="s">
        <v>445</v>
      </c>
      <c r="N16" s="12" t="s">
        <v>452</v>
      </c>
      <c r="O16" s="12" t="s">
        <v>453</v>
      </c>
    </row>
    <row r="17" spans="1:15" ht="30" x14ac:dyDescent="0.2">
      <c r="A17" s="2" t="s">
        <v>459</v>
      </c>
      <c r="B17" s="2" t="s">
        <v>460</v>
      </c>
      <c r="C17" s="2" t="s">
        <v>8</v>
      </c>
      <c r="D17" s="2" t="s">
        <v>442</v>
      </c>
      <c r="E17" s="4">
        <v>139.99</v>
      </c>
      <c r="F17" s="4">
        <v>156648.32999999999</v>
      </c>
      <c r="G17" s="3">
        <v>1148</v>
      </c>
      <c r="H17" s="6">
        <v>4.5999999999999996</v>
      </c>
      <c r="I17" s="3">
        <v>320</v>
      </c>
      <c r="J17" s="13" t="str">
        <f>HYPERLINK("https://amazon.com/dp/B0DT4H7QQM","Amazon - B0DT4H7QQM")</f>
        <v>Amazon - B0DT4H7QQM</v>
      </c>
      <c r="K17" s="14" t="s">
        <v>443</v>
      </c>
      <c r="L17" s="14" t="s">
        <v>461</v>
      </c>
      <c r="M17" s="14" t="s">
        <v>462</v>
      </c>
      <c r="N17" s="14" t="s">
        <v>446</v>
      </c>
      <c r="O17" s="14" t="s">
        <v>447</v>
      </c>
    </row>
    <row r="18" spans="1:15" ht="45" x14ac:dyDescent="0.2">
      <c r="A18" s="7" t="s">
        <v>566</v>
      </c>
      <c r="B18" s="7" t="s">
        <v>567</v>
      </c>
      <c r="C18" s="7" t="s">
        <v>8</v>
      </c>
      <c r="D18" s="7" t="s">
        <v>450</v>
      </c>
      <c r="E18" s="9">
        <v>29.99</v>
      </c>
      <c r="F18" s="9">
        <v>30790.68</v>
      </c>
      <c r="G18" s="8">
        <v>1086</v>
      </c>
      <c r="H18" s="11">
        <v>4.4000000000000004</v>
      </c>
      <c r="I18" s="8">
        <v>1073</v>
      </c>
      <c r="J18" s="15" t="str">
        <f>HYPERLINK("https://amazon.com/dp/B0C1GFBTDC","Amazon - B0C1GFBTDC")</f>
        <v>Amazon - B0C1GFBTDC</v>
      </c>
      <c r="K18" s="12" t="s">
        <v>443</v>
      </c>
      <c r="L18" s="12" t="s">
        <v>451</v>
      </c>
      <c r="M18" s="12" t="s">
        <v>445</v>
      </c>
      <c r="N18" s="12" t="s">
        <v>446</v>
      </c>
      <c r="O18" s="12" t="s">
        <v>487</v>
      </c>
    </row>
    <row r="19" spans="1:15" ht="45" x14ac:dyDescent="0.2">
      <c r="A19" s="2" t="s">
        <v>470</v>
      </c>
      <c r="B19" s="2" t="s">
        <v>471</v>
      </c>
      <c r="C19" s="2" t="s">
        <v>9</v>
      </c>
      <c r="D19" s="2" t="s">
        <v>472</v>
      </c>
      <c r="E19" s="4">
        <v>85.47</v>
      </c>
      <c r="F19" s="4">
        <v>101673.65</v>
      </c>
      <c r="G19" s="3">
        <v>1039</v>
      </c>
      <c r="H19" s="6">
        <v>4.3</v>
      </c>
      <c r="I19" s="3">
        <v>1480</v>
      </c>
      <c r="J19" s="13" t="str">
        <f>HYPERLINK("https://amazon.com/dp/B0BL7RK5JJ","Amazon - B0BL7RK5JJ")</f>
        <v>Amazon - B0BL7RK5JJ</v>
      </c>
      <c r="K19" s="14" t="s">
        <v>443</v>
      </c>
      <c r="L19" s="14" t="s">
        <v>461</v>
      </c>
      <c r="M19" s="14" t="s">
        <v>303</v>
      </c>
      <c r="N19" s="14" t="s">
        <v>473</v>
      </c>
      <c r="O19" s="14" t="s">
        <v>303</v>
      </c>
    </row>
    <row r="20" spans="1:15" ht="45" x14ac:dyDescent="0.2">
      <c r="A20" s="7" t="s">
        <v>520</v>
      </c>
      <c r="B20" s="7" t="s">
        <v>521</v>
      </c>
      <c r="C20" s="7" t="s">
        <v>20</v>
      </c>
      <c r="D20" s="7" t="s">
        <v>469</v>
      </c>
      <c r="E20" s="9">
        <v>29.98</v>
      </c>
      <c r="F20" s="9">
        <v>48921.23</v>
      </c>
      <c r="G20" s="8">
        <v>1016</v>
      </c>
      <c r="H20" s="11">
        <v>4.5</v>
      </c>
      <c r="I20" s="8">
        <v>726</v>
      </c>
      <c r="J20" s="15" t="str">
        <f>HYPERLINK("https://amazon.com/dp/B0DWSKVF5H","Amazon - B0DWSKVF5H")</f>
        <v>Amazon - B0DWSKVF5H</v>
      </c>
      <c r="K20" s="12" t="s">
        <v>514</v>
      </c>
      <c r="L20" s="12" t="s">
        <v>461</v>
      </c>
      <c r="M20" s="12" t="s">
        <v>445</v>
      </c>
      <c r="N20" s="12" t="s">
        <v>452</v>
      </c>
      <c r="O20" s="12" t="s">
        <v>453</v>
      </c>
    </row>
    <row r="21" spans="1:15" ht="45" x14ac:dyDescent="0.2">
      <c r="A21" s="2" t="s">
        <v>590</v>
      </c>
      <c r="B21" s="2" t="s">
        <v>591</v>
      </c>
      <c r="C21" s="2" t="s">
        <v>37</v>
      </c>
      <c r="D21" s="2" t="s">
        <v>478</v>
      </c>
      <c r="E21" s="4">
        <v>26.99</v>
      </c>
      <c r="F21" s="4">
        <v>27273.87</v>
      </c>
      <c r="G21" s="3">
        <v>991</v>
      </c>
      <c r="H21" s="6">
        <v>4.4000000000000004</v>
      </c>
      <c r="I21" s="3">
        <v>2777</v>
      </c>
      <c r="J21" s="13" t="str">
        <f>HYPERLINK("https://amazon.com/dp/B0BV98JZ22","Amazon - B0BV98JZ22")</f>
        <v>Amazon - B0BV98JZ22</v>
      </c>
      <c r="K21" s="14" t="s">
        <v>514</v>
      </c>
      <c r="L21" s="14" t="s">
        <v>456</v>
      </c>
      <c r="M21" s="14" t="s">
        <v>445</v>
      </c>
      <c r="N21" s="14" t="s">
        <v>446</v>
      </c>
      <c r="O21" s="14" t="s">
        <v>453</v>
      </c>
    </row>
    <row r="22" spans="1:15" ht="45" x14ac:dyDescent="0.2">
      <c r="A22" s="7" t="s">
        <v>463</v>
      </c>
      <c r="B22" s="7" t="s">
        <v>464</v>
      </c>
      <c r="C22" s="7" t="s">
        <v>8</v>
      </c>
      <c r="D22" s="7" t="s">
        <v>442</v>
      </c>
      <c r="E22" s="9">
        <v>149.99</v>
      </c>
      <c r="F22" s="9">
        <v>146493.76999999999</v>
      </c>
      <c r="G22" s="8">
        <v>977</v>
      </c>
      <c r="H22" s="11">
        <v>4.5999999999999996</v>
      </c>
      <c r="I22" s="8">
        <v>458</v>
      </c>
      <c r="J22" s="15" t="str">
        <f>HYPERLINK("https://amazon.com/dp/B0CJY6SWBN","Amazon - B0CJY6SWBN")</f>
        <v>Amazon - B0CJY6SWBN</v>
      </c>
      <c r="K22" s="12" t="s">
        <v>443</v>
      </c>
      <c r="L22" s="12" t="s">
        <v>444</v>
      </c>
      <c r="M22" s="12" t="s">
        <v>445</v>
      </c>
      <c r="N22" s="12" t="s">
        <v>452</v>
      </c>
      <c r="O22" s="12" t="s">
        <v>447</v>
      </c>
    </row>
    <row r="23" spans="1:15" ht="45" x14ac:dyDescent="0.2">
      <c r="A23" s="2" t="s">
        <v>592</v>
      </c>
      <c r="B23" s="2" t="s">
        <v>593</v>
      </c>
      <c r="C23" s="2" t="s">
        <v>28</v>
      </c>
      <c r="D23" s="2" t="s">
        <v>478</v>
      </c>
      <c r="E23" s="4">
        <v>31.99</v>
      </c>
      <c r="F23" s="4">
        <v>26998.02</v>
      </c>
      <c r="G23" s="3">
        <v>928</v>
      </c>
      <c r="H23" s="6">
        <v>4</v>
      </c>
      <c r="I23" s="3">
        <v>334</v>
      </c>
      <c r="J23" s="13" t="str">
        <f>HYPERLINK("https://amazon.com/dp/B0F13BKB4P","Amazon - B0F13BKB4P")</f>
        <v>Amazon - B0F13BKB4P</v>
      </c>
      <c r="K23" s="14" t="s">
        <v>514</v>
      </c>
      <c r="L23" s="14" t="s">
        <v>456</v>
      </c>
      <c r="M23" s="14" t="s">
        <v>445</v>
      </c>
      <c r="N23" s="14" t="s">
        <v>452</v>
      </c>
      <c r="O23" s="14" t="s">
        <v>453</v>
      </c>
    </row>
    <row r="24" spans="1:15" ht="45" x14ac:dyDescent="0.2">
      <c r="A24" s="7" t="s">
        <v>495</v>
      </c>
      <c r="B24" s="7" t="s">
        <v>496</v>
      </c>
      <c r="C24" s="7" t="s">
        <v>9</v>
      </c>
      <c r="D24" s="7" t="s">
        <v>472</v>
      </c>
      <c r="E24" s="9">
        <v>74.989999999999995</v>
      </c>
      <c r="F24" s="9">
        <v>63146.559999999998</v>
      </c>
      <c r="G24" s="8">
        <v>898</v>
      </c>
      <c r="H24" s="11">
        <v>4.7</v>
      </c>
      <c r="I24" s="8">
        <v>261</v>
      </c>
      <c r="J24" s="15" t="str">
        <f>HYPERLINK("https://amazon.com/dp/B0FKM8K5QX","Amazon - B0FKM8K5QX")</f>
        <v>Amazon - B0FKM8K5QX</v>
      </c>
      <c r="K24" s="12" t="s">
        <v>443</v>
      </c>
      <c r="L24" s="12" t="s">
        <v>461</v>
      </c>
      <c r="M24" s="12" t="s">
        <v>303</v>
      </c>
      <c r="N24" s="12" t="s">
        <v>473</v>
      </c>
      <c r="O24" s="12" t="s">
        <v>453</v>
      </c>
    </row>
    <row r="25" spans="1:15" ht="45" x14ac:dyDescent="0.2">
      <c r="A25" s="2" t="s">
        <v>548</v>
      </c>
      <c r="B25" s="2" t="s">
        <v>549</v>
      </c>
      <c r="C25" s="2" t="s">
        <v>17</v>
      </c>
      <c r="D25" s="2" t="s">
        <v>469</v>
      </c>
      <c r="E25" s="4">
        <v>41.99</v>
      </c>
      <c r="F25" s="4">
        <v>34877.660000000003</v>
      </c>
      <c r="G25" s="3">
        <v>897</v>
      </c>
      <c r="H25" s="6">
        <v>4.4000000000000004</v>
      </c>
      <c r="I25" s="3">
        <v>2131</v>
      </c>
      <c r="J25" s="13" t="str">
        <f>HYPERLINK("https://amazon.com/dp/B0BXSMSS7M","Amazon - B0BXSMSS7M")</f>
        <v>Amazon - B0BXSMSS7M</v>
      </c>
      <c r="K25" s="14" t="s">
        <v>514</v>
      </c>
      <c r="L25" s="14" t="s">
        <v>456</v>
      </c>
      <c r="M25" s="14" t="s">
        <v>445</v>
      </c>
      <c r="N25" s="14" t="s">
        <v>446</v>
      </c>
      <c r="O25" s="14" t="s">
        <v>453</v>
      </c>
    </row>
    <row r="26" spans="1:15" ht="45" x14ac:dyDescent="0.2">
      <c r="A26" s="7" t="s">
        <v>492</v>
      </c>
      <c r="B26" s="7" t="s">
        <v>493</v>
      </c>
      <c r="C26" s="7" t="s">
        <v>16</v>
      </c>
      <c r="D26" s="7" t="s">
        <v>442</v>
      </c>
      <c r="E26" s="9">
        <v>79.989999999999995</v>
      </c>
      <c r="F26" s="9">
        <v>67852.11</v>
      </c>
      <c r="G26" s="8">
        <v>889</v>
      </c>
      <c r="H26" s="11">
        <v>4.5999999999999996</v>
      </c>
      <c r="I26" s="8">
        <v>91</v>
      </c>
      <c r="J26" s="15" t="str">
        <f>HYPERLINK("https://amazon.com/dp/B0FGJ8WVGP","Amazon - B0FGJ8WVGP")</f>
        <v>Amazon - B0FGJ8WVGP</v>
      </c>
      <c r="K26" s="12" t="s">
        <v>443</v>
      </c>
      <c r="L26" s="12" t="s">
        <v>456</v>
      </c>
      <c r="M26" s="12" t="s">
        <v>462</v>
      </c>
      <c r="N26" s="12" t="s">
        <v>446</v>
      </c>
      <c r="O26" s="12" t="s">
        <v>494</v>
      </c>
    </row>
    <row r="27" spans="1:15" ht="45" x14ac:dyDescent="0.2">
      <c r="A27" s="2" t="s">
        <v>476</v>
      </c>
      <c r="B27" s="2" t="s">
        <v>477</v>
      </c>
      <c r="C27" s="2" t="s">
        <v>9</v>
      </c>
      <c r="D27" s="2" t="s">
        <v>478</v>
      </c>
      <c r="E27" s="4">
        <v>137.79</v>
      </c>
      <c r="F27" s="4">
        <v>93173.89</v>
      </c>
      <c r="G27" s="3">
        <v>887</v>
      </c>
      <c r="H27" s="6">
        <v>4.4000000000000004</v>
      </c>
      <c r="I27" s="3">
        <v>332</v>
      </c>
      <c r="J27" s="13" t="str">
        <f>HYPERLINK("https://amazon.com/dp/B0DD6YVBHD","Amazon - B0DD6YVBHD")</f>
        <v>Amazon - B0DD6YVBHD</v>
      </c>
      <c r="K27" s="14" t="s">
        <v>443</v>
      </c>
      <c r="L27" s="14" t="s">
        <v>461</v>
      </c>
      <c r="M27" s="14" t="s">
        <v>445</v>
      </c>
      <c r="N27" s="14" t="s">
        <v>473</v>
      </c>
      <c r="O27" s="14" t="s">
        <v>479</v>
      </c>
    </row>
    <row r="28" spans="1:15" ht="45" x14ac:dyDescent="0.2">
      <c r="A28" s="7" t="s">
        <v>594</v>
      </c>
      <c r="B28" s="7" t="s">
        <v>595</v>
      </c>
      <c r="C28" s="7" t="s">
        <v>53</v>
      </c>
      <c r="D28" s="7" t="s">
        <v>478</v>
      </c>
      <c r="E28" s="9">
        <v>24.99</v>
      </c>
      <c r="F28" s="9">
        <v>21677.05</v>
      </c>
      <c r="G28" s="8">
        <v>868</v>
      </c>
      <c r="H28" s="11">
        <v>4.5</v>
      </c>
      <c r="I28" s="8">
        <v>423</v>
      </c>
      <c r="J28" s="15" t="str">
        <f>HYPERLINK("https://amazon.com/dp/B0F5Q2YXY5","Amazon - B0F5Q2YXY5")</f>
        <v>Amazon - B0F5Q2YXY5</v>
      </c>
      <c r="K28" s="12" t="s">
        <v>514</v>
      </c>
      <c r="L28" s="12" t="s">
        <v>456</v>
      </c>
      <c r="M28" s="12" t="s">
        <v>445</v>
      </c>
      <c r="N28" s="12" t="s">
        <v>446</v>
      </c>
      <c r="O28" s="12" t="s">
        <v>453</v>
      </c>
    </row>
    <row r="29" spans="1:15" ht="45" x14ac:dyDescent="0.2">
      <c r="A29" s="2" t="s">
        <v>596</v>
      </c>
      <c r="B29" s="2" t="s">
        <v>597</v>
      </c>
      <c r="C29" s="2" t="s">
        <v>31</v>
      </c>
      <c r="D29" s="2" t="s">
        <v>478</v>
      </c>
      <c r="E29" s="4">
        <v>33.9</v>
      </c>
      <c r="F29" s="4">
        <v>26488.54</v>
      </c>
      <c r="G29" s="3">
        <v>810</v>
      </c>
      <c r="H29" s="6">
        <v>4.5</v>
      </c>
      <c r="I29" s="3">
        <v>432</v>
      </c>
      <c r="J29" s="13" t="str">
        <f>HYPERLINK("https://amazon.com/dp/B0CW65T636","Amazon - B0CW65T636")</f>
        <v>Amazon - B0CW65T636</v>
      </c>
      <c r="K29" s="14" t="s">
        <v>514</v>
      </c>
      <c r="L29" s="14" t="s">
        <v>456</v>
      </c>
      <c r="M29" s="14" t="s">
        <v>445</v>
      </c>
      <c r="N29" s="14" t="s">
        <v>446</v>
      </c>
      <c r="O29" s="14" t="s">
        <v>453</v>
      </c>
    </row>
    <row r="30" spans="1:15" ht="45" x14ac:dyDescent="0.2">
      <c r="A30" s="7" t="s">
        <v>560</v>
      </c>
      <c r="B30" s="7" t="s">
        <v>561</v>
      </c>
      <c r="C30" s="7" t="s">
        <v>8</v>
      </c>
      <c r="D30" s="7" t="s">
        <v>450</v>
      </c>
      <c r="E30" s="9">
        <v>39.99</v>
      </c>
      <c r="F30" s="9">
        <v>31673.46</v>
      </c>
      <c r="G30" s="8">
        <v>792</v>
      </c>
      <c r="H30" s="11">
        <v>4.2</v>
      </c>
      <c r="I30" s="8">
        <v>875</v>
      </c>
      <c r="J30" s="15" t="str">
        <f>HYPERLINK("https://amazon.com/dp/B0CL4KT182","Amazon - B0CL4KT182")</f>
        <v>Amazon - B0CL4KT182</v>
      </c>
      <c r="K30" s="12" t="s">
        <v>443</v>
      </c>
      <c r="L30" s="12" t="s">
        <v>451</v>
      </c>
      <c r="M30" s="12" t="s">
        <v>457</v>
      </c>
      <c r="N30" s="12" t="s">
        <v>446</v>
      </c>
      <c r="O30" s="12" t="s">
        <v>479</v>
      </c>
    </row>
    <row r="31" spans="1:15" ht="45" x14ac:dyDescent="0.2">
      <c r="A31" s="2" t="s">
        <v>505</v>
      </c>
      <c r="B31" s="2" t="s">
        <v>506</v>
      </c>
      <c r="C31" s="2" t="s">
        <v>8</v>
      </c>
      <c r="D31" s="2" t="s">
        <v>472</v>
      </c>
      <c r="E31" s="4">
        <v>79.989999999999995</v>
      </c>
      <c r="F31" s="4">
        <v>60502.85</v>
      </c>
      <c r="G31" s="3">
        <v>756</v>
      </c>
      <c r="H31" s="6">
        <v>4.4000000000000004</v>
      </c>
      <c r="I31" s="3">
        <v>149</v>
      </c>
      <c r="J31" s="13" t="str">
        <f>HYPERLINK("https://amazon.com/dp/B0DGGM7X88","Amazon - B0DGGM7X88")</f>
        <v>Amazon - B0DGGM7X88</v>
      </c>
      <c r="K31" s="14" t="s">
        <v>443</v>
      </c>
      <c r="L31" s="14" t="s">
        <v>456</v>
      </c>
      <c r="M31" s="14" t="s">
        <v>303</v>
      </c>
      <c r="N31" s="14" t="s">
        <v>452</v>
      </c>
      <c r="O31" s="14" t="s">
        <v>453</v>
      </c>
    </row>
    <row r="32" spans="1:15" ht="45" x14ac:dyDescent="0.2">
      <c r="A32" s="7" t="s">
        <v>598</v>
      </c>
      <c r="B32" s="7" t="s">
        <v>599</v>
      </c>
      <c r="C32" s="7" t="s">
        <v>16</v>
      </c>
      <c r="D32" s="7" t="s">
        <v>450</v>
      </c>
      <c r="E32" s="9">
        <v>29.99</v>
      </c>
      <c r="F32" s="9">
        <v>21035.74</v>
      </c>
      <c r="G32" s="8">
        <v>749</v>
      </c>
      <c r="H32" s="11">
        <v>4.4000000000000004</v>
      </c>
      <c r="I32" s="8">
        <v>357</v>
      </c>
      <c r="J32" s="15" t="str">
        <f>HYPERLINK("https://amazon.com/dp/B0DQW68W1T","Amazon - B0DQW68W1T")</f>
        <v>Amazon - B0DQW68W1T</v>
      </c>
      <c r="K32" s="12" t="s">
        <v>443</v>
      </c>
      <c r="L32" s="12" t="s">
        <v>451</v>
      </c>
      <c r="M32" s="12" t="s">
        <v>303</v>
      </c>
      <c r="N32" s="12" t="s">
        <v>446</v>
      </c>
      <c r="O32" s="12" t="s">
        <v>524</v>
      </c>
    </row>
    <row r="33" spans="1:15" ht="45" x14ac:dyDescent="0.2">
      <c r="A33" s="2" t="s">
        <v>474</v>
      </c>
      <c r="B33" s="2" t="s">
        <v>475</v>
      </c>
      <c r="C33" s="2" t="s">
        <v>12</v>
      </c>
      <c r="D33" s="2" t="s">
        <v>442</v>
      </c>
      <c r="E33" s="4">
        <v>159.99</v>
      </c>
      <c r="F33" s="4">
        <v>97593.56</v>
      </c>
      <c r="G33" s="3">
        <v>734</v>
      </c>
      <c r="H33" s="6">
        <v>4.5</v>
      </c>
      <c r="I33" s="3">
        <v>549</v>
      </c>
      <c r="J33" s="13" t="str">
        <f>HYPERLINK("https://amazon.com/dp/B0C3B32Q9Z","Amazon - B0C3B32Q9Z")</f>
        <v>Amazon - B0C3B32Q9Z</v>
      </c>
      <c r="K33" s="14" t="s">
        <v>443</v>
      </c>
      <c r="L33" s="14" t="s">
        <v>461</v>
      </c>
      <c r="M33" s="14" t="s">
        <v>445</v>
      </c>
      <c r="N33" s="14" t="s">
        <v>452</v>
      </c>
      <c r="O33" s="14" t="s">
        <v>447</v>
      </c>
    </row>
    <row r="34" spans="1:15" ht="45" x14ac:dyDescent="0.2">
      <c r="A34" s="7" t="s">
        <v>600</v>
      </c>
      <c r="B34" s="7" t="s">
        <v>601</v>
      </c>
      <c r="C34" s="7" t="s">
        <v>31</v>
      </c>
      <c r="D34" s="7" t="s">
        <v>469</v>
      </c>
      <c r="E34" s="9">
        <v>27.9</v>
      </c>
      <c r="F34" s="9">
        <v>21984.53</v>
      </c>
      <c r="G34" s="8">
        <v>704</v>
      </c>
      <c r="H34" s="11">
        <v>4.5</v>
      </c>
      <c r="I34" s="8">
        <v>1316</v>
      </c>
      <c r="J34" s="15" t="str">
        <f>HYPERLINK("https://amazon.com/dp/B0CP538LN1","Amazon - B0CP538LN1")</f>
        <v>Amazon - B0CP538LN1</v>
      </c>
      <c r="K34" s="12" t="s">
        <v>514</v>
      </c>
      <c r="L34" s="12" t="s">
        <v>456</v>
      </c>
      <c r="M34" s="12" t="s">
        <v>445</v>
      </c>
      <c r="N34" s="12" t="s">
        <v>446</v>
      </c>
      <c r="O34" s="12" t="s">
        <v>453</v>
      </c>
    </row>
    <row r="35" spans="1:15" ht="45" x14ac:dyDescent="0.2">
      <c r="A35" s="2" t="s">
        <v>602</v>
      </c>
      <c r="B35" s="2" t="s">
        <v>603</v>
      </c>
      <c r="C35" s="2" t="s">
        <v>45</v>
      </c>
      <c r="D35" s="2" t="s">
        <v>450</v>
      </c>
      <c r="E35" s="4">
        <v>21.99</v>
      </c>
      <c r="F35" s="4">
        <v>14514.08</v>
      </c>
      <c r="G35" s="3">
        <v>695</v>
      </c>
      <c r="H35" s="6">
        <v>4.3</v>
      </c>
      <c r="I35" s="3">
        <v>348</v>
      </c>
      <c r="J35" s="13" t="str">
        <f>HYPERLINK("https://amazon.com/dp/B0FMY9WR1H","Amazon - B0FMY9WR1H")</f>
        <v>Amazon - B0FMY9WR1H</v>
      </c>
      <c r="K35" s="14" t="s">
        <v>443</v>
      </c>
      <c r="L35" s="14" t="s">
        <v>451</v>
      </c>
      <c r="M35" s="14" t="s">
        <v>445</v>
      </c>
      <c r="N35" s="14" t="s">
        <v>446</v>
      </c>
      <c r="O35" s="14" t="s">
        <v>453</v>
      </c>
    </row>
    <row r="36" spans="1:15" ht="45" x14ac:dyDescent="0.2">
      <c r="A36" s="7" t="s">
        <v>467</v>
      </c>
      <c r="B36" s="7" t="s">
        <v>468</v>
      </c>
      <c r="C36" s="7" t="s">
        <v>8</v>
      </c>
      <c r="D36" s="7" t="s">
        <v>469</v>
      </c>
      <c r="E36" s="9">
        <v>159.99</v>
      </c>
      <c r="F36" s="9">
        <v>108039.75</v>
      </c>
      <c r="G36" s="8">
        <v>675</v>
      </c>
      <c r="H36" s="11">
        <v>4.5999999999999996</v>
      </c>
      <c r="I36" s="8">
        <v>3612</v>
      </c>
      <c r="J36" s="15" t="str">
        <f>HYPERLINK("https://amazon.com/dp/B07TV2BFVR","Amazon - B07TV2BFVR")</f>
        <v>Amazon - B07TV2BFVR</v>
      </c>
      <c r="K36" s="12" t="s">
        <v>443</v>
      </c>
      <c r="L36" s="12" t="s">
        <v>461</v>
      </c>
      <c r="M36" s="12" t="s">
        <v>462</v>
      </c>
      <c r="N36" s="12" t="s">
        <v>452</v>
      </c>
      <c r="O36" s="12" t="s">
        <v>453</v>
      </c>
    </row>
    <row r="37" spans="1:15" ht="30" x14ac:dyDescent="0.2">
      <c r="A37" s="2" t="s">
        <v>604</v>
      </c>
      <c r="B37" s="2" t="s">
        <v>605</v>
      </c>
      <c r="C37" s="2" t="s">
        <v>32</v>
      </c>
      <c r="D37" s="2" t="s">
        <v>442</v>
      </c>
      <c r="E37" s="4">
        <v>49.99</v>
      </c>
      <c r="F37" s="4">
        <v>26841.31</v>
      </c>
      <c r="G37" s="3">
        <v>620</v>
      </c>
      <c r="H37" s="6">
        <v>4.5999999999999996</v>
      </c>
      <c r="I37" s="3">
        <v>115</v>
      </c>
      <c r="J37" s="13" t="str">
        <f>HYPERLINK("https://amazon.com/dp/B0FJR2Y5B9","Amazon - B0FJR2Y5B9")</f>
        <v>Amazon - B0FJR2Y5B9</v>
      </c>
      <c r="K37" s="14" t="s">
        <v>443</v>
      </c>
      <c r="L37" s="14" t="s">
        <v>303</v>
      </c>
      <c r="M37" s="14" t="s">
        <v>303</v>
      </c>
      <c r="N37" s="14" t="s">
        <v>452</v>
      </c>
      <c r="O37" s="14" t="s">
        <v>453</v>
      </c>
    </row>
    <row r="38" spans="1:15" ht="45" x14ac:dyDescent="0.2">
      <c r="A38" s="7" t="s">
        <v>606</v>
      </c>
      <c r="B38" s="7" t="s">
        <v>607</v>
      </c>
      <c r="C38" s="7" t="s">
        <v>10</v>
      </c>
      <c r="D38" s="7" t="s">
        <v>450</v>
      </c>
      <c r="E38" s="9">
        <v>35.99</v>
      </c>
      <c r="F38" s="9">
        <v>21431.07</v>
      </c>
      <c r="G38" s="8">
        <v>601</v>
      </c>
      <c r="H38" s="11">
        <v>4.3</v>
      </c>
      <c r="I38" s="8">
        <v>6016</v>
      </c>
      <c r="J38" s="15" t="str">
        <f>HYPERLINK("https://amazon.com/dp/B0BF64PP4F","Amazon - B0BF64PP4F")</f>
        <v>Amazon - B0BF64PP4F</v>
      </c>
      <c r="K38" s="12" t="s">
        <v>443</v>
      </c>
      <c r="L38" s="12" t="s">
        <v>451</v>
      </c>
      <c r="M38" s="12" t="s">
        <v>445</v>
      </c>
      <c r="N38" s="12" t="s">
        <v>446</v>
      </c>
      <c r="O38" s="12" t="s">
        <v>608</v>
      </c>
    </row>
    <row r="39" spans="1:15" ht="45" x14ac:dyDescent="0.2">
      <c r="A39" s="2" t="s">
        <v>609</v>
      </c>
      <c r="B39" s="2" t="s">
        <v>610</v>
      </c>
      <c r="C39" s="2" t="s">
        <v>45</v>
      </c>
      <c r="D39" s="2" t="s">
        <v>472</v>
      </c>
      <c r="E39" s="4">
        <v>25.99</v>
      </c>
      <c r="F39" s="4">
        <v>12635.44</v>
      </c>
      <c r="G39" s="3">
        <v>590</v>
      </c>
      <c r="H39" s="6">
        <v>4.7</v>
      </c>
      <c r="I39" s="3">
        <v>30</v>
      </c>
      <c r="J39" s="13" t="str">
        <f>HYPERLINK("https://amazon.com/dp/B0FRZYLZXT","Amazon - B0FRZYLZXT")</f>
        <v>Amazon - B0FRZYLZXT</v>
      </c>
      <c r="K39" s="14" t="s">
        <v>443</v>
      </c>
      <c r="L39" s="14" t="s">
        <v>456</v>
      </c>
      <c r="M39" s="14" t="s">
        <v>303</v>
      </c>
      <c r="N39" s="14" t="s">
        <v>446</v>
      </c>
      <c r="O39" s="14" t="s">
        <v>453</v>
      </c>
    </row>
    <row r="40" spans="1:15" ht="30" x14ac:dyDescent="0.2">
      <c r="A40" s="7" t="s">
        <v>611</v>
      </c>
      <c r="B40" s="7" t="s">
        <v>612</v>
      </c>
      <c r="C40" s="7" t="s">
        <v>49</v>
      </c>
      <c r="D40" s="7" t="s">
        <v>478</v>
      </c>
      <c r="E40" s="9">
        <v>25.91</v>
      </c>
      <c r="F40" s="9">
        <v>16926.439999999999</v>
      </c>
      <c r="G40" s="8">
        <v>590</v>
      </c>
      <c r="H40" s="11">
        <v>4.7</v>
      </c>
      <c r="I40" s="8">
        <v>469</v>
      </c>
      <c r="J40" s="15" t="str">
        <f>HYPERLINK("https://amazon.com/dp/B0DSFQV89R","Amazon - B0DSFQV89R")</f>
        <v>Amazon - B0DSFQV89R</v>
      </c>
      <c r="K40" s="12" t="s">
        <v>514</v>
      </c>
      <c r="L40" s="12" t="s">
        <v>456</v>
      </c>
      <c r="M40" s="12" t="s">
        <v>445</v>
      </c>
      <c r="N40" s="12" t="s">
        <v>446</v>
      </c>
      <c r="O40" s="12" t="s">
        <v>453</v>
      </c>
    </row>
    <row r="41" spans="1:15" ht="45" x14ac:dyDescent="0.2">
      <c r="A41" s="2" t="s">
        <v>485</v>
      </c>
      <c r="B41" s="2" t="s">
        <v>486</v>
      </c>
      <c r="C41" s="2" t="s">
        <v>9</v>
      </c>
      <c r="D41" s="2" t="s">
        <v>442</v>
      </c>
      <c r="E41" s="4">
        <v>119.98</v>
      </c>
      <c r="F41" s="4">
        <v>85960.31</v>
      </c>
      <c r="G41" s="3">
        <v>584</v>
      </c>
      <c r="H41" s="6">
        <v>4.5999999999999996</v>
      </c>
      <c r="I41" s="3">
        <v>395</v>
      </c>
      <c r="J41" s="13" t="str">
        <f>HYPERLINK("https://amazon.com/dp/B0F62WJY8N","Amazon - B0F62WJY8N")</f>
        <v>Amazon - B0F62WJY8N</v>
      </c>
      <c r="K41" s="14" t="s">
        <v>443</v>
      </c>
      <c r="L41" s="14" t="s">
        <v>444</v>
      </c>
      <c r="M41" s="14" t="s">
        <v>445</v>
      </c>
      <c r="N41" s="14" t="s">
        <v>452</v>
      </c>
      <c r="O41" s="14" t="s">
        <v>487</v>
      </c>
    </row>
    <row r="42" spans="1:15" ht="45" x14ac:dyDescent="0.2">
      <c r="A42" s="7" t="s">
        <v>613</v>
      </c>
      <c r="B42" s="7" t="s">
        <v>614</v>
      </c>
      <c r="C42" s="7" t="s">
        <v>67</v>
      </c>
      <c r="D42" s="7" t="s">
        <v>450</v>
      </c>
      <c r="E42" s="9">
        <v>16.97</v>
      </c>
      <c r="F42" s="9">
        <v>9852.36</v>
      </c>
      <c r="G42" s="8">
        <v>580</v>
      </c>
      <c r="H42" s="11">
        <v>4.3</v>
      </c>
      <c r="I42" s="8">
        <v>418</v>
      </c>
      <c r="J42" s="15" t="str">
        <f>HYPERLINK("https://amazon.com/dp/B0F2PQTT1G","Amazon - B0F2PQTT1G")</f>
        <v>Amazon - B0F2PQTT1G</v>
      </c>
      <c r="K42" s="12" t="s">
        <v>443</v>
      </c>
      <c r="L42" s="12" t="s">
        <v>451</v>
      </c>
      <c r="M42" s="12" t="s">
        <v>445</v>
      </c>
      <c r="N42" s="12" t="s">
        <v>446</v>
      </c>
      <c r="O42" s="12" t="s">
        <v>487</v>
      </c>
    </row>
    <row r="43" spans="1:15" ht="45" x14ac:dyDescent="0.2">
      <c r="A43" s="2" t="s">
        <v>615</v>
      </c>
      <c r="B43" s="2" t="s">
        <v>616</v>
      </c>
      <c r="C43" s="2" t="s">
        <v>20</v>
      </c>
      <c r="D43" s="2" t="s">
        <v>478</v>
      </c>
      <c r="E43" s="4">
        <v>25.63</v>
      </c>
      <c r="F43" s="4">
        <v>22392.52</v>
      </c>
      <c r="G43" s="3">
        <v>579</v>
      </c>
      <c r="H43" s="6">
        <v>4.5</v>
      </c>
      <c r="I43" s="3">
        <v>724</v>
      </c>
      <c r="J43" s="13" t="str">
        <f>HYPERLINK("https://amazon.com/dp/B0DH1XWTKK","Amazon - B0DH1XWTKK")</f>
        <v>Amazon - B0DH1XWTKK</v>
      </c>
      <c r="K43" s="14" t="s">
        <v>514</v>
      </c>
      <c r="L43" s="14" t="s">
        <v>456</v>
      </c>
      <c r="M43" s="14" t="s">
        <v>445</v>
      </c>
      <c r="N43" s="14" t="s">
        <v>452</v>
      </c>
      <c r="O43" s="14" t="s">
        <v>453</v>
      </c>
    </row>
    <row r="44" spans="1:15" ht="45" x14ac:dyDescent="0.2">
      <c r="A44" s="7" t="s">
        <v>617</v>
      </c>
      <c r="B44" s="7" t="s">
        <v>618</v>
      </c>
      <c r="C44" s="7" t="s">
        <v>56</v>
      </c>
      <c r="D44" s="7" t="s">
        <v>450</v>
      </c>
      <c r="E44" s="9">
        <v>19.989999999999998</v>
      </c>
      <c r="F44" s="9">
        <v>11885.65</v>
      </c>
      <c r="G44" s="8">
        <v>572</v>
      </c>
      <c r="H44" s="11">
        <v>4.4000000000000004</v>
      </c>
      <c r="I44" s="8">
        <v>228</v>
      </c>
      <c r="J44" s="15" t="str">
        <f>HYPERLINK("https://amazon.com/dp/B0DNCQ3HYR","Amazon - B0DNCQ3HYR")</f>
        <v>Amazon - B0DNCQ3HYR</v>
      </c>
      <c r="K44" s="12" t="s">
        <v>443</v>
      </c>
      <c r="L44" s="12" t="s">
        <v>451</v>
      </c>
      <c r="M44" s="12" t="s">
        <v>445</v>
      </c>
      <c r="N44" s="12" t="s">
        <v>446</v>
      </c>
      <c r="O44" s="12" t="s">
        <v>453</v>
      </c>
    </row>
    <row r="45" spans="1:15" ht="45" x14ac:dyDescent="0.2">
      <c r="A45" s="2" t="s">
        <v>619</v>
      </c>
      <c r="B45" s="2" t="s">
        <v>620</v>
      </c>
      <c r="C45" s="2" t="s">
        <v>28</v>
      </c>
      <c r="D45" s="2" t="s">
        <v>450</v>
      </c>
      <c r="E45" s="4">
        <v>12.99</v>
      </c>
      <c r="F45" s="4">
        <v>7413.21</v>
      </c>
      <c r="G45" s="3">
        <v>571</v>
      </c>
      <c r="H45" s="6">
        <v>4.5</v>
      </c>
      <c r="I45" s="3">
        <v>665</v>
      </c>
      <c r="J45" s="13" t="str">
        <f>HYPERLINK("https://amazon.com/dp/B0DMK8VRYF","Amazon - B0DMK8VRYF")</f>
        <v>Amazon - B0DMK8VRYF</v>
      </c>
      <c r="K45" s="14" t="s">
        <v>443</v>
      </c>
      <c r="L45" s="14" t="s">
        <v>451</v>
      </c>
      <c r="M45" s="14" t="s">
        <v>445</v>
      </c>
      <c r="N45" s="14" t="s">
        <v>446</v>
      </c>
      <c r="O45" s="14" t="s">
        <v>453</v>
      </c>
    </row>
    <row r="46" spans="1:15" ht="30" x14ac:dyDescent="0.2">
      <c r="A46" s="7" t="s">
        <v>621</v>
      </c>
      <c r="B46" s="7" t="s">
        <v>622</v>
      </c>
      <c r="C46" s="7" t="s">
        <v>49</v>
      </c>
      <c r="D46" s="7" t="s">
        <v>450</v>
      </c>
      <c r="E46" s="9">
        <v>20.93</v>
      </c>
      <c r="F46" s="9">
        <v>10715.88</v>
      </c>
      <c r="G46" s="8">
        <v>561</v>
      </c>
      <c r="H46" s="11">
        <v>4.5</v>
      </c>
      <c r="I46" s="8">
        <v>1989</v>
      </c>
      <c r="J46" s="15" t="str">
        <f>HYPERLINK("https://amazon.com/dp/B0C2P7KP5D","Amazon - B0C2P7KP5D")</f>
        <v>Amazon - B0C2P7KP5D</v>
      </c>
      <c r="K46" s="12" t="s">
        <v>443</v>
      </c>
      <c r="L46" s="12" t="s">
        <v>451</v>
      </c>
      <c r="M46" s="12" t="s">
        <v>445</v>
      </c>
      <c r="N46" s="12" t="s">
        <v>446</v>
      </c>
      <c r="O46" s="12" t="s">
        <v>453</v>
      </c>
    </row>
    <row r="47" spans="1:15" ht="45" x14ac:dyDescent="0.2">
      <c r="A47" s="2" t="s">
        <v>623</v>
      </c>
      <c r="B47" s="2" t="s">
        <v>624</v>
      </c>
      <c r="C47" s="2" t="s">
        <v>24</v>
      </c>
      <c r="D47" s="2" t="s">
        <v>469</v>
      </c>
      <c r="E47" s="4">
        <v>39.979999999999997</v>
      </c>
      <c r="F47" s="4">
        <v>22028.400000000001</v>
      </c>
      <c r="G47" s="3">
        <v>551</v>
      </c>
      <c r="H47" s="6">
        <v>4.5</v>
      </c>
      <c r="I47" s="3">
        <v>136</v>
      </c>
      <c r="J47" s="13" t="str">
        <f>HYPERLINK("https://amazon.com/dp/B0DXKXXNLJ","Amazon - B0DXKXXNLJ")</f>
        <v>Amazon - B0DXKXXNLJ</v>
      </c>
      <c r="K47" s="14" t="s">
        <v>514</v>
      </c>
      <c r="L47" s="14" t="s">
        <v>456</v>
      </c>
      <c r="M47" s="14" t="s">
        <v>511</v>
      </c>
      <c r="N47" s="14" t="s">
        <v>446</v>
      </c>
      <c r="O47" s="14" t="s">
        <v>447</v>
      </c>
    </row>
    <row r="48" spans="1:15" ht="45" x14ac:dyDescent="0.2">
      <c r="A48" s="7" t="s">
        <v>625</v>
      </c>
      <c r="B48" s="7" t="s">
        <v>626</v>
      </c>
      <c r="C48" s="7" t="s">
        <v>18</v>
      </c>
      <c r="D48" s="7" t="s">
        <v>450</v>
      </c>
      <c r="E48" s="9">
        <v>22.94</v>
      </c>
      <c r="F48" s="9">
        <v>13311.84</v>
      </c>
      <c r="G48" s="8">
        <v>505</v>
      </c>
      <c r="H48" s="11">
        <v>4.4000000000000004</v>
      </c>
      <c r="I48" s="8">
        <v>1658</v>
      </c>
      <c r="J48" s="15" t="str">
        <f>HYPERLINK("https://amazon.com/dp/B0DGFBJYG2","Amazon - B0DGFBJYG2")</f>
        <v>Amazon - B0DGFBJYG2</v>
      </c>
      <c r="K48" s="12" t="s">
        <v>443</v>
      </c>
      <c r="L48" s="12" t="s">
        <v>451</v>
      </c>
      <c r="M48" s="12" t="s">
        <v>445</v>
      </c>
      <c r="N48" s="12" t="s">
        <v>452</v>
      </c>
      <c r="O48" s="12" t="s">
        <v>524</v>
      </c>
    </row>
    <row r="49" spans="1:15" ht="45" x14ac:dyDescent="0.2">
      <c r="A49" s="2" t="s">
        <v>539</v>
      </c>
      <c r="B49" s="2" t="s">
        <v>540</v>
      </c>
      <c r="C49" s="2" t="s">
        <v>8</v>
      </c>
      <c r="D49" s="2" t="s">
        <v>472</v>
      </c>
      <c r="E49" s="4">
        <v>79.989999999999995</v>
      </c>
      <c r="F49" s="4">
        <v>37621.43</v>
      </c>
      <c r="G49" s="3">
        <v>489</v>
      </c>
      <c r="H49" s="6">
        <v>4.4000000000000004</v>
      </c>
      <c r="I49" s="3">
        <v>2323</v>
      </c>
      <c r="J49" s="13" t="str">
        <f>HYPERLINK("https://amazon.com/dp/B086X1XGN1","Amazon - B086X1XGN1")</f>
        <v>Amazon - B086X1XGN1</v>
      </c>
      <c r="K49" s="14" t="s">
        <v>443</v>
      </c>
      <c r="L49" s="14" t="s">
        <v>444</v>
      </c>
      <c r="M49" s="14" t="s">
        <v>303</v>
      </c>
      <c r="N49" s="14" t="s">
        <v>452</v>
      </c>
      <c r="O49" s="14" t="s">
        <v>453</v>
      </c>
    </row>
    <row r="50" spans="1:15" ht="30" x14ac:dyDescent="0.2">
      <c r="A50" s="7" t="s">
        <v>528</v>
      </c>
      <c r="B50" s="7" t="s">
        <v>529</v>
      </c>
      <c r="C50" s="7" t="s">
        <v>35</v>
      </c>
      <c r="D50" s="7" t="s">
        <v>442</v>
      </c>
      <c r="E50" s="9">
        <v>99.99</v>
      </c>
      <c r="F50" s="9">
        <v>42439.15</v>
      </c>
      <c r="G50" s="8">
        <v>460</v>
      </c>
      <c r="H50" s="11">
        <v>4.5999999999999996</v>
      </c>
      <c r="I50" s="8">
        <v>89</v>
      </c>
      <c r="J50" s="15" t="str">
        <f>HYPERLINK("https://amazon.com/dp/B082JCSB4Z","Amazon - B082JCSB4Z")</f>
        <v>Amazon - B082JCSB4Z</v>
      </c>
      <c r="K50" s="12" t="s">
        <v>443</v>
      </c>
      <c r="L50" s="12" t="s">
        <v>530</v>
      </c>
      <c r="M50" s="12" t="s">
        <v>303</v>
      </c>
      <c r="N50" s="12" t="s">
        <v>446</v>
      </c>
      <c r="O50" s="12" t="s">
        <v>303</v>
      </c>
    </row>
    <row r="51" spans="1:15" ht="45" x14ac:dyDescent="0.2">
      <c r="A51" s="2" t="s">
        <v>627</v>
      </c>
      <c r="B51" s="2" t="s">
        <v>628</v>
      </c>
      <c r="C51" s="2" t="s">
        <v>18</v>
      </c>
      <c r="D51" s="2" t="s">
        <v>450</v>
      </c>
      <c r="E51" s="4">
        <v>28.89</v>
      </c>
      <c r="F51" s="4">
        <v>14901.34</v>
      </c>
      <c r="G51" s="3">
        <v>453</v>
      </c>
      <c r="H51" s="6">
        <v>4.4000000000000004</v>
      </c>
      <c r="I51" s="3">
        <v>1658</v>
      </c>
      <c r="J51" s="13" t="str">
        <f>HYPERLINK("https://amazon.com/dp/B0DGFC3D9H","Amazon - B0DGFC3D9H")</f>
        <v>Amazon - B0DGFC3D9H</v>
      </c>
      <c r="K51" s="14" t="s">
        <v>443</v>
      </c>
      <c r="L51" s="14" t="s">
        <v>451</v>
      </c>
      <c r="M51" s="14" t="s">
        <v>445</v>
      </c>
      <c r="N51" s="14" t="s">
        <v>452</v>
      </c>
      <c r="O51" s="14" t="s">
        <v>629</v>
      </c>
    </row>
    <row r="52" spans="1:15" ht="45" x14ac:dyDescent="0.2">
      <c r="A52" s="7" t="s">
        <v>630</v>
      </c>
      <c r="B52" s="7" t="s">
        <v>631</v>
      </c>
      <c r="C52" s="7" t="s">
        <v>26</v>
      </c>
      <c r="D52" s="7" t="s">
        <v>442</v>
      </c>
      <c r="E52" s="9">
        <v>39.99</v>
      </c>
      <c r="F52" s="9">
        <v>17013.560000000001</v>
      </c>
      <c r="G52" s="8">
        <v>426</v>
      </c>
      <c r="H52" s="11">
        <v>4.5</v>
      </c>
      <c r="I52" s="8">
        <v>522</v>
      </c>
      <c r="J52" s="15" t="str">
        <f>HYPERLINK("https://amazon.com/dp/B0FGD1CNPW","Amazon - B0FGD1CNPW")</f>
        <v>Amazon - B0FGD1CNPW</v>
      </c>
      <c r="K52" s="12" t="s">
        <v>443</v>
      </c>
      <c r="L52" s="12" t="s">
        <v>456</v>
      </c>
      <c r="M52" s="12" t="s">
        <v>445</v>
      </c>
      <c r="N52" s="12" t="s">
        <v>452</v>
      </c>
      <c r="O52" s="12" t="s">
        <v>453</v>
      </c>
    </row>
  </sheetData>
  <autoFilter ref="A2:O52" xr:uid="{00000000-0009-0000-0000-000002000000}"/>
  <mergeCells count="1">
    <mergeCell ref="A1:O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7"/>
  <sheetViews>
    <sheetView workbookViewId="0">
      <pane ySplit="2" topLeftCell="A3" activePane="bottomLeft" state="frozen"/>
      <selection pane="bottomLeft" activeCell="Y59" sqref="Y59"/>
    </sheetView>
  </sheetViews>
  <sheetFormatPr baseColWidth="10" defaultColWidth="8.83203125" defaultRowHeight="15" x14ac:dyDescent="0.2"/>
  <cols>
    <col min="1" max="1" width="22" customWidth="1"/>
    <col min="2" max="3" width="14" customWidth="1"/>
    <col min="4" max="4" width="12" customWidth="1"/>
    <col min="5" max="5" width="16" customWidth="1"/>
    <col min="6" max="6" width="12" customWidth="1"/>
  </cols>
  <sheetData>
    <row r="1" spans="1:6" ht="34" customHeight="1" x14ac:dyDescent="0.2">
      <c r="A1" s="21" t="s">
        <v>632</v>
      </c>
      <c r="B1" s="22"/>
      <c r="C1" s="22"/>
      <c r="D1" s="22"/>
      <c r="E1" s="22"/>
      <c r="F1" s="22"/>
    </row>
    <row r="2" spans="1:6" ht="30" customHeight="1" x14ac:dyDescent="0.2">
      <c r="A2" s="1" t="s">
        <v>431</v>
      </c>
      <c r="B2" s="1" t="s">
        <v>633</v>
      </c>
      <c r="C2" s="1" t="s">
        <v>634</v>
      </c>
      <c r="D2" s="1" t="s">
        <v>635</v>
      </c>
      <c r="E2" s="1" t="s">
        <v>636</v>
      </c>
      <c r="F2" s="1" t="s">
        <v>637</v>
      </c>
    </row>
    <row r="3" spans="1:6" x14ac:dyDescent="0.2">
      <c r="A3" s="2" t="s">
        <v>442</v>
      </c>
      <c r="B3" s="4">
        <v>231.41</v>
      </c>
      <c r="C3" s="3">
        <v>16562</v>
      </c>
      <c r="D3" s="5">
        <v>0.33950000000000002</v>
      </c>
      <c r="E3" s="4">
        <v>2369652.5</v>
      </c>
      <c r="F3" s="5">
        <v>0.57430000000000003</v>
      </c>
    </row>
    <row r="4" spans="1:6" x14ac:dyDescent="0.2">
      <c r="A4" s="7" t="s">
        <v>450</v>
      </c>
      <c r="B4" s="9">
        <v>39.01</v>
      </c>
      <c r="C4" s="8">
        <v>18543</v>
      </c>
      <c r="D4" s="10">
        <v>0.38009999999999999</v>
      </c>
      <c r="E4" s="9">
        <v>608567.85</v>
      </c>
      <c r="F4" s="10">
        <v>0.14749999999999999</v>
      </c>
    </row>
    <row r="5" spans="1:6" x14ac:dyDescent="0.2">
      <c r="A5" s="2" t="s">
        <v>472</v>
      </c>
      <c r="B5" s="4">
        <v>378.38</v>
      </c>
      <c r="C5" s="3">
        <v>3993</v>
      </c>
      <c r="D5" s="5">
        <v>8.1900000000000001E-2</v>
      </c>
      <c r="E5" s="4">
        <v>555076.54</v>
      </c>
      <c r="F5" s="5">
        <v>0.13450000000000001</v>
      </c>
    </row>
    <row r="6" spans="1:6" x14ac:dyDescent="0.2">
      <c r="A6" s="7" t="s">
        <v>478</v>
      </c>
      <c r="B6" s="9">
        <v>85.67</v>
      </c>
      <c r="C6" s="8">
        <v>7095</v>
      </c>
      <c r="D6" s="10">
        <v>0.1454</v>
      </c>
      <c r="E6" s="9">
        <v>401337.13</v>
      </c>
      <c r="F6" s="10">
        <v>9.7299999999999998E-2</v>
      </c>
    </row>
    <row r="7" spans="1:6" x14ac:dyDescent="0.2">
      <c r="A7" s="2" t="s">
        <v>469</v>
      </c>
      <c r="B7" s="4">
        <v>77.319999999999993</v>
      </c>
      <c r="C7" s="3">
        <v>2588</v>
      </c>
      <c r="D7" s="5">
        <v>5.3100000000000001E-2</v>
      </c>
      <c r="E7" s="4">
        <v>191838.64</v>
      </c>
      <c r="F7" s="5">
        <v>4.65E-2</v>
      </c>
    </row>
    <row r="9" spans="1:6" ht="30" customHeight="1" x14ac:dyDescent="0.2">
      <c r="A9" s="1" t="s">
        <v>435</v>
      </c>
      <c r="B9" s="1" t="s">
        <v>633</v>
      </c>
      <c r="C9" s="1" t="s">
        <v>634</v>
      </c>
      <c r="D9" s="1" t="s">
        <v>635</v>
      </c>
      <c r="E9" s="1" t="s">
        <v>636</v>
      </c>
      <c r="F9" s="1" t="s">
        <v>637</v>
      </c>
    </row>
    <row r="10" spans="1:6" x14ac:dyDescent="0.2">
      <c r="A10" s="2" t="s">
        <v>443</v>
      </c>
      <c r="B10" s="4">
        <v>185.64</v>
      </c>
      <c r="C10" s="3">
        <v>43307</v>
      </c>
      <c r="D10" s="5">
        <v>0.88780000000000003</v>
      </c>
      <c r="E10" s="4">
        <v>3710519.57</v>
      </c>
      <c r="F10" s="5">
        <v>0.8992</v>
      </c>
    </row>
    <row r="11" spans="1:6" x14ac:dyDescent="0.2">
      <c r="A11" s="7" t="s">
        <v>482</v>
      </c>
      <c r="B11" s="9">
        <v>443.99</v>
      </c>
      <c r="C11" s="8">
        <v>572</v>
      </c>
      <c r="D11" s="10">
        <v>1.17E-2</v>
      </c>
      <c r="E11" s="9">
        <v>239486.11</v>
      </c>
      <c r="F11" s="10">
        <v>5.8000000000000003E-2</v>
      </c>
    </row>
    <row r="12" spans="1:6" x14ac:dyDescent="0.2">
      <c r="A12" s="2" t="s">
        <v>514</v>
      </c>
      <c r="B12" s="4">
        <v>35.479999999999997</v>
      </c>
      <c r="C12" s="3">
        <v>4902</v>
      </c>
      <c r="D12" s="5">
        <v>0.10050000000000001</v>
      </c>
      <c r="E12" s="4">
        <v>176466.98</v>
      </c>
      <c r="F12" s="5">
        <v>4.2799999999999998E-2</v>
      </c>
    </row>
    <row r="14" spans="1:6" ht="30" customHeight="1" x14ac:dyDescent="0.2">
      <c r="A14" s="1" t="s">
        <v>436</v>
      </c>
      <c r="B14" s="1" t="s">
        <v>633</v>
      </c>
      <c r="C14" s="1" t="s">
        <v>634</v>
      </c>
      <c r="D14" s="1" t="s">
        <v>635</v>
      </c>
      <c r="E14" s="1" t="s">
        <v>636</v>
      </c>
      <c r="F14" s="1" t="s">
        <v>637</v>
      </c>
    </row>
    <row r="15" spans="1:6" x14ac:dyDescent="0.2">
      <c r="A15" s="2" t="s">
        <v>444</v>
      </c>
      <c r="B15" s="4">
        <v>109.79</v>
      </c>
      <c r="C15" s="3">
        <v>10467</v>
      </c>
      <c r="D15" s="5">
        <v>0.21460000000000001</v>
      </c>
      <c r="E15" s="4">
        <v>1341361.03</v>
      </c>
      <c r="F15" s="5">
        <v>0.3251</v>
      </c>
    </row>
    <row r="16" spans="1:6" x14ac:dyDescent="0.2">
      <c r="A16" s="7" t="s">
        <v>461</v>
      </c>
      <c r="B16" s="9">
        <v>190.54</v>
      </c>
      <c r="C16" s="8">
        <v>8026</v>
      </c>
      <c r="D16" s="10">
        <v>0.16450000000000001</v>
      </c>
      <c r="E16" s="9">
        <v>1021090.76</v>
      </c>
      <c r="F16" s="10">
        <v>0.24740000000000001</v>
      </c>
    </row>
    <row r="17" spans="1:6" x14ac:dyDescent="0.2">
      <c r="A17" s="2" t="s">
        <v>456</v>
      </c>
      <c r="B17" s="4">
        <v>96.94</v>
      </c>
      <c r="C17" s="3">
        <v>10568</v>
      </c>
      <c r="D17" s="5">
        <v>0.21659999999999999</v>
      </c>
      <c r="E17" s="4">
        <v>723384.57</v>
      </c>
      <c r="F17" s="5">
        <v>0.17530000000000001</v>
      </c>
    </row>
    <row r="18" spans="1:6" x14ac:dyDescent="0.2">
      <c r="A18" s="7" t="s">
        <v>451</v>
      </c>
      <c r="B18" s="9">
        <v>39.01</v>
      </c>
      <c r="C18" s="8">
        <v>18543</v>
      </c>
      <c r="D18" s="10">
        <v>0.38009999999999999</v>
      </c>
      <c r="E18" s="9">
        <v>608567.85</v>
      </c>
      <c r="F18" s="10">
        <v>0.14749999999999999</v>
      </c>
    </row>
    <row r="19" spans="1:6" x14ac:dyDescent="0.2">
      <c r="A19" s="2" t="s">
        <v>502</v>
      </c>
      <c r="B19" s="4">
        <v>568.35</v>
      </c>
      <c r="C19" s="3">
        <v>479</v>
      </c>
      <c r="D19" s="5">
        <v>9.7999999999999997E-3</v>
      </c>
      <c r="E19" s="4">
        <v>233711.76</v>
      </c>
      <c r="F19" s="5">
        <v>5.6599999999999998E-2</v>
      </c>
    </row>
    <row r="20" spans="1:6" x14ac:dyDescent="0.2">
      <c r="A20" s="7" t="s">
        <v>483</v>
      </c>
      <c r="B20" s="9">
        <v>604.99</v>
      </c>
      <c r="C20" s="8">
        <v>204</v>
      </c>
      <c r="D20" s="10">
        <v>4.1999999999999997E-3</v>
      </c>
      <c r="E20" s="9">
        <v>125025.96</v>
      </c>
      <c r="F20" s="10">
        <v>3.0300000000000001E-2</v>
      </c>
    </row>
    <row r="21" spans="1:6" x14ac:dyDescent="0.2">
      <c r="A21" s="2" t="s">
        <v>530</v>
      </c>
      <c r="B21" s="4">
        <v>99.99</v>
      </c>
      <c r="C21" s="3">
        <v>460</v>
      </c>
      <c r="D21" s="5">
        <v>9.4000000000000004E-3</v>
      </c>
      <c r="E21" s="4">
        <v>42439.15</v>
      </c>
      <c r="F21" s="5">
        <v>1.03E-2</v>
      </c>
    </row>
    <row r="22" spans="1:6" x14ac:dyDescent="0.2">
      <c r="A22" s="7" t="s">
        <v>564</v>
      </c>
      <c r="B22" s="9">
        <v>899.99</v>
      </c>
      <c r="C22" s="8">
        <v>34</v>
      </c>
      <c r="D22" s="10">
        <v>6.9999999999999999E-4</v>
      </c>
      <c r="E22" s="9">
        <v>30891.58</v>
      </c>
      <c r="F22" s="10">
        <v>7.4999999999999997E-3</v>
      </c>
    </row>
    <row r="24" spans="1:6" ht="30" customHeight="1" x14ac:dyDescent="0.2">
      <c r="A24" s="1" t="s">
        <v>437</v>
      </c>
      <c r="B24" s="1" t="s">
        <v>633</v>
      </c>
      <c r="C24" s="1" t="s">
        <v>634</v>
      </c>
      <c r="D24" s="1" t="s">
        <v>635</v>
      </c>
      <c r="E24" s="1" t="s">
        <v>636</v>
      </c>
      <c r="F24" s="1" t="s">
        <v>637</v>
      </c>
    </row>
    <row r="25" spans="1:6" x14ac:dyDescent="0.2">
      <c r="A25" s="2" t="s">
        <v>445</v>
      </c>
      <c r="B25" s="4">
        <v>77.569999999999993</v>
      </c>
      <c r="C25" s="3">
        <v>36204</v>
      </c>
      <c r="D25" s="5">
        <v>0.74219999999999997</v>
      </c>
      <c r="E25" s="4">
        <v>2359068.9900000002</v>
      </c>
      <c r="F25" s="5">
        <v>0.57169999999999999</v>
      </c>
    </row>
    <row r="26" spans="1:6" x14ac:dyDescent="0.2">
      <c r="A26" s="7" t="s">
        <v>303</v>
      </c>
      <c r="B26" s="9">
        <v>212.94</v>
      </c>
      <c r="C26" s="8">
        <v>5458</v>
      </c>
      <c r="D26" s="10">
        <v>0.1119</v>
      </c>
      <c r="E26" s="9">
        <v>604183.79</v>
      </c>
      <c r="F26" s="10">
        <v>0.1464</v>
      </c>
    </row>
    <row r="27" spans="1:6" x14ac:dyDescent="0.2">
      <c r="A27" s="2" t="s">
        <v>462</v>
      </c>
      <c r="B27" s="4">
        <v>130.38999999999999</v>
      </c>
      <c r="C27" s="3">
        <v>3272</v>
      </c>
      <c r="D27" s="5">
        <v>6.7100000000000007E-2</v>
      </c>
      <c r="E27" s="4">
        <v>408239.93</v>
      </c>
      <c r="F27" s="5">
        <v>9.8900000000000002E-2</v>
      </c>
    </row>
    <row r="28" spans="1:6" x14ac:dyDescent="0.2">
      <c r="A28" s="7" t="s">
        <v>457</v>
      </c>
      <c r="B28" s="9">
        <v>89.69</v>
      </c>
      <c r="C28" s="8">
        <v>2193</v>
      </c>
      <c r="D28" s="10">
        <v>4.4999999999999998E-2</v>
      </c>
      <c r="E28" s="9">
        <v>226877.29</v>
      </c>
      <c r="F28" s="10">
        <v>5.5E-2</v>
      </c>
    </row>
    <row r="29" spans="1:6" x14ac:dyDescent="0.2">
      <c r="A29" s="2" t="s">
        <v>484</v>
      </c>
      <c r="B29" s="4">
        <v>479.99</v>
      </c>
      <c r="C29" s="3">
        <v>276</v>
      </c>
      <c r="D29" s="5">
        <v>5.7000000000000002E-3</v>
      </c>
      <c r="E29" s="4">
        <v>141858.18</v>
      </c>
      <c r="F29" s="5">
        <v>3.44E-2</v>
      </c>
    </row>
    <row r="30" spans="1:6" x14ac:dyDescent="0.2">
      <c r="A30" s="7" t="s">
        <v>499</v>
      </c>
      <c r="B30" s="9">
        <v>253.32</v>
      </c>
      <c r="C30" s="8">
        <v>571</v>
      </c>
      <c r="D30" s="10">
        <v>1.17E-2</v>
      </c>
      <c r="E30" s="9">
        <v>131203.82</v>
      </c>
      <c r="F30" s="10">
        <v>3.1800000000000002E-2</v>
      </c>
    </row>
    <row r="31" spans="1:6" x14ac:dyDescent="0.2">
      <c r="A31" s="2" t="s">
        <v>511</v>
      </c>
      <c r="B31" s="4">
        <v>524.99</v>
      </c>
      <c r="C31" s="3">
        <v>222</v>
      </c>
      <c r="D31" s="5">
        <v>4.5999999999999999E-3</v>
      </c>
      <c r="E31" s="4">
        <v>92038.04</v>
      </c>
      <c r="F31" s="5">
        <v>2.23E-2</v>
      </c>
    </row>
    <row r="32" spans="1:6" x14ac:dyDescent="0.2">
      <c r="A32" s="7" t="s">
        <v>503</v>
      </c>
      <c r="B32" s="9">
        <v>879.99</v>
      </c>
      <c r="C32" s="8">
        <v>69</v>
      </c>
      <c r="D32" s="10">
        <v>1.4E-3</v>
      </c>
      <c r="E32" s="9">
        <v>61138.43</v>
      </c>
      <c r="F32" s="10">
        <v>1.4800000000000001E-2</v>
      </c>
    </row>
    <row r="33" spans="1:6" x14ac:dyDescent="0.2">
      <c r="A33" s="2" t="s">
        <v>535</v>
      </c>
      <c r="B33" s="4">
        <v>89.99</v>
      </c>
      <c r="C33" s="3">
        <v>363</v>
      </c>
      <c r="D33" s="5">
        <v>7.4000000000000003E-3</v>
      </c>
      <c r="E33" s="4">
        <v>41716.44</v>
      </c>
      <c r="F33" s="5">
        <v>1.01E-2</v>
      </c>
    </row>
    <row r="34" spans="1:6" x14ac:dyDescent="0.2">
      <c r="A34" s="7" t="s">
        <v>565</v>
      </c>
      <c r="B34" s="9">
        <v>899.99</v>
      </c>
      <c r="C34" s="8">
        <v>34</v>
      </c>
      <c r="D34" s="10">
        <v>6.9999999999999999E-4</v>
      </c>
      <c r="E34" s="9">
        <v>30891.58</v>
      </c>
      <c r="F34" s="10">
        <v>7.4999999999999997E-3</v>
      </c>
    </row>
    <row r="35" spans="1:6" x14ac:dyDescent="0.2">
      <c r="A35" s="2" t="s">
        <v>577</v>
      </c>
      <c r="B35" s="4">
        <v>259.99</v>
      </c>
      <c r="C35" s="3">
        <v>119</v>
      </c>
      <c r="D35" s="5">
        <v>2.3999999999999998E-3</v>
      </c>
      <c r="E35" s="4">
        <v>29256.17</v>
      </c>
      <c r="F35" s="5">
        <v>7.1000000000000004E-3</v>
      </c>
    </row>
    <row r="37" spans="1:6" ht="30" customHeight="1" x14ac:dyDescent="0.2">
      <c r="A37" s="1" t="s">
        <v>438</v>
      </c>
      <c r="B37" s="1" t="s">
        <v>633</v>
      </c>
      <c r="C37" s="1" t="s">
        <v>634</v>
      </c>
      <c r="D37" s="1" t="s">
        <v>635</v>
      </c>
      <c r="E37" s="1" t="s">
        <v>636</v>
      </c>
      <c r="F37" s="1" t="s">
        <v>637</v>
      </c>
    </row>
    <row r="38" spans="1:6" x14ac:dyDescent="0.2">
      <c r="A38" s="2" t="s">
        <v>446</v>
      </c>
      <c r="B38" s="4">
        <v>257.72000000000003</v>
      </c>
      <c r="C38" s="3">
        <v>28159</v>
      </c>
      <c r="D38" s="5">
        <v>0.57730000000000004</v>
      </c>
      <c r="E38" s="4">
        <v>2606707.0699999998</v>
      </c>
      <c r="F38" s="5">
        <v>0.63170000000000004</v>
      </c>
    </row>
    <row r="39" spans="1:6" x14ac:dyDescent="0.2">
      <c r="A39" s="7" t="s">
        <v>452</v>
      </c>
      <c r="B39" s="9">
        <v>122.28</v>
      </c>
      <c r="C39" s="8">
        <v>17798</v>
      </c>
      <c r="D39" s="10">
        <v>0.3649</v>
      </c>
      <c r="E39" s="9">
        <v>1261771.49</v>
      </c>
      <c r="F39" s="10">
        <v>0.30580000000000002</v>
      </c>
    </row>
    <row r="40" spans="1:6" x14ac:dyDescent="0.2">
      <c r="A40" s="2" t="s">
        <v>473</v>
      </c>
      <c r="B40" s="4">
        <v>99.42</v>
      </c>
      <c r="C40" s="3">
        <v>2824</v>
      </c>
      <c r="D40" s="5">
        <v>5.79E-2</v>
      </c>
      <c r="E40" s="4">
        <v>257994.1</v>
      </c>
      <c r="F40" s="5">
        <v>6.25E-2</v>
      </c>
    </row>
    <row r="42" spans="1:6" ht="30" customHeight="1" x14ac:dyDescent="0.2">
      <c r="A42" s="1" t="s">
        <v>439</v>
      </c>
      <c r="B42" s="1" t="s">
        <v>633</v>
      </c>
      <c r="C42" s="1" t="s">
        <v>634</v>
      </c>
      <c r="D42" s="1" t="s">
        <v>635</v>
      </c>
      <c r="E42" s="1" t="s">
        <v>636</v>
      </c>
      <c r="F42" s="1" t="s">
        <v>637</v>
      </c>
    </row>
    <row r="43" spans="1:6" x14ac:dyDescent="0.2">
      <c r="A43" s="2" t="s">
        <v>447</v>
      </c>
      <c r="B43" s="4">
        <v>258.58999999999997</v>
      </c>
      <c r="C43" s="3">
        <v>13201</v>
      </c>
      <c r="D43" s="5">
        <v>0.27060000000000001</v>
      </c>
      <c r="E43" s="4">
        <v>1931356.83</v>
      </c>
      <c r="F43" s="5">
        <v>0.46800000000000003</v>
      </c>
    </row>
    <row r="44" spans="1:6" x14ac:dyDescent="0.2">
      <c r="A44" s="7" t="s">
        <v>453</v>
      </c>
      <c r="B44" s="9">
        <v>52.8</v>
      </c>
      <c r="C44" s="8">
        <v>26202</v>
      </c>
      <c r="D44" s="10">
        <v>0.53710000000000002</v>
      </c>
      <c r="E44" s="9">
        <v>1070192.82</v>
      </c>
      <c r="F44" s="10">
        <v>0.25929999999999997</v>
      </c>
    </row>
    <row r="45" spans="1:6" x14ac:dyDescent="0.2">
      <c r="A45" s="2" t="s">
        <v>458</v>
      </c>
      <c r="B45" s="4">
        <v>139.38999999999999</v>
      </c>
      <c r="C45" s="3">
        <v>1401</v>
      </c>
      <c r="D45" s="5">
        <v>2.87E-2</v>
      </c>
      <c r="E45" s="4">
        <v>195203.83</v>
      </c>
      <c r="F45" s="5">
        <v>4.7300000000000002E-2</v>
      </c>
    </row>
    <row r="46" spans="1:6" x14ac:dyDescent="0.2">
      <c r="A46" s="7" t="s">
        <v>303</v>
      </c>
      <c r="B46" s="9">
        <v>83.82</v>
      </c>
      <c r="C46" s="8">
        <v>1918</v>
      </c>
      <c r="D46" s="10">
        <v>3.9300000000000002E-2</v>
      </c>
      <c r="E46" s="9">
        <v>171778.8</v>
      </c>
      <c r="F46" s="10">
        <v>4.1599999999999998E-2</v>
      </c>
    </row>
    <row r="47" spans="1:6" x14ac:dyDescent="0.2">
      <c r="A47" s="2" t="s">
        <v>517</v>
      </c>
      <c r="B47" s="4">
        <v>566.66</v>
      </c>
      <c r="C47" s="3">
        <v>276</v>
      </c>
      <c r="D47" s="5">
        <v>5.7000000000000002E-3</v>
      </c>
      <c r="E47" s="4">
        <v>127432.02</v>
      </c>
      <c r="F47" s="5">
        <v>3.09E-2</v>
      </c>
    </row>
    <row r="48" spans="1:6" x14ac:dyDescent="0.2">
      <c r="A48" s="7" t="s">
        <v>479</v>
      </c>
      <c r="B48" s="9">
        <v>88.89</v>
      </c>
      <c r="C48" s="8">
        <v>1679</v>
      </c>
      <c r="D48" s="10">
        <v>3.44E-2</v>
      </c>
      <c r="E48" s="9">
        <v>124847.35</v>
      </c>
      <c r="F48" s="10">
        <v>3.0300000000000001E-2</v>
      </c>
    </row>
    <row r="49" spans="1:6" x14ac:dyDescent="0.2">
      <c r="A49" s="2" t="s">
        <v>487</v>
      </c>
      <c r="B49" s="4">
        <v>74.98</v>
      </c>
      <c r="C49" s="3">
        <v>1670</v>
      </c>
      <c r="D49" s="5">
        <v>3.4200000000000001E-2</v>
      </c>
      <c r="E49" s="4">
        <v>116750.99</v>
      </c>
      <c r="F49" s="5">
        <v>2.8299999999999999E-2</v>
      </c>
    </row>
    <row r="50" spans="1:6" x14ac:dyDescent="0.2">
      <c r="A50" s="7" t="s">
        <v>524</v>
      </c>
      <c r="B50" s="9">
        <v>135.99</v>
      </c>
      <c r="C50" s="8">
        <v>560</v>
      </c>
      <c r="D50" s="10">
        <v>1.15E-2</v>
      </c>
      <c r="E50" s="9">
        <v>75699.740000000005</v>
      </c>
      <c r="F50" s="10">
        <v>1.83E-2</v>
      </c>
    </row>
    <row r="51" spans="1:6" x14ac:dyDescent="0.2">
      <c r="A51" s="2" t="s">
        <v>494</v>
      </c>
      <c r="B51" s="4">
        <v>79.989999999999995</v>
      </c>
      <c r="C51" s="3">
        <v>889</v>
      </c>
      <c r="D51" s="5">
        <v>1.8200000000000001E-2</v>
      </c>
      <c r="E51" s="4">
        <v>67852.11</v>
      </c>
      <c r="F51" s="5">
        <v>1.6400000000000001E-2</v>
      </c>
    </row>
    <row r="52" spans="1:6" x14ac:dyDescent="0.2">
      <c r="A52" s="7" t="s">
        <v>504</v>
      </c>
      <c r="B52" s="9">
        <v>879.99</v>
      </c>
      <c r="C52" s="8">
        <v>69</v>
      </c>
      <c r="D52" s="10">
        <v>1.4E-3</v>
      </c>
      <c r="E52" s="9">
        <v>61138.43</v>
      </c>
      <c r="F52" s="10">
        <v>1.4800000000000001E-2</v>
      </c>
    </row>
    <row r="53" spans="1:6" x14ac:dyDescent="0.2">
      <c r="A53" s="2" t="s">
        <v>527</v>
      </c>
      <c r="B53" s="4">
        <v>405.9</v>
      </c>
      <c r="C53" s="3">
        <v>127</v>
      </c>
      <c r="D53" s="5">
        <v>2.5999999999999999E-3</v>
      </c>
      <c r="E53" s="4">
        <v>45319.56</v>
      </c>
      <c r="F53" s="5">
        <v>1.0999999999999999E-2</v>
      </c>
    </row>
    <row r="54" spans="1:6" x14ac:dyDescent="0.2">
      <c r="A54" s="7" t="s">
        <v>536</v>
      </c>
      <c r="B54" s="9">
        <v>89.99</v>
      </c>
      <c r="C54" s="8">
        <v>363</v>
      </c>
      <c r="D54" s="10">
        <v>7.4000000000000003E-3</v>
      </c>
      <c r="E54" s="9">
        <v>41716.44</v>
      </c>
      <c r="F54" s="10">
        <v>1.01E-2</v>
      </c>
    </row>
    <row r="55" spans="1:6" x14ac:dyDescent="0.2">
      <c r="A55" s="2" t="s">
        <v>543</v>
      </c>
      <c r="B55" s="4">
        <v>139.99</v>
      </c>
      <c r="C55" s="3">
        <v>266</v>
      </c>
      <c r="D55" s="5">
        <v>5.4999999999999997E-3</v>
      </c>
      <c r="E55" s="4">
        <v>37214.239999999998</v>
      </c>
      <c r="F55" s="5">
        <v>8.9999999999999993E-3</v>
      </c>
    </row>
    <row r="56" spans="1:6" x14ac:dyDescent="0.2">
      <c r="A56" s="7" t="s">
        <v>570</v>
      </c>
      <c r="B56" s="9">
        <v>755.9</v>
      </c>
      <c r="C56" s="8">
        <v>41</v>
      </c>
      <c r="D56" s="10">
        <v>8.0000000000000004E-4</v>
      </c>
      <c r="E56" s="9">
        <v>30713.33</v>
      </c>
      <c r="F56" s="10">
        <v>7.4000000000000003E-3</v>
      </c>
    </row>
    <row r="57" spans="1:6" x14ac:dyDescent="0.2">
      <c r="A57" s="2" t="s">
        <v>578</v>
      </c>
      <c r="B57" s="4">
        <v>259.99</v>
      </c>
      <c r="C57" s="3">
        <v>119</v>
      </c>
      <c r="D57" s="5">
        <v>2.3999999999999998E-3</v>
      </c>
      <c r="E57" s="4">
        <v>29256.17</v>
      </c>
      <c r="F57" s="5">
        <v>7.1000000000000004E-3</v>
      </c>
    </row>
  </sheetData>
  <mergeCells count="1">
    <mergeCell ref="A1:F1"/>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
  <sheetViews>
    <sheetView workbookViewId="0">
      <pane ySplit="2" topLeftCell="A3" activePane="bottomLeft" state="frozen"/>
      <selection pane="bottomLeft" activeCell="D15" sqref="D15"/>
    </sheetView>
  </sheetViews>
  <sheetFormatPr baseColWidth="10" defaultColWidth="8.83203125" defaultRowHeight="15" x14ac:dyDescent="0.2"/>
  <cols>
    <col min="1" max="2" width="16" customWidth="1"/>
    <col min="3" max="3" width="14" customWidth="1"/>
    <col min="4" max="6" width="12" customWidth="1"/>
  </cols>
  <sheetData>
    <row r="1" spans="1:6" ht="34" customHeight="1" x14ac:dyDescent="0.2">
      <c r="A1" s="21" t="s">
        <v>638</v>
      </c>
      <c r="B1" s="22"/>
      <c r="C1" s="22"/>
      <c r="D1" s="22"/>
      <c r="E1" s="22"/>
      <c r="F1" s="22"/>
    </row>
    <row r="2" spans="1:6" ht="30" customHeight="1" x14ac:dyDescent="0.2">
      <c r="A2" s="1" t="s">
        <v>639</v>
      </c>
      <c r="B2" s="1" t="s">
        <v>640</v>
      </c>
      <c r="C2" s="1" t="s">
        <v>641</v>
      </c>
      <c r="D2" s="1" t="s">
        <v>642</v>
      </c>
      <c r="E2" s="1" t="s">
        <v>643</v>
      </c>
      <c r="F2" s="1" t="s">
        <v>633</v>
      </c>
    </row>
    <row r="3" spans="1:6" x14ac:dyDescent="0.2">
      <c r="A3" s="2" t="s">
        <v>644</v>
      </c>
      <c r="B3" s="4">
        <v>1477658.12</v>
      </c>
      <c r="C3" s="3">
        <v>52432</v>
      </c>
      <c r="D3" s="5">
        <v>0.2026</v>
      </c>
      <c r="E3" s="5">
        <v>0.55600000000000005</v>
      </c>
      <c r="F3" s="4">
        <v>22.96</v>
      </c>
    </row>
    <row r="4" spans="1:6" x14ac:dyDescent="0.2">
      <c r="A4" s="7" t="s">
        <v>645</v>
      </c>
      <c r="B4" s="9">
        <v>285948.75</v>
      </c>
      <c r="C4" s="8">
        <v>5819</v>
      </c>
      <c r="D4" s="10">
        <v>3.9199999999999999E-2</v>
      </c>
      <c r="E4" s="10">
        <v>6.1699999999999998E-2</v>
      </c>
      <c r="F4" s="9">
        <v>50.25</v>
      </c>
    </row>
    <row r="5" spans="1:6" x14ac:dyDescent="0.2">
      <c r="A5" s="2" t="s">
        <v>646</v>
      </c>
      <c r="B5" s="4">
        <v>758915.91</v>
      </c>
      <c r="C5" s="3">
        <v>9775</v>
      </c>
      <c r="D5" s="5">
        <v>0.1041</v>
      </c>
      <c r="E5" s="5">
        <v>0.1037</v>
      </c>
      <c r="F5" s="4">
        <v>75.78</v>
      </c>
    </row>
    <row r="6" spans="1:6" x14ac:dyDescent="0.2">
      <c r="A6" s="7" t="s">
        <v>647</v>
      </c>
      <c r="B6" s="9">
        <v>223889.6</v>
      </c>
      <c r="C6" s="8">
        <v>2246</v>
      </c>
      <c r="D6" s="10">
        <v>3.0700000000000002E-2</v>
      </c>
      <c r="E6" s="10">
        <v>2.3800000000000002E-2</v>
      </c>
      <c r="F6" s="9">
        <v>97.74</v>
      </c>
    </row>
    <row r="7" spans="1:6" x14ac:dyDescent="0.2">
      <c r="A7" s="2" t="s">
        <v>648</v>
      </c>
      <c r="B7" s="4">
        <v>2120972.9900000002</v>
      </c>
      <c r="C7" s="3">
        <v>16366</v>
      </c>
      <c r="D7" s="5">
        <v>0.29089999999999999</v>
      </c>
      <c r="E7" s="5">
        <v>0.1736</v>
      </c>
      <c r="F7" s="4">
        <v>128.35</v>
      </c>
    </row>
    <row r="8" spans="1:6" x14ac:dyDescent="0.2">
      <c r="A8" s="7" t="s">
        <v>649</v>
      </c>
      <c r="B8" s="9">
        <v>425464.97</v>
      </c>
      <c r="C8" s="8">
        <v>2716</v>
      </c>
      <c r="D8" s="10">
        <v>5.8299999999999998E-2</v>
      </c>
      <c r="E8" s="10">
        <v>2.8799999999999999E-2</v>
      </c>
      <c r="F8" s="9">
        <v>176.65</v>
      </c>
    </row>
    <row r="9" spans="1:6" x14ac:dyDescent="0.2">
      <c r="A9" s="2" t="s">
        <v>650</v>
      </c>
      <c r="B9" s="4">
        <v>1999330.89</v>
      </c>
      <c r="C9" s="3">
        <v>4944</v>
      </c>
      <c r="D9" s="5">
        <v>0.2742</v>
      </c>
      <c r="E9" s="5">
        <v>5.2400000000000002E-2</v>
      </c>
      <c r="F9" s="4">
        <v>482</v>
      </c>
    </row>
  </sheetData>
  <mergeCells count="1">
    <mergeCell ref="A1:F1"/>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595"/>
  <sheetViews>
    <sheetView workbookViewId="0">
      <pane ySplit="2" topLeftCell="A3" activePane="bottomLeft" state="frozen"/>
      <selection pane="bottomLeft" activeCell="D15" sqref="D15"/>
    </sheetView>
  </sheetViews>
  <sheetFormatPr baseColWidth="10" defaultColWidth="8.83203125" defaultRowHeight="15" x14ac:dyDescent="0.2"/>
  <cols>
    <col min="1" max="1" width="14" customWidth="1"/>
    <col min="2" max="2" width="62" customWidth="1"/>
    <col min="3" max="3" width="18" customWidth="1"/>
    <col min="4" max="4" width="16" customWidth="1"/>
    <col min="5" max="5" width="12" customWidth="1"/>
    <col min="6" max="7" width="16" customWidth="1"/>
    <col min="8" max="8" width="12" customWidth="1"/>
    <col min="9" max="9" width="14" customWidth="1"/>
    <col min="10" max="10" width="22" customWidth="1"/>
    <col min="11" max="11" width="12" customWidth="1"/>
    <col min="12" max="12" width="14" customWidth="1"/>
    <col min="13" max="13" width="16" customWidth="1"/>
    <col min="14" max="14" width="12" customWidth="1"/>
    <col min="15" max="15" width="14" customWidth="1"/>
  </cols>
  <sheetData>
    <row r="1" spans="1:15" ht="34" customHeight="1" x14ac:dyDescent="0.2">
      <c r="A1" s="21" t="s">
        <v>651</v>
      </c>
      <c r="B1" s="22"/>
      <c r="C1" s="22"/>
      <c r="D1" s="22"/>
      <c r="E1" s="22"/>
      <c r="F1" s="22"/>
      <c r="G1" s="22"/>
      <c r="H1" s="22"/>
      <c r="I1" s="22"/>
      <c r="J1" s="22"/>
      <c r="K1" s="22"/>
      <c r="L1" s="22"/>
      <c r="M1" s="22"/>
      <c r="N1" s="22"/>
      <c r="O1" s="22"/>
    </row>
    <row r="2" spans="1:15" ht="30" customHeight="1" x14ac:dyDescent="0.2">
      <c r="A2" s="1" t="s">
        <v>429</v>
      </c>
      <c r="B2" s="1" t="s">
        <v>430</v>
      </c>
      <c r="C2" s="1" t="s">
        <v>1</v>
      </c>
      <c r="D2" s="1" t="s">
        <v>431</v>
      </c>
      <c r="E2" s="1" t="s">
        <v>432</v>
      </c>
      <c r="F2" s="1" t="s">
        <v>3</v>
      </c>
      <c r="G2" s="1" t="s">
        <v>4</v>
      </c>
      <c r="H2" s="1" t="s">
        <v>7</v>
      </c>
      <c r="I2" s="1" t="s">
        <v>433</v>
      </c>
      <c r="J2" s="1" t="s">
        <v>434</v>
      </c>
      <c r="K2" s="1" t="s">
        <v>435</v>
      </c>
      <c r="L2" s="1" t="s">
        <v>436</v>
      </c>
      <c r="M2" s="1" t="s">
        <v>437</v>
      </c>
      <c r="N2" s="1" t="s">
        <v>438</v>
      </c>
      <c r="O2" s="1" t="s">
        <v>439</v>
      </c>
    </row>
    <row r="3" spans="1:15" ht="45" x14ac:dyDescent="0.2">
      <c r="A3" s="2" t="s">
        <v>440</v>
      </c>
      <c r="B3" s="2" t="s">
        <v>441</v>
      </c>
      <c r="C3" s="2" t="s">
        <v>8</v>
      </c>
      <c r="D3" s="2" t="s">
        <v>442</v>
      </c>
      <c r="E3" s="4">
        <v>103.98</v>
      </c>
      <c r="F3" s="4">
        <v>1039447.5</v>
      </c>
      <c r="G3" s="3">
        <v>8093</v>
      </c>
      <c r="H3" s="6">
        <v>4.5999999999999996</v>
      </c>
      <c r="I3" s="3">
        <v>1542</v>
      </c>
      <c r="J3" s="13" t="str">
        <f>HYPERLINK("https://amazon.com/dp/B0CJY5C9QX","Amazon - B0CJY5C9QX")</f>
        <v>Amazon - B0CJY5C9QX</v>
      </c>
      <c r="K3" s="14" t="s">
        <v>443</v>
      </c>
      <c r="L3" s="14" t="s">
        <v>444</v>
      </c>
      <c r="M3" s="14" t="s">
        <v>445</v>
      </c>
      <c r="N3" s="14" t="s">
        <v>446</v>
      </c>
      <c r="O3" s="14" t="s">
        <v>447</v>
      </c>
    </row>
    <row r="4" spans="1:15" ht="45" x14ac:dyDescent="0.2">
      <c r="A4" s="2" t="s">
        <v>448</v>
      </c>
      <c r="B4" s="2" t="s">
        <v>449</v>
      </c>
      <c r="C4" s="2" t="s">
        <v>10</v>
      </c>
      <c r="D4" s="2" t="s">
        <v>450</v>
      </c>
      <c r="E4" s="4">
        <v>35.99</v>
      </c>
      <c r="F4" s="4">
        <v>206884.29</v>
      </c>
      <c r="G4" s="3">
        <v>5800</v>
      </c>
      <c r="H4" s="6">
        <v>4.3</v>
      </c>
      <c r="I4" s="3">
        <v>6029</v>
      </c>
      <c r="J4" s="13" t="str">
        <f>HYPERLINK("https://amazon.com/dp/B0C9JR3N4W","Amazon - B0C9JR3N4W")</f>
        <v>Amazon - B0C9JR3N4W</v>
      </c>
      <c r="K4" s="14" t="s">
        <v>443</v>
      </c>
      <c r="L4" s="14" t="s">
        <v>451</v>
      </c>
      <c r="M4" s="14" t="s">
        <v>445</v>
      </c>
      <c r="N4" s="14" t="s">
        <v>452</v>
      </c>
      <c r="O4" s="14" t="s">
        <v>453</v>
      </c>
    </row>
    <row r="5" spans="1:15" ht="30" x14ac:dyDescent="0.2">
      <c r="A5" s="2" t="s">
        <v>454</v>
      </c>
      <c r="B5" s="2" t="s">
        <v>455</v>
      </c>
      <c r="C5" s="2" t="s">
        <v>12</v>
      </c>
      <c r="D5" s="2" t="s">
        <v>442</v>
      </c>
      <c r="E5" s="4">
        <v>139.38999999999999</v>
      </c>
      <c r="F5" s="4">
        <v>195203.83</v>
      </c>
      <c r="G5" s="3">
        <v>1401</v>
      </c>
      <c r="H5" s="6">
        <v>4.5999999999999996</v>
      </c>
      <c r="I5" s="3">
        <v>1717</v>
      </c>
      <c r="J5" s="13" t="str">
        <f>HYPERLINK("https://amazon.com/dp/B0B28HRSBP","Amazon - B0B28HRSBP")</f>
        <v>Amazon - B0B28HRSBP</v>
      </c>
      <c r="K5" s="14" t="s">
        <v>443</v>
      </c>
      <c r="L5" s="14" t="s">
        <v>456</v>
      </c>
      <c r="M5" s="14" t="s">
        <v>457</v>
      </c>
      <c r="N5" s="14" t="s">
        <v>446</v>
      </c>
      <c r="O5" s="14" t="s">
        <v>458</v>
      </c>
    </row>
    <row r="6" spans="1:15" ht="30" x14ac:dyDescent="0.2">
      <c r="A6" s="2" t="s">
        <v>459</v>
      </c>
      <c r="B6" s="2" t="s">
        <v>460</v>
      </c>
      <c r="C6" s="2" t="s">
        <v>8</v>
      </c>
      <c r="D6" s="2" t="s">
        <v>442</v>
      </c>
      <c r="E6" s="4">
        <v>139.99</v>
      </c>
      <c r="F6" s="4">
        <v>156648.32999999999</v>
      </c>
      <c r="G6" s="3">
        <v>1148</v>
      </c>
      <c r="H6" s="6">
        <v>4.5999999999999996</v>
      </c>
      <c r="I6" s="3">
        <v>320</v>
      </c>
      <c r="J6" s="13" t="str">
        <f>HYPERLINK("https://amazon.com/dp/B0DT4H7QQM","Amazon - B0DT4H7QQM")</f>
        <v>Amazon - B0DT4H7QQM</v>
      </c>
      <c r="K6" s="14" t="s">
        <v>443</v>
      </c>
      <c r="L6" s="14" t="s">
        <v>461</v>
      </c>
      <c r="M6" s="14" t="s">
        <v>462</v>
      </c>
      <c r="N6" s="14" t="s">
        <v>446</v>
      </c>
      <c r="O6" s="14" t="s">
        <v>447</v>
      </c>
    </row>
    <row r="7" spans="1:15" ht="45" x14ac:dyDescent="0.2">
      <c r="A7" s="2" t="s">
        <v>463</v>
      </c>
      <c r="B7" s="2" t="s">
        <v>464</v>
      </c>
      <c r="C7" s="2" t="s">
        <v>8</v>
      </c>
      <c r="D7" s="2" t="s">
        <v>442</v>
      </c>
      <c r="E7" s="4">
        <v>149.99</v>
      </c>
      <c r="F7" s="4">
        <v>146493.76999999999</v>
      </c>
      <c r="G7" s="3">
        <v>977</v>
      </c>
      <c r="H7" s="6">
        <v>4.5999999999999996</v>
      </c>
      <c r="I7" s="3">
        <v>458</v>
      </c>
      <c r="J7" s="13" t="str">
        <f>HYPERLINK("https://amazon.com/dp/B0CJY6SWBN","Amazon - B0CJY6SWBN")</f>
        <v>Amazon - B0CJY6SWBN</v>
      </c>
      <c r="K7" s="14" t="s">
        <v>443</v>
      </c>
      <c r="L7" s="14" t="s">
        <v>444</v>
      </c>
      <c r="M7" s="14" t="s">
        <v>445</v>
      </c>
      <c r="N7" s="14" t="s">
        <v>452</v>
      </c>
      <c r="O7" s="14" t="s">
        <v>447</v>
      </c>
    </row>
    <row r="8" spans="1:15" ht="45" x14ac:dyDescent="0.2">
      <c r="A8" s="2" t="s">
        <v>465</v>
      </c>
      <c r="B8" s="2" t="s">
        <v>466</v>
      </c>
      <c r="C8" s="2" t="s">
        <v>10</v>
      </c>
      <c r="D8" s="2" t="s">
        <v>450</v>
      </c>
      <c r="E8" s="4">
        <v>25.99</v>
      </c>
      <c r="F8" s="4">
        <v>134601.03</v>
      </c>
      <c r="G8" s="3">
        <v>5126</v>
      </c>
      <c r="H8" s="6">
        <v>4.3</v>
      </c>
      <c r="I8" s="3">
        <v>6016</v>
      </c>
      <c r="J8" s="13" t="str">
        <f>HYPERLINK("https://amazon.com/dp/B0C4V5LWWL","Amazon - B0C4V5LWWL")</f>
        <v>Amazon - B0C4V5LWWL</v>
      </c>
      <c r="K8" s="14" t="s">
        <v>443</v>
      </c>
      <c r="L8" s="14" t="s">
        <v>451</v>
      </c>
      <c r="M8" s="14" t="s">
        <v>445</v>
      </c>
      <c r="N8" s="14" t="s">
        <v>446</v>
      </c>
      <c r="O8" s="14" t="s">
        <v>453</v>
      </c>
    </row>
    <row r="9" spans="1:15" ht="45" x14ac:dyDescent="0.2">
      <c r="A9" s="2" t="s">
        <v>467</v>
      </c>
      <c r="B9" s="2" t="s">
        <v>468</v>
      </c>
      <c r="C9" s="2" t="s">
        <v>8</v>
      </c>
      <c r="D9" s="2" t="s">
        <v>469</v>
      </c>
      <c r="E9" s="4">
        <v>159.99</v>
      </c>
      <c r="F9" s="4">
        <v>108039.75</v>
      </c>
      <c r="G9" s="3">
        <v>675</v>
      </c>
      <c r="H9" s="6">
        <v>4.5999999999999996</v>
      </c>
      <c r="I9" s="3">
        <v>3612</v>
      </c>
      <c r="J9" s="13" t="str">
        <f>HYPERLINK("https://amazon.com/dp/B07TV2BFVR","Amazon - B07TV2BFVR")</f>
        <v>Amazon - B07TV2BFVR</v>
      </c>
      <c r="K9" s="14" t="s">
        <v>443</v>
      </c>
      <c r="L9" s="14" t="s">
        <v>461</v>
      </c>
      <c r="M9" s="14" t="s">
        <v>462</v>
      </c>
      <c r="N9" s="14" t="s">
        <v>452</v>
      </c>
      <c r="O9" s="14" t="s">
        <v>453</v>
      </c>
    </row>
    <row r="10" spans="1:15" ht="45" x14ac:dyDescent="0.2">
      <c r="A10" s="2" t="s">
        <v>470</v>
      </c>
      <c r="B10" s="2" t="s">
        <v>471</v>
      </c>
      <c r="C10" s="2" t="s">
        <v>9</v>
      </c>
      <c r="D10" s="2" t="s">
        <v>472</v>
      </c>
      <c r="E10" s="4">
        <v>85.47</v>
      </c>
      <c r="F10" s="4">
        <v>101673.65</v>
      </c>
      <c r="G10" s="3">
        <v>1039</v>
      </c>
      <c r="H10" s="6">
        <v>4.3</v>
      </c>
      <c r="I10" s="3">
        <v>1480</v>
      </c>
      <c r="J10" s="13" t="str">
        <f>HYPERLINK("https://amazon.com/dp/B0BL7RK5JJ","Amazon - B0BL7RK5JJ")</f>
        <v>Amazon - B0BL7RK5JJ</v>
      </c>
      <c r="K10" s="14" t="s">
        <v>443</v>
      </c>
      <c r="L10" s="14" t="s">
        <v>461</v>
      </c>
      <c r="M10" s="14" t="s">
        <v>303</v>
      </c>
      <c r="N10" s="14" t="s">
        <v>473</v>
      </c>
      <c r="O10" s="14" t="s">
        <v>303</v>
      </c>
    </row>
    <row r="11" spans="1:15" ht="45" x14ac:dyDescent="0.2">
      <c r="A11" s="2" t="s">
        <v>474</v>
      </c>
      <c r="B11" s="2" t="s">
        <v>475</v>
      </c>
      <c r="C11" s="2" t="s">
        <v>12</v>
      </c>
      <c r="D11" s="2" t="s">
        <v>442</v>
      </c>
      <c r="E11" s="4">
        <v>159.99</v>
      </c>
      <c r="F11" s="4">
        <v>97593.56</v>
      </c>
      <c r="G11" s="3">
        <v>734</v>
      </c>
      <c r="H11" s="6">
        <v>4.5</v>
      </c>
      <c r="I11" s="3">
        <v>549</v>
      </c>
      <c r="J11" s="13" t="str">
        <f>HYPERLINK("https://amazon.com/dp/B0C3B32Q9Z","Amazon - B0C3B32Q9Z")</f>
        <v>Amazon - B0C3B32Q9Z</v>
      </c>
      <c r="K11" s="14" t="s">
        <v>443</v>
      </c>
      <c r="L11" s="14" t="s">
        <v>461</v>
      </c>
      <c r="M11" s="14" t="s">
        <v>445</v>
      </c>
      <c r="N11" s="14" t="s">
        <v>452</v>
      </c>
      <c r="O11" s="14" t="s">
        <v>447</v>
      </c>
    </row>
    <row r="12" spans="1:15" ht="45" x14ac:dyDescent="0.2">
      <c r="A12" s="2" t="s">
        <v>476</v>
      </c>
      <c r="B12" s="2" t="s">
        <v>477</v>
      </c>
      <c r="C12" s="2" t="s">
        <v>9</v>
      </c>
      <c r="D12" s="2" t="s">
        <v>478</v>
      </c>
      <c r="E12" s="4">
        <v>137.79</v>
      </c>
      <c r="F12" s="4">
        <v>93173.89</v>
      </c>
      <c r="G12" s="3">
        <v>887</v>
      </c>
      <c r="H12" s="6">
        <v>4.4000000000000004</v>
      </c>
      <c r="I12" s="3">
        <v>332</v>
      </c>
      <c r="J12" s="13" t="str">
        <f>HYPERLINK("https://amazon.com/dp/B0DD6YVBHD","Amazon - B0DD6YVBHD")</f>
        <v>Amazon - B0DD6YVBHD</v>
      </c>
      <c r="K12" s="14" t="s">
        <v>443</v>
      </c>
      <c r="L12" s="14" t="s">
        <v>461</v>
      </c>
      <c r="M12" s="14" t="s">
        <v>445</v>
      </c>
      <c r="N12" s="14" t="s">
        <v>473</v>
      </c>
      <c r="O12" s="14" t="s">
        <v>479</v>
      </c>
    </row>
    <row r="13" spans="1:15" ht="45" x14ac:dyDescent="0.2">
      <c r="A13" s="2" t="s">
        <v>480</v>
      </c>
      <c r="B13" s="2" t="s">
        <v>481</v>
      </c>
      <c r="C13" s="2" t="s">
        <v>8</v>
      </c>
      <c r="D13" s="2" t="s">
        <v>442</v>
      </c>
      <c r="E13" s="4">
        <v>509.98</v>
      </c>
      <c r="F13" s="4">
        <v>90360.46</v>
      </c>
      <c r="G13" s="3">
        <v>155</v>
      </c>
      <c r="H13" s="6">
        <v>4.4000000000000004</v>
      </c>
      <c r="I13" s="3">
        <v>53</v>
      </c>
      <c r="J13" s="13" t="str">
        <f>HYPERLINK("https://amazon.com/dp/B0CLG67RHF","Amazon - B0CLG67RHF")</f>
        <v>Amazon - B0CLG67RHF</v>
      </c>
      <c r="K13" s="14" t="s">
        <v>482</v>
      </c>
      <c r="L13" s="14" t="s">
        <v>483</v>
      </c>
      <c r="M13" s="14" t="s">
        <v>484</v>
      </c>
      <c r="N13" s="14" t="s">
        <v>446</v>
      </c>
      <c r="O13" s="14" t="s">
        <v>447</v>
      </c>
    </row>
    <row r="14" spans="1:15" ht="45" x14ac:dyDescent="0.2">
      <c r="A14" s="2" t="s">
        <v>485</v>
      </c>
      <c r="B14" s="2" t="s">
        <v>486</v>
      </c>
      <c r="C14" s="2" t="s">
        <v>9</v>
      </c>
      <c r="D14" s="2" t="s">
        <v>442</v>
      </c>
      <c r="E14" s="4">
        <v>119.98</v>
      </c>
      <c r="F14" s="4">
        <v>85960.31</v>
      </c>
      <c r="G14" s="3">
        <v>584</v>
      </c>
      <c r="H14" s="6">
        <v>4.5999999999999996</v>
      </c>
      <c r="I14" s="3">
        <v>395</v>
      </c>
      <c r="J14" s="13" t="str">
        <f>HYPERLINK("https://amazon.com/dp/B0F62WJY8N","Amazon - B0F62WJY8N")</f>
        <v>Amazon - B0F62WJY8N</v>
      </c>
      <c r="K14" s="14" t="s">
        <v>443</v>
      </c>
      <c r="L14" s="14" t="s">
        <v>444</v>
      </c>
      <c r="M14" s="14" t="s">
        <v>445</v>
      </c>
      <c r="N14" s="14" t="s">
        <v>452</v>
      </c>
      <c r="O14" s="14" t="s">
        <v>487</v>
      </c>
    </row>
    <row r="15" spans="1:15" ht="45" x14ac:dyDescent="0.2">
      <c r="A15" s="2" t="s">
        <v>488</v>
      </c>
      <c r="B15" s="2" t="s">
        <v>489</v>
      </c>
      <c r="C15" s="2" t="s">
        <v>9</v>
      </c>
      <c r="D15" s="2" t="s">
        <v>478</v>
      </c>
      <c r="E15" s="4">
        <v>69.989999999999995</v>
      </c>
      <c r="F15" s="4">
        <v>82171.289999999994</v>
      </c>
      <c r="G15" s="3">
        <v>1420</v>
      </c>
      <c r="H15" s="6">
        <v>4.5</v>
      </c>
      <c r="I15" s="3">
        <v>7036</v>
      </c>
      <c r="J15" s="13" t="str">
        <f>HYPERLINK("https://amazon.com/dp/B0928Q3T42","Amazon - B0928Q3T42")</f>
        <v>Amazon - B0928Q3T42</v>
      </c>
      <c r="K15" s="14" t="s">
        <v>443</v>
      </c>
      <c r="L15" s="14" t="s">
        <v>456</v>
      </c>
      <c r="M15" s="14" t="s">
        <v>445</v>
      </c>
      <c r="N15" s="14" t="s">
        <v>452</v>
      </c>
      <c r="O15" s="14" t="s">
        <v>453</v>
      </c>
    </row>
    <row r="16" spans="1:15" ht="45" x14ac:dyDescent="0.2">
      <c r="A16" s="2" t="s">
        <v>490</v>
      </c>
      <c r="B16" s="2" t="s">
        <v>491</v>
      </c>
      <c r="C16" s="2" t="s">
        <v>22</v>
      </c>
      <c r="D16" s="2" t="s">
        <v>450</v>
      </c>
      <c r="E16" s="4">
        <v>24.68</v>
      </c>
      <c r="F16" s="4">
        <v>75238.740000000005</v>
      </c>
      <c r="G16" s="3">
        <v>2274</v>
      </c>
      <c r="H16" s="6">
        <v>4.2</v>
      </c>
      <c r="I16" s="3">
        <v>1365</v>
      </c>
      <c r="J16" s="13" t="str">
        <f>HYPERLINK("https://amazon.com/dp/B0CMCSGPJC","Amazon - B0CMCSGPJC")</f>
        <v>Amazon - B0CMCSGPJC</v>
      </c>
      <c r="K16" s="14" t="s">
        <v>443</v>
      </c>
      <c r="L16" s="14" t="s">
        <v>451</v>
      </c>
      <c r="M16" s="14" t="s">
        <v>445</v>
      </c>
      <c r="N16" s="14" t="s">
        <v>452</v>
      </c>
      <c r="O16" s="14" t="s">
        <v>453</v>
      </c>
    </row>
    <row r="17" spans="1:15" ht="45" x14ac:dyDescent="0.2">
      <c r="A17" s="2" t="s">
        <v>492</v>
      </c>
      <c r="B17" s="2" t="s">
        <v>493</v>
      </c>
      <c r="C17" s="2" t="s">
        <v>16</v>
      </c>
      <c r="D17" s="2" t="s">
        <v>442</v>
      </c>
      <c r="E17" s="4">
        <v>79.989999999999995</v>
      </c>
      <c r="F17" s="4">
        <v>67852.11</v>
      </c>
      <c r="G17" s="3">
        <v>889</v>
      </c>
      <c r="H17" s="6">
        <v>4.5999999999999996</v>
      </c>
      <c r="I17" s="3">
        <v>91</v>
      </c>
      <c r="J17" s="13" t="str">
        <f>HYPERLINK("https://amazon.com/dp/B0FGJ8WVGP","Amazon - B0FGJ8WVGP")</f>
        <v>Amazon - B0FGJ8WVGP</v>
      </c>
      <c r="K17" s="14" t="s">
        <v>443</v>
      </c>
      <c r="L17" s="14" t="s">
        <v>456</v>
      </c>
      <c r="M17" s="14" t="s">
        <v>462</v>
      </c>
      <c r="N17" s="14" t="s">
        <v>446</v>
      </c>
      <c r="O17" s="14" t="s">
        <v>494</v>
      </c>
    </row>
    <row r="18" spans="1:15" ht="45" x14ac:dyDescent="0.2">
      <c r="A18" s="2" t="s">
        <v>495</v>
      </c>
      <c r="B18" s="2" t="s">
        <v>496</v>
      </c>
      <c r="C18" s="2" t="s">
        <v>9</v>
      </c>
      <c r="D18" s="2" t="s">
        <v>472</v>
      </c>
      <c r="E18" s="4">
        <v>74.989999999999995</v>
      </c>
      <c r="F18" s="4">
        <v>63146.559999999998</v>
      </c>
      <c r="G18" s="3">
        <v>898</v>
      </c>
      <c r="H18" s="6">
        <v>4.7</v>
      </c>
      <c r="I18" s="3">
        <v>261</v>
      </c>
      <c r="J18" s="13" t="str">
        <f>HYPERLINK("https://amazon.com/dp/B0FKM8K5QX","Amazon - B0FKM8K5QX")</f>
        <v>Amazon - B0FKM8K5QX</v>
      </c>
      <c r="K18" s="14" t="s">
        <v>443</v>
      </c>
      <c r="L18" s="14" t="s">
        <v>461</v>
      </c>
      <c r="M18" s="14" t="s">
        <v>303</v>
      </c>
      <c r="N18" s="14" t="s">
        <v>473</v>
      </c>
      <c r="O18" s="14" t="s">
        <v>453</v>
      </c>
    </row>
    <row r="19" spans="1:15" ht="45" x14ac:dyDescent="0.2">
      <c r="A19" s="2" t="s">
        <v>497</v>
      </c>
      <c r="B19" s="2" t="s">
        <v>498</v>
      </c>
      <c r="C19" s="2" t="s">
        <v>8</v>
      </c>
      <c r="D19" s="2" t="s">
        <v>442</v>
      </c>
      <c r="E19" s="4">
        <v>299.99</v>
      </c>
      <c r="F19" s="4">
        <v>62435.43</v>
      </c>
      <c r="G19" s="3">
        <v>223</v>
      </c>
      <c r="H19" s="6">
        <v>4.2</v>
      </c>
      <c r="I19" s="3">
        <v>223</v>
      </c>
      <c r="J19" s="13" t="str">
        <f>HYPERLINK("https://amazon.com/dp/B0CHW4FLS7","Amazon - B0CHW4FLS7")</f>
        <v>Amazon - B0CHW4FLS7</v>
      </c>
      <c r="K19" s="14" t="s">
        <v>443</v>
      </c>
      <c r="L19" s="14" t="s">
        <v>461</v>
      </c>
      <c r="M19" s="14" t="s">
        <v>499</v>
      </c>
      <c r="N19" s="14" t="s">
        <v>452</v>
      </c>
      <c r="O19" s="14" t="s">
        <v>447</v>
      </c>
    </row>
    <row r="20" spans="1:15" ht="30" x14ac:dyDescent="0.2">
      <c r="A20" s="2" t="s">
        <v>500</v>
      </c>
      <c r="B20" s="2" t="s">
        <v>501</v>
      </c>
      <c r="C20" s="2" t="s">
        <v>11</v>
      </c>
      <c r="D20" s="2" t="s">
        <v>472</v>
      </c>
      <c r="E20" s="4">
        <v>879.99</v>
      </c>
      <c r="F20" s="4">
        <v>61138.43</v>
      </c>
      <c r="G20" s="3">
        <v>69</v>
      </c>
      <c r="H20" s="6">
        <v>4</v>
      </c>
      <c r="I20" s="3">
        <v>27</v>
      </c>
      <c r="J20" s="13" t="str">
        <f>HYPERLINK("https://amazon.com/dp/B0CM3FBXJT","Amazon - B0CM3FBXJT")</f>
        <v>Amazon - B0CM3FBXJT</v>
      </c>
      <c r="K20" s="14" t="s">
        <v>443</v>
      </c>
      <c r="L20" s="14" t="s">
        <v>502</v>
      </c>
      <c r="M20" s="14" t="s">
        <v>503</v>
      </c>
      <c r="N20" s="14" t="s">
        <v>446</v>
      </c>
      <c r="O20" s="14" t="s">
        <v>504</v>
      </c>
    </row>
    <row r="21" spans="1:15" ht="45" x14ac:dyDescent="0.2">
      <c r="A21" s="2" t="s">
        <v>505</v>
      </c>
      <c r="B21" s="2" t="s">
        <v>506</v>
      </c>
      <c r="C21" s="2" t="s">
        <v>8</v>
      </c>
      <c r="D21" s="2" t="s">
        <v>472</v>
      </c>
      <c r="E21" s="4">
        <v>79.989999999999995</v>
      </c>
      <c r="F21" s="4">
        <v>60502.85</v>
      </c>
      <c r="G21" s="3">
        <v>756</v>
      </c>
      <c r="H21" s="6">
        <v>4.4000000000000004</v>
      </c>
      <c r="I21" s="3">
        <v>149</v>
      </c>
      <c r="J21" s="13" t="str">
        <f>HYPERLINK("https://amazon.com/dp/B0DGGM7X88","Amazon - B0DGGM7X88")</f>
        <v>Amazon - B0DGGM7X88</v>
      </c>
      <c r="K21" s="14" t="s">
        <v>443</v>
      </c>
      <c r="L21" s="14" t="s">
        <v>456</v>
      </c>
      <c r="M21" s="14" t="s">
        <v>303</v>
      </c>
      <c r="N21" s="14" t="s">
        <v>452</v>
      </c>
      <c r="O21" s="14" t="s">
        <v>453</v>
      </c>
    </row>
    <row r="22" spans="1:15" ht="45" x14ac:dyDescent="0.2">
      <c r="A22" s="2" t="s">
        <v>507</v>
      </c>
      <c r="B22" s="2" t="s">
        <v>508</v>
      </c>
      <c r="C22" s="2" t="s">
        <v>8</v>
      </c>
      <c r="D22" s="2" t="s">
        <v>478</v>
      </c>
      <c r="E22" s="4">
        <v>49.99</v>
      </c>
      <c r="F22" s="4">
        <v>57624.12</v>
      </c>
      <c r="G22" s="3">
        <v>1239</v>
      </c>
      <c r="H22" s="6">
        <v>4.5</v>
      </c>
      <c r="I22" s="3">
        <v>421</v>
      </c>
      <c r="J22" s="13" t="str">
        <f>HYPERLINK("https://amazon.com/dp/B0DK965BZP","Amazon - B0DK965BZP")</f>
        <v>Amazon - B0DK965BZP</v>
      </c>
      <c r="K22" s="14" t="s">
        <v>443</v>
      </c>
      <c r="L22" s="14" t="s">
        <v>456</v>
      </c>
      <c r="M22" s="14" t="s">
        <v>445</v>
      </c>
      <c r="N22" s="14" t="s">
        <v>446</v>
      </c>
      <c r="O22" s="14" t="s">
        <v>453</v>
      </c>
    </row>
    <row r="23" spans="1:15" ht="45" x14ac:dyDescent="0.2">
      <c r="A23" s="2" t="s">
        <v>509</v>
      </c>
      <c r="B23" s="2" t="s">
        <v>510</v>
      </c>
      <c r="C23" s="2" t="s">
        <v>8</v>
      </c>
      <c r="D23" s="2" t="s">
        <v>442</v>
      </c>
      <c r="E23" s="4">
        <v>349.99</v>
      </c>
      <c r="F23" s="4">
        <v>57372.54</v>
      </c>
      <c r="G23" s="3">
        <v>173</v>
      </c>
      <c r="H23" s="6">
        <v>4</v>
      </c>
      <c r="I23" s="3">
        <v>107</v>
      </c>
      <c r="J23" s="13" t="str">
        <f>HYPERLINK("https://amazon.com/dp/B0CLG4LHWP","Amazon - B0CLG4LHWP")</f>
        <v>Amazon - B0CLG4LHWP</v>
      </c>
      <c r="K23" s="14" t="s">
        <v>443</v>
      </c>
      <c r="L23" s="14" t="s">
        <v>461</v>
      </c>
      <c r="M23" s="14" t="s">
        <v>511</v>
      </c>
      <c r="N23" s="14" t="s">
        <v>446</v>
      </c>
      <c r="O23" s="14" t="s">
        <v>447</v>
      </c>
    </row>
    <row r="24" spans="1:15" ht="45" x14ac:dyDescent="0.2">
      <c r="A24" s="2" t="s">
        <v>512</v>
      </c>
      <c r="B24" s="2" t="s">
        <v>513</v>
      </c>
      <c r="C24" s="2" t="s">
        <v>17</v>
      </c>
      <c r="D24" s="2" t="s">
        <v>478</v>
      </c>
      <c r="E24" s="4">
        <v>39.99</v>
      </c>
      <c r="F24" s="4">
        <v>55768.04</v>
      </c>
      <c r="G24" s="3">
        <v>1747</v>
      </c>
      <c r="H24" s="6">
        <v>4.5</v>
      </c>
      <c r="I24" s="3">
        <v>4262</v>
      </c>
      <c r="J24" s="13" t="str">
        <f>HYPERLINK("https://amazon.com/dp/B0C3R381FC","Amazon - B0C3R381FC")</f>
        <v>Amazon - B0C3R381FC</v>
      </c>
      <c r="K24" s="14" t="s">
        <v>514</v>
      </c>
      <c r="L24" s="14" t="s">
        <v>456</v>
      </c>
      <c r="M24" s="14" t="s">
        <v>445</v>
      </c>
      <c r="N24" s="14" t="s">
        <v>446</v>
      </c>
      <c r="O24" s="14" t="s">
        <v>453</v>
      </c>
    </row>
    <row r="25" spans="1:15" ht="45" x14ac:dyDescent="0.2">
      <c r="A25" s="2" t="s">
        <v>515</v>
      </c>
      <c r="B25" s="2" t="s">
        <v>516</v>
      </c>
      <c r="C25" s="2" t="s">
        <v>21</v>
      </c>
      <c r="D25" s="2" t="s">
        <v>472</v>
      </c>
      <c r="E25" s="4">
        <v>399.99</v>
      </c>
      <c r="F25" s="4">
        <v>54602.11</v>
      </c>
      <c r="G25" s="3">
        <v>137</v>
      </c>
      <c r="H25" s="6">
        <v>4.4000000000000004</v>
      </c>
      <c r="I25" s="3">
        <v>107</v>
      </c>
      <c r="J25" s="13" t="str">
        <f>HYPERLINK("https://amazon.com/dp/B0FFGDMNSX","Amazon - B0FFGDMNSX")</f>
        <v>Amazon - B0FFGDMNSX</v>
      </c>
      <c r="K25" s="14" t="s">
        <v>443</v>
      </c>
      <c r="L25" s="14" t="s">
        <v>502</v>
      </c>
      <c r="M25" s="14" t="s">
        <v>303</v>
      </c>
      <c r="N25" s="14" t="s">
        <v>446</v>
      </c>
      <c r="O25" s="14" t="s">
        <v>517</v>
      </c>
    </row>
    <row r="26" spans="1:15" ht="45" x14ac:dyDescent="0.2">
      <c r="A26" s="2" t="s">
        <v>518</v>
      </c>
      <c r="B26" s="2" t="s">
        <v>519</v>
      </c>
      <c r="C26" s="2" t="s">
        <v>8</v>
      </c>
      <c r="D26" s="2" t="s">
        <v>442</v>
      </c>
      <c r="E26" s="4">
        <v>449.99</v>
      </c>
      <c r="F26" s="4">
        <v>51497.72</v>
      </c>
      <c r="G26" s="3">
        <v>121</v>
      </c>
      <c r="H26" s="6">
        <v>4.0999999999999996</v>
      </c>
      <c r="I26" s="3">
        <v>46</v>
      </c>
      <c r="J26" s="13" t="str">
        <f>HYPERLINK("https://amazon.com/dp/B0DTHZDGYD","Amazon - B0DTHZDGYD")</f>
        <v>Amazon - B0DTHZDGYD</v>
      </c>
      <c r="K26" s="14" t="s">
        <v>482</v>
      </c>
      <c r="L26" s="14" t="s">
        <v>461</v>
      </c>
      <c r="M26" s="14" t="s">
        <v>484</v>
      </c>
      <c r="N26" s="14" t="s">
        <v>446</v>
      </c>
      <c r="O26" s="14" t="s">
        <v>447</v>
      </c>
    </row>
    <row r="27" spans="1:15" ht="45" x14ac:dyDescent="0.2">
      <c r="A27" s="2" t="s">
        <v>520</v>
      </c>
      <c r="B27" s="2" t="s">
        <v>521</v>
      </c>
      <c r="C27" s="2" t="s">
        <v>20</v>
      </c>
      <c r="D27" s="2" t="s">
        <v>469</v>
      </c>
      <c r="E27" s="4">
        <v>29.98</v>
      </c>
      <c r="F27" s="4">
        <v>48921.23</v>
      </c>
      <c r="G27" s="3">
        <v>1016</v>
      </c>
      <c r="H27" s="6">
        <v>4.5</v>
      </c>
      <c r="I27" s="3">
        <v>726</v>
      </c>
      <c r="J27" s="13" t="str">
        <f>HYPERLINK("https://amazon.com/dp/B0DWSKVF5H","Amazon - B0DWSKVF5H")</f>
        <v>Amazon - B0DWSKVF5H</v>
      </c>
      <c r="K27" s="14" t="s">
        <v>514</v>
      </c>
      <c r="L27" s="14" t="s">
        <v>461</v>
      </c>
      <c r="M27" s="14" t="s">
        <v>445</v>
      </c>
      <c r="N27" s="14" t="s">
        <v>452</v>
      </c>
      <c r="O27" s="14" t="s">
        <v>453</v>
      </c>
    </row>
    <row r="28" spans="1:15" ht="30" x14ac:dyDescent="0.2">
      <c r="A28" s="2" t="s">
        <v>522</v>
      </c>
      <c r="B28" s="2" t="s">
        <v>523</v>
      </c>
      <c r="C28" s="2" t="s">
        <v>19</v>
      </c>
      <c r="D28" s="2" t="s">
        <v>478</v>
      </c>
      <c r="E28" s="4">
        <v>169.99</v>
      </c>
      <c r="F28" s="4">
        <v>46018.49</v>
      </c>
      <c r="G28" s="3">
        <v>271</v>
      </c>
      <c r="H28" s="6">
        <v>4.5</v>
      </c>
      <c r="I28" s="3">
        <v>53</v>
      </c>
      <c r="J28" s="13" t="str">
        <f>HYPERLINK("https://amazon.com/dp/B0DLDS8N7D","Amazon - B0DLDS8N7D")</f>
        <v>Amazon - B0DLDS8N7D</v>
      </c>
      <c r="K28" s="14" t="s">
        <v>443</v>
      </c>
      <c r="L28" s="14" t="s">
        <v>456</v>
      </c>
      <c r="M28" s="14" t="s">
        <v>462</v>
      </c>
      <c r="N28" s="14" t="s">
        <v>452</v>
      </c>
      <c r="O28" s="14" t="s">
        <v>524</v>
      </c>
    </row>
    <row r="29" spans="1:15" ht="45" x14ac:dyDescent="0.2">
      <c r="A29" s="2" t="s">
        <v>525</v>
      </c>
      <c r="B29" s="2" t="s">
        <v>526</v>
      </c>
      <c r="C29" s="2" t="s">
        <v>11</v>
      </c>
      <c r="D29" s="2" t="s">
        <v>472</v>
      </c>
      <c r="E29" s="4">
        <v>405.9</v>
      </c>
      <c r="F29" s="4">
        <v>45319.56</v>
      </c>
      <c r="G29" s="3">
        <v>127</v>
      </c>
      <c r="H29" s="6">
        <v>4.7</v>
      </c>
      <c r="I29" s="3">
        <v>13</v>
      </c>
      <c r="J29" s="13" t="str">
        <f>HYPERLINK("https://amazon.com/dp/B0DNMJ1WWW","Amazon - B0DNMJ1WWW")</f>
        <v>Amazon - B0DNMJ1WWW</v>
      </c>
      <c r="K29" s="14" t="s">
        <v>443</v>
      </c>
      <c r="L29" s="14" t="s">
        <v>502</v>
      </c>
      <c r="M29" s="14" t="s">
        <v>303</v>
      </c>
      <c r="N29" s="14" t="s">
        <v>446</v>
      </c>
      <c r="O29" s="14" t="s">
        <v>527</v>
      </c>
    </row>
    <row r="30" spans="1:15" ht="30" x14ac:dyDescent="0.2">
      <c r="A30" s="2" t="s">
        <v>528</v>
      </c>
      <c r="B30" s="2" t="s">
        <v>529</v>
      </c>
      <c r="C30" s="2" t="s">
        <v>35</v>
      </c>
      <c r="D30" s="2" t="s">
        <v>442</v>
      </c>
      <c r="E30" s="4">
        <v>99.99</v>
      </c>
      <c r="F30" s="4">
        <v>42439.15</v>
      </c>
      <c r="G30" s="3">
        <v>460</v>
      </c>
      <c r="H30" s="6">
        <v>4.5999999999999996</v>
      </c>
      <c r="I30" s="3">
        <v>89</v>
      </c>
      <c r="J30" s="13" t="str">
        <f>HYPERLINK("https://amazon.com/dp/B082JCSB4Z","Amazon - B082JCSB4Z")</f>
        <v>Amazon - B082JCSB4Z</v>
      </c>
      <c r="K30" s="14" t="s">
        <v>443</v>
      </c>
      <c r="L30" s="14" t="s">
        <v>530</v>
      </c>
      <c r="M30" s="14" t="s">
        <v>303</v>
      </c>
      <c r="N30" s="14" t="s">
        <v>446</v>
      </c>
      <c r="O30" s="14" t="s">
        <v>303</v>
      </c>
    </row>
    <row r="31" spans="1:15" ht="45" x14ac:dyDescent="0.2">
      <c r="A31" s="2" t="s">
        <v>531</v>
      </c>
      <c r="B31" s="2" t="s">
        <v>532</v>
      </c>
      <c r="C31" s="2" t="s">
        <v>27</v>
      </c>
      <c r="D31" s="2" t="s">
        <v>472</v>
      </c>
      <c r="E31" s="4">
        <v>399.99</v>
      </c>
      <c r="F31" s="4">
        <v>41938.33</v>
      </c>
      <c r="G31" s="3">
        <v>105</v>
      </c>
      <c r="H31" s="6">
        <v>4.0999999999999996</v>
      </c>
      <c r="I31" s="3">
        <v>24</v>
      </c>
      <c r="J31" s="13" t="str">
        <f>HYPERLINK("https://amazon.com/dp/B0FKH261T7","Amazon - B0FKH261T7")</f>
        <v>Amazon - B0FKH261T7</v>
      </c>
      <c r="K31" s="14" t="s">
        <v>443</v>
      </c>
      <c r="L31" s="14" t="s">
        <v>502</v>
      </c>
      <c r="M31" s="14" t="s">
        <v>303</v>
      </c>
      <c r="N31" s="14" t="s">
        <v>446</v>
      </c>
      <c r="O31" s="14" t="s">
        <v>517</v>
      </c>
    </row>
    <row r="32" spans="1:15" ht="45" x14ac:dyDescent="0.2">
      <c r="A32" s="2" t="s">
        <v>533</v>
      </c>
      <c r="B32" s="2" t="s">
        <v>534</v>
      </c>
      <c r="C32" s="2" t="s">
        <v>36</v>
      </c>
      <c r="D32" s="2" t="s">
        <v>442</v>
      </c>
      <c r="E32" s="4">
        <v>89.99</v>
      </c>
      <c r="F32" s="4">
        <v>41716.44</v>
      </c>
      <c r="G32" s="3">
        <v>363</v>
      </c>
      <c r="H32" s="6">
        <v>4.7</v>
      </c>
      <c r="I32" s="3">
        <v>90</v>
      </c>
      <c r="J32" s="13" t="str">
        <f>HYPERLINK("https://amazon.com/dp/B0FFT6SJHW","Amazon - B0FFT6SJHW")</f>
        <v>Amazon - B0FFT6SJHW</v>
      </c>
      <c r="K32" s="14" t="s">
        <v>443</v>
      </c>
      <c r="L32" s="14" t="s">
        <v>461</v>
      </c>
      <c r="M32" s="14" t="s">
        <v>535</v>
      </c>
      <c r="N32" s="14" t="s">
        <v>446</v>
      </c>
      <c r="O32" s="14" t="s">
        <v>536</v>
      </c>
    </row>
    <row r="33" spans="1:15" ht="45" x14ac:dyDescent="0.2">
      <c r="A33" s="2" t="s">
        <v>537</v>
      </c>
      <c r="B33" s="2" t="s">
        <v>538</v>
      </c>
      <c r="C33" s="2" t="s">
        <v>18</v>
      </c>
      <c r="D33" s="2" t="s">
        <v>450</v>
      </c>
      <c r="E33" s="4">
        <v>25.48</v>
      </c>
      <c r="F33" s="4">
        <v>38540.99</v>
      </c>
      <c r="G33" s="3">
        <v>1343</v>
      </c>
      <c r="H33" s="6">
        <v>4.4000000000000004</v>
      </c>
      <c r="I33" s="3">
        <v>1658</v>
      </c>
      <c r="J33" s="13" t="str">
        <f>HYPERLINK("https://amazon.com/dp/B0DGFBCH38","Amazon - B0DGFBCH38")</f>
        <v>Amazon - B0DGFBCH38</v>
      </c>
      <c r="K33" s="14" t="s">
        <v>443</v>
      </c>
      <c r="L33" s="14" t="s">
        <v>451</v>
      </c>
      <c r="M33" s="14" t="s">
        <v>445</v>
      </c>
      <c r="N33" s="14" t="s">
        <v>452</v>
      </c>
      <c r="O33" s="14" t="s">
        <v>453</v>
      </c>
    </row>
    <row r="34" spans="1:15" ht="45" x14ac:dyDescent="0.2">
      <c r="A34" s="2" t="s">
        <v>539</v>
      </c>
      <c r="B34" s="2" t="s">
        <v>540</v>
      </c>
      <c r="C34" s="2" t="s">
        <v>8</v>
      </c>
      <c r="D34" s="2" t="s">
        <v>472</v>
      </c>
      <c r="E34" s="4">
        <v>79.989999999999995</v>
      </c>
      <c r="F34" s="4">
        <v>37621.43</v>
      </c>
      <c r="G34" s="3">
        <v>489</v>
      </c>
      <c r="H34" s="6">
        <v>4.4000000000000004</v>
      </c>
      <c r="I34" s="3">
        <v>2323</v>
      </c>
      <c r="J34" s="13" t="str">
        <f>HYPERLINK("https://amazon.com/dp/B086X1XGN1","Amazon - B086X1XGN1")</f>
        <v>Amazon - B086X1XGN1</v>
      </c>
      <c r="K34" s="14" t="s">
        <v>443</v>
      </c>
      <c r="L34" s="14" t="s">
        <v>444</v>
      </c>
      <c r="M34" s="14" t="s">
        <v>303</v>
      </c>
      <c r="N34" s="14" t="s">
        <v>452</v>
      </c>
      <c r="O34" s="14" t="s">
        <v>453</v>
      </c>
    </row>
    <row r="35" spans="1:15" ht="45" x14ac:dyDescent="0.2">
      <c r="A35" s="2" t="s">
        <v>541</v>
      </c>
      <c r="B35" s="2" t="s">
        <v>542</v>
      </c>
      <c r="C35" s="2" t="s">
        <v>8</v>
      </c>
      <c r="D35" s="2" t="s">
        <v>442</v>
      </c>
      <c r="E35" s="4">
        <v>139.99</v>
      </c>
      <c r="F35" s="4">
        <v>37214.239999999998</v>
      </c>
      <c r="G35" s="3">
        <v>266</v>
      </c>
      <c r="H35" s="6">
        <v>4.5999999999999996</v>
      </c>
      <c r="I35" s="3">
        <v>3612</v>
      </c>
      <c r="J35" s="13" t="str">
        <f>HYPERLINK("https://amazon.com/dp/B08519F2W9","Amazon - B08519F2W9")</f>
        <v>Amazon - B08519F2W9</v>
      </c>
      <c r="K35" s="14" t="s">
        <v>443</v>
      </c>
      <c r="L35" s="14" t="s">
        <v>461</v>
      </c>
      <c r="M35" s="14" t="s">
        <v>303</v>
      </c>
      <c r="N35" s="14" t="s">
        <v>452</v>
      </c>
      <c r="O35" s="14" t="s">
        <v>543</v>
      </c>
    </row>
    <row r="36" spans="1:15" ht="45" x14ac:dyDescent="0.2">
      <c r="A36" s="2" t="s">
        <v>544</v>
      </c>
      <c r="B36" s="2" t="s">
        <v>545</v>
      </c>
      <c r="C36" s="2" t="s">
        <v>26</v>
      </c>
      <c r="D36" s="2" t="s">
        <v>478</v>
      </c>
      <c r="E36" s="4">
        <v>29.98</v>
      </c>
      <c r="F36" s="4">
        <v>36900.050000000003</v>
      </c>
      <c r="G36" s="3">
        <v>1242</v>
      </c>
      <c r="H36" s="6">
        <v>4.5</v>
      </c>
      <c r="I36" s="3">
        <v>524</v>
      </c>
      <c r="J36" s="13" t="str">
        <f>HYPERLINK("https://amazon.com/dp/B0F1CXQ3YS","Amazon - B0F1CXQ3YS")</f>
        <v>Amazon - B0F1CXQ3YS</v>
      </c>
      <c r="K36" s="14" t="s">
        <v>514</v>
      </c>
      <c r="L36" s="14" t="s">
        <v>456</v>
      </c>
      <c r="M36" s="14" t="s">
        <v>445</v>
      </c>
      <c r="N36" s="14" t="s">
        <v>446</v>
      </c>
      <c r="O36" s="14" t="s">
        <v>453</v>
      </c>
    </row>
    <row r="37" spans="1:15" ht="45" x14ac:dyDescent="0.2">
      <c r="A37" s="2" t="s">
        <v>546</v>
      </c>
      <c r="B37" s="2" t="s">
        <v>547</v>
      </c>
      <c r="C37" s="2" t="s">
        <v>12</v>
      </c>
      <c r="D37" s="2" t="s">
        <v>442</v>
      </c>
      <c r="E37" s="4">
        <v>159.99</v>
      </c>
      <c r="F37" s="4">
        <v>35062.129999999997</v>
      </c>
      <c r="G37" s="3">
        <v>220</v>
      </c>
      <c r="H37" s="6">
        <v>4.7</v>
      </c>
      <c r="I37" s="3">
        <v>49</v>
      </c>
      <c r="J37" s="13" t="str">
        <f>HYPERLINK("https://amazon.com/dp/B0DNFL72B5","Amazon - B0DNFL72B5")</f>
        <v>Amazon - B0DNFL72B5</v>
      </c>
      <c r="K37" s="14" t="s">
        <v>443</v>
      </c>
      <c r="L37" s="14" t="s">
        <v>461</v>
      </c>
      <c r="M37" s="14" t="s">
        <v>499</v>
      </c>
      <c r="N37" s="14" t="s">
        <v>452</v>
      </c>
      <c r="O37" s="14" t="s">
        <v>447</v>
      </c>
    </row>
    <row r="38" spans="1:15" ht="45" x14ac:dyDescent="0.2">
      <c r="A38" s="2" t="s">
        <v>548</v>
      </c>
      <c r="B38" s="2" t="s">
        <v>549</v>
      </c>
      <c r="C38" s="2" t="s">
        <v>17</v>
      </c>
      <c r="D38" s="2" t="s">
        <v>469</v>
      </c>
      <c r="E38" s="4">
        <v>41.99</v>
      </c>
      <c r="F38" s="4">
        <v>34877.660000000003</v>
      </c>
      <c r="G38" s="3">
        <v>897</v>
      </c>
      <c r="H38" s="6">
        <v>4.4000000000000004</v>
      </c>
      <c r="I38" s="3">
        <v>2131</v>
      </c>
      <c r="J38" s="13" t="str">
        <f>HYPERLINK("https://amazon.com/dp/B0BXSMSS7M","Amazon - B0BXSMSS7M")</f>
        <v>Amazon - B0BXSMSS7M</v>
      </c>
      <c r="K38" s="14" t="s">
        <v>514</v>
      </c>
      <c r="L38" s="14" t="s">
        <v>456</v>
      </c>
      <c r="M38" s="14" t="s">
        <v>445</v>
      </c>
      <c r="N38" s="14" t="s">
        <v>446</v>
      </c>
      <c r="O38" s="14" t="s">
        <v>453</v>
      </c>
    </row>
    <row r="39" spans="1:15" ht="45" x14ac:dyDescent="0.2">
      <c r="A39" s="2" t="s">
        <v>550</v>
      </c>
      <c r="B39" s="2" t="s">
        <v>551</v>
      </c>
      <c r="C39" s="2" t="s">
        <v>8</v>
      </c>
      <c r="D39" s="2" t="s">
        <v>442</v>
      </c>
      <c r="E39" s="4">
        <v>699.99</v>
      </c>
      <c r="F39" s="4">
        <v>34665.5</v>
      </c>
      <c r="G39" s="3">
        <v>49</v>
      </c>
      <c r="H39" s="6">
        <v>4.0999999999999996</v>
      </c>
      <c r="I39" s="3">
        <v>27</v>
      </c>
      <c r="J39" s="13" t="str">
        <f>HYPERLINK("https://amazon.com/dp/B0D7PYRRKD","Amazon - B0D7PYRRKD")</f>
        <v>Amazon - B0D7PYRRKD</v>
      </c>
      <c r="K39" s="14" t="s">
        <v>482</v>
      </c>
      <c r="L39" s="14" t="s">
        <v>483</v>
      </c>
      <c r="M39" s="14" t="s">
        <v>511</v>
      </c>
      <c r="N39" s="14" t="s">
        <v>446</v>
      </c>
      <c r="O39" s="14" t="s">
        <v>447</v>
      </c>
    </row>
    <row r="40" spans="1:15" ht="45" x14ac:dyDescent="0.2">
      <c r="A40" s="2" t="s">
        <v>552</v>
      </c>
      <c r="B40" s="2" t="s">
        <v>553</v>
      </c>
      <c r="C40" s="2" t="s">
        <v>8</v>
      </c>
      <c r="D40" s="2" t="s">
        <v>450</v>
      </c>
      <c r="E40" s="4">
        <v>79.989999999999995</v>
      </c>
      <c r="F40" s="4">
        <v>33817.870000000003</v>
      </c>
      <c r="G40" s="3">
        <v>423</v>
      </c>
      <c r="H40" s="6">
        <v>4.2</v>
      </c>
      <c r="I40" s="3">
        <v>157</v>
      </c>
      <c r="J40" s="13" t="str">
        <f>HYPERLINK("https://amazon.com/dp/B0F2H49C2D","Amazon - B0F2H49C2D")</f>
        <v>Amazon - B0F2H49C2D</v>
      </c>
      <c r="K40" s="14" t="s">
        <v>443</v>
      </c>
      <c r="L40" s="14" t="s">
        <v>451</v>
      </c>
      <c r="M40" s="14" t="s">
        <v>303</v>
      </c>
      <c r="N40" s="14" t="s">
        <v>446</v>
      </c>
      <c r="O40" s="14" t="s">
        <v>447</v>
      </c>
    </row>
    <row r="41" spans="1:15" ht="45" x14ac:dyDescent="0.2">
      <c r="A41" s="2" t="s">
        <v>554</v>
      </c>
      <c r="B41" s="2" t="s">
        <v>555</v>
      </c>
      <c r="C41" s="2" t="s">
        <v>15</v>
      </c>
      <c r="D41" s="2" t="s">
        <v>442</v>
      </c>
      <c r="E41" s="4">
        <v>299.99</v>
      </c>
      <c r="F41" s="4">
        <v>33706.26</v>
      </c>
      <c r="G41" s="3">
        <v>128</v>
      </c>
      <c r="H41" s="6">
        <v>4.3</v>
      </c>
      <c r="I41" s="3">
        <v>233</v>
      </c>
      <c r="J41" s="13" t="str">
        <f>HYPERLINK("https://amazon.com/dp/B0DSW1DKTZ","Amazon - B0DSW1DKTZ")</f>
        <v>Amazon - B0DSW1DKTZ</v>
      </c>
      <c r="K41" s="14" t="s">
        <v>482</v>
      </c>
      <c r="L41" s="14" t="s">
        <v>461</v>
      </c>
      <c r="M41" s="14" t="s">
        <v>499</v>
      </c>
      <c r="N41" s="14" t="s">
        <v>452</v>
      </c>
      <c r="O41" s="14" t="s">
        <v>447</v>
      </c>
    </row>
    <row r="42" spans="1:15" ht="30" x14ac:dyDescent="0.2">
      <c r="A42" s="2" t="s">
        <v>556</v>
      </c>
      <c r="B42" s="2" t="s">
        <v>557</v>
      </c>
      <c r="C42" s="2" t="s">
        <v>8</v>
      </c>
      <c r="D42" s="2" t="s">
        <v>442</v>
      </c>
      <c r="E42" s="4">
        <v>279.99</v>
      </c>
      <c r="F42" s="4">
        <v>32889.03</v>
      </c>
      <c r="G42" s="3">
        <v>135</v>
      </c>
      <c r="H42" s="6">
        <v>4.7</v>
      </c>
      <c r="I42" s="3">
        <v>572</v>
      </c>
      <c r="J42" s="13" t="str">
        <f>HYPERLINK("https://amazon.com/dp/B09ZV7KJHL","Amazon - B09ZV7KJHL")</f>
        <v>Amazon - B09ZV7KJHL</v>
      </c>
      <c r="K42" s="14" t="s">
        <v>443</v>
      </c>
      <c r="L42" s="14" t="s">
        <v>461</v>
      </c>
      <c r="M42" s="14" t="s">
        <v>445</v>
      </c>
      <c r="N42" s="14" t="s">
        <v>446</v>
      </c>
      <c r="O42" s="14" t="s">
        <v>447</v>
      </c>
    </row>
    <row r="43" spans="1:15" ht="45" x14ac:dyDescent="0.2">
      <c r="A43" s="2" t="s">
        <v>558</v>
      </c>
      <c r="B43" s="2" t="s">
        <v>559</v>
      </c>
      <c r="C43" s="2" t="s">
        <v>9</v>
      </c>
      <c r="D43" s="2" t="s">
        <v>442</v>
      </c>
      <c r="E43" s="4">
        <v>94.99</v>
      </c>
      <c r="F43" s="4">
        <v>31838.02</v>
      </c>
      <c r="G43" s="3">
        <v>324</v>
      </c>
      <c r="H43" s="6">
        <v>4.5999999999999996</v>
      </c>
      <c r="I43" s="3">
        <v>395</v>
      </c>
      <c r="J43" s="13" t="str">
        <f>HYPERLINK("https://amazon.com/dp/B0DT16R78W","Amazon - B0DT16R78W")</f>
        <v>Amazon - B0DT16R78W</v>
      </c>
      <c r="K43" s="14" t="s">
        <v>443</v>
      </c>
      <c r="L43" s="14" t="s">
        <v>444</v>
      </c>
      <c r="M43" s="14" t="s">
        <v>445</v>
      </c>
      <c r="N43" s="14" t="s">
        <v>452</v>
      </c>
      <c r="O43" s="14" t="s">
        <v>447</v>
      </c>
    </row>
    <row r="44" spans="1:15" ht="45" x14ac:dyDescent="0.2">
      <c r="A44" s="2" t="s">
        <v>560</v>
      </c>
      <c r="B44" s="2" t="s">
        <v>561</v>
      </c>
      <c r="C44" s="2" t="s">
        <v>8</v>
      </c>
      <c r="D44" s="2" t="s">
        <v>450</v>
      </c>
      <c r="E44" s="4">
        <v>39.99</v>
      </c>
      <c r="F44" s="4">
        <v>31673.46</v>
      </c>
      <c r="G44" s="3">
        <v>792</v>
      </c>
      <c r="H44" s="6">
        <v>4.2</v>
      </c>
      <c r="I44" s="3">
        <v>875</v>
      </c>
      <c r="J44" s="13" t="str">
        <f>HYPERLINK("https://amazon.com/dp/B0CL4KT182","Amazon - B0CL4KT182")</f>
        <v>Amazon - B0CL4KT182</v>
      </c>
      <c r="K44" s="14" t="s">
        <v>443</v>
      </c>
      <c r="L44" s="14" t="s">
        <v>451</v>
      </c>
      <c r="M44" s="14" t="s">
        <v>457</v>
      </c>
      <c r="N44" s="14" t="s">
        <v>446</v>
      </c>
      <c r="O44" s="14" t="s">
        <v>479</v>
      </c>
    </row>
    <row r="45" spans="1:15" ht="45" x14ac:dyDescent="0.2">
      <c r="A45" s="2" t="s">
        <v>562</v>
      </c>
      <c r="B45" s="2" t="s">
        <v>563</v>
      </c>
      <c r="C45" s="2" t="s">
        <v>14</v>
      </c>
      <c r="D45" s="2" t="s">
        <v>472</v>
      </c>
      <c r="E45" s="4">
        <v>899.99</v>
      </c>
      <c r="F45" s="4">
        <v>30891.58</v>
      </c>
      <c r="G45" s="3">
        <v>34</v>
      </c>
      <c r="H45" s="6">
        <v>4.8</v>
      </c>
      <c r="I45" s="3">
        <v>6</v>
      </c>
      <c r="J45" s="13" t="str">
        <f>HYPERLINK("https://amazon.com/dp/B0FLVB6GYH","Amazon - B0FLVB6GYH")</f>
        <v>Amazon - B0FLVB6GYH</v>
      </c>
      <c r="K45" s="14" t="s">
        <v>443</v>
      </c>
      <c r="L45" s="14" t="s">
        <v>564</v>
      </c>
      <c r="M45" s="14" t="s">
        <v>565</v>
      </c>
      <c r="N45" s="14" t="s">
        <v>446</v>
      </c>
      <c r="O45" s="14" t="s">
        <v>517</v>
      </c>
    </row>
    <row r="46" spans="1:15" ht="45" x14ac:dyDescent="0.2">
      <c r="A46" s="2" t="s">
        <v>566</v>
      </c>
      <c r="B46" s="2" t="s">
        <v>567</v>
      </c>
      <c r="C46" s="2" t="s">
        <v>8</v>
      </c>
      <c r="D46" s="2" t="s">
        <v>450</v>
      </c>
      <c r="E46" s="4">
        <v>29.99</v>
      </c>
      <c r="F46" s="4">
        <v>30790.68</v>
      </c>
      <c r="G46" s="3">
        <v>1086</v>
      </c>
      <c r="H46" s="6">
        <v>4.4000000000000004</v>
      </c>
      <c r="I46" s="3">
        <v>1073</v>
      </c>
      <c r="J46" s="13" t="str">
        <f>HYPERLINK("https://amazon.com/dp/B0C1GFBTDC","Amazon - B0C1GFBTDC")</f>
        <v>Amazon - B0C1GFBTDC</v>
      </c>
      <c r="K46" s="14" t="s">
        <v>443</v>
      </c>
      <c r="L46" s="14" t="s">
        <v>451</v>
      </c>
      <c r="M46" s="14" t="s">
        <v>445</v>
      </c>
      <c r="N46" s="14" t="s">
        <v>446</v>
      </c>
      <c r="O46" s="14" t="s">
        <v>487</v>
      </c>
    </row>
    <row r="47" spans="1:15" ht="45" x14ac:dyDescent="0.2">
      <c r="A47" s="2" t="s">
        <v>568</v>
      </c>
      <c r="B47" s="2" t="s">
        <v>569</v>
      </c>
      <c r="C47" s="2" t="s">
        <v>11</v>
      </c>
      <c r="D47" s="2" t="s">
        <v>472</v>
      </c>
      <c r="E47" s="4">
        <v>755.9</v>
      </c>
      <c r="F47" s="4">
        <v>30713.33</v>
      </c>
      <c r="G47" s="3">
        <v>41</v>
      </c>
      <c r="H47" s="6">
        <v>3.4</v>
      </c>
      <c r="I47" s="3">
        <v>10</v>
      </c>
      <c r="J47" s="13" t="str">
        <f>HYPERLINK("https://amazon.com/dp/B0DNMGM6MH","Amazon - B0DNMGM6MH")</f>
        <v>Amazon - B0DNMGM6MH</v>
      </c>
      <c r="K47" s="14" t="s">
        <v>443</v>
      </c>
      <c r="L47" s="14" t="s">
        <v>502</v>
      </c>
      <c r="M47" s="14" t="s">
        <v>303</v>
      </c>
      <c r="N47" s="14" t="s">
        <v>446</v>
      </c>
      <c r="O47" s="14" t="s">
        <v>570</v>
      </c>
    </row>
    <row r="48" spans="1:15" ht="30" x14ac:dyDescent="0.2">
      <c r="A48" s="2" t="s">
        <v>571</v>
      </c>
      <c r="B48" s="2" t="s">
        <v>572</v>
      </c>
      <c r="C48" s="2" t="s">
        <v>19</v>
      </c>
      <c r="D48" s="2" t="s">
        <v>478</v>
      </c>
      <c r="E48" s="4">
        <v>101.98</v>
      </c>
      <c r="F48" s="4">
        <v>29681.25</v>
      </c>
      <c r="G48" s="3">
        <v>289</v>
      </c>
      <c r="H48" s="6">
        <v>4.5</v>
      </c>
      <c r="I48" s="3">
        <v>84</v>
      </c>
      <c r="J48" s="13" t="str">
        <f>HYPERLINK("https://amazon.com/dp/B0D54NQWZH","Amazon - B0D54NQWZH")</f>
        <v>Amazon - B0D54NQWZH</v>
      </c>
      <c r="K48" s="14" t="s">
        <v>443</v>
      </c>
      <c r="L48" s="14" t="s">
        <v>456</v>
      </c>
      <c r="M48" s="14" t="s">
        <v>462</v>
      </c>
      <c r="N48" s="14" t="s">
        <v>446</v>
      </c>
      <c r="O48" s="14" t="s">
        <v>524</v>
      </c>
    </row>
    <row r="49" spans="1:15" ht="30" x14ac:dyDescent="0.2">
      <c r="A49" s="2" t="s">
        <v>573</v>
      </c>
      <c r="B49" s="2" t="s">
        <v>574</v>
      </c>
      <c r="C49" s="2" t="s">
        <v>41</v>
      </c>
      <c r="D49" s="2" t="s">
        <v>450</v>
      </c>
      <c r="E49" s="4">
        <v>22.99</v>
      </c>
      <c r="F49" s="4">
        <v>29354.79</v>
      </c>
      <c r="G49" s="3">
        <v>1280</v>
      </c>
      <c r="H49" s="6">
        <v>4.3</v>
      </c>
      <c r="I49" s="3">
        <v>645</v>
      </c>
      <c r="J49" s="13" t="str">
        <f>HYPERLINK("https://amazon.com/dp/B0CZHT2VHS","Amazon - B0CZHT2VHS")</f>
        <v>Amazon - B0CZHT2VHS</v>
      </c>
      <c r="K49" s="14" t="s">
        <v>443</v>
      </c>
      <c r="L49" s="14" t="s">
        <v>451</v>
      </c>
      <c r="M49" s="14" t="s">
        <v>445</v>
      </c>
      <c r="N49" s="14" t="s">
        <v>446</v>
      </c>
      <c r="O49" s="14" t="s">
        <v>453</v>
      </c>
    </row>
    <row r="50" spans="1:15" ht="45" x14ac:dyDescent="0.2">
      <c r="A50" s="2" t="s">
        <v>575</v>
      </c>
      <c r="B50" s="2" t="s">
        <v>576</v>
      </c>
      <c r="C50" s="2" t="s">
        <v>15</v>
      </c>
      <c r="D50" s="2" t="s">
        <v>442</v>
      </c>
      <c r="E50" s="4">
        <v>259.99</v>
      </c>
      <c r="F50" s="4">
        <v>29256.17</v>
      </c>
      <c r="G50" s="3">
        <v>119</v>
      </c>
      <c r="H50" s="6">
        <v>4.2</v>
      </c>
      <c r="I50" s="3">
        <v>209</v>
      </c>
      <c r="J50" s="13" t="str">
        <f>HYPERLINK("https://amazon.com/dp/B0FJFD212D","Amazon - B0FJFD212D")</f>
        <v>Amazon - B0FJFD212D</v>
      </c>
      <c r="K50" s="14" t="s">
        <v>482</v>
      </c>
      <c r="L50" s="14" t="s">
        <v>456</v>
      </c>
      <c r="M50" s="14" t="s">
        <v>577</v>
      </c>
      <c r="N50" s="14" t="s">
        <v>446</v>
      </c>
      <c r="O50" s="14" t="s">
        <v>578</v>
      </c>
    </row>
    <row r="51" spans="1:15" ht="45" x14ac:dyDescent="0.2">
      <c r="A51" s="2" t="s">
        <v>579</v>
      </c>
      <c r="B51" s="2" t="s">
        <v>580</v>
      </c>
      <c r="C51" s="2" t="s">
        <v>8</v>
      </c>
      <c r="D51" s="2" t="s">
        <v>450</v>
      </c>
      <c r="E51" s="4">
        <v>65.989999999999995</v>
      </c>
      <c r="F51" s="4">
        <v>27666</v>
      </c>
      <c r="G51" s="3">
        <v>419</v>
      </c>
      <c r="H51" s="6">
        <v>4.3</v>
      </c>
      <c r="I51" s="3">
        <v>187</v>
      </c>
      <c r="J51" s="13" t="str">
        <f>HYPERLINK("https://amazon.com/dp/B0DRP8LPF8","Amazon - B0DRP8LPF8")</f>
        <v>Amazon - B0DRP8LPF8</v>
      </c>
      <c r="K51" s="14" t="s">
        <v>443</v>
      </c>
      <c r="L51" s="14" t="s">
        <v>451</v>
      </c>
      <c r="M51" s="14" t="s">
        <v>303</v>
      </c>
      <c r="N51" s="14" t="s">
        <v>446</v>
      </c>
      <c r="O51" s="14" t="s">
        <v>303</v>
      </c>
    </row>
    <row r="52" spans="1:15" ht="45" x14ac:dyDescent="0.2">
      <c r="A52" s="2" t="s">
        <v>581</v>
      </c>
      <c r="B52" s="2" t="s">
        <v>582</v>
      </c>
      <c r="C52" s="2" t="s">
        <v>18</v>
      </c>
      <c r="D52" s="2" t="s">
        <v>472</v>
      </c>
      <c r="E52" s="4">
        <v>99.99</v>
      </c>
      <c r="F52" s="4">
        <v>27528.71</v>
      </c>
      <c r="G52" s="3">
        <v>298</v>
      </c>
      <c r="H52" s="6">
        <v>4.5999999999999996</v>
      </c>
      <c r="I52" s="3">
        <v>398</v>
      </c>
      <c r="J52" s="13" t="str">
        <f>HYPERLINK("https://amazon.com/dp/B0FZJ4CQB6","Amazon - B0FZJ4CQB6")</f>
        <v>Amazon - B0FZJ4CQB6</v>
      </c>
      <c r="K52" s="14" t="s">
        <v>443</v>
      </c>
      <c r="L52" s="14" t="s">
        <v>456</v>
      </c>
      <c r="M52" s="14" t="s">
        <v>303</v>
      </c>
      <c r="N52" s="14" t="s">
        <v>452</v>
      </c>
      <c r="O52" s="14" t="s">
        <v>447</v>
      </c>
    </row>
    <row r="53" spans="1:15" ht="45" x14ac:dyDescent="0.2">
      <c r="A53" s="2" t="s">
        <v>590</v>
      </c>
      <c r="B53" s="2" t="s">
        <v>591</v>
      </c>
      <c r="C53" s="2" t="s">
        <v>37</v>
      </c>
      <c r="D53" s="2" t="s">
        <v>478</v>
      </c>
      <c r="E53" s="4">
        <v>26.99</v>
      </c>
      <c r="F53" s="4">
        <v>27273.87</v>
      </c>
      <c r="G53" s="3">
        <v>991</v>
      </c>
      <c r="H53" s="6">
        <v>4.4000000000000004</v>
      </c>
      <c r="I53" s="3">
        <v>2777</v>
      </c>
      <c r="J53" s="13" t="str">
        <f>HYPERLINK("https://amazon.com/dp/B0BV98JZ22","Amazon - B0BV98JZ22")</f>
        <v>Amazon - B0BV98JZ22</v>
      </c>
      <c r="K53" s="14" t="s">
        <v>514</v>
      </c>
      <c r="L53" s="14" t="s">
        <v>456</v>
      </c>
      <c r="M53" s="14" t="s">
        <v>445</v>
      </c>
      <c r="N53" s="14" t="s">
        <v>446</v>
      </c>
      <c r="O53" s="14" t="s">
        <v>453</v>
      </c>
    </row>
    <row r="54" spans="1:15" ht="45" x14ac:dyDescent="0.2">
      <c r="A54" s="2" t="s">
        <v>652</v>
      </c>
      <c r="B54" s="2" t="s">
        <v>653</v>
      </c>
      <c r="C54" s="2" t="s">
        <v>25</v>
      </c>
      <c r="D54" s="2" t="s">
        <v>442</v>
      </c>
      <c r="E54" s="4">
        <v>99.99</v>
      </c>
      <c r="F54" s="4">
        <v>27227.25</v>
      </c>
      <c r="G54" s="3">
        <v>229</v>
      </c>
      <c r="H54" s="6">
        <v>4.5999999999999996</v>
      </c>
      <c r="I54" s="3">
        <v>201</v>
      </c>
      <c r="J54" s="13" t="str">
        <f>HYPERLINK("https://amazon.com/dp/B0DPHJSPBY","Amazon - B0DPHJSPBY")</f>
        <v>Amazon - B0DPHJSPBY</v>
      </c>
      <c r="K54" s="14" t="s">
        <v>443</v>
      </c>
      <c r="L54" s="14" t="s">
        <v>456</v>
      </c>
      <c r="M54" s="14" t="s">
        <v>577</v>
      </c>
      <c r="N54" s="14" t="s">
        <v>446</v>
      </c>
      <c r="O54" s="14" t="s">
        <v>654</v>
      </c>
    </row>
    <row r="55" spans="1:15" ht="45" x14ac:dyDescent="0.2">
      <c r="A55" s="2" t="s">
        <v>592</v>
      </c>
      <c r="B55" s="2" t="s">
        <v>593</v>
      </c>
      <c r="C55" s="2" t="s">
        <v>28</v>
      </c>
      <c r="D55" s="2" t="s">
        <v>478</v>
      </c>
      <c r="E55" s="4">
        <v>31.99</v>
      </c>
      <c r="F55" s="4">
        <v>26998.02</v>
      </c>
      <c r="G55" s="3">
        <v>928</v>
      </c>
      <c r="H55" s="6">
        <v>4</v>
      </c>
      <c r="I55" s="3">
        <v>334</v>
      </c>
      <c r="J55" s="13" t="str">
        <f>HYPERLINK("https://amazon.com/dp/B0F13BKB4P","Amazon - B0F13BKB4P")</f>
        <v>Amazon - B0F13BKB4P</v>
      </c>
      <c r="K55" s="14" t="s">
        <v>514</v>
      </c>
      <c r="L55" s="14" t="s">
        <v>456</v>
      </c>
      <c r="M55" s="14" t="s">
        <v>445</v>
      </c>
      <c r="N55" s="14" t="s">
        <v>452</v>
      </c>
      <c r="O55" s="14" t="s">
        <v>453</v>
      </c>
    </row>
    <row r="56" spans="1:15" ht="45" x14ac:dyDescent="0.2">
      <c r="A56" s="2" t="s">
        <v>655</v>
      </c>
      <c r="B56" s="2" t="s">
        <v>656</v>
      </c>
      <c r="C56" s="2" t="s">
        <v>15</v>
      </c>
      <c r="D56" s="2" t="s">
        <v>442</v>
      </c>
      <c r="E56" s="4">
        <v>239.99</v>
      </c>
      <c r="F56" s="4">
        <v>26964.44</v>
      </c>
      <c r="G56" s="3">
        <v>118</v>
      </c>
      <c r="H56" s="6">
        <v>4.2</v>
      </c>
      <c r="I56" s="3">
        <v>210</v>
      </c>
      <c r="J56" s="13" t="str">
        <f>HYPERLINK("https://amazon.com/dp/B0C64RBKJL","Amazon - B0C64RBKJL")</f>
        <v>Amazon - B0C64RBKJL</v>
      </c>
      <c r="K56" s="14" t="s">
        <v>482</v>
      </c>
      <c r="L56" s="14" t="s">
        <v>461</v>
      </c>
      <c r="M56" s="14" t="s">
        <v>577</v>
      </c>
      <c r="N56" s="14" t="s">
        <v>446</v>
      </c>
      <c r="O56" s="14" t="s">
        <v>543</v>
      </c>
    </row>
    <row r="57" spans="1:15" ht="30" x14ac:dyDescent="0.2">
      <c r="A57" s="2" t="s">
        <v>604</v>
      </c>
      <c r="B57" s="2" t="s">
        <v>605</v>
      </c>
      <c r="C57" s="2" t="s">
        <v>32</v>
      </c>
      <c r="D57" s="2" t="s">
        <v>442</v>
      </c>
      <c r="E57" s="4">
        <v>49.99</v>
      </c>
      <c r="F57" s="4">
        <v>26841.31</v>
      </c>
      <c r="G57" s="3">
        <v>620</v>
      </c>
      <c r="H57" s="6">
        <v>4.5999999999999996</v>
      </c>
      <c r="I57" s="3">
        <v>115</v>
      </c>
      <c r="J57" s="13" t="str">
        <f>HYPERLINK("https://amazon.com/dp/B0FJR2Y5B9","Amazon - B0FJR2Y5B9")</f>
        <v>Amazon - B0FJR2Y5B9</v>
      </c>
      <c r="K57" s="14" t="s">
        <v>443</v>
      </c>
      <c r="L57" s="14" t="s">
        <v>303</v>
      </c>
      <c r="M57" s="14" t="s">
        <v>303</v>
      </c>
      <c r="N57" s="14" t="s">
        <v>452</v>
      </c>
      <c r="O57" s="14" t="s">
        <v>453</v>
      </c>
    </row>
    <row r="58" spans="1:15" ht="45" x14ac:dyDescent="0.2">
      <c r="A58" s="2" t="s">
        <v>657</v>
      </c>
      <c r="B58" s="2" t="s">
        <v>658</v>
      </c>
      <c r="C58" s="2" t="s">
        <v>11</v>
      </c>
      <c r="D58" s="2" t="s">
        <v>472</v>
      </c>
      <c r="E58" s="4">
        <v>699.99</v>
      </c>
      <c r="F58" s="4">
        <v>26704.45</v>
      </c>
      <c r="G58" s="3">
        <v>38</v>
      </c>
      <c r="H58" s="6">
        <v>4.3</v>
      </c>
      <c r="I58" s="3">
        <v>8</v>
      </c>
      <c r="J58" s="13" t="str">
        <f>HYPERLINK("https://amazon.com/dp/B0DNMF126P","Amazon - B0DNMF126P")</f>
        <v>Amazon - B0DNMF126P</v>
      </c>
      <c r="K58" s="14" t="s">
        <v>443</v>
      </c>
      <c r="L58" s="14" t="s">
        <v>502</v>
      </c>
      <c r="M58" s="14" t="s">
        <v>303</v>
      </c>
      <c r="N58" s="14" t="s">
        <v>446</v>
      </c>
      <c r="O58" s="14" t="s">
        <v>527</v>
      </c>
    </row>
    <row r="59" spans="1:15" ht="45" x14ac:dyDescent="0.2">
      <c r="A59" s="2" t="s">
        <v>596</v>
      </c>
      <c r="B59" s="2" t="s">
        <v>597</v>
      </c>
      <c r="C59" s="2" t="s">
        <v>31</v>
      </c>
      <c r="D59" s="2" t="s">
        <v>478</v>
      </c>
      <c r="E59" s="4">
        <v>33.9</v>
      </c>
      <c r="F59" s="4">
        <v>26488.54</v>
      </c>
      <c r="G59" s="3">
        <v>810</v>
      </c>
      <c r="H59" s="6">
        <v>4.5</v>
      </c>
      <c r="I59" s="3">
        <v>432</v>
      </c>
      <c r="J59" s="13" t="str">
        <f>HYPERLINK("https://amazon.com/dp/B0CW65T636","Amazon - B0CW65T636")</f>
        <v>Amazon - B0CW65T636</v>
      </c>
      <c r="K59" s="14" t="s">
        <v>514</v>
      </c>
      <c r="L59" s="14" t="s">
        <v>456</v>
      </c>
      <c r="M59" s="14" t="s">
        <v>445</v>
      </c>
      <c r="N59" s="14" t="s">
        <v>446</v>
      </c>
      <c r="O59" s="14" t="s">
        <v>453</v>
      </c>
    </row>
    <row r="60" spans="1:15" ht="45" x14ac:dyDescent="0.2">
      <c r="A60" s="2" t="s">
        <v>659</v>
      </c>
      <c r="B60" s="2" t="s">
        <v>660</v>
      </c>
      <c r="C60" s="2" t="s">
        <v>16</v>
      </c>
      <c r="D60" s="2" t="s">
        <v>450</v>
      </c>
      <c r="E60" s="4">
        <v>147</v>
      </c>
      <c r="F60" s="4">
        <v>25296.54</v>
      </c>
      <c r="G60" s="3">
        <v>155</v>
      </c>
      <c r="H60" s="6">
        <v>5</v>
      </c>
      <c r="I60" s="3">
        <v>5</v>
      </c>
      <c r="J60" s="13" t="str">
        <f>HYPERLINK("https://amazon.com/dp/B0G1MM25PR","Amazon - B0G1MM25PR")</f>
        <v>Amazon - B0G1MM25PR</v>
      </c>
      <c r="K60" s="14" t="s">
        <v>482</v>
      </c>
      <c r="L60" s="14" t="s">
        <v>451</v>
      </c>
      <c r="M60" s="14" t="s">
        <v>499</v>
      </c>
      <c r="N60" s="14" t="s">
        <v>446</v>
      </c>
      <c r="O60" s="14" t="s">
        <v>543</v>
      </c>
    </row>
    <row r="61" spans="1:15" ht="45" x14ac:dyDescent="0.2">
      <c r="A61" s="2" t="s">
        <v>661</v>
      </c>
      <c r="B61" s="2" t="s">
        <v>662</v>
      </c>
      <c r="C61" s="2" t="s">
        <v>8</v>
      </c>
      <c r="D61" s="2" t="s">
        <v>478</v>
      </c>
      <c r="E61" s="4">
        <v>49.98</v>
      </c>
      <c r="F61" s="4">
        <v>24616.959999999999</v>
      </c>
      <c r="G61" s="3">
        <v>420</v>
      </c>
      <c r="H61" s="6">
        <v>4.4000000000000004</v>
      </c>
      <c r="I61" s="3">
        <v>124</v>
      </c>
      <c r="J61" s="13" t="str">
        <f>HYPERLINK("https://amazon.com/dp/B0DYDXH1NQ","Amazon - B0DYDXH1NQ")</f>
        <v>Amazon - B0DYDXH1NQ</v>
      </c>
      <c r="K61" s="14" t="s">
        <v>443</v>
      </c>
      <c r="L61" s="14" t="s">
        <v>456</v>
      </c>
      <c r="M61" s="14" t="s">
        <v>445</v>
      </c>
      <c r="N61" s="14" t="s">
        <v>452</v>
      </c>
      <c r="O61" s="14" t="s">
        <v>453</v>
      </c>
    </row>
    <row r="62" spans="1:15" ht="45" x14ac:dyDescent="0.2">
      <c r="A62" s="2" t="s">
        <v>663</v>
      </c>
      <c r="B62" s="2" t="s">
        <v>664</v>
      </c>
      <c r="C62" s="2" t="s">
        <v>25</v>
      </c>
      <c r="D62" s="2" t="s">
        <v>442</v>
      </c>
      <c r="E62" s="4">
        <v>189.99</v>
      </c>
      <c r="F62" s="4">
        <v>23852.53</v>
      </c>
      <c r="G62" s="3">
        <v>126</v>
      </c>
      <c r="H62" s="6">
        <v>4.5999999999999996</v>
      </c>
      <c r="I62" s="3">
        <v>201</v>
      </c>
      <c r="J62" s="13" t="str">
        <f>HYPERLINK("https://amazon.com/dp/B0F8QLHGZR","Amazon - B0F8QLHGZR")</f>
        <v>Amazon - B0F8QLHGZR</v>
      </c>
      <c r="K62" s="14" t="s">
        <v>443</v>
      </c>
      <c r="L62" s="14" t="s">
        <v>461</v>
      </c>
      <c r="M62" s="14" t="s">
        <v>535</v>
      </c>
      <c r="N62" s="14" t="s">
        <v>452</v>
      </c>
      <c r="O62" s="14" t="s">
        <v>536</v>
      </c>
    </row>
    <row r="63" spans="1:15" ht="45" x14ac:dyDescent="0.2">
      <c r="A63" s="2" t="s">
        <v>588</v>
      </c>
      <c r="B63" s="2" t="s">
        <v>589</v>
      </c>
      <c r="C63" s="2" t="s">
        <v>34</v>
      </c>
      <c r="D63" s="2" t="s">
        <v>450</v>
      </c>
      <c r="E63" s="4">
        <v>18.89</v>
      </c>
      <c r="F63" s="4">
        <v>23733.85</v>
      </c>
      <c r="G63" s="3">
        <v>1193</v>
      </c>
      <c r="H63" s="6">
        <v>4.3</v>
      </c>
      <c r="I63" s="3">
        <v>639</v>
      </c>
      <c r="J63" s="13" t="str">
        <f>HYPERLINK("https://amazon.com/dp/B0FC2HS5GZ","Amazon - B0FC2HS5GZ")</f>
        <v>Amazon - B0FC2HS5GZ</v>
      </c>
      <c r="K63" s="14" t="s">
        <v>443</v>
      </c>
      <c r="L63" s="14" t="s">
        <v>451</v>
      </c>
      <c r="M63" s="14" t="s">
        <v>445</v>
      </c>
      <c r="N63" s="14" t="s">
        <v>452</v>
      </c>
      <c r="O63" s="14" t="s">
        <v>453</v>
      </c>
    </row>
    <row r="64" spans="1:15" ht="30" x14ac:dyDescent="0.2">
      <c r="A64" s="2" t="s">
        <v>586</v>
      </c>
      <c r="B64" s="2" t="s">
        <v>587</v>
      </c>
      <c r="C64" s="2" t="s">
        <v>46</v>
      </c>
      <c r="D64" s="2" t="s">
        <v>442</v>
      </c>
      <c r="E64" s="4">
        <v>15.99</v>
      </c>
      <c r="F64" s="4">
        <v>23601.93</v>
      </c>
      <c r="G64" s="3">
        <v>1406</v>
      </c>
      <c r="H64" s="6">
        <v>4.4000000000000004</v>
      </c>
      <c r="I64" s="3">
        <v>1234</v>
      </c>
      <c r="J64" s="13" t="str">
        <f>HYPERLINK("https://amazon.com/dp/B0C4FBM6GV","Amazon - B0C4FBM6GV")</f>
        <v>Amazon - B0C4FBM6GV</v>
      </c>
      <c r="K64" s="14" t="s">
        <v>443</v>
      </c>
      <c r="L64" s="14" t="s">
        <v>303</v>
      </c>
      <c r="M64" s="14" t="s">
        <v>303</v>
      </c>
      <c r="N64" s="14" t="s">
        <v>446</v>
      </c>
      <c r="O64" s="14" t="s">
        <v>453</v>
      </c>
    </row>
    <row r="65" spans="1:15" ht="45" x14ac:dyDescent="0.2">
      <c r="A65" s="2" t="s">
        <v>665</v>
      </c>
      <c r="B65" s="2" t="s">
        <v>666</v>
      </c>
      <c r="C65" s="2" t="s">
        <v>21</v>
      </c>
      <c r="D65" s="2" t="s">
        <v>472</v>
      </c>
      <c r="E65" s="4">
        <v>299.99</v>
      </c>
      <c r="F65" s="4">
        <v>23330.76</v>
      </c>
      <c r="G65" s="3">
        <v>78</v>
      </c>
      <c r="H65" s="6">
        <v>4.4000000000000004</v>
      </c>
      <c r="I65" s="3">
        <v>107</v>
      </c>
      <c r="J65" s="13" t="str">
        <f>HYPERLINK("https://amazon.com/dp/B0FFGLYF7M","Amazon - B0FFGLYF7M")</f>
        <v>Amazon - B0FFGLYF7M</v>
      </c>
      <c r="K65" s="14" t="s">
        <v>482</v>
      </c>
      <c r="L65" s="14" t="s">
        <v>667</v>
      </c>
      <c r="M65" s="14" t="s">
        <v>303</v>
      </c>
      <c r="N65" s="14" t="s">
        <v>446</v>
      </c>
      <c r="O65" s="14" t="s">
        <v>517</v>
      </c>
    </row>
    <row r="66" spans="1:15" ht="45" x14ac:dyDescent="0.2">
      <c r="A66" s="2" t="s">
        <v>668</v>
      </c>
      <c r="B66" s="2" t="s">
        <v>669</v>
      </c>
      <c r="C66" s="2" t="s">
        <v>38</v>
      </c>
      <c r="D66" s="2" t="s">
        <v>670</v>
      </c>
      <c r="E66" s="4">
        <v>81.67</v>
      </c>
      <c r="F66" s="4">
        <v>23275.759999999998</v>
      </c>
      <c r="G66" s="3">
        <v>206</v>
      </c>
      <c r="H66" s="6">
        <v>4.4000000000000004</v>
      </c>
      <c r="I66" s="3">
        <v>156</v>
      </c>
      <c r="J66" s="13" t="str">
        <f>HYPERLINK("https://amazon.com/dp/B0DT45G8F3","Amazon - B0DT45G8F3")</f>
        <v>Amazon - B0DT45G8F3</v>
      </c>
      <c r="K66" s="14" t="s">
        <v>443</v>
      </c>
      <c r="L66" s="14" t="s">
        <v>461</v>
      </c>
      <c r="M66" s="14" t="s">
        <v>445</v>
      </c>
      <c r="N66" s="14" t="s">
        <v>473</v>
      </c>
      <c r="O66" s="14" t="s">
        <v>479</v>
      </c>
    </row>
    <row r="67" spans="1:15" ht="45" x14ac:dyDescent="0.2">
      <c r="A67" s="2" t="s">
        <v>584</v>
      </c>
      <c r="B67" s="2" t="s">
        <v>585</v>
      </c>
      <c r="C67" s="2" t="s">
        <v>54</v>
      </c>
      <c r="D67" s="2" t="s">
        <v>450</v>
      </c>
      <c r="E67" s="4">
        <v>14.24</v>
      </c>
      <c r="F67" s="4">
        <v>23262.9</v>
      </c>
      <c r="G67" s="3">
        <v>1585</v>
      </c>
      <c r="H67" s="6">
        <v>4.2</v>
      </c>
      <c r="I67" s="3">
        <v>104</v>
      </c>
      <c r="J67" s="13" t="str">
        <f>HYPERLINK("https://amazon.com/dp/B0FXR9VFSV","Amazon - B0FXR9VFSV")</f>
        <v>Amazon - B0FXR9VFSV</v>
      </c>
      <c r="K67" s="14" t="s">
        <v>443</v>
      </c>
      <c r="L67" s="14" t="s">
        <v>451</v>
      </c>
      <c r="M67" s="14" t="s">
        <v>303</v>
      </c>
      <c r="N67" s="14" t="s">
        <v>446</v>
      </c>
      <c r="O67" s="14" t="s">
        <v>453</v>
      </c>
    </row>
    <row r="68" spans="1:15" ht="45" x14ac:dyDescent="0.2">
      <c r="A68" s="2" t="s">
        <v>615</v>
      </c>
      <c r="B68" s="2" t="s">
        <v>616</v>
      </c>
      <c r="C68" s="2" t="s">
        <v>20</v>
      </c>
      <c r="D68" s="2" t="s">
        <v>478</v>
      </c>
      <c r="E68" s="4">
        <v>25.63</v>
      </c>
      <c r="F68" s="4">
        <v>22392.52</v>
      </c>
      <c r="G68" s="3">
        <v>579</v>
      </c>
      <c r="H68" s="6">
        <v>4.5</v>
      </c>
      <c r="I68" s="3">
        <v>724</v>
      </c>
      <c r="J68" s="13" t="str">
        <f>HYPERLINK("https://amazon.com/dp/B0DH1XWTKK","Amazon - B0DH1XWTKK")</f>
        <v>Amazon - B0DH1XWTKK</v>
      </c>
      <c r="K68" s="14" t="s">
        <v>514</v>
      </c>
      <c r="L68" s="14" t="s">
        <v>456</v>
      </c>
      <c r="M68" s="14" t="s">
        <v>445</v>
      </c>
      <c r="N68" s="14" t="s">
        <v>452</v>
      </c>
      <c r="O68" s="14" t="s">
        <v>453</v>
      </c>
    </row>
    <row r="69" spans="1:15" ht="45" x14ac:dyDescent="0.2">
      <c r="A69" s="2" t="s">
        <v>671</v>
      </c>
      <c r="B69" s="2" t="s">
        <v>672</v>
      </c>
      <c r="C69" s="2" t="s">
        <v>42</v>
      </c>
      <c r="D69" s="2" t="s">
        <v>472</v>
      </c>
      <c r="E69" s="4">
        <v>625.99</v>
      </c>
      <c r="F69" s="4">
        <v>22181.03</v>
      </c>
      <c r="G69" s="3">
        <v>35</v>
      </c>
      <c r="H69" s="6">
        <v>4.7</v>
      </c>
      <c r="I69" s="3">
        <v>14</v>
      </c>
      <c r="J69" s="13" t="str">
        <f>HYPERLINK("https://amazon.com/dp/B0CYLX1C1N","Amazon - B0CYLX1C1N")</f>
        <v>Amazon - B0CYLX1C1N</v>
      </c>
      <c r="K69" s="14" t="s">
        <v>443</v>
      </c>
      <c r="L69" s="14" t="s">
        <v>461</v>
      </c>
      <c r="M69" s="14" t="s">
        <v>303</v>
      </c>
      <c r="N69" s="14" t="s">
        <v>446</v>
      </c>
      <c r="O69" s="14" t="s">
        <v>517</v>
      </c>
    </row>
    <row r="70" spans="1:15" ht="45" x14ac:dyDescent="0.2">
      <c r="A70" s="2" t="s">
        <v>623</v>
      </c>
      <c r="B70" s="2" t="s">
        <v>624</v>
      </c>
      <c r="C70" s="2" t="s">
        <v>24</v>
      </c>
      <c r="D70" s="2" t="s">
        <v>469</v>
      </c>
      <c r="E70" s="4">
        <v>39.979999999999997</v>
      </c>
      <c r="F70" s="4">
        <v>22028.400000000001</v>
      </c>
      <c r="G70" s="3">
        <v>551</v>
      </c>
      <c r="H70" s="6">
        <v>4.5</v>
      </c>
      <c r="I70" s="3">
        <v>136</v>
      </c>
      <c r="J70" s="13" t="str">
        <f>HYPERLINK("https://amazon.com/dp/B0DXKXXNLJ","Amazon - B0DXKXXNLJ")</f>
        <v>Amazon - B0DXKXXNLJ</v>
      </c>
      <c r="K70" s="14" t="s">
        <v>514</v>
      </c>
      <c r="L70" s="14" t="s">
        <v>456</v>
      </c>
      <c r="M70" s="14" t="s">
        <v>511</v>
      </c>
      <c r="N70" s="14" t="s">
        <v>446</v>
      </c>
      <c r="O70" s="14" t="s">
        <v>447</v>
      </c>
    </row>
    <row r="71" spans="1:15" ht="45" x14ac:dyDescent="0.2">
      <c r="A71" s="2" t="s">
        <v>600</v>
      </c>
      <c r="B71" s="2" t="s">
        <v>601</v>
      </c>
      <c r="C71" s="2" t="s">
        <v>31</v>
      </c>
      <c r="D71" s="2" t="s">
        <v>469</v>
      </c>
      <c r="E71" s="4">
        <v>27.9</v>
      </c>
      <c r="F71" s="4">
        <v>21984.53</v>
      </c>
      <c r="G71" s="3">
        <v>704</v>
      </c>
      <c r="H71" s="6">
        <v>4.5</v>
      </c>
      <c r="I71" s="3">
        <v>1316</v>
      </c>
      <c r="J71" s="13" t="str">
        <f>HYPERLINK("https://amazon.com/dp/B0CP538LN1","Amazon - B0CP538LN1")</f>
        <v>Amazon - B0CP538LN1</v>
      </c>
      <c r="K71" s="14" t="s">
        <v>514</v>
      </c>
      <c r="L71" s="14" t="s">
        <v>456</v>
      </c>
      <c r="M71" s="14" t="s">
        <v>445</v>
      </c>
      <c r="N71" s="14" t="s">
        <v>446</v>
      </c>
      <c r="O71" s="14" t="s">
        <v>453</v>
      </c>
    </row>
    <row r="72" spans="1:15" ht="45" x14ac:dyDescent="0.2">
      <c r="A72" s="2" t="s">
        <v>673</v>
      </c>
      <c r="B72" s="2" t="s">
        <v>674</v>
      </c>
      <c r="C72" s="2" t="s">
        <v>11</v>
      </c>
      <c r="D72" s="2" t="s">
        <v>442</v>
      </c>
      <c r="E72" s="4">
        <v>99.9</v>
      </c>
      <c r="F72" s="4">
        <v>21770.93</v>
      </c>
      <c r="G72" s="3">
        <v>218</v>
      </c>
      <c r="H72" s="6">
        <v>4.4000000000000004</v>
      </c>
      <c r="I72" s="3">
        <v>532</v>
      </c>
      <c r="J72" s="13" t="str">
        <f>HYPERLINK("https://amazon.com/dp/B0C9GR791B","Amazon - B0C9GR791B")</f>
        <v>Amazon - B0C9GR791B</v>
      </c>
      <c r="K72" s="14" t="s">
        <v>443</v>
      </c>
      <c r="L72" s="14" t="s">
        <v>461</v>
      </c>
      <c r="M72" s="14" t="s">
        <v>535</v>
      </c>
      <c r="N72" s="14" t="s">
        <v>446</v>
      </c>
      <c r="O72" s="14" t="s">
        <v>447</v>
      </c>
    </row>
    <row r="73" spans="1:15" ht="45" x14ac:dyDescent="0.2">
      <c r="A73" s="2" t="s">
        <v>675</v>
      </c>
      <c r="B73" s="2" t="s">
        <v>676</v>
      </c>
      <c r="C73" s="2" t="s">
        <v>29</v>
      </c>
      <c r="D73" s="2" t="s">
        <v>472</v>
      </c>
      <c r="E73" s="4">
        <v>255.43</v>
      </c>
      <c r="F73" s="4">
        <v>21740.720000000001</v>
      </c>
      <c r="G73" s="3">
        <v>85</v>
      </c>
      <c r="H73" s="6">
        <v>4.3</v>
      </c>
      <c r="I73" s="3">
        <v>63</v>
      </c>
      <c r="J73" s="13" t="str">
        <f>HYPERLINK("https://amazon.com/dp/B0DN1H5ZBM","Amazon - B0DN1H5ZBM")</f>
        <v>Amazon - B0DN1H5ZBM</v>
      </c>
      <c r="K73" s="14" t="s">
        <v>443</v>
      </c>
      <c r="L73" s="14" t="s">
        <v>456</v>
      </c>
      <c r="M73" s="14" t="s">
        <v>677</v>
      </c>
      <c r="N73" s="14" t="s">
        <v>446</v>
      </c>
      <c r="O73" s="14" t="s">
        <v>517</v>
      </c>
    </row>
    <row r="74" spans="1:15" ht="45" x14ac:dyDescent="0.2">
      <c r="A74" s="2" t="s">
        <v>594</v>
      </c>
      <c r="B74" s="2" t="s">
        <v>595</v>
      </c>
      <c r="C74" s="2" t="s">
        <v>53</v>
      </c>
      <c r="D74" s="2" t="s">
        <v>478</v>
      </c>
      <c r="E74" s="4">
        <v>24.99</v>
      </c>
      <c r="F74" s="4">
        <v>21677.05</v>
      </c>
      <c r="G74" s="3">
        <v>868</v>
      </c>
      <c r="H74" s="6">
        <v>4.5</v>
      </c>
      <c r="I74" s="3">
        <v>423</v>
      </c>
      <c r="J74" s="13" t="str">
        <f>HYPERLINK("https://amazon.com/dp/B0F5Q2YXY5","Amazon - B0F5Q2YXY5")</f>
        <v>Amazon - B0F5Q2YXY5</v>
      </c>
      <c r="K74" s="14" t="s">
        <v>514</v>
      </c>
      <c r="L74" s="14" t="s">
        <v>456</v>
      </c>
      <c r="M74" s="14" t="s">
        <v>445</v>
      </c>
      <c r="N74" s="14" t="s">
        <v>446</v>
      </c>
      <c r="O74" s="14" t="s">
        <v>453</v>
      </c>
    </row>
    <row r="75" spans="1:15" ht="45" x14ac:dyDescent="0.2">
      <c r="A75" s="2" t="s">
        <v>606</v>
      </c>
      <c r="B75" s="2" t="s">
        <v>607</v>
      </c>
      <c r="C75" s="2" t="s">
        <v>10</v>
      </c>
      <c r="D75" s="2" t="s">
        <v>450</v>
      </c>
      <c r="E75" s="4">
        <v>35.99</v>
      </c>
      <c r="F75" s="4">
        <v>21431.07</v>
      </c>
      <c r="G75" s="3">
        <v>601</v>
      </c>
      <c r="H75" s="6">
        <v>4.3</v>
      </c>
      <c r="I75" s="3">
        <v>6016</v>
      </c>
      <c r="J75" s="13" t="str">
        <f>HYPERLINK("https://amazon.com/dp/B0BF64PP4F","Amazon - B0BF64PP4F")</f>
        <v>Amazon - B0BF64PP4F</v>
      </c>
      <c r="K75" s="14" t="s">
        <v>443</v>
      </c>
      <c r="L75" s="14" t="s">
        <v>451</v>
      </c>
      <c r="M75" s="14" t="s">
        <v>445</v>
      </c>
      <c r="N75" s="14" t="s">
        <v>446</v>
      </c>
      <c r="O75" s="14" t="s">
        <v>608</v>
      </c>
    </row>
    <row r="76" spans="1:15" ht="45" x14ac:dyDescent="0.2">
      <c r="A76" s="2" t="s">
        <v>678</v>
      </c>
      <c r="B76" s="2" t="s">
        <v>679</v>
      </c>
      <c r="C76" s="2" t="s">
        <v>30</v>
      </c>
      <c r="D76" s="2" t="s">
        <v>472</v>
      </c>
      <c r="E76" s="4">
        <v>122.99</v>
      </c>
      <c r="F76" s="4">
        <v>21125.57</v>
      </c>
      <c r="G76" s="3">
        <v>188</v>
      </c>
      <c r="H76" s="6">
        <v>4.5</v>
      </c>
      <c r="I76" s="3">
        <v>63</v>
      </c>
      <c r="J76" s="13" t="str">
        <f>HYPERLINK("https://amazon.com/dp/B0FKN58TQ2","Amazon - B0FKN58TQ2")</f>
        <v>Amazon - B0FKN58TQ2</v>
      </c>
      <c r="K76" s="14" t="s">
        <v>443</v>
      </c>
      <c r="L76" s="14" t="s">
        <v>461</v>
      </c>
      <c r="M76" s="14" t="s">
        <v>303</v>
      </c>
      <c r="N76" s="14" t="s">
        <v>473</v>
      </c>
      <c r="O76" s="14" t="s">
        <v>479</v>
      </c>
    </row>
    <row r="77" spans="1:15" ht="45" x14ac:dyDescent="0.2">
      <c r="A77" s="2" t="s">
        <v>598</v>
      </c>
      <c r="B77" s="2" t="s">
        <v>599</v>
      </c>
      <c r="C77" s="2" t="s">
        <v>16</v>
      </c>
      <c r="D77" s="2" t="s">
        <v>450</v>
      </c>
      <c r="E77" s="4">
        <v>29.99</v>
      </c>
      <c r="F77" s="4">
        <v>21035.74</v>
      </c>
      <c r="G77" s="3">
        <v>749</v>
      </c>
      <c r="H77" s="6">
        <v>4.4000000000000004</v>
      </c>
      <c r="I77" s="3">
        <v>357</v>
      </c>
      <c r="J77" s="13" t="str">
        <f>HYPERLINK("https://amazon.com/dp/B0DQW68W1T","Amazon - B0DQW68W1T")</f>
        <v>Amazon - B0DQW68W1T</v>
      </c>
      <c r="K77" s="14" t="s">
        <v>443</v>
      </c>
      <c r="L77" s="14" t="s">
        <v>451</v>
      </c>
      <c r="M77" s="14" t="s">
        <v>303</v>
      </c>
      <c r="N77" s="14" t="s">
        <v>446</v>
      </c>
      <c r="O77" s="14" t="s">
        <v>524</v>
      </c>
    </row>
    <row r="78" spans="1:15" ht="45" x14ac:dyDescent="0.2">
      <c r="A78" s="2" t="s">
        <v>680</v>
      </c>
      <c r="B78" s="2" t="s">
        <v>681</v>
      </c>
      <c r="C78" s="2" t="s">
        <v>11</v>
      </c>
      <c r="D78" s="2" t="s">
        <v>442</v>
      </c>
      <c r="E78" s="4">
        <v>65.900000000000006</v>
      </c>
      <c r="F78" s="4">
        <v>20223.689999999999</v>
      </c>
      <c r="G78" s="3">
        <v>307</v>
      </c>
      <c r="H78" s="6">
        <v>4.5999999999999996</v>
      </c>
      <c r="I78" s="3">
        <v>686</v>
      </c>
      <c r="J78" s="13" t="str">
        <f>HYPERLINK("https://amazon.com/dp/B0BVMFYQNS","Amazon - B0BVMFYQNS")</f>
        <v>Amazon - B0BVMFYQNS</v>
      </c>
      <c r="K78" s="14" t="s">
        <v>443</v>
      </c>
      <c r="L78" s="14" t="s">
        <v>444</v>
      </c>
      <c r="M78" s="14" t="s">
        <v>303</v>
      </c>
      <c r="N78" s="14" t="s">
        <v>473</v>
      </c>
      <c r="O78" s="14" t="s">
        <v>303</v>
      </c>
    </row>
    <row r="79" spans="1:15" ht="45" x14ac:dyDescent="0.2">
      <c r="A79" s="2" t="s">
        <v>682</v>
      </c>
      <c r="B79" s="2" t="s">
        <v>683</v>
      </c>
      <c r="C79" s="2" t="s">
        <v>12</v>
      </c>
      <c r="D79" s="2" t="s">
        <v>442</v>
      </c>
      <c r="E79" s="4">
        <v>149.99</v>
      </c>
      <c r="F79" s="4">
        <v>19960.650000000001</v>
      </c>
      <c r="G79" s="3">
        <v>146</v>
      </c>
      <c r="H79" s="6">
        <v>4.2</v>
      </c>
      <c r="I79" s="3">
        <v>217</v>
      </c>
      <c r="J79" s="13" t="str">
        <f>HYPERLINK("https://amazon.com/dp/B0B71PT47Q","Amazon - B0B71PT47Q")</f>
        <v>Amazon - B0B71PT47Q</v>
      </c>
      <c r="K79" s="14" t="s">
        <v>443</v>
      </c>
      <c r="L79" s="14" t="s">
        <v>456</v>
      </c>
      <c r="M79" s="14" t="s">
        <v>445</v>
      </c>
      <c r="N79" s="14" t="s">
        <v>446</v>
      </c>
      <c r="O79" s="14" t="s">
        <v>487</v>
      </c>
    </row>
    <row r="80" spans="1:15" ht="45" x14ac:dyDescent="0.2">
      <c r="A80" s="2" t="s">
        <v>684</v>
      </c>
      <c r="B80" s="2" t="s">
        <v>685</v>
      </c>
      <c r="C80" s="2" t="s">
        <v>17</v>
      </c>
      <c r="D80" s="2" t="s">
        <v>442</v>
      </c>
      <c r="E80" s="4">
        <v>59.99</v>
      </c>
      <c r="F80" s="4">
        <v>19701.37</v>
      </c>
      <c r="G80" s="3">
        <v>328</v>
      </c>
      <c r="H80" s="6">
        <v>4.4000000000000004</v>
      </c>
      <c r="I80" s="3">
        <v>2113</v>
      </c>
      <c r="J80" s="13" t="str">
        <f>HYPERLINK("https://amazon.com/dp/B0CJC65Q9P","Amazon - B0CJC65Q9P")</f>
        <v>Amazon - B0CJC65Q9P</v>
      </c>
      <c r="K80" s="14" t="s">
        <v>443</v>
      </c>
      <c r="L80" s="14" t="s">
        <v>303</v>
      </c>
      <c r="M80" s="14" t="s">
        <v>303</v>
      </c>
      <c r="N80" s="14" t="s">
        <v>446</v>
      </c>
      <c r="O80" s="14" t="s">
        <v>629</v>
      </c>
    </row>
    <row r="81" spans="1:15" ht="45" x14ac:dyDescent="0.2">
      <c r="A81" s="2" t="s">
        <v>686</v>
      </c>
      <c r="B81" s="2" t="s">
        <v>687</v>
      </c>
      <c r="C81" s="2" t="s">
        <v>60</v>
      </c>
      <c r="D81" s="2" t="s">
        <v>472</v>
      </c>
      <c r="E81" s="4">
        <v>258.99</v>
      </c>
      <c r="F81" s="4">
        <v>19686.3</v>
      </c>
      <c r="G81" s="3">
        <v>76</v>
      </c>
      <c r="H81" s="6">
        <v>4.5</v>
      </c>
      <c r="I81" s="3">
        <v>28</v>
      </c>
      <c r="J81" s="13" t="str">
        <f>HYPERLINK("https://amazon.com/dp/B0G15X3PZ2","Amazon - B0G15X3PZ2")</f>
        <v>Amazon - B0G15X3PZ2</v>
      </c>
      <c r="K81" s="14" t="s">
        <v>443</v>
      </c>
      <c r="L81" s="14" t="s">
        <v>461</v>
      </c>
      <c r="M81" s="14" t="s">
        <v>688</v>
      </c>
      <c r="N81" s="14" t="s">
        <v>446</v>
      </c>
      <c r="O81" s="14" t="s">
        <v>517</v>
      </c>
    </row>
    <row r="82" spans="1:15" ht="45" x14ac:dyDescent="0.2">
      <c r="A82" s="2" t="s">
        <v>689</v>
      </c>
      <c r="B82" s="2" t="s">
        <v>690</v>
      </c>
      <c r="C82" s="2" t="s">
        <v>14</v>
      </c>
      <c r="D82" s="2" t="s">
        <v>472</v>
      </c>
      <c r="E82" s="4">
        <v>399.99</v>
      </c>
      <c r="F82" s="4">
        <v>19463.37</v>
      </c>
      <c r="G82" s="3">
        <v>49</v>
      </c>
      <c r="H82" s="6">
        <v>3.8</v>
      </c>
      <c r="I82" s="3">
        <v>8</v>
      </c>
      <c r="J82" s="13" t="str">
        <f>HYPERLINK("https://amazon.com/dp/B0DP8WKC2J","Amazon - B0DP8WKC2J")</f>
        <v>Amazon - B0DP8WKC2J</v>
      </c>
      <c r="K82" s="14" t="s">
        <v>443</v>
      </c>
      <c r="L82" s="14" t="s">
        <v>303</v>
      </c>
      <c r="M82" s="14" t="s">
        <v>303</v>
      </c>
      <c r="N82" s="14" t="s">
        <v>446</v>
      </c>
      <c r="O82" s="14" t="s">
        <v>303</v>
      </c>
    </row>
    <row r="83" spans="1:15" ht="45" x14ac:dyDescent="0.2">
      <c r="A83" s="2" t="s">
        <v>691</v>
      </c>
      <c r="B83" s="2" t="s">
        <v>692</v>
      </c>
      <c r="C83" s="2" t="s">
        <v>8</v>
      </c>
      <c r="D83" s="2" t="s">
        <v>442</v>
      </c>
      <c r="E83" s="4">
        <v>269.99</v>
      </c>
      <c r="F83" s="4">
        <v>19315.57</v>
      </c>
      <c r="G83" s="3">
        <v>75</v>
      </c>
      <c r="H83" s="6">
        <v>4.7</v>
      </c>
      <c r="I83" s="3">
        <v>633</v>
      </c>
      <c r="J83" s="13" t="str">
        <f>HYPERLINK("https://amazon.com/dp/B07SQ4FLYX","Amazon - B07SQ4FLYX")</f>
        <v>Amazon - B07SQ4FLYX</v>
      </c>
      <c r="K83" s="14" t="s">
        <v>443</v>
      </c>
      <c r="L83" s="14" t="s">
        <v>461</v>
      </c>
      <c r="M83" s="14" t="s">
        <v>462</v>
      </c>
      <c r="N83" s="14" t="s">
        <v>452</v>
      </c>
      <c r="O83" s="14" t="s">
        <v>524</v>
      </c>
    </row>
    <row r="84" spans="1:15" ht="45" x14ac:dyDescent="0.2">
      <c r="A84" s="2" t="s">
        <v>693</v>
      </c>
      <c r="B84" s="2" t="s">
        <v>694</v>
      </c>
      <c r="C84" s="2" t="s">
        <v>39</v>
      </c>
      <c r="D84" s="2" t="s">
        <v>442</v>
      </c>
      <c r="E84" s="4">
        <v>45.99</v>
      </c>
      <c r="F84" s="4">
        <v>17640.14</v>
      </c>
      <c r="G84" s="3">
        <v>252</v>
      </c>
      <c r="H84" s="6">
        <v>4.3</v>
      </c>
      <c r="I84" s="3">
        <v>36</v>
      </c>
      <c r="J84" s="13" t="str">
        <f>HYPERLINK("https://amazon.com/dp/B0FXL4JXC5","Amazon - B0FXL4JXC5")</f>
        <v>Amazon - B0FXL4JXC5</v>
      </c>
      <c r="K84" s="14" t="s">
        <v>443</v>
      </c>
      <c r="L84" s="14" t="s">
        <v>461</v>
      </c>
      <c r="M84" s="14" t="s">
        <v>511</v>
      </c>
      <c r="N84" s="14" t="s">
        <v>446</v>
      </c>
      <c r="O84" s="14" t="s">
        <v>447</v>
      </c>
    </row>
    <row r="85" spans="1:15" ht="45" x14ac:dyDescent="0.2">
      <c r="A85" s="2" t="s">
        <v>695</v>
      </c>
      <c r="B85" s="2" t="s">
        <v>696</v>
      </c>
      <c r="C85" s="2" t="s">
        <v>30</v>
      </c>
      <c r="D85" s="2" t="s">
        <v>472</v>
      </c>
      <c r="E85" s="4">
        <v>95.99</v>
      </c>
      <c r="F85" s="4">
        <v>17560.84</v>
      </c>
      <c r="G85" s="3">
        <v>177</v>
      </c>
      <c r="H85" s="6">
        <v>4.8</v>
      </c>
      <c r="I85" s="3">
        <v>40</v>
      </c>
      <c r="J85" s="13" t="str">
        <f>HYPERLINK("https://amazon.com/dp/B0FNWQ6R4X","Amazon - B0FNWQ6R4X")</f>
        <v>Amazon - B0FNWQ6R4X</v>
      </c>
      <c r="K85" s="14" t="s">
        <v>443</v>
      </c>
      <c r="L85" s="14" t="s">
        <v>461</v>
      </c>
      <c r="M85" s="14" t="s">
        <v>303</v>
      </c>
      <c r="N85" s="14" t="s">
        <v>473</v>
      </c>
      <c r="O85" s="14" t="s">
        <v>479</v>
      </c>
    </row>
    <row r="86" spans="1:15" ht="45" x14ac:dyDescent="0.2">
      <c r="A86" s="2" t="s">
        <v>697</v>
      </c>
      <c r="B86" s="2" t="s">
        <v>698</v>
      </c>
      <c r="C86" s="2" t="s">
        <v>8</v>
      </c>
      <c r="D86" s="2" t="s">
        <v>442</v>
      </c>
      <c r="E86" s="4">
        <v>159.99</v>
      </c>
      <c r="F86" s="4">
        <v>17469.53</v>
      </c>
      <c r="G86" s="3">
        <v>112</v>
      </c>
      <c r="H86" s="6">
        <v>4.5</v>
      </c>
      <c r="I86" s="3">
        <v>365</v>
      </c>
      <c r="J86" s="13" t="str">
        <f>HYPERLINK("https://amazon.com/dp/B09NBRQ4ST","Amazon - B09NBRQ4ST")</f>
        <v>Amazon - B09NBRQ4ST</v>
      </c>
      <c r="K86" s="14" t="s">
        <v>443</v>
      </c>
      <c r="L86" s="14" t="s">
        <v>461</v>
      </c>
      <c r="M86" s="14" t="s">
        <v>303</v>
      </c>
      <c r="N86" s="14" t="s">
        <v>473</v>
      </c>
      <c r="O86" s="14" t="s">
        <v>447</v>
      </c>
    </row>
    <row r="87" spans="1:15" ht="45" x14ac:dyDescent="0.2">
      <c r="A87" s="2" t="s">
        <v>699</v>
      </c>
      <c r="B87" s="2" t="s">
        <v>700</v>
      </c>
      <c r="C87" s="2" t="s">
        <v>13</v>
      </c>
      <c r="D87" s="2" t="s">
        <v>472</v>
      </c>
      <c r="E87" s="4">
        <v>800</v>
      </c>
      <c r="F87" s="4">
        <v>17170.02</v>
      </c>
      <c r="G87" s="3">
        <v>21</v>
      </c>
      <c r="H87" s="6">
        <v>4.0999999999999996</v>
      </c>
      <c r="I87" s="3">
        <v>91</v>
      </c>
      <c r="J87" s="13" t="str">
        <f>HYPERLINK("https://amazon.com/dp/B0B7MGGXJZ","Amazon - B0B7MGGXJZ")</f>
        <v>Amazon - B0B7MGGXJZ</v>
      </c>
      <c r="K87" s="14" t="s">
        <v>443</v>
      </c>
      <c r="L87" s="14" t="s">
        <v>667</v>
      </c>
      <c r="M87" s="14" t="s">
        <v>303</v>
      </c>
      <c r="N87" s="14" t="s">
        <v>446</v>
      </c>
      <c r="O87" s="14" t="s">
        <v>517</v>
      </c>
    </row>
    <row r="88" spans="1:15" ht="45" x14ac:dyDescent="0.2">
      <c r="A88" s="2" t="s">
        <v>630</v>
      </c>
      <c r="B88" s="2" t="s">
        <v>631</v>
      </c>
      <c r="C88" s="2" t="s">
        <v>26</v>
      </c>
      <c r="D88" s="2" t="s">
        <v>442</v>
      </c>
      <c r="E88" s="4">
        <v>39.99</v>
      </c>
      <c r="F88" s="4">
        <v>17013.560000000001</v>
      </c>
      <c r="G88" s="3">
        <v>426</v>
      </c>
      <c r="H88" s="6">
        <v>4.5</v>
      </c>
      <c r="I88" s="3">
        <v>522</v>
      </c>
      <c r="J88" s="13" t="str">
        <f>HYPERLINK("https://amazon.com/dp/B0FGD1CNPW","Amazon - B0FGD1CNPW")</f>
        <v>Amazon - B0FGD1CNPW</v>
      </c>
      <c r="K88" s="14" t="s">
        <v>443</v>
      </c>
      <c r="L88" s="14" t="s">
        <v>456</v>
      </c>
      <c r="M88" s="14" t="s">
        <v>445</v>
      </c>
      <c r="N88" s="14" t="s">
        <v>452</v>
      </c>
      <c r="O88" s="14" t="s">
        <v>453</v>
      </c>
    </row>
    <row r="89" spans="1:15" ht="30" x14ac:dyDescent="0.2">
      <c r="A89" s="2" t="s">
        <v>701</v>
      </c>
      <c r="B89" s="2" t="s">
        <v>702</v>
      </c>
      <c r="C89" s="2" t="s">
        <v>44</v>
      </c>
      <c r="D89" s="2" t="s">
        <v>450</v>
      </c>
      <c r="E89" s="4">
        <v>67.73</v>
      </c>
      <c r="F89" s="4">
        <v>17005.59</v>
      </c>
      <c r="G89" s="3">
        <v>261</v>
      </c>
      <c r="H89" s="6">
        <v>4.5</v>
      </c>
      <c r="I89" s="3">
        <v>72</v>
      </c>
      <c r="J89" s="13" t="str">
        <f>HYPERLINK("https://amazon.com/dp/B0F8VS1FV6","Amazon - B0F8VS1FV6")</f>
        <v>Amazon - B0F8VS1FV6</v>
      </c>
      <c r="K89" s="14" t="s">
        <v>482</v>
      </c>
      <c r="L89" s="14" t="s">
        <v>451</v>
      </c>
      <c r="M89" s="14" t="s">
        <v>577</v>
      </c>
      <c r="N89" s="14" t="s">
        <v>446</v>
      </c>
      <c r="O89" s="14" t="s">
        <v>303</v>
      </c>
    </row>
    <row r="90" spans="1:15" ht="30" x14ac:dyDescent="0.2">
      <c r="A90" s="2" t="s">
        <v>611</v>
      </c>
      <c r="B90" s="2" t="s">
        <v>612</v>
      </c>
      <c r="C90" s="2" t="s">
        <v>49</v>
      </c>
      <c r="D90" s="2" t="s">
        <v>478</v>
      </c>
      <c r="E90" s="4">
        <v>25.91</v>
      </c>
      <c r="F90" s="4">
        <v>16926.439999999999</v>
      </c>
      <c r="G90" s="3">
        <v>590</v>
      </c>
      <c r="H90" s="6">
        <v>4.7</v>
      </c>
      <c r="I90" s="3">
        <v>469</v>
      </c>
      <c r="J90" s="13" t="str">
        <f>HYPERLINK("https://amazon.com/dp/B0DSFQV89R","Amazon - B0DSFQV89R")</f>
        <v>Amazon - B0DSFQV89R</v>
      </c>
      <c r="K90" s="14" t="s">
        <v>514</v>
      </c>
      <c r="L90" s="14" t="s">
        <v>456</v>
      </c>
      <c r="M90" s="14" t="s">
        <v>445</v>
      </c>
      <c r="N90" s="14" t="s">
        <v>446</v>
      </c>
      <c r="O90" s="14" t="s">
        <v>453</v>
      </c>
    </row>
    <row r="91" spans="1:15" ht="45" x14ac:dyDescent="0.2">
      <c r="A91" s="2" t="s">
        <v>703</v>
      </c>
      <c r="B91" s="2" t="s">
        <v>704</v>
      </c>
      <c r="C91" s="2" t="s">
        <v>48</v>
      </c>
      <c r="D91" s="2" t="s">
        <v>442</v>
      </c>
      <c r="E91" s="4">
        <v>319.99</v>
      </c>
      <c r="F91" s="4">
        <v>15991.91</v>
      </c>
      <c r="G91" s="3">
        <v>50</v>
      </c>
      <c r="H91" s="6">
        <v>4.9000000000000004</v>
      </c>
      <c r="I91" s="3">
        <v>29</v>
      </c>
      <c r="J91" s="13" t="str">
        <f>HYPERLINK("https://amazon.com/dp/B0FQBWRMHQ","Amazon - B0FQBWRMHQ")</f>
        <v>Amazon - B0FQBWRMHQ</v>
      </c>
      <c r="K91" s="14" t="s">
        <v>482</v>
      </c>
      <c r="L91" s="14" t="s">
        <v>461</v>
      </c>
      <c r="M91" s="14" t="s">
        <v>535</v>
      </c>
      <c r="N91" s="14" t="s">
        <v>452</v>
      </c>
      <c r="O91" s="14" t="s">
        <v>447</v>
      </c>
    </row>
    <row r="92" spans="1:15" ht="45" x14ac:dyDescent="0.2">
      <c r="A92" s="2" t="s">
        <v>705</v>
      </c>
      <c r="B92" s="2" t="s">
        <v>706</v>
      </c>
      <c r="C92" s="2" t="s">
        <v>8</v>
      </c>
      <c r="D92" s="2" t="s">
        <v>469</v>
      </c>
      <c r="E92" s="4">
        <v>179.99</v>
      </c>
      <c r="F92" s="4">
        <v>15969.12</v>
      </c>
      <c r="G92" s="3">
        <v>95</v>
      </c>
      <c r="H92" s="6">
        <v>4.5</v>
      </c>
      <c r="I92" s="3">
        <v>365</v>
      </c>
      <c r="J92" s="13" t="str">
        <f>HYPERLINK("https://amazon.com/dp/B07Q86XGN2","Amazon - B07Q86XGN2")</f>
        <v>Amazon - B07Q86XGN2</v>
      </c>
      <c r="K92" s="14" t="s">
        <v>443</v>
      </c>
      <c r="L92" s="14" t="s">
        <v>461</v>
      </c>
      <c r="M92" s="14" t="s">
        <v>445</v>
      </c>
      <c r="N92" s="14" t="s">
        <v>473</v>
      </c>
      <c r="O92" s="14" t="s">
        <v>453</v>
      </c>
    </row>
    <row r="93" spans="1:15" ht="45" x14ac:dyDescent="0.2">
      <c r="A93" s="2" t="s">
        <v>707</v>
      </c>
      <c r="B93" s="2" t="s">
        <v>708</v>
      </c>
      <c r="C93" s="2" t="s">
        <v>14</v>
      </c>
      <c r="D93" s="2" t="s">
        <v>472</v>
      </c>
      <c r="E93" s="4">
        <v>999.99</v>
      </c>
      <c r="F93" s="4">
        <v>15810.06</v>
      </c>
      <c r="G93" s="3">
        <v>16</v>
      </c>
      <c r="H93" s="6">
        <v>4.8</v>
      </c>
      <c r="I93" s="3">
        <v>6</v>
      </c>
      <c r="J93" s="13" t="str">
        <f>HYPERLINK("https://amazon.com/dp/B0FLV8WV88","Amazon - B0FLV8WV88")</f>
        <v>Amazon - B0FLV8WV88</v>
      </c>
      <c r="K93" s="14" t="s">
        <v>443</v>
      </c>
      <c r="L93" s="14" t="s">
        <v>564</v>
      </c>
      <c r="M93" s="14" t="s">
        <v>565</v>
      </c>
      <c r="N93" s="14" t="s">
        <v>446</v>
      </c>
      <c r="O93" s="14" t="s">
        <v>570</v>
      </c>
    </row>
    <row r="94" spans="1:15" ht="45" x14ac:dyDescent="0.2">
      <c r="A94" s="2" t="s">
        <v>709</v>
      </c>
      <c r="B94" s="2" t="s">
        <v>710</v>
      </c>
      <c r="C94" s="2" t="s">
        <v>8</v>
      </c>
      <c r="D94" s="2" t="s">
        <v>442</v>
      </c>
      <c r="E94" s="4">
        <v>149.99</v>
      </c>
      <c r="F94" s="4">
        <v>15356.64</v>
      </c>
      <c r="G94" s="3">
        <v>102</v>
      </c>
      <c r="H94" s="6">
        <v>4.5999999999999996</v>
      </c>
      <c r="I94" s="3">
        <v>3612</v>
      </c>
      <c r="J94" s="13" t="str">
        <f>HYPERLINK("https://amazon.com/dp/B08519V6GW","Amazon - B08519V6GW")</f>
        <v>Amazon - B08519V6GW</v>
      </c>
      <c r="K94" s="14" t="s">
        <v>443</v>
      </c>
      <c r="L94" s="14" t="s">
        <v>461</v>
      </c>
      <c r="M94" s="14" t="s">
        <v>303</v>
      </c>
      <c r="N94" s="14" t="s">
        <v>452</v>
      </c>
      <c r="O94" s="14" t="s">
        <v>487</v>
      </c>
    </row>
    <row r="95" spans="1:15" ht="45" x14ac:dyDescent="0.2">
      <c r="A95" s="2" t="s">
        <v>711</v>
      </c>
      <c r="B95" s="2" t="s">
        <v>712</v>
      </c>
      <c r="C95" s="2" t="s">
        <v>14</v>
      </c>
      <c r="D95" s="2" t="s">
        <v>472</v>
      </c>
      <c r="E95" s="4">
        <v>209.88</v>
      </c>
      <c r="F95" s="4">
        <v>15092.31</v>
      </c>
      <c r="G95" s="3">
        <v>72</v>
      </c>
      <c r="H95" s="6">
        <v>4.2</v>
      </c>
      <c r="I95" s="3">
        <v>100</v>
      </c>
      <c r="J95" s="13" t="str">
        <f>HYPERLINK("https://amazon.com/dp/B0FHVPYYQ7","Amazon - B0FHVPYYQ7")</f>
        <v>Amazon - B0FHVPYYQ7</v>
      </c>
      <c r="K95" s="14" t="s">
        <v>443</v>
      </c>
      <c r="L95" s="14" t="s">
        <v>461</v>
      </c>
      <c r="M95" s="14" t="s">
        <v>303</v>
      </c>
      <c r="N95" s="14" t="s">
        <v>446</v>
      </c>
      <c r="O95" s="14" t="s">
        <v>303</v>
      </c>
    </row>
    <row r="96" spans="1:15" ht="45" x14ac:dyDescent="0.2">
      <c r="A96" s="2" t="s">
        <v>627</v>
      </c>
      <c r="B96" s="2" t="s">
        <v>628</v>
      </c>
      <c r="C96" s="2" t="s">
        <v>18</v>
      </c>
      <c r="D96" s="2" t="s">
        <v>450</v>
      </c>
      <c r="E96" s="4">
        <v>28.89</v>
      </c>
      <c r="F96" s="4">
        <v>14901.34</v>
      </c>
      <c r="G96" s="3">
        <v>453</v>
      </c>
      <c r="H96" s="6">
        <v>4.4000000000000004</v>
      </c>
      <c r="I96" s="3">
        <v>1658</v>
      </c>
      <c r="J96" s="13" t="str">
        <f>HYPERLINK("https://amazon.com/dp/B0DGFC3D9H","Amazon - B0DGFC3D9H")</f>
        <v>Amazon - B0DGFC3D9H</v>
      </c>
      <c r="K96" s="14" t="s">
        <v>443</v>
      </c>
      <c r="L96" s="14" t="s">
        <v>451</v>
      </c>
      <c r="M96" s="14" t="s">
        <v>445</v>
      </c>
      <c r="N96" s="14" t="s">
        <v>452</v>
      </c>
      <c r="O96" s="14" t="s">
        <v>629</v>
      </c>
    </row>
    <row r="97" spans="1:15" ht="45" x14ac:dyDescent="0.2">
      <c r="A97" s="2" t="s">
        <v>602</v>
      </c>
      <c r="B97" s="2" t="s">
        <v>603</v>
      </c>
      <c r="C97" s="2" t="s">
        <v>45</v>
      </c>
      <c r="D97" s="2" t="s">
        <v>450</v>
      </c>
      <c r="E97" s="4">
        <v>21.99</v>
      </c>
      <c r="F97" s="4">
        <v>14514.08</v>
      </c>
      <c r="G97" s="3">
        <v>695</v>
      </c>
      <c r="H97" s="6">
        <v>4.3</v>
      </c>
      <c r="I97" s="3">
        <v>348</v>
      </c>
      <c r="J97" s="13" t="str">
        <f>HYPERLINK("https://amazon.com/dp/B0FMY9WR1H","Amazon - B0FMY9WR1H")</f>
        <v>Amazon - B0FMY9WR1H</v>
      </c>
      <c r="K97" s="14" t="s">
        <v>443</v>
      </c>
      <c r="L97" s="14" t="s">
        <v>451</v>
      </c>
      <c r="M97" s="14" t="s">
        <v>445</v>
      </c>
      <c r="N97" s="14" t="s">
        <v>446</v>
      </c>
      <c r="O97" s="14" t="s">
        <v>453</v>
      </c>
    </row>
    <row r="98" spans="1:15" ht="45" x14ac:dyDescent="0.2">
      <c r="A98" s="2" t="s">
        <v>713</v>
      </c>
      <c r="B98" s="2" t="s">
        <v>714</v>
      </c>
      <c r="C98" s="2" t="s">
        <v>8</v>
      </c>
      <c r="D98" s="2" t="s">
        <v>442</v>
      </c>
      <c r="E98" s="4">
        <v>95.99</v>
      </c>
      <c r="F98" s="4">
        <v>14372.05</v>
      </c>
      <c r="G98" s="3">
        <v>150</v>
      </c>
      <c r="H98" s="6">
        <v>4.5999999999999996</v>
      </c>
      <c r="I98" s="3">
        <v>733</v>
      </c>
      <c r="J98" s="13" t="str">
        <f>HYPERLINK("https://amazon.com/dp/B09Y1F2MPB","Amazon - B09Y1F2MPB")</f>
        <v>Amazon - B09Y1F2MPB</v>
      </c>
      <c r="K98" s="14" t="s">
        <v>443</v>
      </c>
      <c r="L98" s="14" t="s">
        <v>461</v>
      </c>
      <c r="M98" s="14" t="s">
        <v>715</v>
      </c>
      <c r="N98" s="14" t="s">
        <v>452</v>
      </c>
      <c r="O98" s="14" t="s">
        <v>447</v>
      </c>
    </row>
    <row r="99" spans="1:15" ht="45" x14ac:dyDescent="0.2">
      <c r="A99" s="2" t="s">
        <v>716</v>
      </c>
      <c r="B99" s="2" t="s">
        <v>717</v>
      </c>
      <c r="C99" s="2" t="s">
        <v>57</v>
      </c>
      <c r="D99" s="2" t="s">
        <v>472</v>
      </c>
      <c r="E99" s="4">
        <v>599.99</v>
      </c>
      <c r="F99" s="4">
        <v>14165.17</v>
      </c>
      <c r="G99" s="3">
        <v>24</v>
      </c>
      <c r="H99" s="6">
        <v>5</v>
      </c>
      <c r="I99" s="3">
        <v>2</v>
      </c>
      <c r="J99" s="13" t="str">
        <f>HYPERLINK("https://amazon.com/dp/B0FF365GVM","Amazon - B0FF365GVM")</f>
        <v>Amazon - B0FF365GVM</v>
      </c>
      <c r="K99" s="14" t="s">
        <v>443</v>
      </c>
      <c r="L99" s="14" t="s">
        <v>667</v>
      </c>
      <c r="M99" s="14" t="s">
        <v>303</v>
      </c>
      <c r="N99" s="14" t="s">
        <v>446</v>
      </c>
      <c r="O99" s="14" t="s">
        <v>718</v>
      </c>
    </row>
    <row r="100" spans="1:15" ht="45" x14ac:dyDescent="0.2">
      <c r="A100" s="2" t="s">
        <v>719</v>
      </c>
      <c r="B100" s="2" t="s">
        <v>720</v>
      </c>
      <c r="C100" s="2" t="s">
        <v>8</v>
      </c>
      <c r="D100" s="2" t="s">
        <v>442</v>
      </c>
      <c r="E100" s="4">
        <v>329.99</v>
      </c>
      <c r="F100" s="4">
        <v>14134.56</v>
      </c>
      <c r="G100" s="3">
        <v>43</v>
      </c>
      <c r="H100" s="6">
        <v>4.4000000000000004</v>
      </c>
      <c r="I100" s="3">
        <v>66</v>
      </c>
      <c r="J100" s="13" t="str">
        <f>HYPERLINK("https://amazon.com/dp/B0C4H7RJY7","Amazon - B0C4H7RJY7")</f>
        <v>Amazon - B0C4H7RJY7</v>
      </c>
      <c r="K100" s="14" t="s">
        <v>443</v>
      </c>
      <c r="L100" s="14" t="s">
        <v>667</v>
      </c>
      <c r="M100" s="14" t="s">
        <v>303</v>
      </c>
      <c r="N100" s="14" t="s">
        <v>473</v>
      </c>
      <c r="O100" s="14" t="s">
        <v>453</v>
      </c>
    </row>
    <row r="101" spans="1:15" ht="45" x14ac:dyDescent="0.2">
      <c r="A101" s="2" t="s">
        <v>721</v>
      </c>
      <c r="B101" s="2" t="s">
        <v>722</v>
      </c>
      <c r="C101" s="2" t="s">
        <v>8</v>
      </c>
      <c r="D101" s="2" t="s">
        <v>442</v>
      </c>
      <c r="E101" s="4">
        <v>499.99</v>
      </c>
      <c r="F101" s="4">
        <v>13821.4</v>
      </c>
      <c r="G101" s="3">
        <v>28</v>
      </c>
      <c r="H101" s="6">
        <v>3.8</v>
      </c>
      <c r="I101" s="3">
        <v>23</v>
      </c>
      <c r="J101" s="13" t="str">
        <f>HYPERLINK("https://amazon.com/dp/B0FFGZC3WX","Amazon - B0FFGZC3WX")</f>
        <v>Amazon - B0FFGZC3WX</v>
      </c>
      <c r="K101" s="14" t="s">
        <v>482</v>
      </c>
      <c r="L101" s="14" t="s">
        <v>461</v>
      </c>
      <c r="M101" s="14" t="s">
        <v>484</v>
      </c>
      <c r="N101" s="14" t="s">
        <v>452</v>
      </c>
      <c r="O101" s="14" t="s">
        <v>447</v>
      </c>
    </row>
    <row r="102" spans="1:15" ht="45" x14ac:dyDescent="0.2">
      <c r="A102" s="2" t="s">
        <v>723</v>
      </c>
      <c r="B102" s="2" t="s">
        <v>724</v>
      </c>
      <c r="C102" s="2" t="s">
        <v>50</v>
      </c>
      <c r="D102" s="2" t="s">
        <v>472</v>
      </c>
      <c r="E102" s="4">
        <v>999.99</v>
      </c>
      <c r="F102" s="4">
        <v>13705.35</v>
      </c>
      <c r="G102" s="3">
        <v>14</v>
      </c>
      <c r="H102" s="6">
        <v>0</v>
      </c>
      <c r="I102" s="3">
        <v>0</v>
      </c>
      <c r="J102" s="13" t="str">
        <f>HYPERLINK("https://amazon.com/dp/B0FL1NFSFB","Amazon - B0FL1NFSFB")</f>
        <v>Amazon - B0FL1NFSFB</v>
      </c>
      <c r="K102" s="14" t="s">
        <v>443</v>
      </c>
      <c r="L102" s="14" t="s">
        <v>564</v>
      </c>
      <c r="M102" s="14" t="s">
        <v>565</v>
      </c>
      <c r="N102" s="14" t="s">
        <v>446</v>
      </c>
      <c r="O102" s="14" t="s">
        <v>725</v>
      </c>
    </row>
    <row r="103" spans="1:15" ht="45" x14ac:dyDescent="0.2">
      <c r="A103" s="2" t="s">
        <v>726</v>
      </c>
      <c r="B103" s="2" t="s">
        <v>727</v>
      </c>
      <c r="C103" s="2" t="s">
        <v>9</v>
      </c>
      <c r="D103" s="2" t="s">
        <v>478</v>
      </c>
      <c r="E103" s="4">
        <v>89.98</v>
      </c>
      <c r="F103" s="4">
        <v>13654.29</v>
      </c>
      <c r="G103" s="3">
        <v>116</v>
      </c>
      <c r="H103" s="6">
        <v>4.3</v>
      </c>
      <c r="I103" s="3">
        <v>1480</v>
      </c>
      <c r="J103" s="13" t="str">
        <f>HYPERLINK("https://amazon.com/dp/B0BS1CFFH8","Amazon - B0BS1CFFH8")</f>
        <v>Amazon - B0BS1CFFH8</v>
      </c>
      <c r="K103" s="14" t="s">
        <v>443</v>
      </c>
      <c r="L103" s="14" t="s">
        <v>461</v>
      </c>
      <c r="M103" s="14" t="s">
        <v>445</v>
      </c>
      <c r="N103" s="14" t="s">
        <v>473</v>
      </c>
      <c r="O103" s="14" t="s">
        <v>479</v>
      </c>
    </row>
    <row r="104" spans="1:15" ht="30" x14ac:dyDescent="0.2">
      <c r="A104" s="2" t="s">
        <v>728</v>
      </c>
      <c r="B104" s="2" t="s">
        <v>729</v>
      </c>
      <c r="C104" s="2" t="s">
        <v>20</v>
      </c>
      <c r="D104" s="2" t="s">
        <v>472</v>
      </c>
      <c r="E104" s="4">
        <v>89.99</v>
      </c>
      <c r="F104" s="4">
        <v>13509.91</v>
      </c>
      <c r="G104" s="3">
        <v>150</v>
      </c>
      <c r="H104" s="6">
        <v>4.5</v>
      </c>
      <c r="I104" s="3">
        <v>416</v>
      </c>
      <c r="J104" s="13" t="str">
        <f>HYPERLINK("https://amazon.com/dp/B0DH1XMKHX","Amazon - B0DH1XMKHX")</f>
        <v>Amazon - B0DH1XMKHX</v>
      </c>
      <c r="K104" s="14" t="s">
        <v>443</v>
      </c>
      <c r="L104" s="14" t="s">
        <v>461</v>
      </c>
      <c r="M104" s="14" t="s">
        <v>303</v>
      </c>
      <c r="N104" s="14" t="s">
        <v>446</v>
      </c>
      <c r="O104" s="14" t="s">
        <v>447</v>
      </c>
    </row>
    <row r="105" spans="1:15" ht="45" x14ac:dyDescent="0.2">
      <c r="A105" s="2" t="s">
        <v>625</v>
      </c>
      <c r="B105" s="2" t="s">
        <v>626</v>
      </c>
      <c r="C105" s="2" t="s">
        <v>18</v>
      </c>
      <c r="D105" s="2" t="s">
        <v>450</v>
      </c>
      <c r="E105" s="4">
        <v>22.94</v>
      </c>
      <c r="F105" s="4">
        <v>13311.84</v>
      </c>
      <c r="G105" s="3">
        <v>505</v>
      </c>
      <c r="H105" s="6">
        <v>4.4000000000000004</v>
      </c>
      <c r="I105" s="3">
        <v>1658</v>
      </c>
      <c r="J105" s="13" t="str">
        <f>HYPERLINK("https://amazon.com/dp/B0DGFBJYG2","Amazon - B0DGFBJYG2")</f>
        <v>Amazon - B0DGFBJYG2</v>
      </c>
      <c r="K105" s="14" t="s">
        <v>443</v>
      </c>
      <c r="L105" s="14" t="s">
        <v>451</v>
      </c>
      <c r="M105" s="14" t="s">
        <v>445</v>
      </c>
      <c r="N105" s="14" t="s">
        <v>452</v>
      </c>
      <c r="O105" s="14" t="s">
        <v>524</v>
      </c>
    </row>
    <row r="106" spans="1:15" ht="45" x14ac:dyDescent="0.2">
      <c r="A106" s="2" t="s">
        <v>730</v>
      </c>
      <c r="B106" s="2" t="s">
        <v>731</v>
      </c>
      <c r="C106" s="2" t="s">
        <v>8</v>
      </c>
      <c r="D106" s="2" t="s">
        <v>442</v>
      </c>
      <c r="E106" s="4">
        <v>55.99</v>
      </c>
      <c r="F106" s="4">
        <v>13035.62</v>
      </c>
      <c r="G106" s="3">
        <v>233</v>
      </c>
      <c r="H106" s="6">
        <v>4.5</v>
      </c>
      <c r="I106" s="3">
        <v>2183</v>
      </c>
      <c r="J106" s="13" t="str">
        <f>HYPERLINK("https://amazon.com/dp/B07TTQF24F","Amazon - B07TTQF24F")</f>
        <v>Amazon - B07TTQF24F</v>
      </c>
      <c r="K106" s="14" t="s">
        <v>443</v>
      </c>
      <c r="L106" s="14" t="s">
        <v>303</v>
      </c>
      <c r="M106" s="14" t="s">
        <v>303</v>
      </c>
      <c r="N106" s="14" t="s">
        <v>446</v>
      </c>
      <c r="O106" s="14" t="s">
        <v>303</v>
      </c>
    </row>
    <row r="107" spans="1:15" ht="45" x14ac:dyDescent="0.2">
      <c r="A107" s="2" t="s">
        <v>732</v>
      </c>
      <c r="B107" s="2" t="s">
        <v>733</v>
      </c>
      <c r="C107" s="2" t="s">
        <v>13</v>
      </c>
      <c r="D107" s="2" t="s">
        <v>472</v>
      </c>
      <c r="E107" s="4">
        <v>880</v>
      </c>
      <c r="F107" s="4">
        <v>12957.87</v>
      </c>
      <c r="G107" s="3">
        <v>15</v>
      </c>
      <c r="H107" s="6">
        <v>4.2</v>
      </c>
      <c r="I107" s="3">
        <v>91</v>
      </c>
      <c r="J107" s="13" t="str">
        <f>HYPERLINK("https://amazon.com/dp/B09441WDJ9","Amazon - B09441WDJ9")</f>
        <v>Amazon - B09441WDJ9</v>
      </c>
      <c r="K107" s="14" t="s">
        <v>443</v>
      </c>
      <c r="L107" s="14" t="s">
        <v>667</v>
      </c>
      <c r="M107" s="14" t="s">
        <v>303</v>
      </c>
      <c r="N107" s="14" t="s">
        <v>446</v>
      </c>
      <c r="O107" s="14" t="s">
        <v>570</v>
      </c>
    </row>
    <row r="108" spans="1:15" ht="45" x14ac:dyDescent="0.2">
      <c r="A108" s="2" t="s">
        <v>734</v>
      </c>
      <c r="B108" s="2" t="s">
        <v>735</v>
      </c>
      <c r="C108" s="2" t="s">
        <v>8</v>
      </c>
      <c r="D108" s="2" t="s">
        <v>472</v>
      </c>
      <c r="E108" s="4">
        <v>69.989999999999995</v>
      </c>
      <c r="F108" s="4">
        <v>12920.82</v>
      </c>
      <c r="G108" s="3">
        <v>185</v>
      </c>
      <c r="H108" s="6">
        <v>4.4000000000000004</v>
      </c>
      <c r="I108" s="3">
        <v>149</v>
      </c>
      <c r="J108" s="13" t="str">
        <f>HYPERLINK("https://amazon.com/dp/B0DH1ZGT5X","Amazon - B0DH1ZGT5X")</f>
        <v>Amazon - B0DH1ZGT5X</v>
      </c>
      <c r="K108" s="14" t="s">
        <v>443</v>
      </c>
      <c r="L108" s="14" t="s">
        <v>456</v>
      </c>
      <c r="M108" s="14" t="s">
        <v>303</v>
      </c>
      <c r="N108" s="14" t="s">
        <v>452</v>
      </c>
      <c r="O108" s="14" t="s">
        <v>543</v>
      </c>
    </row>
    <row r="109" spans="1:15" ht="45" x14ac:dyDescent="0.2">
      <c r="A109" s="2" t="s">
        <v>609</v>
      </c>
      <c r="B109" s="2" t="s">
        <v>610</v>
      </c>
      <c r="C109" s="2" t="s">
        <v>45</v>
      </c>
      <c r="D109" s="2" t="s">
        <v>472</v>
      </c>
      <c r="E109" s="4">
        <v>25.99</v>
      </c>
      <c r="F109" s="4">
        <v>12635.44</v>
      </c>
      <c r="G109" s="3">
        <v>590</v>
      </c>
      <c r="H109" s="6">
        <v>4.7</v>
      </c>
      <c r="I109" s="3">
        <v>30</v>
      </c>
      <c r="J109" s="13" t="str">
        <f>HYPERLINK("https://amazon.com/dp/B0FRZYLZXT","Amazon - B0FRZYLZXT")</f>
        <v>Amazon - B0FRZYLZXT</v>
      </c>
      <c r="K109" s="14" t="s">
        <v>443</v>
      </c>
      <c r="L109" s="14" t="s">
        <v>456</v>
      </c>
      <c r="M109" s="14" t="s">
        <v>303</v>
      </c>
      <c r="N109" s="14" t="s">
        <v>446</v>
      </c>
      <c r="O109" s="14" t="s">
        <v>453</v>
      </c>
    </row>
    <row r="110" spans="1:15" ht="45" x14ac:dyDescent="0.2">
      <c r="A110" s="2" t="s">
        <v>736</v>
      </c>
      <c r="B110" s="2" t="s">
        <v>737</v>
      </c>
      <c r="C110" s="2" t="s">
        <v>9</v>
      </c>
      <c r="D110" s="2" t="s">
        <v>442</v>
      </c>
      <c r="E110" s="4">
        <v>109.99</v>
      </c>
      <c r="F110" s="4">
        <v>12487.38</v>
      </c>
      <c r="G110" s="3">
        <v>114</v>
      </c>
      <c r="H110" s="6">
        <v>4.7</v>
      </c>
      <c r="I110" s="3">
        <v>89</v>
      </c>
      <c r="J110" s="13" t="str">
        <f>HYPERLINK("https://amazon.com/dp/B0FQC32XV7","Amazon - B0FQC32XV7")</f>
        <v>Amazon - B0FQC32XV7</v>
      </c>
      <c r="K110" s="14" t="s">
        <v>443</v>
      </c>
      <c r="L110" s="14" t="s">
        <v>461</v>
      </c>
      <c r="M110" s="14" t="s">
        <v>457</v>
      </c>
      <c r="N110" s="14" t="s">
        <v>452</v>
      </c>
      <c r="O110" s="14" t="s">
        <v>447</v>
      </c>
    </row>
    <row r="111" spans="1:15" ht="45" x14ac:dyDescent="0.2">
      <c r="A111" s="2" t="s">
        <v>738</v>
      </c>
      <c r="B111" s="2" t="s">
        <v>739</v>
      </c>
      <c r="C111" s="2" t="s">
        <v>16</v>
      </c>
      <c r="D111" s="2" t="s">
        <v>450</v>
      </c>
      <c r="E111" s="4">
        <v>35.99</v>
      </c>
      <c r="F111" s="4">
        <v>12197.39</v>
      </c>
      <c r="G111" s="3">
        <v>372</v>
      </c>
      <c r="H111" s="6">
        <v>4.4000000000000004</v>
      </c>
      <c r="I111" s="3">
        <v>357</v>
      </c>
      <c r="J111" s="13" t="str">
        <f>HYPERLINK("https://amazon.com/dp/B0DQWS9NDW","Amazon - B0DQWS9NDW")</f>
        <v>Amazon - B0DQWS9NDW</v>
      </c>
      <c r="K111" s="14" t="s">
        <v>443</v>
      </c>
      <c r="L111" s="14" t="s">
        <v>451</v>
      </c>
      <c r="M111" s="14" t="s">
        <v>303</v>
      </c>
      <c r="N111" s="14" t="s">
        <v>446</v>
      </c>
      <c r="O111" s="14" t="s">
        <v>453</v>
      </c>
    </row>
    <row r="112" spans="1:15" ht="45" x14ac:dyDescent="0.2">
      <c r="A112" s="2" t="s">
        <v>740</v>
      </c>
      <c r="B112" s="2" t="s">
        <v>741</v>
      </c>
      <c r="C112" s="2" t="s">
        <v>14</v>
      </c>
      <c r="D112" s="2" t="s">
        <v>472</v>
      </c>
      <c r="E112" s="4">
        <v>656.34</v>
      </c>
      <c r="F112" s="4">
        <v>12108.7</v>
      </c>
      <c r="G112" s="3">
        <v>21</v>
      </c>
      <c r="H112" s="6">
        <v>4.4000000000000004</v>
      </c>
      <c r="I112" s="3">
        <v>70</v>
      </c>
      <c r="J112" s="13" t="str">
        <f>HYPERLINK("https://amazon.com/dp/B0DPFBKHT4","Amazon - B0DPFBKHT4")</f>
        <v>Amazon - B0DPFBKHT4</v>
      </c>
      <c r="K112" s="14" t="s">
        <v>443</v>
      </c>
      <c r="L112" s="14" t="s">
        <v>303</v>
      </c>
      <c r="M112" s="14" t="s">
        <v>303</v>
      </c>
      <c r="N112" s="14" t="s">
        <v>446</v>
      </c>
      <c r="O112" s="14" t="s">
        <v>742</v>
      </c>
    </row>
    <row r="113" spans="1:15" ht="45" x14ac:dyDescent="0.2">
      <c r="A113" s="2" t="s">
        <v>617</v>
      </c>
      <c r="B113" s="2" t="s">
        <v>618</v>
      </c>
      <c r="C113" s="2" t="s">
        <v>56</v>
      </c>
      <c r="D113" s="2" t="s">
        <v>450</v>
      </c>
      <c r="E113" s="4">
        <v>19.989999999999998</v>
      </c>
      <c r="F113" s="4">
        <v>11885.65</v>
      </c>
      <c r="G113" s="3">
        <v>572</v>
      </c>
      <c r="H113" s="6">
        <v>4.4000000000000004</v>
      </c>
      <c r="I113" s="3">
        <v>228</v>
      </c>
      <c r="J113" s="13" t="str">
        <f>HYPERLINK("https://amazon.com/dp/B0DNCQ3HYR","Amazon - B0DNCQ3HYR")</f>
        <v>Amazon - B0DNCQ3HYR</v>
      </c>
      <c r="K113" s="14" t="s">
        <v>443</v>
      </c>
      <c r="L113" s="14" t="s">
        <v>451</v>
      </c>
      <c r="M113" s="14" t="s">
        <v>445</v>
      </c>
      <c r="N113" s="14" t="s">
        <v>446</v>
      </c>
      <c r="O113" s="14" t="s">
        <v>453</v>
      </c>
    </row>
    <row r="114" spans="1:15" ht="45" x14ac:dyDescent="0.2">
      <c r="A114" s="2" t="s">
        <v>743</v>
      </c>
      <c r="B114" s="2" t="s">
        <v>744</v>
      </c>
      <c r="C114" s="2" t="s">
        <v>24</v>
      </c>
      <c r="D114" s="2" t="s">
        <v>442</v>
      </c>
      <c r="E114" s="4">
        <v>32.979999999999997</v>
      </c>
      <c r="F114" s="4">
        <v>11714.48</v>
      </c>
      <c r="G114" s="3">
        <v>367</v>
      </c>
      <c r="H114" s="6">
        <v>4.7</v>
      </c>
      <c r="I114" s="3">
        <v>438</v>
      </c>
      <c r="J114" s="13" t="str">
        <f>HYPERLINK("https://amazon.com/dp/B0D1VGWHJ4","Amazon - B0D1VGWHJ4")</f>
        <v>Amazon - B0D1VGWHJ4</v>
      </c>
      <c r="K114" s="14" t="s">
        <v>443</v>
      </c>
      <c r="L114" s="14" t="s">
        <v>456</v>
      </c>
      <c r="M114" s="14" t="s">
        <v>303</v>
      </c>
      <c r="N114" s="14" t="s">
        <v>452</v>
      </c>
      <c r="O114" s="14" t="s">
        <v>745</v>
      </c>
    </row>
    <row r="115" spans="1:15" ht="45" x14ac:dyDescent="0.2">
      <c r="A115" s="2" t="s">
        <v>746</v>
      </c>
      <c r="B115" s="2" t="s">
        <v>747</v>
      </c>
      <c r="C115" s="2" t="s">
        <v>14</v>
      </c>
      <c r="D115" s="2" t="s">
        <v>472</v>
      </c>
      <c r="E115" s="4">
        <v>659.88</v>
      </c>
      <c r="F115" s="4">
        <v>11648.65</v>
      </c>
      <c r="G115" s="3">
        <v>18</v>
      </c>
      <c r="H115" s="6">
        <v>4.5</v>
      </c>
      <c r="I115" s="3">
        <v>71</v>
      </c>
      <c r="J115" s="13" t="str">
        <f>HYPERLINK("https://amazon.com/dp/B0C9TP4FVP","Amazon - B0C9TP4FVP")</f>
        <v>Amazon - B0C9TP4FVP</v>
      </c>
      <c r="K115" s="14" t="s">
        <v>443</v>
      </c>
      <c r="L115" s="14" t="s">
        <v>502</v>
      </c>
      <c r="M115" s="14" t="s">
        <v>503</v>
      </c>
      <c r="N115" s="14" t="s">
        <v>446</v>
      </c>
      <c r="O115" s="14" t="s">
        <v>517</v>
      </c>
    </row>
    <row r="116" spans="1:15" ht="45" x14ac:dyDescent="0.2">
      <c r="A116" s="2" t="s">
        <v>748</v>
      </c>
      <c r="B116" s="2" t="s">
        <v>749</v>
      </c>
      <c r="C116" s="2" t="s">
        <v>14</v>
      </c>
      <c r="D116" s="2" t="s">
        <v>472</v>
      </c>
      <c r="E116" s="4">
        <v>659.88</v>
      </c>
      <c r="F116" s="4">
        <v>11580.33</v>
      </c>
      <c r="G116" s="3">
        <v>18</v>
      </c>
      <c r="H116" s="6">
        <v>4</v>
      </c>
      <c r="I116" s="3">
        <v>20</v>
      </c>
      <c r="J116" s="13" t="str">
        <f>HYPERLINK("https://amazon.com/dp/B0DYDGXG2N","Amazon - B0DYDGXG2N")</f>
        <v>Amazon - B0DYDGXG2N</v>
      </c>
      <c r="K116" s="14" t="s">
        <v>443</v>
      </c>
      <c r="L116" s="14" t="s">
        <v>303</v>
      </c>
      <c r="M116" s="14" t="s">
        <v>715</v>
      </c>
      <c r="N116" s="14" t="s">
        <v>446</v>
      </c>
      <c r="O116" s="14" t="s">
        <v>517</v>
      </c>
    </row>
    <row r="117" spans="1:15" ht="30" x14ac:dyDescent="0.2">
      <c r="A117" s="2" t="s">
        <v>750</v>
      </c>
      <c r="B117" s="2" t="s">
        <v>751</v>
      </c>
      <c r="C117" s="2" t="s">
        <v>33</v>
      </c>
      <c r="D117" s="2" t="s">
        <v>472</v>
      </c>
      <c r="E117" s="4">
        <v>699.99</v>
      </c>
      <c r="F117" s="4">
        <v>11479.93</v>
      </c>
      <c r="G117" s="3">
        <v>16</v>
      </c>
      <c r="H117" s="6">
        <v>4.8</v>
      </c>
      <c r="I117" s="3">
        <v>7</v>
      </c>
      <c r="J117" s="13" t="str">
        <f>HYPERLINK("https://amazon.com/dp/B0FM3HCZBK","Amazon - B0FM3HCZBK")</f>
        <v>Amazon - B0FM3HCZBK</v>
      </c>
      <c r="K117" s="14" t="s">
        <v>443</v>
      </c>
      <c r="L117" s="14" t="s">
        <v>564</v>
      </c>
      <c r="M117" s="14" t="s">
        <v>303</v>
      </c>
      <c r="N117" s="14" t="s">
        <v>446</v>
      </c>
      <c r="O117" s="14" t="s">
        <v>517</v>
      </c>
    </row>
    <row r="118" spans="1:15" ht="45" x14ac:dyDescent="0.2">
      <c r="A118" s="2" t="s">
        <v>752</v>
      </c>
      <c r="B118" s="2" t="s">
        <v>753</v>
      </c>
      <c r="C118" s="2" t="s">
        <v>21</v>
      </c>
      <c r="D118" s="2" t="s">
        <v>472</v>
      </c>
      <c r="E118" s="4">
        <v>499.99</v>
      </c>
      <c r="F118" s="4">
        <v>11386.62</v>
      </c>
      <c r="G118" s="3">
        <v>23</v>
      </c>
      <c r="H118" s="6">
        <v>4.4000000000000004</v>
      </c>
      <c r="I118" s="3">
        <v>107</v>
      </c>
      <c r="J118" s="13" t="str">
        <f>HYPERLINK("https://amazon.com/dp/B0FG71K4QD","Amazon - B0FG71K4QD")</f>
        <v>Amazon - B0FG71K4QD</v>
      </c>
      <c r="K118" s="14" t="s">
        <v>482</v>
      </c>
      <c r="L118" s="14" t="s">
        <v>667</v>
      </c>
      <c r="M118" s="14" t="s">
        <v>303</v>
      </c>
      <c r="N118" s="14" t="s">
        <v>446</v>
      </c>
      <c r="O118" s="14" t="s">
        <v>570</v>
      </c>
    </row>
    <row r="119" spans="1:15" ht="45" x14ac:dyDescent="0.2">
      <c r="A119" s="2" t="s">
        <v>754</v>
      </c>
      <c r="B119" s="2" t="s">
        <v>755</v>
      </c>
      <c r="C119" s="2" t="s">
        <v>11</v>
      </c>
      <c r="D119" s="2" t="s">
        <v>472</v>
      </c>
      <c r="E119" s="4">
        <v>182.9</v>
      </c>
      <c r="F119" s="4">
        <v>11385.57</v>
      </c>
      <c r="G119" s="3">
        <v>63</v>
      </c>
      <c r="H119" s="6">
        <v>4.2</v>
      </c>
      <c r="I119" s="3">
        <v>49</v>
      </c>
      <c r="J119" s="13" t="str">
        <f>HYPERLINK("https://amazon.com/dp/B0FP8M3NW4","Amazon - B0FP8M3NW4")</f>
        <v>Amazon - B0FP8M3NW4</v>
      </c>
      <c r="K119" s="14" t="s">
        <v>443</v>
      </c>
      <c r="L119" s="14" t="s">
        <v>456</v>
      </c>
      <c r="M119" s="14" t="s">
        <v>303</v>
      </c>
      <c r="N119" s="14" t="s">
        <v>446</v>
      </c>
      <c r="O119" s="14" t="s">
        <v>742</v>
      </c>
    </row>
    <row r="120" spans="1:15" ht="45" x14ac:dyDescent="0.2">
      <c r="A120" s="2" t="s">
        <v>756</v>
      </c>
      <c r="B120" s="2" t="s">
        <v>757</v>
      </c>
      <c r="C120" s="2" t="s">
        <v>15</v>
      </c>
      <c r="D120" s="2" t="s">
        <v>450</v>
      </c>
      <c r="E120" s="4">
        <v>99.99</v>
      </c>
      <c r="F120" s="4">
        <v>11325.87</v>
      </c>
      <c r="G120" s="3">
        <v>113</v>
      </c>
      <c r="H120" s="6">
        <v>4.3</v>
      </c>
      <c r="I120" s="3">
        <v>204</v>
      </c>
      <c r="J120" s="13" t="str">
        <f>HYPERLINK("https://amazon.com/dp/B08Y5S32YV","Amazon - B08Y5S32YV")</f>
        <v>Amazon - B08Y5S32YV</v>
      </c>
      <c r="K120" s="14" t="s">
        <v>443</v>
      </c>
      <c r="L120" s="14" t="s">
        <v>451</v>
      </c>
      <c r="M120" s="14" t="s">
        <v>457</v>
      </c>
      <c r="N120" s="14" t="s">
        <v>446</v>
      </c>
      <c r="O120" s="14" t="s">
        <v>447</v>
      </c>
    </row>
    <row r="121" spans="1:15" ht="45" x14ac:dyDescent="0.2">
      <c r="A121" s="2" t="s">
        <v>758</v>
      </c>
      <c r="B121" s="2" t="s">
        <v>759</v>
      </c>
      <c r="C121" s="2" t="s">
        <v>63</v>
      </c>
      <c r="D121" s="2" t="s">
        <v>442</v>
      </c>
      <c r="E121" s="4">
        <v>109.99</v>
      </c>
      <c r="F121" s="4">
        <v>11215.65</v>
      </c>
      <c r="G121" s="3">
        <v>100</v>
      </c>
      <c r="H121" s="6">
        <v>4.5999999999999996</v>
      </c>
      <c r="I121" s="3">
        <v>50</v>
      </c>
      <c r="J121" s="13" t="str">
        <f>HYPERLINK("https://amazon.com/dp/B0DZNQSLMP","Amazon - B0DZNQSLMP")</f>
        <v>Amazon - B0DZNQSLMP</v>
      </c>
      <c r="K121" s="14" t="s">
        <v>443</v>
      </c>
      <c r="L121" s="14" t="s">
        <v>461</v>
      </c>
      <c r="M121" s="14" t="s">
        <v>484</v>
      </c>
      <c r="N121" s="14" t="s">
        <v>446</v>
      </c>
      <c r="O121" s="14" t="s">
        <v>447</v>
      </c>
    </row>
    <row r="122" spans="1:15" ht="45" x14ac:dyDescent="0.2">
      <c r="A122" s="2" t="s">
        <v>760</v>
      </c>
      <c r="B122" s="2" t="s">
        <v>761</v>
      </c>
      <c r="C122" s="2" t="s">
        <v>15</v>
      </c>
      <c r="D122" s="2" t="s">
        <v>442</v>
      </c>
      <c r="E122" s="4">
        <v>299.99</v>
      </c>
      <c r="F122" s="4">
        <v>11047.98</v>
      </c>
      <c r="G122" s="3">
        <v>38</v>
      </c>
      <c r="H122" s="6">
        <v>4.3</v>
      </c>
      <c r="I122" s="3">
        <v>233</v>
      </c>
      <c r="J122" s="13" t="str">
        <f>HYPERLINK("https://amazon.com/dp/B0FJLPG74M","Amazon - B0FJLPG74M")</f>
        <v>Amazon - B0FJLPG74M</v>
      </c>
      <c r="K122" s="14" t="s">
        <v>482</v>
      </c>
      <c r="L122" s="14" t="s">
        <v>461</v>
      </c>
      <c r="M122" s="14" t="s">
        <v>535</v>
      </c>
      <c r="N122" s="14" t="s">
        <v>452</v>
      </c>
      <c r="O122" s="14" t="s">
        <v>447</v>
      </c>
    </row>
    <row r="123" spans="1:15" ht="45" x14ac:dyDescent="0.2">
      <c r="A123" s="2" t="s">
        <v>762</v>
      </c>
      <c r="B123" s="2" t="s">
        <v>763</v>
      </c>
      <c r="C123" s="2" t="s">
        <v>14</v>
      </c>
      <c r="D123" s="2" t="s">
        <v>472</v>
      </c>
      <c r="E123" s="4">
        <v>769.88</v>
      </c>
      <c r="F123" s="4">
        <v>11035.7</v>
      </c>
      <c r="G123" s="3">
        <v>14</v>
      </c>
      <c r="H123" s="6">
        <v>4</v>
      </c>
      <c r="I123" s="3">
        <v>20</v>
      </c>
      <c r="J123" s="13" t="str">
        <f>HYPERLINK("https://amazon.com/dp/B0DY1KCDWW","Amazon - B0DY1KCDWW")</f>
        <v>Amazon - B0DY1KCDWW</v>
      </c>
      <c r="K123" s="14" t="s">
        <v>443</v>
      </c>
      <c r="L123" s="14" t="s">
        <v>764</v>
      </c>
      <c r="M123" s="14" t="s">
        <v>715</v>
      </c>
      <c r="N123" s="14" t="s">
        <v>446</v>
      </c>
      <c r="O123" s="14" t="s">
        <v>570</v>
      </c>
    </row>
    <row r="124" spans="1:15" ht="45" x14ac:dyDescent="0.2">
      <c r="A124" s="2" t="s">
        <v>765</v>
      </c>
      <c r="B124" s="2" t="s">
        <v>766</v>
      </c>
      <c r="C124" s="2" t="s">
        <v>23</v>
      </c>
      <c r="D124" s="2" t="s">
        <v>472</v>
      </c>
      <c r="E124" s="4">
        <v>321</v>
      </c>
      <c r="F124" s="4">
        <v>10995.37</v>
      </c>
      <c r="G124" s="3">
        <v>34</v>
      </c>
      <c r="H124" s="6">
        <v>4</v>
      </c>
      <c r="I124" s="3">
        <v>6</v>
      </c>
      <c r="J124" s="13" t="str">
        <f>HYPERLINK("https://amazon.com/dp/B0CZ74N3K3","Amazon - B0CZ74N3K3")</f>
        <v>Amazon - B0CZ74N3K3</v>
      </c>
      <c r="K124" s="14" t="s">
        <v>443</v>
      </c>
      <c r="L124" s="14" t="s">
        <v>303</v>
      </c>
      <c r="M124" s="14" t="s">
        <v>503</v>
      </c>
      <c r="N124" s="14" t="s">
        <v>446</v>
      </c>
      <c r="O124" s="14" t="s">
        <v>303</v>
      </c>
    </row>
    <row r="125" spans="1:15" ht="45" x14ac:dyDescent="0.2">
      <c r="A125" s="2" t="s">
        <v>767</v>
      </c>
      <c r="B125" s="2" t="s">
        <v>768</v>
      </c>
      <c r="C125" s="2" t="s">
        <v>11</v>
      </c>
      <c r="D125" s="2" t="s">
        <v>472</v>
      </c>
      <c r="E125" s="4">
        <v>725.9</v>
      </c>
      <c r="F125" s="4">
        <v>10888.75</v>
      </c>
      <c r="G125" s="3">
        <v>15</v>
      </c>
      <c r="H125" s="6">
        <v>3.3</v>
      </c>
      <c r="I125" s="3">
        <v>12</v>
      </c>
      <c r="J125" s="13" t="str">
        <f>HYPERLINK("https://amazon.com/dp/B0DNMHPJR6","Amazon - B0DNMHPJR6")</f>
        <v>Amazon - B0DNMHPJR6</v>
      </c>
      <c r="K125" s="14" t="s">
        <v>443</v>
      </c>
      <c r="L125" s="14" t="s">
        <v>502</v>
      </c>
      <c r="M125" s="14" t="s">
        <v>303</v>
      </c>
      <c r="N125" s="14" t="s">
        <v>446</v>
      </c>
      <c r="O125" s="14" t="s">
        <v>570</v>
      </c>
    </row>
    <row r="126" spans="1:15" ht="45" x14ac:dyDescent="0.2">
      <c r="A126" s="2" t="s">
        <v>769</v>
      </c>
      <c r="B126" s="2" t="s">
        <v>770</v>
      </c>
      <c r="C126" s="2" t="s">
        <v>11</v>
      </c>
      <c r="D126" s="2" t="s">
        <v>472</v>
      </c>
      <c r="E126" s="4">
        <v>508.9</v>
      </c>
      <c r="F126" s="4">
        <v>10797.85</v>
      </c>
      <c r="G126" s="3">
        <v>21</v>
      </c>
      <c r="H126" s="6">
        <v>4.2</v>
      </c>
      <c r="I126" s="3">
        <v>14</v>
      </c>
      <c r="J126" s="13" t="str">
        <f>HYPERLINK("https://amazon.com/dp/B0BV2SYJDK","Amazon - B0BV2SYJDK")</f>
        <v>Amazon - B0BV2SYJDK</v>
      </c>
      <c r="K126" s="14" t="s">
        <v>443</v>
      </c>
      <c r="L126" s="14" t="s">
        <v>502</v>
      </c>
      <c r="M126" s="14" t="s">
        <v>303</v>
      </c>
      <c r="N126" s="14" t="s">
        <v>446</v>
      </c>
      <c r="O126" s="14" t="s">
        <v>570</v>
      </c>
    </row>
    <row r="127" spans="1:15" ht="45" x14ac:dyDescent="0.2">
      <c r="A127" s="2" t="s">
        <v>771</v>
      </c>
      <c r="B127" s="2" t="s">
        <v>772</v>
      </c>
      <c r="C127" s="2" t="s">
        <v>40</v>
      </c>
      <c r="D127" s="2" t="s">
        <v>472</v>
      </c>
      <c r="E127" s="4">
        <v>243.99</v>
      </c>
      <c r="F127" s="4">
        <v>10791.98</v>
      </c>
      <c r="G127" s="3">
        <v>44</v>
      </c>
      <c r="H127" s="6">
        <v>3.6</v>
      </c>
      <c r="I127" s="3">
        <v>35</v>
      </c>
      <c r="J127" s="13" t="str">
        <f>HYPERLINK("https://amazon.com/dp/B0D9Y7MCRB","Amazon - B0D9Y7MCRB")</f>
        <v>Amazon - B0D9Y7MCRB</v>
      </c>
      <c r="K127" s="14" t="s">
        <v>443</v>
      </c>
      <c r="L127" s="14" t="s">
        <v>456</v>
      </c>
      <c r="M127" s="14" t="s">
        <v>773</v>
      </c>
      <c r="N127" s="14" t="s">
        <v>446</v>
      </c>
      <c r="O127" s="14" t="s">
        <v>629</v>
      </c>
    </row>
    <row r="128" spans="1:15" ht="30" x14ac:dyDescent="0.2">
      <c r="A128" s="2" t="s">
        <v>621</v>
      </c>
      <c r="B128" s="2" t="s">
        <v>622</v>
      </c>
      <c r="C128" s="2" t="s">
        <v>49</v>
      </c>
      <c r="D128" s="2" t="s">
        <v>450</v>
      </c>
      <c r="E128" s="4">
        <v>20.93</v>
      </c>
      <c r="F128" s="4">
        <v>10715.88</v>
      </c>
      <c r="G128" s="3">
        <v>561</v>
      </c>
      <c r="H128" s="6">
        <v>4.5</v>
      </c>
      <c r="I128" s="3">
        <v>1989</v>
      </c>
      <c r="J128" s="13" t="str">
        <f>HYPERLINK("https://amazon.com/dp/B0C2P7KP5D","Amazon - B0C2P7KP5D")</f>
        <v>Amazon - B0C2P7KP5D</v>
      </c>
      <c r="K128" s="14" t="s">
        <v>443</v>
      </c>
      <c r="L128" s="14" t="s">
        <v>451</v>
      </c>
      <c r="M128" s="14" t="s">
        <v>445</v>
      </c>
      <c r="N128" s="14" t="s">
        <v>446</v>
      </c>
      <c r="O128" s="14" t="s">
        <v>453</v>
      </c>
    </row>
    <row r="129" spans="1:15" ht="45" x14ac:dyDescent="0.2">
      <c r="A129" s="2" t="s">
        <v>774</v>
      </c>
      <c r="B129" s="2" t="s">
        <v>775</v>
      </c>
      <c r="C129" s="2" t="s">
        <v>32</v>
      </c>
      <c r="D129" s="2" t="s">
        <v>442</v>
      </c>
      <c r="E129" s="4">
        <v>119.99</v>
      </c>
      <c r="F129" s="4">
        <v>10653.34</v>
      </c>
      <c r="G129" s="3">
        <v>97</v>
      </c>
      <c r="H129" s="6">
        <v>4.5999999999999996</v>
      </c>
      <c r="I129" s="3">
        <v>115</v>
      </c>
      <c r="J129" s="13" t="str">
        <f>HYPERLINK("https://amazon.com/dp/B0FZ851CGL","Amazon - B0FZ851CGL")</f>
        <v>Amazon - B0FZ851CGL</v>
      </c>
      <c r="K129" s="14" t="s">
        <v>443</v>
      </c>
      <c r="L129" s="14" t="s">
        <v>461</v>
      </c>
      <c r="M129" s="14" t="s">
        <v>303</v>
      </c>
      <c r="N129" s="14" t="s">
        <v>446</v>
      </c>
      <c r="O129" s="14" t="s">
        <v>458</v>
      </c>
    </row>
    <row r="130" spans="1:15" ht="45" x14ac:dyDescent="0.2">
      <c r="A130" s="2" t="s">
        <v>776</v>
      </c>
      <c r="B130" s="2" t="s">
        <v>777</v>
      </c>
      <c r="C130" s="2" t="s">
        <v>11</v>
      </c>
      <c r="D130" s="2" t="s">
        <v>472</v>
      </c>
      <c r="E130" s="4">
        <v>325.89999999999998</v>
      </c>
      <c r="F130" s="4">
        <v>10617.29</v>
      </c>
      <c r="G130" s="3">
        <v>33</v>
      </c>
      <c r="H130" s="6">
        <v>4.2</v>
      </c>
      <c r="I130" s="3">
        <v>8</v>
      </c>
      <c r="J130" s="13" t="str">
        <f>HYPERLINK("https://amazon.com/dp/B0FPBVG1QJ","Amazon - B0FPBVG1QJ")</f>
        <v>Amazon - B0FPBVG1QJ</v>
      </c>
      <c r="K130" s="14" t="s">
        <v>443</v>
      </c>
      <c r="L130" s="14" t="s">
        <v>456</v>
      </c>
      <c r="M130" s="14" t="s">
        <v>303</v>
      </c>
      <c r="N130" s="14" t="s">
        <v>446</v>
      </c>
      <c r="O130" s="14" t="s">
        <v>778</v>
      </c>
    </row>
    <row r="131" spans="1:15" ht="45" x14ac:dyDescent="0.2">
      <c r="A131" s="2" t="s">
        <v>779</v>
      </c>
      <c r="B131" s="2" t="s">
        <v>780</v>
      </c>
      <c r="C131" s="2" t="s">
        <v>13</v>
      </c>
      <c r="D131" s="2" t="s">
        <v>472</v>
      </c>
      <c r="E131" s="4">
        <v>699.99</v>
      </c>
      <c r="F131" s="4">
        <v>10560.46</v>
      </c>
      <c r="G131" s="3">
        <v>15</v>
      </c>
      <c r="H131" s="6">
        <v>4.0999999999999996</v>
      </c>
      <c r="I131" s="3">
        <v>31</v>
      </c>
      <c r="J131" s="13" t="str">
        <f>HYPERLINK("https://amazon.com/dp/B0D5M7WTV8","Amazon - B0D5M7WTV8")</f>
        <v>Amazon - B0D5M7WTV8</v>
      </c>
      <c r="K131" s="14" t="s">
        <v>443</v>
      </c>
      <c r="L131" s="14" t="s">
        <v>461</v>
      </c>
      <c r="M131" s="14" t="s">
        <v>565</v>
      </c>
      <c r="N131" s="14" t="s">
        <v>446</v>
      </c>
      <c r="O131" s="14" t="s">
        <v>517</v>
      </c>
    </row>
    <row r="132" spans="1:15" ht="45" x14ac:dyDescent="0.2">
      <c r="A132" s="2" t="s">
        <v>781</v>
      </c>
      <c r="B132" s="2" t="s">
        <v>782</v>
      </c>
      <c r="C132" s="2" t="s">
        <v>13</v>
      </c>
      <c r="D132" s="2" t="s">
        <v>472</v>
      </c>
      <c r="E132" s="4">
        <v>799.99</v>
      </c>
      <c r="F132" s="4">
        <v>10541.76</v>
      </c>
      <c r="G132" s="3">
        <v>13</v>
      </c>
      <c r="H132" s="6">
        <v>4.3</v>
      </c>
      <c r="I132" s="3">
        <v>20</v>
      </c>
      <c r="J132" s="13" t="str">
        <f>HYPERLINK("https://amazon.com/dp/B0DSZR774M","Amazon - B0DSZR774M")</f>
        <v>Amazon - B0DSZR774M</v>
      </c>
      <c r="K132" s="14" t="s">
        <v>443</v>
      </c>
      <c r="L132" s="14" t="s">
        <v>461</v>
      </c>
      <c r="M132" s="14" t="s">
        <v>303</v>
      </c>
      <c r="N132" s="14" t="s">
        <v>446</v>
      </c>
      <c r="O132" s="14" t="s">
        <v>517</v>
      </c>
    </row>
    <row r="133" spans="1:15" ht="45" x14ac:dyDescent="0.2">
      <c r="A133" s="2" t="s">
        <v>783</v>
      </c>
      <c r="B133" s="2" t="s">
        <v>784</v>
      </c>
      <c r="C133" s="2" t="s">
        <v>59</v>
      </c>
      <c r="D133" s="2" t="s">
        <v>472</v>
      </c>
      <c r="E133" s="4">
        <v>29.99</v>
      </c>
      <c r="F133" s="4">
        <v>10393.01</v>
      </c>
      <c r="G133" s="3">
        <v>347</v>
      </c>
      <c r="H133" s="6">
        <v>4.0999999999999996</v>
      </c>
      <c r="I133" s="3">
        <v>59</v>
      </c>
      <c r="J133" s="13" t="str">
        <f>HYPERLINK("https://amazon.com/dp/B0FPLZH5CM","Amazon - B0FPLZH5CM")</f>
        <v>Amazon - B0FPLZH5CM</v>
      </c>
      <c r="K133" s="14" t="s">
        <v>443</v>
      </c>
      <c r="L133" s="14" t="s">
        <v>456</v>
      </c>
      <c r="M133" s="14" t="s">
        <v>303</v>
      </c>
      <c r="N133" s="14" t="s">
        <v>446</v>
      </c>
      <c r="O133" s="14" t="s">
        <v>453</v>
      </c>
    </row>
    <row r="134" spans="1:15" ht="45" x14ac:dyDescent="0.2">
      <c r="A134" s="2" t="s">
        <v>785</v>
      </c>
      <c r="B134" s="2" t="s">
        <v>786</v>
      </c>
      <c r="C134" s="2" t="s">
        <v>20</v>
      </c>
      <c r="D134" s="2" t="s">
        <v>469</v>
      </c>
      <c r="E134" s="4">
        <v>25.98</v>
      </c>
      <c r="F134" s="4">
        <v>10141.629999999999</v>
      </c>
      <c r="G134" s="3">
        <v>296</v>
      </c>
      <c r="H134" s="6">
        <v>4.4000000000000004</v>
      </c>
      <c r="I134" s="3">
        <v>176</v>
      </c>
      <c r="J134" s="13" t="str">
        <f>HYPERLINK("https://amazon.com/dp/B0DWSNQWJ1","Amazon - B0DWSNQWJ1")</f>
        <v>Amazon - B0DWSNQWJ1</v>
      </c>
      <c r="K134" s="14" t="s">
        <v>514</v>
      </c>
      <c r="L134" s="14" t="s">
        <v>456</v>
      </c>
      <c r="M134" s="14" t="s">
        <v>445</v>
      </c>
      <c r="N134" s="14" t="s">
        <v>446</v>
      </c>
      <c r="O134" s="14" t="s">
        <v>453</v>
      </c>
    </row>
    <row r="135" spans="1:15" ht="45" x14ac:dyDescent="0.2">
      <c r="A135" s="2" t="s">
        <v>787</v>
      </c>
      <c r="B135" s="2" t="s">
        <v>788</v>
      </c>
      <c r="C135" s="2" t="s">
        <v>13</v>
      </c>
      <c r="D135" s="2" t="s">
        <v>472</v>
      </c>
      <c r="E135" s="4">
        <v>369.99</v>
      </c>
      <c r="F135" s="4">
        <v>10092.120000000001</v>
      </c>
      <c r="G135" s="3">
        <v>27</v>
      </c>
      <c r="H135" s="6">
        <v>3.8</v>
      </c>
      <c r="I135" s="3">
        <v>8</v>
      </c>
      <c r="J135" s="13" t="str">
        <f>HYPERLINK("https://amazon.com/dp/B0FK294Z6X","Amazon - B0FK294Z6X")</f>
        <v>Amazon - B0FK294Z6X</v>
      </c>
      <c r="K135" s="14" t="s">
        <v>443</v>
      </c>
      <c r="L135" s="14" t="s">
        <v>461</v>
      </c>
      <c r="M135" s="14" t="s">
        <v>303</v>
      </c>
      <c r="N135" s="14" t="s">
        <v>446</v>
      </c>
      <c r="O135" s="14" t="s">
        <v>517</v>
      </c>
    </row>
    <row r="136" spans="1:15" ht="45" x14ac:dyDescent="0.2">
      <c r="A136" s="2" t="s">
        <v>789</v>
      </c>
      <c r="B136" s="2" t="s">
        <v>790</v>
      </c>
      <c r="C136" s="2" t="s">
        <v>9</v>
      </c>
      <c r="D136" s="2" t="s">
        <v>442</v>
      </c>
      <c r="E136" s="4">
        <v>104.39</v>
      </c>
      <c r="F136" s="4">
        <v>9921.85</v>
      </c>
      <c r="G136" s="3">
        <v>95</v>
      </c>
      <c r="H136" s="6">
        <v>4.5999999999999996</v>
      </c>
      <c r="I136" s="3">
        <v>198</v>
      </c>
      <c r="J136" s="13" t="str">
        <f>HYPERLINK("https://amazon.com/dp/B0BVML78W1","Amazon - B0BVML78W1")</f>
        <v>Amazon - B0BVML78W1</v>
      </c>
      <c r="K136" s="14" t="s">
        <v>443</v>
      </c>
      <c r="L136" s="14" t="s">
        <v>461</v>
      </c>
      <c r="M136" s="14" t="s">
        <v>445</v>
      </c>
      <c r="N136" s="14" t="s">
        <v>473</v>
      </c>
      <c r="O136" s="14" t="s">
        <v>453</v>
      </c>
    </row>
    <row r="137" spans="1:15" ht="45" x14ac:dyDescent="0.2">
      <c r="A137" s="2" t="s">
        <v>613</v>
      </c>
      <c r="B137" s="2" t="s">
        <v>614</v>
      </c>
      <c r="C137" s="2" t="s">
        <v>67</v>
      </c>
      <c r="D137" s="2" t="s">
        <v>450</v>
      </c>
      <c r="E137" s="4">
        <v>16.97</v>
      </c>
      <c r="F137" s="4">
        <v>9852.36</v>
      </c>
      <c r="G137" s="3">
        <v>580</v>
      </c>
      <c r="H137" s="6">
        <v>4.3</v>
      </c>
      <c r="I137" s="3">
        <v>418</v>
      </c>
      <c r="J137" s="13" t="str">
        <f>HYPERLINK("https://amazon.com/dp/B0F2PQTT1G","Amazon - B0F2PQTT1G")</f>
        <v>Amazon - B0F2PQTT1G</v>
      </c>
      <c r="K137" s="14" t="s">
        <v>443</v>
      </c>
      <c r="L137" s="14" t="s">
        <v>451</v>
      </c>
      <c r="M137" s="14" t="s">
        <v>445</v>
      </c>
      <c r="N137" s="14" t="s">
        <v>446</v>
      </c>
      <c r="O137" s="14" t="s">
        <v>487</v>
      </c>
    </row>
    <row r="138" spans="1:15" ht="45" x14ac:dyDescent="0.2">
      <c r="A138" s="2" t="s">
        <v>791</v>
      </c>
      <c r="B138" s="2" t="s">
        <v>792</v>
      </c>
      <c r="C138" s="2" t="s">
        <v>8</v>
      </c>
      <c r="D138" s="2" t="s">
        <v>450</v>
      </c>
      <c r="E138" s="4">
        <v>109.99</v>
      </c>
      <c r="F138" s="4">
        <v>9814.82</v>
      </c>
      <c r="G138" s="3">
        <v>89</v>
      </c>
      <c r="H138" s="6">
        <v>4.7</v>
      </c>
      <c r="I138" s="3">
        <v>50</v>
      </c>
      <c r="J138" s="13" t="str">
        <f>HYPERLINK("https://amazon.com/dp/B0DRP5MDLL","Amazon - B0DRP5MDLL")</f>
        <v>Amazon - B0DRP5MDLL</v>
      </c>
      <c r="K138" s="14" t="s">
        <v>443</v>
      </c>
      <c r="L138" s="14" t="s">
        <v>451</v>
      </c>
      <c r="M138" s="14" t="s">
        <v>303</v>
      </c>
      <c r="N138" s="14" t="s">
        <v>446</v>
      </c>
      <c r="O138" s="14" t="s">
        <v>303</v>
      </c>
    </row>
    <row r="139" spans="1:15" ht="45" x14ac:dyDescent="0.2">
      <c r="A139" s="2" t="s">
        <v>793</v>
      </c>
      <c r="B139" s="2" t="s">
        <v>794</v>
      </c>
      <c r="C139" s="2" t="s">
        <v>65</v>
      </c>
      <c r="D139" s="2" t="s">
        <v>442</v>
      </c>
      <c r="E139" s="4">
        <v>25.99</v>
      </c>
      <c r="F139" s="4">
        <v>9723.56</v>
      </c>
      <c r="G139" s="3">
        <v>374</v>
      </c>
      <c r="H139" s="6">
        <v>4.4000000000000004</v>
      </c>
      <c r="I139" s="3">
        <v>277</v>
      </c>
      <c r="J139" s="13" t="str">
        <f>HYPERLINK("https://amazon.com/dp/B0D2KRN3XR","Amazon - B0D2KRN3XR")</f>
        <v>Amazon - B0D2KRN3XR</v>
      </c>
      <c r="K139" s="14" t="s">
        <v>443</v>
      </c>
      <c r="L139" s="14" t="s">
        <v>456</v>
      </c>
      <c r="M139" s="14" t="s">
        <v>303</v>
      </c>
      <c r="N139" s="14" t="s">
        <v>446</v>
      </c>
      <c r="O139" s="14" t="s">
        <v>453</v>
      </c>
    </row>
    <row r="140" spans="1:15" ht="45" x14ac:dyDescent="0.2">
      <c r="A140" s="2" t="s">
        <v>795</v>
      </c>
      <c r="B140" s="2" t="s">
        <v>796</v>
      </c>
      <c r="C140" s="2" t="s">
        <v>14</v>
      </c>
      <c r="D140" s="2" t="s">
        <v>472</v>
      </c>
      <c r="E140" s="4">
        <v>999.88</v>
      </c>
      <c r="F140" s="4">
        <v>9641.2800000000007</v>
      </c>
      <c r="G140" s="3">
        <v>9</v>
      </c>
      <c r="H140" s="6">
        <v>3.7</v>
      </c>
      <c r="I140" s="3">
        <v>16</v>
      </c>
      <c r="J140" s="13" t="str">
        <f>HYPERLINK("https://amazon.com/dp/B0DWMRM5G9","Amazon - B0DWMRM5G9")</f>
        <v>Amazon - B0DWMRM5G9</v>
      </c>
      <c r="K140" s="14" t="s">
        <v>443</v>
      </c>
      <c r="L140" s="14" t="s">
        <v>451</v>
      </c>
      <c r="M140" s="14" t="s">
        <v>565</v>
      </c>
      <c r="N140" s="14" t="s">
        <v>446</v>
      </c>
      <c r="O140" s="14" t="s">
        <v>517</v>
      </c>
    </row>
    <row r="141" spans="1:15" ht="30" x14ac:dyDescent="0.2">
      <c r="A141" s="2" t="s">
        <v>797</v>
      </c>
      <c r="B141" s="2" t="s">
        <v>798</v>
      </c>
      <c r="C141" s="2" t="s">
        <v>13</v>
      </c>
      <c r="D141" s="2" t="s">
        <v>472</v>
      </c>
      <c r="E141" s="4">
        <v>699.99</v>
      </c>
      <c r="F141" s="4">
        <v>9476.98</v>
      </c>
      <c r="G141" s="3">
        <v>14</v>
      </c>
      <c r="H141" s="6">
        <v>4.2</v>
      </c>
      <c r="I141" s="3">
        <v>15</v>
      </c>
      <c r="J141" s="13" t="str">
        <f>HYPERLINK("https://amazon.com/dp/B0CYSS11DP","Amazon - B0CYSS11DP")</f>
        <v>Amazon - B0CYSS11DP</v>
      </c>
      <c r="K141" s="14" t="s">
        <v>443</v>
      </c>
      <c r="L141" s="14" t="s">
        <v>461</v>
      </c>
      <c r="M141" s="14" t="s">
        <v>565</v>
      </c>
      <c r="N141" s="14" t="s">
        <v>446</v>
      </c>
      <c r="O141" s="14" t="s">
        <v>517</v>
      </c>
    </row>
    <row r="142" spans="1:15" ht="45" x14ac:dyDescent="0.2">
      <c r="A142" s="2" t="s">
        <v>799</v>
      </c>
      <c r="B142" s="2" t="s">
        <v>800</v>
      </c>
      <c r="C142" s="2" t="s">
        <v>29</v>
      </c>
      <c r="D142" s="2" t="s">
        <v>472</v>
      </c>
      <c r="E142" s="4">
        <v>276.68</v>
      </c>
      <c r="F142" s="4">
        <v>9476.82</v>
      </c>
      <c r="G142" s="3">
        <v>34</v>
      </c>
      <c r="H142" s="6">
        <v>4.2</v>
      </c>
      <c r="I142" s="3">
        <v>64</v>
      </c>
      <c r="J142" s="13" t="str">
        <f>HYPERLINK("https://amazon.com/dp/B0GDFWSDLF","Amazon - B0GDFWSDLF")</f>
        <v>Amazon - B0GDFWSDLF</v>
      </c>
      <c r="K142" s="14" t="s">
        <v>443</v>
      </c>
      <c r="L142" s="14" t="s">
        <v>456</v>
      </c>
      <c r="M142" s="14" t="s">
        <v>677</v>
      </c>
      <c r="N142" s="14" t="s">
        <v>446</v>
      </c>
      <c r="O142" s="14" t="s">
        <v>517</v>
      </c>
    </row>
    <row r="143" spans="1:15" ht="45" x14ac:dyDescent="0.2">
      <c r="A143" s="2" t="s">
        <v>801</v>
      </c>
      <c r="B143" s="2" t="s">
        <v>802</v>
      </c>
      <c r="C143" s="2" t="s">
        <v>30</v>
      </c>
      <c r="D143" s="2" t="s">
        <v>472</v>
      </c>
      <c r="E143" s="4">
        <v>79.989999999999995</v>
      </c>
      <c r="F143" s="4">
        <v>9299.73</v>
      </c>
      <c r="G143" s="3">
        <v>116</v>
      </c>
      <c r="H143" s="6">
        <v>4.9000000000000004</v>
      </c>
      <c r="I143" s="3">
        <v>39</v>
      </c>
      <c r="J143" s="13" t="str">
        <f>HYPERLINK("https://amazon.com/dp/B0FZJ9MN7Z","Amazon - B0FZJ9MN7Z")</f>
        <v>Amazon - B0FZJ9MN7Z</v>
      </c>
      <c r="K143" s="14" t="s">
        <v>443</v>
      </c>
      <c r="L143" s="14" t="s">
        <v>461</v>
      </c>
      <c r="M143" s="14" t="s">
        <v>303</v>
      </c>
      <c r="N143" s="14" t="s">
        <v>473</v>
      </c>
      <c r="O143" s="14" t="s">
        <v>453</v>
      </c>
    </row>
    <row r="144" spans="1:15" ht="45" x14ac:dyDescent="0.2">
      <c r="A144" s="2" t="s">
        <v>803</v>
      </c>
      <c r="B144" s="2" t="s">
        <v>804</v>
      </c>
      <c r="C144" s="2" t="s">
        <v>9</v>
      </c>
      <c r="D144" s="2" t="s">
        <v>472</v>
      </c>
      <c r="E144" s="4">
        <v>159.99</v>
      </c>
      <c r="F144" s="4">
        <v>9221.6200000000008</v>
      </c>
      <c r="G144" s="3">
        <v>79</v>
      </c>
      <c r="H144" s="6">
        <v>4.5999999999999996</v>
      </c>
      <c r="I144" s="3">
        <v>1346</v>
      </c>
      <c r="J144" s="13" t="str">
        <f>HYPERLINK("https://amazon.com/dp/B0DD351NSB","Amazon - B0DD351NSB")</f>
        <v>Amazon - B0DD351NSB</v>
      </c>
      <c r="K144" s="14" t="s">
        <v>443</v>
      </c>
      <c r="L144" s="14" t="s">
        <v>461</v>
      </c>
      <c r="M144" s="14" t="s">
        <v>303</v>
      </c>
      <c r="N144" s="14" t="s">
        <v>473</v>
      </c>
      <c r="O144" s="14" t="s">
        <v>479</v>
      </c>
    </row>
    <row r="145" spans="1:15" ht="45" x14ac:dyDescent="0.2">
      <c r="A145" s="2" t="s">
        <v>805</v>
      </c>
      <c r="B145" s="2" t="s">
        <v>806</v>
      </c>
      <c r="C145" s="2" t="s">
        <v>16</v>
      </c>
      <c r="D145" s="2" t="s">
        <v>442</v>
      </c>
      <c r="E145" s="4">
        <v>142.99</v>
      </c>
      <c r="F145" s="4">
        <v>9213.94</v>
      </c>
      <c r="G145" s="3">
        <v>61</v>
      </c>
      <c r="H145" s="6">
        <v>4.4000000000000004</v>
      </c>
      <c r="I145" s="3">
        <v>9</v>
      </c>
      <c r="J145" s="13" t="str">
        <f>HYPERLINK("https://amazon.com/dp/B0DZMN1941","Amazon - B0DZMN1941")</f>
        <v>Amazon - B0DZMN1941</v>
      </c>
      <c r="K145" s="14" t="s">
        <v>443</v>
      </c>
      <c r="L145" s="14" t="s">
        <v>461</v>
      </c>
      <c r="M145" s="14" t="s">
        <v>535</v>
      </c>
      <c r="N145" s="14" t="s">
        <v>446</v>
      </c>
      <c r="O145" s="14" t="s">
        <v>543</v>
      </c>
    </row>
    <row r="146" spans="1:15" ht="45" x14ac:dyDescent="0.2">
      <c r="A146" s="2" t="s">
        <v>807</v>
      </c>
      <c r="B146" s="2" t="s">
        <v>808</v>
      </c>
      <c r="C146" s="2" t="s">
        <v>11</v>
      </c>
      <c r="D146" s="2" t="s">
        <v>472</v>
      </c>
      <c r="E146" s="4">
        <v>249.9</v>
      </c>
      <c r="F146" s="4">
        <v>9027.1200000000008</v>
      </c>
      <c r="G146" s="3">
        <v>36</v>
      </c>
      <c r="H146" s="6">
        <v>4.0999999999999996</v>
      </c>
      <c r="I146" s="3">
        <v>100</v>
      </c>
      <c r="J146" s="13" t="str">
        <f>HYPERLINK("https://amazon.com/dp/B0CYPV6964","Amazon - B0CYPV6964")</f>
        <v>Amazon - B0CYPV6964</v>
      </c>
      <c r="K146" s="14" t="s">
        <v>443</v>
      </c>
      <c r="L146" s="14" t="s">
        <v>456</v>
      </c>
      <c r="M146" s="14" t="s">
        <v>303</v>
      </c>
      <c r="N146" s="14" t="s">
        <v>446</v>
      </c>
      <c r="O146" s="14" t="s">
        <v>809</v>
      </c>
    </row>
    <row r="147" spans="1:15" ht="45" x14ac:dyDescent="0.2">
      <c r="A147" s="2" t="s">
        <v>810</v>
      </c>
      <c r="B147" s="2" t="s">
        <v>811</v>
      </c>
      <c r="C147" s="2" t="s">
        <v>24</v>
      </c>
      <c r="D147" s="2" t="s">
        <v>442</v>
      </c>
      <c r="E147" s="4">
        <v>69.989999999999995</v>
      </c>
      <c r="F147" s="4">
        <v>8833.2800000000007</v>
      </c>
      <c r="G147" s="3">
        <v>125</v>
      </c>
      <c r="H147" s="6">
        <v>4.8</v>
      </c>
      <c r="I147" s="3">
        <v>86</v>
      </c>
      <c r="J147" s="13" t="str">
        <f>HYPERLINK("https://amazon.com/dp/B0DHRPXGRL","Amazon - B0DHRPXGRL")</f>
        <v>Amazon - B0DHRPXGRL</v>
      </c>
      <c r="K147" s="14" t="s">
        <v>443</v>
      </c>
      <c r="L147" s="14" t="s">
        <v>461</v>
      </c>
      <c r="M147" s="14" t="s">
        <v>484</v>
      </c>
      <c r="N147" s="14" t="s">
        <v>446</v>
      </c>
      <c r="O147" s="14" t="s">
        <v>812</v>
      </c>
    </row>
    <row r="148" spans="1:15" ht="30" x14ac:dyDescent="0.2">
      <c r="A148" s="2" t="s">
        <v>813</v>
      </c>
      <c r="B148" s="2" t="s">
        <v>814</v>
      </c>
      <c r="C148" s="2" t="s">
        <v>66</v>
      </c>
      <c r="D148" s="2" t="s">
        <v>472</v>
      </c>
      <c r="E148" s="4">
        <v>289.88</v>
      </c>
      <c r="F148" s="4">
        <v>8802.51</v>
      </c>
      <c r="G148" s="3">
        <v>32</v>
      </c>
      <c r="H148" s="6">
        <v>4.2</v>
      </c>
      <c r="I148" s="3">
        <v>9</v>
      </c>
      <c r="J148" s="13" t="str">
        <f>HYPERLINK("https://amazon.com/dp/B0FL7HD4PD","Amazon - B0FL7HD4PD")</f>
        <v>Amazon - B0FL7HD4PD</v>
      </c>
      <c r="K148" s="14" t="s">
        <v>443</v>
      </c>
      <c r="L148" s="14" t="s">
        <v>667</v>
      </c>
      <c r="M148" s="14" t="s">
        <v>503</v>
      </c>
      <c r="N148" s="14" t="s">
        <v>446</v>
      </c>
      <c r="O148" s="14" t="s">
        <v>517</v>
      </c>
    </row>
    <row r="149" spans="1:15" ht="45" x14ac:dyDescent="0.2">
      <c r="A149" s="2" t="s">
        <v>815</v>
      </c>
      <c r="B149" s="2" t="s">
        <v>816</v>
      </c>
      <c r="C149" s="2" t="s">
        <v>8</v>
      </c>
      <c r="D149" s="2" t="s">
        <v>442</v>
      </c>
      <c r="E149" s="4">
        <v>149.99</v>
      </c>
      <c r="F149" s="4">
        <v>8786.43</v>
      </c>
      <c r="G149" s="3">
        <v>59</v>
      </c>
      <c r="H149" s="6">
        <v>4.7</v>
      </c>
      <c r="I149" s="3">
        <v>397</v>
      </c>
      <c r="J149" s="13" t="str">
        <f>HYPERLINK("https://amazon.com/dp/B08D9GDQD5","Amazon - B08D9GDQD5")</f>
        <v>Amazon - B08D9GDQD5</v>
      </c>
      <c r="K149" s="14" t="s">
        <v>443</v>
      </c>
      <c r="L149" s="14" t="s">
        <v>444</v>
      </c>
      <c r="M149" s="14" t="s">
        <v>462</v>
      </c>
      <c r="N149" s="14" t="s">
        <v>446</v>
      </c>
      <c r="O149" s="14" t="s">
        <v>303</v>
      </c>
    </row>
    <row r="150" spans="1:15" ht="30" x14ac:dyDescent="0.2">
      <c r="A150" s="2" t="s">
        <v>817</v>
      </c>
      <c r="B150" s="2" t="s">
        <v>818</v>
      </c>
      <c r="C150" s="2" t="s">
        <v>19</v>
      </c>
      <c r="D150" s="2" t="s">
        <v>450</v>
      </c>
      <c r="E150" s="4">
        <v>39.97</v>
      </c>
      <c r="F150" s="4">
        <v>8750.64</v>
      </c>
      <c r="G150" s="3">
        <v>219</v>
      </c>
      <c r="H150" s="6">
        <v>4</v>
      </c>
      <c r="I150" s="3">
        <v>818</v>
      </c>
      <c r="J150" s="13" t="str">
        <f>HYPERLINK("https://amazon.com/dp/B08GL4465F","Amazon - B08GL4465F")</f>
        <v>Amazon - B08GL4465F</v>
      </c>
      <c r="K150" s="14" t="s">
        <v>443</v>
      </c>
      <c r="L150" s="14" t="s">
        <v>451</v>
      </c>
      <c r="M150" s="14" t="s">
        <v>445</v>
      </c>
      <c r="N150" s="14" t="s">
        <v>446</v>
      </c>
      <c r="O150" s="14" t="s">
        <v>303</v>
      </c>
    </row>
    <row r="151" spans="1:15" ht="30" x14ac:dyDescent="0.2">
      <c r="A151" s="2" t="s">
        <v>819</v>
      </c>
      <c r="B151" s="2" t="s">
        <v>820</v>
      </c>
      <c r="C151" s="2" t="s">
        <v>9</v>
      </c>
      <c r="D151" s="2" t="s">
        <v>472</v>
      </c>
      <c r="E151" s="4">
        <v>44.99</v>
      </c>
      <c r="F151" s="4">
        <v>8723.24</v>
      </c>
      <c r="G151" s="3">
        <v>192</v>
      </c>
      <c r="H151" s="6">
        <v>4.5999999999999996</v>
      </c>
      <c r="I151" s="3">
        <v>1346</v>
      </c>
      <c r="J151" s="13" t="str">
        <f>HYPERLINK("https://amazon.com/dp/B0CT2CX59S","Amazon - B0CT2CX59S")</f>
        <v>Amazon - B0CT2CX59S</v>
      </c>
      <c r="K151" s="14" t="s">
        <v>443</v>
      </c>
      <c r="L151" s="14" t="s">
        <v>461</v>
      </c>
      <c r="M151" s="14" t="s">
        <v>303</v>
      </c>
      <c r="N151" s="14" t="s">
        <v>452</v>
      </c>
      <c r="O151" s="14" t="s">
        <v>453</v>
      </c>
    </row>
    <row r="152" spans="1:15" ht="45" x14ac:dyDescent="0.2">
      <c r="A152" s="2" t="s">
        <v>821</v>
      </c>
      <c r="B152" s="2" t="s">
        <v>822</v>
      </c>
      <c r="C152" s="2" t="s">
        <v>24</v>
      </c>
      <c r="D152" s="2" t="s">
        <v>823</v>
      </c>
      <c r="E152" s="4">
        <v>26.99</v>
      </c>
      <c r="F152" s="4">
        <v>8601</v>
      </c>
      <c r="G152" s="3">
        <v>319</v>
      </c>
      <c r="H152" s="6">
        <v>4.3</v>
      </c>
      <c r="I152" s="3">
        <v>5554</v>
      </c>
      <c r="J152" s="13" t="str">
        <f>HYPERLINK("https://amazon.com/dp/B07C9C6P5D","Amazon - B07C9C6P5D")</f>
        <v>Amazon - B07C9C6P5D</v>
      </c>
      <c r="K152" s="14" t="s">
        <v>443</v>
      </c>
      <c r="L152" s="14" t="s">
        <v>451</v>
      </c>
      <c r="M152" s="14" t="s">
        <v>462</v>
      </c>
      <c r="N152" s="14" t="s">
        <v>446</v>
      </c>
      <c r="O152" s="14" t="s">
        <v>447</v>
      </c>
    </row>
    <row r="153" spans="1:15" ht="45" x14ac:dyDescent="0.2">
      <c r="A153" s="2" t="s">
        <v>824</v>
      </c>
      <c r="B153" s="2" t="s">
        <v>825</v>
      </c>
      <c r="C153" s="2" t="s">
        <v>11</v>
      </c>
      <c r="D153" s="2" t="s">
        <v>472</v>
      </c>
      <c r="E153" s="4">
        <v>208.9</v>
      </c>
      <c r="F153" s="4">
        <v>8580.31</v>
      </c>
      <c r="G153" s="3">
        <v>41</v>
      </c>
      <c r="H153" s="6">
        <v>4.2</v>
      </c>
      <c r="I153" s="3">
        <v>49</v>
      </c>
      <c r="J153" s="13" t="str">
        <f>HYPERLINK("https://amazon.com/dp/B0FPBZ2R5N","Amazon - B0FPBZ2R5N")</f>
        <v>Amazon - B0FPBZ2R5N</v>
      </c>
      <c r="K153" s="14" t="s">
        <v>443</v>
      </c>
      <c r="L153" s="14" t="s">
        <v>456</v>
      </c>
      <c r="M153" s="14" t="s">
        <v>303</v>
      </c>
      <c r="N153" s="14" t="s">
        <v>446</v>
      </c>
      <c r="O153" s="14" t="s">
        <v>527</v>
      </c>
    </row>
    <row r="154" spans="1:15" ht="45" x14ac:dyDescent="0.2">
      <c r="A154" s="2" t="s">
        <v>826</v>
      </c>
      <c r="B154" s="2" t="s">
        <v>827</v>
      </c>
      <c r="C154" s="2" t="s">
        <v>8</v>
      </c>
      <c r="D154" s="2" t="s">
        <v>442</v>
      </c>
      <c r="E154" s="4">
        <v>169.99</v>
      </c>
      <c r="F154" s="4">
        <v>8517.9699999999993</v>
      </c>
      <c r="G154" s="3">
        <v>53</v>
      </c>
      <c r="H154" s="6">
        <v>4.5999999999999996</v>
      </c>
      <c r="I154" s="3">
        <v>363</v>
      </c>
      <c r="J154" s="13" t="str">
        <f>HYPERLINK("https://amazon.com/dp/B0CNPWHCQG","Amazon - B0CNPWHCQG")</f>
        <v>Amazon - B0CNPWHCQG</v>
      </c>
      <c r="K154" s="14" t="s">
        <v>443</v>
      </c>
      <c r="L154" s="14" t="s">
        <v>461</v>
      </c>
      <c r="M154" s="14" t="s">
        <v>303</v>
      </c>
      <c r="N154" s="14" t="s">
        <v>473</v>
      </c>
      <c r="O154" s="14" t="s">
        <v>487</v>
      </c>
    </row>
    <row r="155" spans="1:15" ht="45" x14ac:dyDescent="0.2">
      <c r="A155" s="2" t="s">
        <v>828</v>
      </c>
      <c r="B155" s="2" t="s">
        <v>829</v>
      </c>
      <c r="C155" s="2" t="s">
        <v>42</v>
      </c>
      <c r="D155" s="2" t="s">
        <v>472</v>
      </c>
      <c r="E155" s="4">
        <v>824.9</v>
      </c>
      <c r="F155" s="4">
        <v>8450.76</v>
      </c>
      <c r="G155" s="3">
        <v>10</v>
      </c>
      <c r="H155" s="6">
        <v>4.7</v>
      </c>
      <c r="I155" s="3">
        <v>14</v>
      </c>
      <c r="J155" s="13" t="str">
        <f>HYPERLINK("https://amazon.com/dp/B0G1MBQ6FX","Amazon - B0G1MBQ6FX")</f>
        <v>Amazon - B0G1MBQ6FX</v>
      </c>
      <c r="K155" s="14" t="s">
        <v>443</v>
      </c>
      <c r="L155" s="14" t="s">
        <v>461</v>
      </c>
      <c r="M155" s="14" t="s">
        <v>565</v>
      </c>
      <c r="N155" s="14" t="s">
        <v>446</v>
      </c>
      <c r="O155" s="14" t="s">
        <v>570</v>
      </c>
    </row>
    <row r="156" spans="1:15" ht="30" x14ac:dyDescent="0.2">
      <c r="A156" s="2" t="s">
        <v>830</v>
      </c>
      <c r="B156" s="2" t="s">
        <v>831</v>
      </c>
      <c r="C156" s="2" t="s">
        <v>19</v>
      </c>
      <c r="D156" s="2" t="s">
        <v>442</v>
      </c>
      <c r="E156" s="4">
        <v>139.99</v>
      </c>
      <c r="F156" s="4">
        <v>8286.5400000000009</v>
      </c>
      <c r="G156" s="3">
        <v>60</v>
      </c>
      <c r="H156" s="6">
        <v>3.8</v>
      </c>
      <c r="I156" s="3">
        <v>14</v>
      </c>
      <c r="J156" s="13" t="str">
        <f>HYPERLINK("https://amazon.com/dp/B0DCHMC6L8","Amazon - B0DCHMC6L8")</f>
        <v>Amazon - B0DCHMC6L8</v>
      </c>
      <c r="K156" s="14" t="s">
        <v>443</v>
      </c>
      <c r="L156" s="14" t="s">
        <v>456</v>
      </c>
      <c r="M156" s="14" t="s">
        <v>462</v>
      </c>
      <c r="N156" s="14" t="s">
        <v>446</v>
      </c>
      <c r="O156" s="14" t="s">
        <v>303</v>
      </c>
    </row>
    <row r="157" spans="1:15" ht="45" x14ac:dyDescent="0.2">
      <c r="A157" s="2" t="s">
        <v>832</v>
      </c>
      <c r="B157" s="2" t="s">
        <v>833</v>
      </c>
      <c r="C157" s="2" t="s">
        <v>13</v>
      </c>
      <c r="D157" s="2" t="s">
        <v>472</v>
      </c>
      <c r="E157" s="4">
        <v>799.99</v>
      </c>
      <c r="F157" s="4">
        <v>8263.6</v>
      </c>
      <c r="G157" s="3">
        <v>10</v>
      </c>
      <c r="H157" s="6">
        <v>5</v>
      </c>
      <c r="I157" s="3">
        <v>1</v>
      </c>
      <c r="J157" s="13" t="str">
        <f>HYPERLINK("https://amazon.com/dp/B0FFMQ54P9","Amazon - B0FFMQ54P9")</f>
        <v>Amazon - B0FFMQ54P9</v>
      </c>
      <c r="K157" s="14" t="s">
        <v>443</v>
      </c>
      <c r="L157" s="14" t="s">
        <v>461</v>
      </c>
      <c r="M157" s="14" t="s">
        <v>565</v>
      </c>
      <c r="N157" s="14" t="s">
        <v>446</v>
      </c>
      <c r="O157" s="14" t="s">
        <v>517</v>
      </c>
    </row>
    <row r="158" spans="1:15" ht="45" x14ac:dyDescent="0.2">
      <c r="A158" s="2" t="s">
        <v>834</v>
      </c>
      <c r="B158" s="2" t="s">
        <v>835</v>
      </c>
      <c r="C158" s="2" t="s">
        <v>52</v>
      </c>
      <c r="D158" s="2" t="s">
        <v>442</v>
      </c>
      <c r="E158" s="4">
        <v>139.99</v>
      </c>
      <c r="F158" s="4">
        <v>8249.6</v>
      </c>
      <c r="G158" s="3">
        <v>114</v>
      </c>
      <c r="H158" s="6">
        <v>4.5</v>
      </c>
      <c r="I158" s="3">
        <v>145</v>
      </c>
      <c r="J158" s="13" t="str">
        <f>HYPERLINK("https://amazon.com/dp/B0FGXN5HBK","Amazon - B0FGXN5HBK")</f>
        <v>Amazon - B0FGXN5HBK</v>
      </c>
      <c r="K158" s="14" t="s">
        <v>443</v>
      </c>
      <c r="L158" s="14" t="s">
        <v>461</v>
      </c>
      <c r="M158" s="14" t="s">
        <v>577</v>
      </c>
      <c r="N158" s="14" t="s">
        <v>446</v>
      </c>
      <c r="O158" s="14" t="s">
        <v>447</v>
      </c>
    </row>
    <row r="159" spans="1:15" ht="45" x14ac:dyDescent="0.2">
      <c r="A159" s="2" t="s">
        <v>836</v>
      </c>
      <c r="B159" s="2" t="s">
        <v>837</v>
      </c>
      <c r="C159" s="2" t="s">
        <v>73</v>
      </c>
      <c r="D159" s="2" t="s">
        <v>442</v>
      </c>
      <c r="E159" s="4">
        <v>105.99</v>
      </c>
      <c r="F159" s="4">
        <v>8238.26</v>
      </c>
      <c r="G159" s="3">
        <v>78</v>
      </c>
      <c r="H159" s="6">
        <v>4.5999999999999996</v>
      </c>
      <c r="I159" s="3">
        <v>462</v>
      </c>
      <c r="J159" s="13" t="str">
        <f>HYPERLINK("https://amazon.com/dp/B0DFHL8YN5","Amazon - B0DFHL8YN5")</f>
        <v>Amazon - B0DFHL8YN5</v>
      </c>
      <c r="K159" s="14" t="s">
        <v>443</v>
      </c>
      <c r="L159" s="14" t="s">
        <v>456</v>
      </c>
      <c r="M159" s="14" t="s">
        <v>445</v>
      </c>
      <c r="N159" s="14" t="s">
        <v>446</v>
      </c>
      <c r="O159" s="14" t="s">
        <v>458</v>
      </c>
    </row>
    <row r="160" spans="1:15" ht="45" x14ac:dyDescent="0.2">
      <c r="A160" s="2" t="s">
        <v>838</v>
      </c>
      <c r="B160" s="2" t="s">
        <v>839</v>
      </c>
      <c r="C160" s="2" t="s">
        <v>9</v>
      </c>
      <c r="D160" s="2" t="s">
        <v>472</v>
      </c>
      <c r="E160" s="4">
        <v>69.989999999999995</v>
      </c>
      <c r="F160" s="4">
        <v>8163.16</v>
      </c>
      <c r="G160" s="3">
        <v>120</v>
      </c>
      <c r="H160" s="6">
        <v>4.5</v>
      </c>
      <c r="I160" s="3">
        <v>971</v>
      </c>
      <c r="J160" s="13" t="str">
        <f>HYPERLINK("https://amazon.com/dp/B0BYF9J7V9","Amazon - B0BYF9J7V9")</f>
        <v>Amazon - B0BYF9J7V9</v>
      </c>
      <c r="K160" s="14" t="s">
        <v>443</v>
      </c>
      <c r="L160" s="14" t="s">
        <v>461</v>
      </c>
      <c r="M160" s="14" t="s">
        <v>445</v>
      </c>
      <c r="N160" s="14" t="s">
        <v>452</v>
      </c>
      <c r="O160" s="14" t="s">
        <v>479</v>
      </c>
    </row>
    <row r="161" spans="1:15" ht="45" x14ac:dyDescent="0.2">
      <c r="A161" s="2" t="s">
        <v>840</v>
      </c>
      <c r="B161" s="2" t="s">
        <v>841</v>
      </c>
      <c r="C161" s="2" t="s">
        <v>9</v>
      </c>
      <c r="D161" s="2" t="s">
        <v>442</v>
      </c>
      <c r="E161" s="4">
        <v>124.99</v>
      </c>
      <c r="F161" s="4">
        <v>8058.85</v>
      </c>
      <c r="G161" s="3">
        <v>64</v>
      </c>
      <c r="H161" s="6">
        <v>4.5999999999999996</v>
      </c>
      <c r="I161" s="3">
        <v>359</v>
      </c>
      <c r="J161" s="13" t="str">
        <f>HYPERLINK("https://amazon.com/dp/B0DBZ6Q4YH","Amazon - B0DBZ6Q4YH")</f>
        <v>Amazon - B0DBZ6Q4YH</v>
      </c>
      <c r="K161" s="14" t="s">
        <v>443</v>
      </c>
      <c r="L161" s="14" t="s">
        <v>444</v>
      </c>
      <c r="M161" s="14" t="s">
        <v>484</v>
      </c>
      <c r="N161" s="14" t="s">
        <v>446</v>
      </c>
      <c r="O161" s="14" t="s">
        <v>447</v>
      </c>
    </row>
    <row r="162" spans="1:15" ht="45" x14ac:dyDescent="0.2">
      <c r="A162" s="2" t="s">
        <v>842</v>
      </c>
      <c r="B162" s="2" t="s">
        <v>843</v>
      </c>
      <c r="C162" s="2" t="s">
        <v>25</v>
      </c>
      <c r="D162" s="2" t="s">
        <v>442</v>
      </c>
      <c r="E162" s="4">
        <v>159.99</v>
      </c>
      <c r="F162" s="4">
        <v>8046.49</v>
      </c>
      <c r="G162" s="3">
        <v>44</v>
      </c>
      <c r="H162" s="6">
        <v>4.8</v>
      </c>
      <c r="I162" s="3">
        <v>58</v>
      </c>
      <c r="J162" s="13" t="str">
        <f>HYPERLINK("https://amazon.com/dp/B0GDFG41PS","Amazon - B0GDFG41PS")</f>
        <v>Amazon - B0GDFG41PS</v>
      </c>
      <c r="K162" s="14" t="s">
        <v>443</v>
      </c>
      <c r="L162" s="14" t="s">
        <v>461</v>
      </c>
      <c r="M162" s="14" t="s">
        <v>535</v>
      </c>
      <c r="N162" s="14" t="s">
        <v>452</v>
      </c>
      <c r="O162" s="14" t="s">
        <v>536</v>
      </c>
    </row>
    <row r="163" spans="1:15" ht="45" x14ac:dyDescent="0.2">
      <c r="A163" s="2" t="s">
        <v>844</v>
      </c>
      <c r="B163" s="2" t="s">
        <v>845</v>
      </c>
      <c r="C163" s="2" t="s">
        <v>15</v>
      </c>
      <c r="D163" s="2" t="s">
        <v>442</v>
      </c>
      <c r="E163" s="4">
        <v>149.99</v>
      </c>
      <c r="F163" s="4">
        <v>8046.08</v>
      </c>
      <c r="G163" s="3">
        <v>53</v>
      </c>
      <c r="H163" s="6">
        <v>4.7</v>
      </c>
      <c r="I163" s="3">
        <v>107</v>
      </c>
      <c r="J163" s="13" t="str">
        <f>HYPERLINK("https://amazon.com/dp/B0FZTB97PN","Amazon - B0FZTB97PN")</f>
        <v>Amazon - B0FZTB97PN</v>
      </c>
      <c r="K163" s="14" t="s">
        <v>443</v>
      </c>
      <c r="L163" s="14" t="s">
        <v>461</v>
      </c>
      <c r="M163" s="14" t="s">
        <v>457</v>
      </c>
      <c r="N163" s="14" t="s">
        <v>452</v>
      </c>
      <c r="O163" s="14" t="s">
        <v>487</v>
      </c>
    </row>
    <row r="164" spans="1:15" ht="45" x14ac:dyDescent="0.2">
      <c r="A164" s="2" t="s">
        <v>846</v>
      </c>
      <c r="B164" s="2" t="s">
        <v>847</v>
      </c>
      <c r="C164" s="2" t="s">
        <v>43</v>
      </c>
      <c r="D164" s="2" t="s">
        <v>472</v>
      </c>
      <c r="E164" s="4">
        <v>260.05</v>
      </c>
      <c r="F164" s="4">
        <v>7983.83</v>
      </c>
      <c r="G164" s="3">
        <v>31</v>
      </c>
      <c r="H164" s="6">
        <v>4</v>
      </c>
      <c r="I164" s="3">
        <v>93</v>
      </c>
      <c r="J164" s="13" t="str">
        <f>HYPERLINK("https://amazon.com/dp/B0CMTV6VNZ","Amazon - B0CMTV6VNZ")</f>
        <v>Amazon - B0CMTV6VNZ</v>
      </c>
      <c r="K164" s="14" t="s">
        <v>443</v>
      </c>
      <c r="L164" s="14" t="s">
        <v>456</v>
      </c>
      <c r="M164" s="14" t="s">
        <v>677</v>
      </c>
      <c r="N164" s="14" t="s">
        <v>446</v>
      </c>
      <c r="O164" s="14" t="s">
        <v>517</v>
      </c>
    </row>
    <row r="165" spans="1:15" ht="45" x14ac:dyDescent="0.2">
      <c r="A165" s="2" t="s">
        <v>848</v>
      </c>
      <c r="B165" s="2" t="s">
        <v>849</v>
      </c>
      <c r="C165" s="2" t="s">
        <v>13</v>
      </c>
      <c r="D165" s="2" t="s">
        <v>472</v>
      </c>
      <c r="E165" s="4">
        <v>799.99</v>
      </c>
      <c r="F165" s="4">
        <v>7822.25</v>
      </c>
      <c r="G165" s="3">
        <v>10</v>
      </c>
      <c r="H165" s="6">
        <v>4.0999999999999996</v>
      </c>
      <c r="I165" s="3">
        <v>31</v>
      </c>
      <c r="J165" s="13" t="str">
        <f>HYPERLINK("https://amazon.com/dp/B0D5M8F5Z3","Amazon - B0D5M8F5Z3")</f>
        <v>Amazon - B0D5M8F5Z3</v>
      </c>
      <c r="K165" s="14" t="s">
        <v>443</v>
      </c>
      <c r="L165" s="14" t="s">
        <v>461</v>
      </c>
      <c r="M165" s="14" t="s">
        <v>565</v>
      </c>
      <c r="N165" s="14" t="s">
        <v>446</v>
      </c>
      <c r="O165" s="14" t="s">
        <v>570</v>
      </c>
    </row>
    <row r="166" spans="1:15" ht="30" x14ac:dyDescent="0.2">
      <c r="A166" s="2" t="s">
        <v>850</v>
      </c>
      <c r="B166" s="2" t="s">
        <v>851</v>
      </c>
      <c r="C166" s="2" t="s">
        <v>33</v>
      </c>
      <c r="D166" s="2" t="s">
        <v>472</v>
      </c>
      <c r="E166" s="4">
        <v>799.99</v>
      </c>
      <c r="F166" s="4">
        <v>7726.63</v>
      </c>
      <c r="G166" s="3">
        <v>10</v>
      </c>
      <c r="H166" s="6">
        <v>4.8</v>
      </c>
      <c r="I166" s="3">
        <v>7</v>
      </c>
      <c r="J166" s="13" t="str">
        <f>HYPERLINK("https://amazon.com/dp/B0FM7QKR3S","Amazon - B0FM7QKR3S")</f>
        <v>Amazon - B0FM7QKR3S</v>
      </c>
      <c r="K166" s="14" t="s">
        <v>443</v>
      </c>
      <c r="L166" s="14" t="s">
        <v>564</v>
      </c>
      <c r="M166" s="14" t="s">
        <v>303</v>
      </c>
      <c r="N166" s="14" t="s">
        <v>446</v>
      </c>
      <c r="O166" s="14" t="s">
        <v>570</v>
      </c>
    </row>
    <row r="167" spans="1:15" ht="45" x14ac:dyDescent="0.2">
      <c r="A167" s="2" t="s">
        <v>852</v>
      </c>
      <c r="B167" s="2" t="s">
        <v>853</v>
      </c>
      <c r="C167" s="2" t="s">
        <v>11</v>
      </c>
      <c r="D167" s="2" t="s">
        <v>472</v>
      </c>
      <c r="E167" s="4">
        <v>336.99</v>
      </c>
      <c r="F167" s="4">
        <v>7702.6</v>
      </c>
      <c r="G167" s="3">
        <v>23</v>
      </c>
      <c r="H167" s="6">
        <v>3.2</v>
      </c>
      <c r="I167" s="3">
        <v>7</v>
      </c>
      <c r="J167" s="13" t="str">
        <f>HYPERLINK("https://amazon.com/dp/B0DNYWC4RS","Amazon - B0DNYWC4RS")</f>
        <v>Amazon - B0DNYWC4RS</v>
      </c>
      <c r="K167" s="14" t="s">
        <v>443</v>
      </c>
      <c r="L167" s="14" t="s">
        <v>667</v>
      </c>
      <c r="M167" s="14" t="s">
        <v>303</v>
      </c>
      <c r="N167" s="14" t="s">
        <v>446</v>
      </c>
      <c r="O167" s="14" t="s">
        <v>570</v>
      </c>
    </row>
    <row r="168" spans="1:15" ht="45" x14ac:dyDescent="0.2">
      <c r="A168" s="2" t="s">
        <v>854</v>
      </c>
      <c r="B168" s="2" t="s">
        <v>855</v>
      </c>
      <c r="C168" s="2" t="s">
        <v>11</v>
      </c>
      <c r="D168" s="2" t="s">
        <v>472</v>
      </c>
      <c r="E168" s="4">
        <v>507.6</v>
      </c>
      <c r="F168" s="4">
        <v>7664.16</v>
      </c>
      <c r="G168" s="3">
        <v>15</v>
      </c>
      <c r="H168" s="6">
        <v>4</v>
      </c>
      <c r="I168" s="3">
        <v>19</v>
      </c>
      <c r="J168" s="13" t="str">
        <f>HYPERLINK("https://amazon.com/dp/B0BTP4K3H7","Amazon - B0BTP4K3H7")</f>
        <v>Amazon - B0BTP4K3H7</v>
      </c>
      <c r="K168" s="14" t="s">
        <v>443</v>
      </c>
      <c r="L168" s="14" t="s">
        <v>502</v>
      </c>
      <c r="M168" s="14" t="s">
        <v>303</v>
      </c>
      <c r="N168" s="14" t="s">
        <v>446</v>
      </c>
      <c r="O168" s="14" t="s">
        <v>856</v>
      </c>
    </row>
    <row r="169" spans="1:15" ht="45" x14ac:dyDescent="0.2">
      <c r="A169" s="2" t="s">
        <v>857</v>
      </c>
      <c r="B169" s="2" t="s">
        <v>858</v>
      </c>
      <c r="C169" s="2" t="s">
        <v>9</v>
      </c>
      <c r="D169" s="2" t="s">
        <v>442</v>
      </c>
      <c r="E169" s="4">
        <v>99.99</v>
      </c>
      <c r="F169" s="4">
        <v>7572.83</v>
      </c>
      <c r="G169" s="3">
        <v>56</v>
      </c>
      <c r="H169" s="6">
        <v>4.7</v>
      </c>
      <c r="I169" s="3">
        <v>196</v>
      </c>
      <c r="J169" s="13" t="str">
        <f>HYPERLINK("https://amazon.com/dp/B0CT5L1H9B","Amazon - B0CT5L1H9B")</f>
        <v>Amazon - B0CT5L1H9B</v>
      </c>
      <c r="K169" s="14" t="s">
        <v>443</v>
      </c>
      <c r="L169" s="14" t="s">
        <v>461</v>
      </c>
      <c r="M169" s="14" t="s">
        <v>303</v>
      </c>
      <c r="N169" s="14" t="s">
        <v>473</v>
      </c>
      <c r="O169" s="14" t="s">
        <v>453</v>
      </c>
    </row>
    <row r="170" spans="1:15" ht="30" x14ac:dyDescent="0.2">
      <c r="A170" s="2" t="s">
        <v>859</v>
      </c>
      <c r="B170" s="2" t="s">
        <v>860</v>
      </c>
      <c r="C170" s="2" t="s">
        <v>29</v>
      </c>
      <c r="D170" s="2" t="s">
        <v>472</v>
      </c>
      <c r="E170" s="4">
        <v>259.99</v>
      </c>
      <c r="F170" s="4">
        <v>7565.03</v>
      </c>
      <c r="G170" s="3">
        <v>29</v>
      </c>
      <c r="H170" s="6">
        <v>4.8</v>
      </c>
      <c r="I170" s="3">
        <v>17</v>
      </c>
      <c r="J170" s="13" t="str">
        <f>HYPERLINK("https://amazon.com/dp/B0FCMPMFB8","Amazon - B0FCMPMFB8")</f>
        <v>Amazon - B0FCMPMFB8</v>
      </c>
      <c r="K170" s="14" t="s">
        <v>443</v>
      </c>
      <c r="L170" s="14" t="s">
        <v>303</v>
      </c>
      <c r="M170" s="14" t="s">
        <v>503</v>
      </c>
      <c r="N170" s="14" t="s">
        <v>446</v>
      </c>
      <c r="O170" s="14" t="s">
        <v>517</v>
      </c>
    </row>
    <row r="171" spans="1:15" ht="45" x14ac:dyDescent="0.2">
      <c r="A171" s="2" t="s">
        <v>861</v>
      </c>
      <c r="B171" s="2" t="s">
        <v>862</v>
      </c>
      <c r="C171" s="2" t="s">
        <v>14</v>
      </c>
      <c r="D171" s="2" t="s">
        <v>472</v>
      </c>
      <c r="E171" s="4">
        <v>869.88</v>
      </c>
      <c r="F171" s="4">
        <v>7474.95</v>
      </c>
      <c r="G171" s="3">
        <v>9</v>
      </c>
      <c r="H171" s="6">
        <v>4</v>
      </c>
      <c r="I171" s="3">
        <v>20</v>
      </c>
      <c r="J171" s="13" t="str">
        <f>HYPERLINK("https://amazon.com/dp/B0DYJGWGHB","Amazon - B0DYJGWGHB")</f>
        <v>Amazon - B0DYJGWGHB</v>
      </c>
      <c r="K171" s="14" t="s">
        <v>443</v>
      </c>
      <c r="L171" s="14" t="s">
        <v>303</v>
      </c>
      <c r="M171" s="14" t="s">
        <v>715</v>
      </c>
      <c r="N171" s="14" t="s">
        <v>446</v>
      </c>
      <c r="O171" s="14" t="s">
        <v>863</v>
      </c>
    </row>
    <row r="172" spans="1:15" ht="45" x14ac:dyDescent="0.2">
      <c r="A172" s="2" t="s">
        <v>619</v>
      </c>
      <c r="B172" s="2" t="s">
        <v>620</v>
      </c>
      <c r="C172" s="2" t="s">
        <v>28</v>
      </c>
      <c r="D172" s="2" t="s">
        <v>450</v>
      </c>
      <c r="E172" s="4">
        <v>12.99</v>
      </c>
      <c r="F172" s="4">
        <v>7413.21</v>
      </c>
      <c r="G172" s="3">
        <v>571</v>
      </c>
      <c r="H172" s="6">
        <v>4.5</v>
      </c>
      <c r="I172" s="3">
        <v>665</v>
      </c>
      <c r="J172" s="13" t="str">
        <f>HYPERLINK("https://amazon.com/dp/B0DMK8VRYF","Amazon - B0DMK8VRYF")</f>
        <v>Amazon - B0DMK8VRYF</v>
      </c>
      <c r="K172" s="14" t="s">
        <v>443</v>
      </c>
      <c r="L172" s="14" t="s">
        <v>451</v>
      </c>
      <c r="M172" s="14" t="s">
        <v>445</v>
      </c>
      <c r="N172" s="14" t="s">
        <v>446</v>
      </c>
      <c r="O172" s="14" t="s">
        <v>453</v>
      </c>
    </row>
    <row r="173" spans="1:15" ht="45" x14ac:dyDescent="0.2">
      <c r="A173" s="2" t="s">
        <v>864</v>
      </c>
      <c r="B173" s="2" t="s">
        <v>865</v>
      </c>
      <c r="C173" s="2" t="s">
        <v>14</v>
      </c>
      <c r="D173" s="2" t="s">
        <v>472</v>
      </c>
      <c r="E173" s="4">
        <v>279.88</v>
      </c>
      <c r="F173" s="4">
        <v>7126.17</v>
      </c>
      <c r="G173" s="3">
        <v>26</v>
      </c>
      <c r="H173" s="6">
        <v>4.2</v>
      </c>
      <c r="I173" s="3">
        <v>100</v>
      </c>
      <c r="J173" s="13" t="str">
        <f>HYPERLINK("https://amazon.com/dp/B0FJFX23ZH","Amazon - B0FJFX23ZH")</f>
        <v>Amazon - B0FJFX23ZH</v>
      </c>
      <c r="K173" s="14" t="s">
        <v>443</v>
      </c>
      <c r="L173" s="14" t="s">
        <v>461</v>
      </c>
      <c r="M173" s="14" t="s">
        <v>866</v>
      </c>
      <c r="N173" s="14" t="s">
        <v>446</v>
      </c>
      <c r="O173" s="14" t="s">
        <v>517</v>
      </c>
    </row>
    <row r="174" spans="1:15" ht="45" x14ac:dyDescent="0.2">
      <c r="A174" s="2" t="s">
        <v>867</v>
      </c>
      <c r="B174" s="2" t="s">
        <v>868</v>
      </c>
      <c r="C174" s="2" t="s">
        <v>76</v>
      </c>
      <c r="D174" s="2" t="s">
        <v>442</v>
      </c>
      <c r="E174" s="4">
        <v>69.89</v>
      </c>
      <c r="F174" s="4">
        <v>7105.56</v>
      </c>
      <c r="G174" s="3">
        <v>100</v>
      </c>
      <c r="H174" s="6">
        <v>4.9000000000000004</v>
      </c>
      <c r="I174" s="3">
        <v>24</v>
      </c>
      <c r="J174" s="13" t="str">
        <f>HYPERLINK("https://amazon.com/dp/B0FRMFNFHL","Amazon - B0FRMFNFHL")</f>
        <v>Amazon - B0FRMFNFHL</v>
      </c>
      <c r="K174" s="14" t="s">
        <v>443</v>
      </c>
      <c r="L174" s="14" t="s">
        <v>461</v>
      </c>
      <c r="M174" s="14" t="s">
        <v>484</v>
      </c>
      <c r="N174" s="14" t="s">
        <v>446</v>
      </c>
      <c r="O174" s="14" t="s">
        <v>536</v>
      </c>
    </row>
    <row r="175" spans="1:15" ht="45" x14ac:dyDescent="0.2">
      <c r="A175" s="2" t="s">
        <v>869</v>
      </c>
      <c r="B175" s="2" t="s">
        <v>870</v>
      </c>
      <c r="C175" s="2" t="s">
        <v>8</v>
      </c>
      <c r="D175" s="2" t="s">
        <v>442</v>
      </c>
      <c r="E175" s="4">
        <v>119.99</v>
      </c>
      <c r="F175" s="4">
        <v>7102.62</v>
      </c>
      <c r="G175" s="3">
        <v>59</v>
      </c>
      <c r="H175" s="6">
        <v>4.2</v>
      </c>
      <c r="I175" s="3">
        <v>92</v>
      </c>
      <c r="J175" s="13" t="str">
        <f>HYPERLINK("https://amazon.com/dp/B0BG27Q1JS","Amazon - B0BG27Q1JS")</f>
        <v>Amazon - B0BG27Q1JS</v>
      </c>
      <c r="K175" s="14" t="s">
        <v>443</v>
      </c>
      <c r="L175" s="14" t="s">
        <v>444</v>
      </c>
      <c r="M175" s="14" t="s">
        <v>303</v>
      </c>
      <c r="N175" s="14" t="s">
        <v>446</v>
      </c>
      <c r="O175" s="14" t="s">
        <v>447</v>
      </c>
    </row>
    <row r="176" spans="1:15" ht="30" x14ac:dyDescent="0.2">
      <c r="A176" s="2" t="s">
        <v>871</v>
      </c>
      <c r="B176" s="2" t="s">
        <v>872</v>
      </c>
      <c r="C176" s="2" t="s">
        <v>72</v>
      </c>
      <c r="D176" s="2" t="s">
        <v>472</v>
      </c>
      <c r="E176" s="4">
        <v>239</v>
      </c>
      <c r="F176" s="4">
        <v>7073.45</v>
      </c>
      <c r="G176" s="3">
        <v>29</v>
      </c>
      <c r="H176" s="6">
        <v>4.3</v>
      </c>
      <c r="I176" s="3">
        <v>10</v>
      </c>
      <c r="J176" s="13" t="str">
        <f>HYPERLINK("https://amazon.com/dp/B0FR8Z7CBR","Amazon - B0FR8Z7CBR")</f>
        <v>Amazon - B0FR8Z7CBR</v>
      </c>
      <c r="K176" s="14" t="s">
        <v>443</v>
      </c>
      <c r="L176" s="14" t="s">
        <v>461</v>
      </c>
      <c r="M176" s="14" t="s">
        <v>303</v>
      </c>
      <c r="N176" s="14" t="s">
        <v>446</v>
      </c>
      <c r="O176" s="14" t="s">
        <v>517</v>
      </c>
    </row>
    <row r="177" spans="1:15" ht="45" x14ac:dyDescent="0.2">
      <c r="A177" s="2" t="s">
        <v>873</v>
      </c>
      <c r="B177" s="2" t="s">
        <v>874</v>
      </c>
      <c r="C177" s="2" t="s">
        <v>13</v>
      </c>
      <c r="D177" s="2" t="s">
        <v>472</v>
      </c>
      <c r="E177" s="4">
        <v>429.99</v>
      </c>
      <c r="F177" s="4">
        <v>7058.2</v>
      </c>
      <c r="G177" s="3">
        <v>16</v>
      </c>
      <c r="H177" s="6">
        <v>4.8</v>
      </c>
      <c r="I177" s="3">
        <v>5</v>
      </c>
      <c r="J177" s="13" t="str">
        <f>HYPERLINK("https://amazon.com/dp/B0FKB6Q7DF","Amazon - B0FKB6Q7DF")</f>
        <v>Amazon - B0FKB6Q7DF</v>
      </c>
      <c r="K177" s="14" t="s">
        <v>443</v>
      </c>
      <c r="L177" s="14" t="s">
        <v>461</v>
      </c>
      <c r="M177" s="14" t="s">
        <v>715</v>
      </c>
      <c r="N177" s="14" t="s">
        <v>446</v>
      </c>
      <c r="O177" s="14" t="s">
        <v>570</v>
      </c>
    </row>
    <row r="178" spans="1:15" ht="45" x14ac:dyDescent="0.2">
      <c r="A178" s="2" t="s">
        <v>875</v>
      </c>
      <c r="B178" s="2" t="s">
        <v>876</v>
      </c>
      <c r="C178" s="2" t="s">
        <v>14</v>
      </c>
      <c r="D178" s="2" t="s">
        <v>472</v>
      </c>
      <c r="E178" s="4">
        <v>759.88</v>
      </c>
      <c r="F178" s="4">
        <v>7051.98</v>
      </c>
      <c r="G178" s="3">
        <v>9</v>
      </c>
      <c r="H178" s="6">
        <v>4.4000000000000004</v>
      </c>
      <c r="I178" s="3">
        <v>70</v>
      </c>
      <c r="J178" s="13" t="str">
        <f>HYPERLINK("https://amazon.com/dp/B0DPFBK493","Amazon - B0DPFBK493")</f>
        <v>Amazon - B0DPFBK493</v>
      </c>
      <c r="K178" s="14" t="s">
        <v>443</v>
      </c>
      <c r="L178" s="14" t="s">
        <v>502</v>
      </c>
      <c r="M178" s="14" t="s">
        <v>303</v>
      </c>
      <c r="N178" s="14" t="s">
        <v>446</v>
      </c>
      <c r="O178" s="14" t="s">
        <v>517</v>
      </c>
    </row>
    <row r="179" spans="1:15" ht="45" x14ac:dyDescent="0.2">
      <c r="A179" s="2" t="s">
        <v>877</v>
      </c>
      <c r="B179" s="2" t="s">
        <v>878</v>
      </c>
      <c r="C179" s="2" t="s">
        <v>15</v>
      </c>
      <c r="D179" s="2" t="s">
        <v>442</v>
      </c>
      <c r="E179" s="4">
        <v>139.99</v>
      </c>
      <c r="F179" s="4">
        <v>7051.98</v>
      </c>
      <c r="G179" s="3">
        <v>50</v>
      </c>
      <c r="H179" s="6">
        <v>4.7</v>
      </c>
      <c r="I179" s="3">
        <v>107</v>
      </c>
      <c r="J179" s="13" t="str">
        <f>HYPERLINK("https://amazon.com/dp/B0DSVY5LQD","Amazon - B0DSVY5LQD")</f>
        <v>Amazon - B0DSVY5LQD</v>
      </c>
      <c r="K179" s="14" t="s">
        <v>443</v>
      </c>
      <c r="L179" s="14" t="s">
        <v>461</v>
      </c>
      <c r="M179" s="14" t="s">
        <v>499</v>
      </c>
      <c r="N179" s="14" t="s">
        <v>452</v>
      </c>
      <c r="O179" s="14" t="s">
        <v>447</v>
      </c>
    </row>
    <row r="180" spans="1:15" ht="45" x14ac:dyDescent="0.2">
      <c r="A180" s="2" t="s">
        <v>879</v>
      </c>
      <c r="B180" s="2" t="s">
        <v>880</v>
      </c>
      <c r="C180" s="2" t="s">
        <v>59</v>
      </c>
      <c r="D180" s="2" t="s">
        <v>472</v>
      </c>
      <c r="E180" s="4">
        <v>38.69</v>
      </c>
      <c r="F180" s="4">
        <v>7018.89</v>
      </c>
      <c r="G180" s="3">
        <v>185</v>
      </c>
      <c r="H180" s="6">
        <v>4.0999999999999996</v>
      </c>
      <c r="I180" s="3">
        <v>66</v>
      </c>
      <c r="J180" s="13" t="str">
        <f>HYPERLINK("https://amazon.com/dp/B0FPLN5VB7","Amazon - B0FPLN5VB7")</f>
        <v>Amazon - B0FPLN5VB7</v>
      </c>
      <c r="K180" s="14" t="s">
        <v>443</v>
      </c>
      <c r="L180" s="14" t="s">
        <v>456</v>
      </c>
      <c r="M180" s="14" t="s">
        <v>303</v>
      </c>
      <c r="N180" s="14" t="s">
        <v>452</v>
      </c>
      <c r="O180" s="14" t="s">
        <v>453</v>
      </c>
    </row>
    <row r="181" spans="1:15" ht="45" x14ac:dyDescent="0.2">
      <c r="A181" s="2" t="s">
        <v>881</v>
      </c>
      <c r="B181" s="2" t="s">
        <v>882</v>
      </c>
      <c r="C181" s="2" t="s">
        <v>56</v>
      </c>
      <c r="D181" s="2" t="s">
        <v>450</v>
      </c>
      <c r="E181" s="4">
        <v>27.99</v>
      </c>
      <c r="F181" s="4">
        <v>6964.28</v>
      </c>
      <c r="G181" s="3">
        <v>253</v>
      </c>
      <c r="H181" s="6">
        <v>4.4000000000000004</v>
      </c>
      <c r="I181" s="3">
        <v>228</v>
      </c>
      <c r="J181" s="13" t="str">
        <f>HYPERLINK("https://amazon.com/dp/B0DNCRGXL8","Amazon - B0DNCRGXL8")</f>
        <v>Amazon - B0DNCRGXL8</v>
      </c>
      <c r="K181" s="14" t="s">
        <v>443</v>
      </c>
      <c r="L181" s="14" t="s">
        <v>451</v>
      </c>
      <c r="M181" s="14" t="s">
        <v>303</v>
      </c>
      <c r="N181" s="14" t="s">
        <v>452</v>
      </c>
      <c r="O181" s="14" t="s">
        <v>453</v>
      </c>
    </row>
    <row r="182" spans="1:15" ht="45" x14ac:dyDescent="0.2">
      <c r="A182" s="2" t="s">
        <v>883</v>
      </c>
      <c r="B182" s="2" t="s">
        <v>884</v>
      </c>
      <c r="C182" s="2" t="s">
        <v>25</v>
      </c>
      <c r="D182" s="2" t="s">
        <v>442</v>
      </c>
      <c r="E182" s="4">
        <v>109.99</v>
      </c>
      <c r="F182" s="4">
        <v>6905.67</v>
      </c>
      <c r="G182" s="3">
        <v>51</v>
      </c>
      <c r="H182" s="6">
        <v>4.8</v>
      </c>
      <c r="I182" s="3">
        <v>58</v>
      </c>
      <c r="J182" s="13" t="str">
        <f>HYPERLINK("https://amazon.com/dp/B0GDFRH4J8","Amazon - B0GDFRH4J8")</f>
        <v>Amazon - B0GDFRH4J8</v>
      </c>
      <c r="K182" s="14" t="s">
        <v>443</v>
      </c>
      <c r="L182" s="14" t="s">
        <v>461</v>
      </c>
      <c r="M182" s="14" t="s">
        <v>484</v>
      </c>
      <c r="N182" s="14" t="s">
        <v>446</v>
      </c>
      <c r="O182" s="14" t="s">
        <v>536</v>
      </c>
    </row>
    <row r="183" spans="1:15" ht="45" x14ac:dyDescent="0.2">
      <c r="A183" s="2" t="s">
        <v>885</v>
      </c>
      <c r="B183" s="2" t="s">
        <v>886</v>
      </c>
      <c r="C183" s="2" t="s">
        <v>9</v>
      </c>
      <c r="D183" s="2" t="s">
        <v>442</v>
      </c>
      <c r="E183" s="4">
        <v>109.99</v>
      </c>
      <c r="F183" s="4">
        <v>6904.26</v>
      </c>
      <c r="G183" s="3">
        <v>63</v>
      </c>
      <c r="H183" s="6">
        <v>4.5</v>
      </c>
      <c r="I183" s="3">
        <v>114</v>
      </c>
      <c r="J183" s="13" t="str">
        <f>HYPERLINK("https://amazon.com/dp/B0FD3NRZ5S","Amazon - B0FD3NRZ5S")</f>
        <v>Amazon - B0FD3NRZ5S</v>
      </c>
      <c r="K183" s="14" t="s">
        <v>443</v>
      </c>
      <c r="L183" s="14" t="s">
        <v>461</v>
      </c>
      <c r="M183" s="14" t="s">
        <v>303</v>
      </c>
      <c r="N183" s="14" t="s">
        <v>446</v>
      </c>
      <c r="O183" s="14" t="s">
        <v>447</v>
      </c>
    </row>
    <row r="184" spans="1:15" ht="45" x14ac:dyDescent="0.2">
      <c r="A184" s="2" t="s">
        <v>887</v>
      </c>
      <c r="B184" s="2" t="s">
        <v>888</v>
      </c>
      <c r="C184" s="2" t="s">
        <v>44</v>
      </c>
      <c r="D184" s="2" t="s">
        <v>450</v>
      </c>
      <c r="E184" s="4">
        <v>24.99</v>
      </c>
      <c r="F184" s="4">
        <v>6873.37</v>
      </c>
      <c r="G184" s="3">
        <v>287</v>
      </c>
      <c r="H184" s="6">
        <v>4.5</v>
      </c>
      <c r="I184" s="3">
        <v>87</v>
      </c>
      <c r="J184" s="13" t="str">
        <f>HYPERLINK("https://amazon.com/dp/B0G4GP489T","Amazon - B0G4GP489T")</f>
        <v>Amazon - B0G4GP489T</v>
      </c>
      <c r="K184" s="14" t="s">
        <v>443</v>
      </c>
      <c r="L184" s="14" t="s">
        <v>451</v>
      </c>
      <c r="M184" s="14" t="s">
        <v>303</v>
      </c>
      <c r="N184" s="14" t="s">
        <v>446</v>
      </c>
      <c r="O184" s="14" t="s">
        <v>453</v>
      </c>
    </row>
    <row r="185" spans="1:15" ht="30" x14ac:dyDescent="0.2">
      <c r="A185" s="2" t="s">
        <v>889</v>
      </c>
      <c r="B185" s="2" t="s">
        <v>890</v>
      </c>
      <c r="C185" s="2" t="s">
        <v>46</v>
      </c>
      <c r="D185" s="2" t="s">
        <v>442</v>
      </c>
      <c r="E185" s="4">
        <v>25.99</v>
      </c>
      <c r="F185" s="4">
        <v>6786.82</v>
      </c>
      <c r="G185" s="3">
        <v>235</v>
      </c>
      <c r="H185" s="6">
        <v>4.4000000000000004</v>
      </c>
      <c r="I185" s="3">
        <v>1222</v>
      </c>
      <c r="J185" s="13" t="str">
        <f>HYPERLINK("https://amazon.com/dp/B0FM82MR7C","Amazon - B0FM82MR7C")</f>
        <v>Amazon - B0FM82MR7C</v>
      </c>
      <c r="K185" s="14" t="s">
        <v>443</v>
      </c>
      <c r="L185" s="14" t="s">
        <v>303</v>
      </c>
      <c r="M185" s="14" t="s">
        <v>303</v>
      </c>
      <c r="N185" s="14" t="s">
        <v>452</v>
      </c>
      <c r="O185" s="14" t="s">
        <v>453</v>
      </c>
    </row>
    <row r="186" spans="1:15" ht="45" x14ac:dyDescent="0.2">
      <c r="A186" s="2" t="s">
        <v>891</v>
      </c>
      <c r="B186" s="2" t="s">
        <v>892</v>
      </c>
      <c r="C186" s="2" t="s">
        <v>15</v>
      </c>
      <c r="D186" s="2" t="s">
        <v>442</v>
      </c>
      <c r="E186" s="4">
        <v>799.99</v>
      </c>
      <c r="F186" s="4">
        <v>6769.45</v>
      </c>
      <c r="G186" s="3">
        <v>8</v>
      </c>
      <c r="H186" s="6">
        <v>4.3</v>
      </c>
      <c r="I186" s="3">
        <v>67</v>
      </c>
      <c r="J186" s="13" t="str">
        <f>HYPERLINK("https://amazon.com/dp/B0FLNJ8CNL","Amazon - B0FLNJ8CNL")</f>
        <v>Amazon - B0FLNJ8CNL</v>
      </c>
      <c r="K186" s="14" t="s">
        <v>443</v>
      </c>
      <c r="L186" s="14" t="s">
        <v>461</v>
      </c>
      <c r="M186" s="14" t="s">
        <v>893</v>
      </c>
      <c r="N186" s="14" t="s">
        <v>446</v>
      </c>
      <c r="O186" s="14" t="s">
        <v>447</v>
      </c>
    </row>
    <row r="187" spans="1:15" ht="45" x14ac:dyDescent="0.2">
      <c r="A187" s="2" t="s">
        <v>894</v>
      </c>
      <c r="B187" s="2" t="s">
        <v>895</v>
      </c>
      <c r="C187" s="2" t="s">
        <v>11</v>
      </c>
      <c r="D187" s="2" t="s">
        <v>472</v>
      </c>
      <c r="E187" s="4">
        <v>547.9</v>
      </c>
      <c r="F187" s="4">
        <v>6725.79</v>
      </c>
      <c r="G187" s="3">
        <v>12</v>
      </c>
      <c r="H187" s="6">
        <v>3.9</v>
      </c>
      <c r="I187" s="3">
        <v>76</v>
      </c>
      <c r="J187" s="13" t="str">
        <f>HYPERLINK("https://amazon.com/dp/B0C1BN96WB","Amazon - B0C1BN96WB")</f>
        <v>Amazon - B0C1BN96WB</v>
      </c>
      <c r="K187" s="14" t="s">
        <v>443</v>
      </c>
      <c r="L187" s="14" t="s">
        <v>667</v>
      </c>
      <c r="M187" s="14" t="s">
        <v>303</v>
      </c>
      <c r="N187" s="14" t="s">
        <v>446</v>
      </c>
      <c r="O187" s="14" t="s">
        <v>517</v>
      </c>
    </row>
    <row r="188" spans="1:15" ht="45" x14ac:dyDescent="0.2">
      <c r="A188" s="2" t="s">
        <v>896</v>
      </c>
      <c r="B188" s="2" t="s">
        <v>897</v>
      </c>
      <c r="C188" s="2" t="s">
        <v>15</v>
      </c>
      <c r="D188" s="2" t="s">
        <v>442</v>
      </c>
      <c r="E188" s="4">
        <v>128.88</v>
      </c>
      <c r="F188" s="4">
        <v>6687.22</v>
      </c>
      <c r="G188" s="3">
        <v>48</v>
      </c>
      <c r="H188" s="6">
        <v>4.5999999999999996</v>
      </c>
      <c r="I188" s="3">
        <v>65</v>
      </c>
      <c r="J188" s="13" t="str">
        <f>HYPERLINK("https://amazon.com/dp/B0FHGMHLJR","Amazon - B0FHGMHLJR")</f>
        <v>Amazon - B0FHGMHLJR</v>
      </c>
      <c r="K188" s="14" t="s">
        <v>443</v>
      </c>
      <c r="L188" s="14" t="s">
        <v>461</v>
      </c>
      <c r="M188" s="14" t="s">
        <v>462</v>
      </c>
      <c r="N188" s="14" t="s">
        <v>446</v>
      </c>
      <c r="O188" s="14" t="s">
        <v>447</v>
      </c>
    </row>
    <row r="189" spans="1:15" ht="45" x14ac:dyDescent="0.2">
      <c r="A189" s="2" t="s">
        <v>898</v>
      </c>
      <c r="B189" s="2" t="s">
        <v>899</v>
      </c>
      <c r="C189" s="2" t="s">
        <v>10</v>
      </c>
      <c r="D189" s="2" t="s">
        <v>450</v>
      </c>
      <c r="E189" s="4">
        <v>25.99</v>
      </c>
      <c r="F189" s="4">
        <v>6685.93</v>
      </c>
      <c r="G189" s="3">
        <v>257</v>
      </c>
      <c r="H189" s="6">
        <v>5</v>
      </c>
      <c r="I189" s="3">
        <v>2</v>
      </c>
      <c r="J189" s="13" t="str">
        <f>HYPERLINK("https://amazon.com/dp/B0FJ2CFSHR","Amazon - B0FJ2CFSHR")</f>
        <v>Amazon - B0FJ2CFSHR</v>
      </c>
      <c r="K189" s="14" t="s">
        <v>443</v>
      </c>
      <c r="L189" s="14" t="s">
        <v>451</v>
      </c>
      <c r="M189" s="14" t="s">
        <v>445</v>
      </c>
      <c r="N189" s="14" t="s">
        <v>452</v>
      </c>
      <c r="O189" s="14" t="s">
        <v>453</v>
      </c>
    </row>
    <row r="190" spans="1:15" ht="45" x14ac:dyDescent="0.2">
      <c r="A190" s="2" t="s">
        <v>900</v>
      </c>
      <c r="B190" s="2" t="s">
        <v>901</v>
      </c>
      <c r="C190" s="2" t="s">
        <v>62</v>
      </c>
      <c r="D190" s="2" t="s">
        <v>450</v>
      </c>
      <c r="E190" s="4">
        <v>49</v>
      </c>
      <c r="F190" s="4">
        <v>6626.36</v>
      </c>
      <c r="G190" s="3">
        <v>135</v>
      </c>
      <c r="H190" s="6">
        <v>4.5999999999999996</v>
      </c>
      <c r="I190" s="3">
        <v>331</v>
      </c>
      <c r="J190" s="13" t="str">
        <f>HYPERLINK("https://amazon.com/dp/B0B3159V9P","Amazon - B0B3159V9P")</f>
        <v>Amazon - B0B3159V9P</v>
      </c>
      <c r="K190" s="14" t="s">
        <v>443</v>
      </c>
      <c r="L190" s="14" t="s">
        <v>303</v>
      </c>
      <c r="M190" s="14" t="s">
        <v>457</v>
      </c>
      <c r="N190" s="14" t="s">
        <v>446</v>
      </c>
      <c r="O190" s="14" t="s">
        <v>303</v>
      </c>
    </row>
    <row r="191" spans="1:15" ht="45" x14ac:dyDescent="0.2">
      <c r="A191" s="2" t="s">
        <v>902</v>
      </c>
      <c r="B191" s="2" t="s">
        <v>903</v>
      </c>
      <c r="C191" s="2" t="s">
        <v>23</v>
      </c>
      <c r="D191" s="2" t="s">
        <v>472</v>
      </c>
      <c r="E191" s="4">
        <v>199.6</v>
      </c>
      <c r="F191" s="4">
        <v>6611.13</v>
      </c>
      <c r="G191" s="3">
        <v>33</v>
      </c>
      <c r="H191" s="6">
        <v>4.0999999999999996</v>
      </c>
      <c r="I191" s="3">
        <v>61</v>
      </c>
      <c r="J191" s="13" t="str">
        <f>HYPERLINK("https://amazon.com/dp/B0DCCCBT3B","Amazon - B0DCCCBT3B")</f>
        <v>Amazon - B0DCCCBT3B</v>
      </c>
      <c r="K191" s="14" t="s">
        <v>443</v>
      </c>
      <c r="L191" s="14" t="s">
        <v>303</v>
      </c>
      <c r="M191" s="14" t="s">
        <v>688</v>
      </c>
      <c r="N191" s="14" t="s">
        <v>446</v>
      </c>
      <c r="O191" s="14" t="s">
        <v>904</v>
      </c>
    </row>
    <row r="192" spans="1:15" ht="45" x14ac:dyDescent="0.2">
      <c r="A192" s="2" t="s">
        <v>905</v>
      </c>
      <c r="B192" s="2" t="s">
        <v>906</v>
      </c>
      <c r="C192" s="2" t="s">
        <v>47</v>
      </c>
      <c r="D192" s="2" t="s">
        <v>472</v>
      </c>
      <c r="E192" s="4">
        <v>239.99</v>
      </c>
      <c r="F192" s="4">
        <v>6601.18</v>
      </c>
      <c r="G192" s="3">
        <v>29</v>
      </c>
      <c r="H192" s="6">
        <v>4</v>
      </c>
      <c r="I192" s="3">
        <v>41</v>
      </c>
      <c r="J192" s="13" t="str">
        <f>HYPERLINK("https://amazon.com/dp/B0FW4XF5HJ","Amazon - B0FW4XF5HJ")</f>
        <v>Amazon - B0FW4XF5HJ</v>
      </c>
      <c r="K192" s="14" t="s">
        <v>443</v>
      </c>
      <c r="L192" s="14" t="s">
        <v>456</v>
      </c>
      <c r="M192" s="14" t="s">
        <v>303</v>
      </c>
      <c r="N192" s="14" t="s">
        <v>446</v>
      </c>
      <c r="O192" s="14" t="s">
        <v>517</v>
      </c>
    </row>
    <row r="193" spans="1:15" ht="45" x14ac:dyDescent="0.2">
      <c r="A193" s="2" t="s">
        <v>907</v>
      </c>
      <c r="B193" s="2" t="s">
        <v>908</v>
      </c>
      <c r="C193" s="2" t="s">
        <v>15</v>
      </c>
      <c r="D193" s="2" t="s">
        <v>442</v>
      </c>
      <c r="E193" s="4">
        <v>399.99</v>
      </c>
      <c r="F193" s="4">
        <v>6580.35</v>
      </c>
      <c r="G193" s="3">
        <v>16</v>
      </c>
      <c r="H193" s="6">
        <v>5</v>
      </c>
      <c r="I193" s="3">
        <v>1</v>
      </c>
      <c r="J193" s="13" t="str">
        <f>HYPERLINK("https://amazon.com/dp/B0G48WTXYF","Amazon - B0G48WTXYF")</f>
        <v>Amazon - B0G48WTXYF</v>
      </c>
      <c r="K193" s="14" t="s">
        <v>482</v>
      </c>
      <c r="L193" s="14" t="s">
        <v>461</v>
      </c>
      <c r="M193" s="14" t="s">
        <v>499</v>
      </c>
      <c r="N193" s="14" t="s">
        <v>452</v>
      </c>
      <c r="O193" s="14" t="s">
        <v>447</v>
      </c>
    </row>
    <row r="194" spans="1:15" ht="30" x14ac:dyDescent="0.2">
      <c r="A194" s="2" t="s">
        <v>909</v>
      </c>
      <c r="B194" s="2" t="s">
        <v>910</v>
      </c>
      <c r="C194" s="2" t="s">
        <v>43</v>
      </c>
      <c r="D194" s="2" t="s">
        <v>472</v>
      </c>
      <c r="E194" s="4">
        <v>664.05</v>
      </c>
      <c r="F194" s="4">
        <v>6573.82</v>
      </c>
      <c r="G194" s="3">
        <v>10</v>
      </c>
      <c r="H194" s="6">
        <v>5</v>
      </c>
      <c r="I194" s="3">
        <v>1</v>
      </c>
      <c r="J194" s="13" t="str">
        <f>HYPERLINK("https://amazon.com/dp/B0D3F7FFWF","Amazon - B0D3F7FFWF")</f>
        <v>Amazon - B0D3F7FFWF</v>
      </c>
      <c r="K194" s="14" t="s">
        <v>443</v>
      </c>
      <c r="L194" s="14" t="s">
        <v>667</v>
      </c>
      <c r="M194" s="14" t="s">
        <v>303</v>
      </c>
      <c r="N194" s="14" t="s">
        <v>446</v>
      </c>
      <c r="O194" s="14" t="s">
        <v>517</v>
      </c>
    </row>
    <row r="195" spans="1:15" ht="45" x14ac:dyDescent="0.2">
      <c r="A195" s="2" t="s">
        <v>911</v>
      </c>
      <c r="B195" s="2" t="s">
        <v>912</v>
      </c>
      <c r="C195" s="2" t="s">
        <v>24</v>
      </c>
      <c r="D195" s="2" t="s">
        <v>823</v>
      </c>
      <c r="E195" s="4">
        <v>35.99</v>
      </c>
      <c r="F195" s="4">
        <v>6499.22</v>
      </c>
      <c r="G195" s="3">
        <v>181</v>
      </c>
      <c r="H195" s="6">
        <v>4.2</v>
      </c>
      <c r="I195" s="3">
        <v>142</v>
      </c>
      <c r="J195" s="13" t="str">
        <f>HYPERLINK("https://amazon.com/dp/B0B3TKT4SH","Amazon - B0B3TKT4SH")</f>
        <v>Amazon - B0B3TKT4SH</v>
      </c>
      <c r="K195" s="14" t="s">
        <v>443</v>
      </c>
      <c r="L195" s="14" t="s">
        <v>451</v>
      </c>
      <c r="M195" s="14" t="s">
        <v>511</v>
      </c>
      <c r="N195" s="14" t="s">
        <v>446</v>
      </c>
      <c r="O195" s="14" t="s">
        <v>447</v>
      </c>
    </row>
    <row r="196" spans="1:15" ht="45" x14ac:dyDescent="0.2">
      <c r="A196" s="2" t="s">
        <v>913</v>
      </c>
      <c r="B196" s="2" t="s">
        <v>914</v>
      </c>
      <c r="C196" s="2" t="s">
        <v>9</v>
      </c>
      <c r="D196" s="2" t="s">
        <v>442</v>
      </c>
      <c r="E196" s="4">
        <v>49.99</v>
      </c>
      <c r="F196" s="4">
        <v>6469.75</v>
      </c>
      <c r="G196" s="3">
        <v>129</v>
      </c>
      <c r="H196" s="6">
        <v>4.4000000000000004</v>
      </c>
      <c r="I196" s="3">
        <v>4303</v>
      </c>
      <c r="J196" s="13" t="str">
        <f>HYPERLINK("https://amazon.com/dp/B094XGX6GQ","Amazon - B094XGX6GQ")</f>
        <v>Amazon - B094XGX6GQ</v>
      </c>
      <c r="K196" s="14" t="s">
        <v>443</v>
      </c>
      <c r="L196" s="14" t="s">
        <v>456</v>
      </c>
      <c r="M196" s="14" t="s">
        <v>462</v>
      </c>
      <c r="N196" s="14" t="s">
        <v>446</v>
      </c>
      <c r="O196" s="14" t="s">
        <v>453</v>
      </c>
    </row>
    <row r="197" spans="1:15" ht="45" x14ac:dyDescent="0.2">
      <c r="A197" s="2" t="s">
        <v>915</v>
      </c>
      <c r="B197" s="2" t="s">
        <v>916</v>
      </c>
      <c r="C197" s="2" t="s">
        <v>37</v>
      </c>
      <c r="D197" s="2" t="s">
        <v>472</v>
      </c>
      <c r="E197" s="4">
        <v>46.54</v>
      </c>
      <c r="F197" s="4">
        <v>6461.33</v>
      </c>
      <c r="G197" s="3">
        <v>127</v>
      </c>
      <c r="H197" s="6">
        <v>4.4000000000000004</v>
      </c>
      <c r="I197" s="3">
        <v>2773</v>
      </c>
      <c r="J197" s="13" t="str">
        <f>HYPERLINK("https://amazon.com/dp/B0FQVC7FBH","Amazon - B0FQVC7FBH")</f>
        <v>Amazon - B0FQVC7FBH</v>
      </c>
      <c r="K197" s="14" t="s">
        <v>443</v>
      </c>
      <c r="L197" s="14" t="s">
        <v>303</v>
      </c>
      <c r="M197" s="14" t="s">
        <v>303</v>
      </c>
      <c r="N197" s="14" t="s">
        <v>446</v>
      </c>
      <c r="O197" s="14" t="s">
        <v>917</v>
      </c>
    </row>
    <row r="198" spans="1:15" ht="30" x14ac:dyDescent="0.2">
      <c r="A198" s="2" t="s">
        <v>918</v>
      </c>
      <c r="B198" s="2" t="s">
        <v>919</v>
      </c>
      <c r="C198" s="2" t="s">
        <v>9</v>
      </c>
      <c r="D198" s="2" t="s">
        <v>442</v>
      </c>
      <c r="E198" s="4">
        <v>139.99</v>
      </c>
      <c r="F198" s="4">
        <v>6439.94</v>
      </c>
      <c r="G198" s="3">
        <v>48</v>
      </c>
      <c r="H198" s="6">
        <v>4.7</v>
      </c>
      <c r="I198" s="3">
        <v>452</v>
      </c>
      <c r="J198" s="13" t="str">
        <f>HYPERLINK("https://amazon.com/dp/B0CXSTNWTW","Amazon - B0CXSTNWTW")</f>
        <v>Amazon - B0CXSTNWTW</v>
      </c>
      <c r="K198" s="14" t="s">
        <v>443</v>
      </c>
      <c r="L198" s="14" t="s">
        <v>461</v>
      </c>
      <c r="M198" s="14" t="s">
        <v>303</v>
      </c>
      <c r="N198" s="14" t="s">
        <v>452</v>
      </c>
      <c r="O198" s="14" t="s">
        <v>447</v>
      </c>
    </row>
    <row r="199" spans="1:15" ht="45" x14ac:dyDescent="0.2">
      <c r="A199" s="2" t="s">
        <v>920</v>
      </c>
      <c r="B199" s="2" t="s">
        <v>921</v>
      </c>
      <c r="C199" s="2" t="s">
        <v>24</v>
      </c>
      <c r="D199" s="2" t="s">
        <v>442</v>
      </c>
      <c r="E199" s="4">
        <v>158.97999999999999</v>
      </c>
      <c r="F199" s="4">
        <v>6374.14</v>
      </c>
      <c r="G199" s="3">
        <v>38</v>
      </c>
      <c r="H199" s="6">
        <v>4.7</v>
      </c>
      <c r="I199" s="3">
        <v>49</v>
      </c>
      <c r="J199" s="13" t="str">
        <f>HYPERLINK("https://amazon.com/dp/B0FBWTBNTY","Amazon - B0FBWTBNTY")</f>
        <v>Amazon - B0FBWTBNTY</v>
      </c>
      <c r="K199" s="14" t="s">
        <v>443</v>
      </c>
      <c r="L199" s="14" t="s">
        <v>461</v>
      </c>
      <c r="M199" s="14" t="s">
        <v>303</v>
      </c>
      <c r="N199" s="14" t="s">
        <v>446</v>
      </c>
      <c r="O199" s="14" t="s">
        <v>536</v>
      </c>
    </row>
    <row r="200" spans="1:15" ht="30" x14ac:dyDescent="0.2">
      <c r="A200" s="2" t="s">
        <v>922</v>
      </c>
      <c r="B200" s="2" t="s">
        <v>923</v>
      </c>
      <c r="C200" s="2" t="s">
        <v>14</v>
      </c>
      <c r="D200" s="2" t="s">
        <v>472</v>
      </c>
      <c r="E200" s="4">
        <v>379.88</v>
      </c>
      <c r="F200" s="4">
        <v>6367.21</v>
      </c>
      <c r="G200" s="3">
        <v>18</v>
      </c>
      <c r="H200" s="6">
        <v>4.7</v>
      </c>
      <c r="I200" s="3">
        <v>4</v>
      </c>
      <c r="J200" s="13" t="str">
        <f>HYPERLINK("https://amazon.com/dp/B0CS2CX8TR","Amazon - B0CS2CX8TR")</f>
        <v>Amazon - B0CS2CX8TR</v>
      </c>
      <c r="K200" s="14" t="s">
        <v>443</v>
      </c>
      <c r="L200" s="14" t="s">
        <v>303</v>
      </c>
      <c r="M200" s="14" t="s">
        <v>303</v>
      </c>
      <c r="N200" s="14" t="s">
        <v>446</v>
      </c>
      <c r="O200" s="14" t="s">
        <v>303</v>
      </c>
    </row>
    <row r="201" spans="1:15" ht="30" x14ac:dyDescent="0.2">
      <c r="A201" s="2" t="s">
        <v>924</v>
      </c>
      <c r="B201" s="2" t="s">
        <v>925</v>
      </c>
      <c r="C201" s="2" t="s">
        <v>9</v>
      </c>
      <c r="D201" s="2" t="s">
        <v>442</v>
      </c>
      <c r="E201" s="4">
        <v>29.99</v>
      </c>
      <c r="F201" s="4">
        <v>6287.23</v>
      </c>
      <c r="G201" s="3">
        <v>210</v>
      </c>
      <c r="H201" s="6">
        <v>4.4000000000000004</v>
      </c>
      <c r="I201" s="3">
        <v>179</v>
      </c>
      <c r="J201" s="13" t="str">
        <f>HYPERLINK("https://amazon.com/dp/B0FX99L27P","Amazon - B0FX99L27P")</f>
        <v>Amazon - B0FX99L27P</v>
      </c>
      <c r="K201" s="14" t="s">
        <v>443</v>
      </c>
      <c r="L201" s="14" t="s">
        <v>461</v>
      </c>
      <c r="M201" s="14" t="s">
        <v>303</v>
      </c>
      <c r="N201" s="14" t="s">
        <v>452</v>
      </c>
      <c r="O201" s="14" t="s">
        <v>453</v>
      </c>
    </row>
    <row r="202" spans="1:15" ht="45" x14ac:dyDescent="0.2">
      <c r="A202" s="2" t="s">
        <v>926</v>
      </c>
      <c r="B202" s="2" t="s">
        <v>927</v>
      </c>
      <c r="C202" s="2" t="s">
        <v>64</v>
      </c>
      <c r="D202" s="2" t="s">
        <v>472</v>
      </c>
      <c r="E202" s="4">
        <v>849.99</v>
      </c>
      <c r="F202" s="4">
        <v>6225.86</v>
      </c>
      <c r="G202" s="3">
        <v>7</v>
      </c>
      <c r="H202" s="6">
        <v>0</v>
      </c>
      <c r="I202" s="3">
        <v>0</v>
      </c>
      <c r="J202" s="13" t="str">
        <f>HYPERLINK("https://amazon.com/dp/B0GK78HJ9C","Amazon - B0GK78HJ9C")</f>
        <v>Amazon - B0GK78HJ9C</v>
      </c>
      <c r="K202" s="14" t="s">
        <v>443</v>
      </c>
      <c r="L202" s="14" t="s">
        <v>502</v>
      </c>
      <c r="M202" s="14" t="s">
        <v>303</v>
      </c>
      <c r="N202" s="14" t="s">
        <v>446</v>
      </c>
      <c r="O202" s="14" t="s">
        <v>517</v>
      </c>
    </row>
    <row r="203" spans="1:15" ht="45" x14ac:dyDescent="0.2">
      <c r="A203" s="2" t="s">
        <v>928</v>
      </c>
      <c r="B203" s="2" t="s">
        <v>929</v>
      </c>
      <c r="C203" s="2" t="s">
        <v>11</v>
      </c>
      <c r="D203" s="2" t="s">
        <v>472</v>
      </c>
      <c r="E203" s="4">
        <v>252.9</v>
      </c>
      <c r="F203" s="4">
        <v>6175.68</v>
      </c>
      <c r="G203" s="3">
        <v>24</v>
      </c>
      <c r="H203" s="6">
        <v>4.2</v>
      </c>
      <c r="I203" s="3">
        <v>49</v>
      </c>
      <c r="J203" s="13" t="str">
        <f>HYPERLINK("https://amazon.com/dp/B0FP8L21YT","Amazon - B0FP8L21YT")</f>
        <v>Amazon - B0FP8L21YT</v>
      </c>
      <c r="K203" s="14" t="s">
        <v>443</v>
      </c>
      <c r="L203" s="14" t="s">
        <v>456</v>
      </c>
      <c r="M203" s="14" t="s">
        <v>303</v>
      </c>
      <c r="N203" s="14" t="s">
        <v>446</v>
      </c>
      <c r="O203" s="14" t="s">
        <v>778</v>
      </c>
    </row>
    <row r="204" spans="1:15" ht="45" x14ac:dyDescent="0.2">
      <c r="A204" s="2" t="s">
        <v>930</v>
      </c>
      <c r="B204" s="2" t="s">
        <v>931</v>
      </c>
      <c r="C204" s="2" t="s">
        <v>11</v>
      </c>
      <c r="D204" s="2" t="s">
        <v>472</v>
      </c>
      <c r="E204" s="4">
        <v>569.9</v>
      </c>
      <c r="F204" s="4">
        <v>6119.6</v>
      </c>
      <c r="G204" s="3">
        <v>11</v>
      </c>
      <c r="H204" s="6">
        <v>3.8</v>
      </c>
      <c r="I204" s="3">
        <v>18</v>
      </c>
      <c r="J204" s="13" t="str">
        <f>HYPERLINK("https://amazon.com/dp/B0BV2V59XB","Amazon - B0BV2V59XB")</f>
        <v>Amazon - B0BV2V59XB</v>
      </c>
      <c r="K204" s="14" t="s">
        <v>443</v>
      </c>
      <c r="L204" s="14" t="s">
        <v>502</v>
      </c>
      <c r="M204" s="14" t="s">
        <v>303</v>
      </c>
      <c r="N204" s="14" t="s">
        <v>446</v>
      </c>
      <c r="O204" s="14" t="s">
        <v>863</v>
      </c>
    </row>
    <row r="205" spans="1:15" ht="45" x14ac:dyDescent="0.2">
      <c r="A205" s="2" t="s">
        <v>932</v>
      </c>
      <c r="B205" s="2" t="s">
        <v>933</v>
      </c>
      <c r="C205" s="2" t="s">
        <v>75</v>
      </c>
      <c r="D205" s="2" t="s">
        <v>472</v>
      </c>
      <c r="E205" s="4">
        <v>29.99</v>
      </c>
      <c r="F205" s="4">
        <v>6014.37</v>
      </c>
      <c r="G205" s="3">
        <v>164</v>
      </c>
      <c r="H205" s="6">
        <v>5</v>
      </c>
      <c r="I205" s="3">
        <v>35</v>
      </c>
      <c r="J205" s="13" t="str">
        <f>HYPERLINK("https://amazon.com/dp/B0GJDJ3BJT","Amazon - B0GJDJ3BJT")</f>
        <v>Amazon - B0GJDJ3BJT</v>
      </c>
      <c r="K205" s="14" t="s">
        <v>443</v>
      </c>
      <c r="L205" s="14" t="s">
        <v>456</v>
      </c>
      <c r="M205" s="14" t="s">
        <v>303</v>
      </c>
      <c r="N205" s="14" t="s">
        <v>446</v>
      </c>
      <c r="O205" s="14" t="s">
        <v>608</v>
      </c>
    </row>
    <row r="206" spans="1:15" ht="45" x14ac:dyDescent="0.2">
      <c r="A206" s="2" t="s">
        <v>934</v>
      </c>
      <c r="B206" s="2" t="s">
        <v>935</v>
      </c>
      <c r="C206" s="2" t="s">
        <v>16</v>
      </c>
      <c r="D206" s="2" t="s">
        <v>442</v>
      </c>
      <c r="E206" s="4">
        <v>33.99</v>
      </c>
      <c r="F206" s="4">
        <v>6003.2</v>
      </c>
      <c r="G206" s="3">
        <v>166</v>
      </c>
      <c r="H206" s="6">
        <v>4.5</v>
      </c>
      <c r="I206" s="3">
        <v>203</v>
      </c>
      <c r="J206" s="13" t="str">
        <f>HYPERLINK("https://amazon.com/dp/B0DCNM5MGW","Amazon - B0DCNM5MGW")</f>
        <v>Amazon - B0DCNM5MGW</v>
      </c>
      <c r="K206" s="14" t="s">
        <v>443</v>
      </c>
      <c r="L206" s="14" t="s">
        <v>456</v>
      </c>
      <c r="M206" s="14" t="s">
        <v>303</v>
      </c>
      <c r="N206" s="14" t="s">
        <v>446</v>
      </c>
      <c r="O206" s="14" t="s">
        <v>629</v>
      </c>
    </row>
    <row r="207" spans="1:15" ht="45" x14ac:dyDescent="0.2">
      <c r="A207" s="2" t="s">
        <v>936</v>
      </c>
      <c r="B207" s="2" t="s">
        <v>937</v>
      </c>
      <c r="C207" s="2" t="s">
        <v>13</v>
      </c>
      <c r="D207" s="2" t="s">
        <v>472</v>
      </c>
      <c r="E207" s="4">
        <v>379.99</v>
      </c>
      <c r="F207" s="4">
        <v>5938.22</v>
      </c>
      <c r="G207" s="3">
        <v>16</v>
      </c>
      <c r="H207" s="6">
        <v>4.3</v>
      </c>
      <c r="I207" s="3">
        <v>521</v>
      </c>
      <c r="J207" s="13" t="str">
        <f>HYPERLINK("https://amazon.com/dp/B07PWZ3KKF","Amazon - B07PWZ3KKF")</f>
        <v>Amazon - B07PWZ3KKF</v>
      </c>
      <c r="K207" s="14" t="s">
        <v>443</v>
      </c>
      <c r="L207" s="14" t="s">
        <v>461</v>
      </c>
      <c r="M207" s="14" t="s">
        <v>303</v>
      </c>
      <c r="N207" s="14" t="s">
        <v>446</v>
      </c>
      <c r="O207" s="14" t="s">
        <v>517</v>
      </c>
    </row>
    <row r="208" spans="1:15" ht="45" x14ac:dyDescent="0.2">
      <c r="A208" s="2" t="s">
        <v>938</v>
      </c>
      <c r="B208" s="2" t="s">
        <v>939</v>
      </c>
      <c r="C208" s="2" t="s">
        <v>13</v>
      </c>
      <c r="D208" s="2" t="s">
        <v>472</v>
      </c>
      <c r="E208" s="4">
        <v>969.99</v>
      </c>
      <c r="F208" s="4">
        <v>5906.48</v>
      </c>
      <c r="G208" s="3">
        <v>6</v>
      </c>
      <c r="H208" s="6">
        <v>5</v>
      </c>
      <c r="I208" s="3">
        <v>4</v>
      </c>
      <c r="J208" s="13" t="str">
        <f>HYPERLINK("https://amazon.com/dp/B0FFXZGVQJ","Amazon - B0FFXZGVQJ")</f>
        <v>Amazon - B0FFXZGVQJ</v>
      </c>
      <c r="K208" s="14" t="s">
        <v>443</v>
      </c>
      <c r="L208" s="14" t="s">
        <v>461</v>
      </c>
      <c r="M208" s="14" t="s">
        <v>565</v>
      </c>
      <c r="N208" s="14" t="s">
        <v>446</v>
      </c>
      <c r="O208" s="14" t="s">
        <v>517</v>
      </c>
    </row>
    <row r="209" spans="1:15" ht="45" x14ac:dyDescent="0.2">
      <c r="A209" s="2" t="s">
        <v>940</v>
      </c>
      <c r="B209" s="2" t="s">
        <v>941</v>
      </c>
      <c r="C209" s="2" t="s">
        <v>61</v>
      </c>
      <c r="D209" s="2" t="s">
        <v>472</v>
      </c>
      <c r="E209" s="4">
        <v>69.989999999999995</v>
      </c>
      <c r="F209" s="4">
        <v>5878.83</v>
      </c>
      <c r="G209" s="3">
        <v>77</v>
      </c>
      <c r="H209" s="6">
        <v>4</v>
      </c>
      <c r="I209" s="3">
        <v>3083</v>
      </c>
      <c r="J209" s="13" t="str">
        <f>HYPERLINK("https://amazon.com/dp/B081J3LN61","Amazon - B081J3LN61")</f>
        <v>Amazon - B081J3LN61</v>
      </c>
      <c r="K209" s="14" t="s">
        <v>443</v>
      </c>
      <c r="L209" s="14" t="s">
        <v>456</v>
      </c>
      <c r="M209" s="14" t="s">
        <v>303</v>
      </c>
      <c r="N209" s="14" t="s">
        <v>446</v>
      </c>
      <c r="O209" s="14" t="s">
        <v>479</v>
      </c>
    </row>
    <row r="210" spans="1:15" x14ac:dyDescent="0.2">
      <c r="A210" s="2" t="s">
        <v>942</v>
      </c>
      <c r="B210" s="2" t="s">
        <v>943</v>
      </c>
      <c r="C210" s="2" t="s">
        <v>78</v>
      </c>
      <c r="D210" s="2" t="s">
        <v>442</v>
      </c>
      <c r="E210" s="4">
        <v>425.78</v>
      </c>
      <c r="F210" s="4">
        <v>5822.94</v>
      </c>
      <c r="G210" s="3">
        <v>13</v>
      </c>
      <c r="H210" s="6">
        <v>5</v>
      </c>
      <c r="I210" s="3">
        <v>2</v>
      </c>
      <c r="J210" s="13" t="str">
        <f>HYPERLINK("https://amazon.com/dp/B0FGH475P3","Amazon - B0FGH475P3")</f>
        <v>Amazon - B0FGH475P3</v>
      </c>
      <c r="K210" s="14" t="s">
        <v>443</v>
      </c>
      <c r="L210" s="14" t="s">
        <v>303</v>
      </c>
      <c r="M210" s="14" t="s">
        <v>303</v>
      </c>
      <c r="N210" s="14" t="s">
        <v>446</v>
      </c>
      <c r="O210" s="14" t="s">
        <v>303</v>
      </c>
    </row>
    <row r="211" spans="1:15" ht="45" x14ac:dyDescent="0.2">
      <c r="A211" s="2" t="s">
        <v>944</v>
      </c>
      <c r="B211" s="2" t="s">
        <v>945</v>
      </c>
      <c r="C211" s="2" t="s">
        <v>11</v>
      </c>
      <c r="D211" s="2" t="s">
        <v>442</v>
      </c>
      <c r="E211" s="4">
        <v>39.9</v>
      </c>
      <c r="F211" s="4">
        <v>5794.05</v>
      </c>
      <c r="G211" s="3">
        <v>126</v>
      </c>
      <c r="H211" s="6">
        <v>4.5999999999999996</v>
      </c>
      <c r="I211" s="3">
        <v>680</v>
      </c>
      <c r="J211" s="13" t="str">
        <f>HYPERLINK("https://amazon.com/dp/B0DJGFZQ5X","Amazon - B0DJGFZQ5X")</f>
        <v>Amazon - B0DJGFZQ5X</v>
      </c>
      <c r="K211" s="14" t="s">
        <v>443</v>
      </c>
      <c r="L211" s="14" t="s">
        <v>456</v>
      </c>
      <c r="M211" s="14" t="s">
        <v>303</v>
      </c>
      <c r="N211" s="14" t="s">
        <v>452</v>
      </c>
      <c r="O211" s="14" t="s">
        <v>946</v>
      </c>
    </row>
    <row r="212" spans="1:15" ht="45" x14ac:dyDescent="0.2">
      <c r="A212" s="2" t="s">
        <v>947</v>
      </c>
      <c r="B212" s="2" t="s">
        <v>948</v>
      </c>
      <c r="C212" s="2" t="s">
        <v>38</v>
      </c>
      <c r="D212" s="2" t="s">
        <v>472</v>
      </c>
      <c r="E212" s="4">
        <v>66.489999999999995</v>
      </c>
      <c r="F212" s="4">
        <v>5776.41</v>
      </c>
      <c r="G212" s="3">
        <v>58</v>
      </c>
      <c r="H212" s="6">
        <v>4.4000000000000004</v>
      </c>
      <c r="I212" s="3">
        <v>156</v>
      </c>
      <c r="J212" s="13" t="str">
        <f>HYPERLINK("https://amazon.com/dp/B0FNPY88X9","Amazon - B0FNPY88X9")</f>
        <v>Amazon - B0FNPY88X9</v>
      </c>
      <c r="K212" s="14" t="s">
        <v>443</v>
      </c>
      <c r="L212" s="14" t="s">
        <v>461</v>
      </c>
      <c r="M212" s="14" t="s">
        <v>303</v>
      </c>
      <c r="N212" s="14" t="s">
        <v>473</v>
      </c>
      <c r="O212" s="14" t="s">
        <v>453</v>
      </c>
    </row>
    <row r="213" spans="1:15" ht="45" x14ac:dyDescent="0.2">
      <c r="A213" s="2" t="s">
        <v>949</v>
      </c>
      <c r="B213" s="2" t="s">
        <v>950</v>
      </c>
      <c r="C213" s="2" t="s">
        <v>70</v>
      </c>
      <c r="D213" s="2" t="s">
        <v>472</v>
      </c>
      <c r="E213" s="4">
        <v>329.99</v>
      </c>
      <c r="F213" s="4">
        <v>5756.03</v>
      </c>
      <c r="G213" s="3">
        <v>17</v>
      </c>
      <c r="H213" s="6">
        <v>4.2</v>
      </c>
      <c r="I213" s="3">
        <v>15</v>
      </c>
      <c r="J213" s="13" t="str">
        <f>HYPERLINK("https://amazon.com/dp/B0F9SST8K9","Amazon - B0F9SST8K9")</f>
        <v>Amazon - B0F9SST8K9</v>
      </c>
      <c r="K213" s="14" t="s">
        <v>443</v>
      </c>
      <c r="L213" s="14" t="s">
        <v>667</v>
      </c>
      <c r="M213" s="14" t="s">
        <v>303</v>
      </c>
      <c r="N213" s="14" t="s">
        <v>446</v>
      </c>
      <c r="O213" s="14" t="s">
        <v>517</v>
      </c>
    </row>
    <row r="214" spans="1:15" ht="45" x14ac:dyDescent="0.2">
      <c r="A214" s="2" t="s">
        <v>951</v>
      </c>
      <c r="B214" s="2" t="s">
        <v>952</v>
      </c>
      <c r="C214" s="2" t="s">
        <v>47</v>
      </c>
      <c r="D214" s="2" t="s">
        <v>472</v>
      </c>
      <c r="E214" s="4">
        <v>227.99</v>
      </c>
      <c r="F214" s="4">
        <v>5745.93</v>
      </c>
      <c r="G214" s="3">
        <v>24</v>
      </c>
      <c r="H214" s="6">
        <v>4</v>
      </c>
      <c r="I214" s="3">
        <v>41</v>
      </c>
      <c r="J214" s="13" t="str">
        <f>HYPERLINK("https://amazon.com/dp/B0DFQ9X24L","Amazon - B0DFQ9X24L")</f>
        <v>Amazon - B0DFQ9X24L</v>
      </c>
      <c r="K214" s="14" t="s">
        <v>443</v>
      </c>
      <c r="L214" s="14" t="s">
        <v>456</v>
      </c>
      <c r="M214" s="14" t="s">
        <v>303</v>
      </c>
      <c r="N214" s="14" t="s">
        <v>446</v>
      </c>
      <c r="O214" s="14" t="s">
        <v>742</v>
      </c>
    </row>
    <row r="215" spans="1:15" ht="45" x14ac:dyDescent="0.2">
      <c r="A215" s="2" t="s">
        <v>953</v>
      </c>
      <c r="B215" s="2" t="s">
        <v>954</v>
      </c>
      <c r="C215" s="2" t="s">
        <v>32</v>
      </c>
      <c r="D215" s="2" t="s">
        <v>442</v>
      </c>
      <c r="E215" s="4">
        <v>139.99</v>
      </c>
      <c r="F215" s="4">
        <v>5679.67</v>
      </c>
      <c r="G215" s="3">
        <v>43</v>
      </c>
      <c r="H215" s="6">
        <v>4.5999999999999996</v>
      </c>
      <c r="I215" s="3">
        <v>115</v>
      </c>
      <c r="J215" s="13" t="str">
        <f>HYPERLINK("https://amazon.com/dp/B0GGLZCT28","Amazon - B0GGLZCT28")</f>
        <v>Amazon - B0GGLZCT28</v>
      </c>
      <c r="K215" s="14" t="s">
        <v>443</v>
      </c>
      <c r="L215" s="14" t="s">
        <v>461</v>
      </c>
      <c r="M215" s="14" t="s">
        <v>484</v>
      </c>
      <c r="N215" s="14" t="s">
        <v>446</v>
      </c>
      <c r="O215" s="14" t="s">
        <v>458</v>
      </c>
    </row>
    <row r="216" spans="1:15" ht="45" x14ac:dyDescent="0.2">
      <c r="A216" s="2" t="s">
        <v>955</v>
      </c>
      <c r="B216" s="2" t="s">
        <v>956</v>
      </c>
      <c r="C216" s="2" t="s">
        <v>52</v>
      </c>
      <c r="D216" s="2" t="s">
        <v>442</v>
      </c>
      <c r="E216" s="4">
        <v>189.99</v>
      </c>
      <c r="F216" s="4">
        <v>5665.87</v>
      </c>
      <c r="G216" s="3">
        <v>30</v>
      </c>
      <c r="H216" s="6">
        <v>4.3</v>
      </c>
      <c r="I216" s="3">
        <v>25</v>
      </c>
      <c r="J216" s="13" t="str">
        <f>HYPERLINK("https://amazon.com/dp/B0FSQFN58Q","Amazon - B0FSQFN58Q")</f>
        <v>Amazon - B0FSQFN58Q</v>
      </c>
      <c r="K216" s="14" t="s">
        <v>443</v>
      </c>
      <c r="L216" s="14" t="s">
        <v>461</v>
      </c>
      <c r="M216" s="14" t="s">
        <v>511</v>
      </c>
      <c r="N216" s="14" t="s">
        <v>446</v>
      </c>
      <c r="O216" s="14" t="s">
        <v>543</v>
      </c>
    </row>
    <row r="217" spans="1:15" ht="45" x14ac:dyDescent="0.2">
      <c r="A217" s="2" t="s">
        <v>957</v>
      </c>
      <c r="B217" s="2" t="s">
        <v>958</v>
      </c>
      <c r="C217" s="2" t="s">
        <v>14</v>
      </c>
      <c r="D217" s="2" t="s">
        <v>472</v>
      </c>
      <c r="E217" s="4">
        <v>899.88</v>
      </c>
      <c r="F217" s="4">
        <v>5662.05</v>
      </c>
      <c r="G217" s="3">
        <v>6</v>
      </c>
      <c r="H217" s="6">
        <v>4.4000000000000004</v>
      </c>
      <c r="I217" s="3">
        <v>70</v>
      </c>
      <c r="J217" s="13" t="str">
        <f>HYPERLINK("https://amazon.com/dp/B0DPFC825X","Amazon - B0DPFC825X")</f>
        <v>Amazon - B0DPFC825X</v>
      </c>
      <c r="K217" s="14" t="s">
        <v>443</v>
      </c>
      <c r="L217" s="14" t="s">
        <v>303</v>
      </c>
      <c r="M217" s="14" t="s">
        <v>503</v>
      </c>
      <c r="N217" s="14" t="s">
        <v>446</v>
      </c>
      <c r="O217" s="14" t="s">
        <v>742</v>
      </c>
    </row>
    <row r="218" spans="1:15" ht="45" x14ac:dyDescent="0.2">
      <c r="A218" s="2" t="s">
        <v>959</v>
      </c>
      <c r="B218" s="2" t="s">
        <v>960</v>
      </c>
      <c r="C218" s="2" t="s">
        <v>11</v>
      </c>
      <c r="D218" s="2" t="s">
        <v>472</v>
      </c>
      <c r="E218" s="4">
        <v>285.99</v>
      </c>
      <c r="F218" s="4">
        <v>5626.51</v>
      </c>
      <c r="G218" s="3">
        <v>20</v>
      </c>
      <c r="H218" s="6">
        <v>3.9</v>
      </c>
      <c r="I218" s="3">
        <v>108</v>
      </c>
      <c r="J218" s="13" t="str">
        <f>HYPERLINK("https://amazon.com/dp/B098XFG46Y","Amazon - B098XFG46Y")</f>
        <v>Amazon - B098XFG46Y</v>
      </c>
      <c r="K218" s="14" t="s">
        <v>443</v>
      </c>
      <c r="L218" s="14" t="s">
        <v>456</v>
      </c>
      <c r="M218" s="14" t="s">
        <v>303</v>
      </c>
      <c r="N218" s="14" t="s">
        <v>446</v>
      </c>
      <c r="O218" s="14" t="s">
        <v>778</v>
      </c>
    </row>
    <row r="219" spans="1:15" ht="45" x14ac:dyDescent="0.2">
      <c r="A219" s="2" t="s">
        <v>961</v>
      </c>
      <c r="B219" s="2" t="s">
        <v>962</v>
      </c>
      <c r="C219" s="2" t="s">
        <v>13</v>
      </c>
      <c r="D219" s="2" t="s">
        <v>472</v>
      </c>
      <c r="E219" s="4">
        <v>389.99</v>
      </c>
      <c r="F219" s="4">
        <v>5540.14</v>
      </c>
      <c r="G219" s="3">
        <v>14</v>
      </c>
      <c r="H219" s="6">
        <v>3.8</v>
      </c>
      <c r="I219" s="3">
        <v>8</v>
      </c>
      <c r="J219" s="13" t="str">
        <f>HYPERLINK("https://amazon.com/dp/B0FK275RZK","Amazon - B0FK275RZK")</f>
        <v>Amazon - B0FK275RZK</v>
      </c>
      <c r="K219" s="14" t="s">
        <v>443</v>
      </c>
      <c r="L219" s="14" t="s">
        <v>461</v>
      </c>
      <c r="M219" s="14" t="s">
        <v>303</v>
      </c>
      <c r="N219" s="14" t="s">
        <v>446</v>
      </c>
      <c r="O219" s="14" t="s">
        <v>570</v>
      </c>
    </row>
    <row r="220" spans="1:15" ht="45" x14ac:dyDescent="0.2">
      <c r="A220" s="2" t="s">
        <v>963</v>
      </c>
      <c r="B220" s="2" t="s">
        <v>964</v>
      </c>
      <c r="C220" s="2" t="s">
        <v>23</v>
      </c>
      <c r="D220" s="2" t="s">
        <v>472</v>
      </c>
      <c r="E220" s="4">
        <v>259.92</v>
      </c>
      <c r="F220" s="4">
        <v>5447.81</v>
      </c>
      <c r="G220" s="3">
        <v>22</v>
      </c>
      <c r="H220" s="6">
        <v>4.0999999999999996</v>
      </c>
      <c r="I220" s="3">
        <v>61</v>
      </c>
      <c r="J220" s="13" t="str">
        <f>HYPERLINK("https://amazon.com/dp/B0DCC5SH93","Amazon - B0DCC5SH93")</f>
        <v>Amazon - B0DCC5SH93</v>
      </c>
      <c r="K220" s="14" t="s">
        <v>443</v>
      </c>
      <c r="L220" s="14" t="s">
        <v>461</v>
      </c>
      <c r="M220" s="14" t="s">
        <v>503</v>
      </c>
      <c r="N220" s="14" t="s">
        <v>446</v>
      </c>
      <c r="O220" s="14" t="s">
        <v>517</v>
      </c>
    </row>
    <row r="221" spans="1:15" ht="45" x14ac:dyDescent="0.2">
      <c r="A221" s="2" t="s">
        <v>965</v>
      </c>
      <c r="B221" s="2" t="s">
        <v>966</v>
      </c>
      <c r="C221" s="2" t="s">
        <v>17</v>
      </c>
      <c r="D221" s="2" t="s">
        <v>442</v>
      </c>
      <c r="E221" s="4">
        <v>78.25</v>
      </c>
      <c r="F221" s="4">
        <v>5431.17</v>
      </c>
      <c r="G221" s="3">
        <v>63</v>
      </c>
      <c r="H221" s="6">
        <v>4.4000000000000004</v>
      </c>
      <c r="I221" s="3">
        <v>171</v>
      </c>
      <c r="J221" s="13" t="str">
        <f>HYPERLINK("https://amazon.com/dp/B0CW67ZYP1","Amazon - B0CW67ZYP1")</f>
        <v>Amazon - B0CW67ZYP1</v>
      </c>
      <c r="K221" s="14" t="s">
        <v>443</v>
      </c>
      <c r="L221" s="14" t="s">
        <v>461</v>
      </c>
      <c r="M221" s="14" t="s">
        <v>303</v>
      </c>
      <c r="N221" s="14" t="s">
        <v>446</v>
      </c>
      <c r="O221" s="14" t="s">
        <v>447</v>
      </c>
    </row>
    <row r="222" spans="1:15" ht="30" x14ac:dyDescent="0.2">
      <c r="A222" s="2" t="s">
        <v>967</v>
      </c>
      <c r="B222" s="2" t="s">
        <v>968</v>
      </c>
      <c r="C222" s="2" t="s">
        <v>80</v>
      </c>
      <c r="D222" s="2" t="s">
        <v>450</v>
      </c>
      <c r="E222" s="4">
        <v>69.989999999999995</v>
      </c>
      <c r="F222" s="4">
        <v>5429.07</v>
      </c>
      <c r="G222" s="3">
        <v>78</v>
      </c>
      <c r="H222" s="6">
        <v>4.5999999999999996</v>
      </c>
      <c r="I222" s="3">
        <v>6</v>
      </c>
      <c r="J222" s="13" t="str">
        <f>HYPERLINK("https://amazon.com/dp/B0GF7RS23B","Amazon - B0GF7RS23B")</f>
        <v>Amazon - B0GF7RS23B</v>
      </c>
      <c r="K222" s="14" t="s">
        <v>443</v>
      </c>
      <c r="L222" s="14" t="s">
        <v>303</v>
      </c>
      <c r="M222" s="14" t="s">
        <v>303</v>
      </c>
      <c r="N222" s="14" t="s">
        <v>446</v>
      </c>
      <c r="O222" s="14" t="s">
        <v>303</v>
      </c>
    </row>
    <row r="223" spans="1:15" ht="45" x14ac:dyDescent="0.2">
      <c r="A223" s="2" t="s">
        <v>969</v>
      </c>
      <c r="B223" s="2" t="s">
        <v>970</v>
      </c>
      <c r="C223" s="2" t="s">
        <v>71</v>
      </c>
      <c r="D223" s="2" t="s">
        <v>450</v>
      </c>
      <c r="E223" s="4">
        <v>29.99</v>
      </c>
      <c r="F223" s="4">
        <v>5405.77</v>
      </c>
      <c r="G223" s="3">
        <v>184</v>
      </c>
      <c r="H223" s="6">
        <v>4.4000000000000004</v>
      </c>
      <c r="I223" s="3">
        <v>29</v>
      </c>
      <c r="J223" s="13" t="str">
        <f>HYPERLINK("https://amazon.com/dp/B0G6XZYHRW","Amazon - B0G6XZYHRW")</f>
        <v>Amazon - B0G6XZYHRW</v>
      </c>
      <c r="K223" s="14" t="s">
        <v>443</v>
      </c>
      <c r="L223" s="14" t="s">
        <v>451</v>
      </c>
      <c r="M223" s="14" t="s">
        <v>303</v>
      </c>
      <c r="N223" s="14" t="s">
        <v>452</v>
      </c>
      <c r="O223" s="14" t="s">
        <v>453</v>
      </c>
    </row>
    <row r="224" spans="1:15" ht="45" x14ac:dyDescent="0.2">
      <c r="A224" s="2" t="s">
        <v>971</v>
      </c>
      <c r="B224" s="2" t="s">
        <v>972</v>
      </c>
      <c r="C224" s="2" t="s">
        <v>28</v>
      </c>
      <c r="D224" s="2" t="s">
        <v>442</v>
      </c>
      <c r="E224" s="4">
        <v>33.99</v>
      </c>
      <c r="F224" s="4">
        <v>5401.82</v>
      </c>
      <c r="G224" s="3">
        <v>159</v>
      </c>
      <c r="H224" s="6">
        <v>4</v>
      </c>
      <c r="I224" s="3">
        <v>334</v>
      </c>
      <c r="J224" s="13" t="str">
        <f>HYPERLINK("https://amazon.com/dp/B0F13SHCYH","Amazon - B0F13SHCYH")</f>
        <v>Amazon - B0F13SHCYH</v>
      </c>
      <c r="K224" s="14" t="s">
        <v>443</v>
      </c>
      <c r="L224" s="14" t="s">
        <v>456</v>
      </c>
      <c r="M224" s="14" t="s">
        <v>303</v>
      </c>
      <c r="N224" s="14" t="s">
        <v>452</v>
      </c>
      <c r="O224" s="14" t="s">
        <v>608</v>
      </c>
    </row>
    <row r="225" spans="1:15" ht="45" x14ac:dyDescent="0.2">
      <c r="A225" s="2" t="s">
        <v>973</v>
      </c>
      <c r="B225" s="2" t="s">
        <v>974</v>
      </c>
      <c r="C225" s="2" t="s">
        <v>22</v>
      </c>
      <c r="D225" s="2" t="s">
        <v>450</v>
      </c>
      <c r="E225" s="4">
        <v>25.99</v>
      </c>
      <c r="F225" s="4">
        <v>5356.32</v>
      </c>
      <c r="G225" s="3">
        <v>210</v>
      </c>
      <c r="H225" s="6">
        <v>4.3</v>
      </c>
      <c r="I225" s="3">
        <v>889</v>
      </c>
      <c r="J225" s="13" t="str">
        <f>HYPERLINK("https://amazon.com/dp/B0CCHSCYCL","Amazon - B0CCHSCYCL")</f>
        <v>Amazon - B0CCHSCYCL</v>
      </c>
      <c r="K225" s="14" t="s">
        <v>443</v>
      </c>
      <c r="L225" s="14" t="s">
        <v>451</v>
      </c>
      <c r="M225" s="14" t="s">
        <v>303</v>
      </c>
      <c r="N225" s="14" t="s">
        <v>446</v>
      </c>
      <c r="O225" s="14" t="s">
        <v>453</v>
      </c>
    </row>
    <row r="226" spans="1:15" ht="45" x14ac:dyDescent="0.2">
      <c r="A226" s="2" t="s">
        <v>975</v>
      </c>
      <c r="B226" s="2" t="s">
        <v>976</v>
      </c>
      <c r="C226" s="2" t="s">
        <v>8</v>
      </c>
      <c r="D226" s="2" t="s">
        <v>450</v>
      </c>
      <c r="E226" s="4">
        <v>49.99</v>
      </c>
      <c r="F226" s="4">
        <v>5351.73</v>
      </c>
      <c r="G226" s="3">
        <v>113</v>
      </c>
      <c r="H226" s="6">
        <v>4.4000000000000004</v>
      </c>
      <c r="I226" s="3">
        <v>1064</v>
      </c>
      <c r="J226" s="13" t="str">
        <f>HYPERLINK("https://amazon.com/dp/B0FNMZP57S","Amazon - B0FNMZP57S")</f>
        <v>Amazon - B0FNMZP57S</v>
      </c>
      <c r="K226" s="14" t="s">
        <v>443</v>
      </c>
      <c r="L226" s="14" t="s">
        <v>451</v>
      </c>
      <c r="M226" s="14" t="s">
        <v>303</v>
      </c>
      <c r="N226" s="14" t="s">
        <v>446</v>
      </c>
      <c r="O226" s="14" t="s">
        <v>479</v>
      </c>
    </row>
    <row r="227" spans="1:15" ht="45" x14ac:dyDescent="0.2">
      <c r="A227" s="2" t="s">
        <v>977</v>
      </c>
      <c r="B227" s="2" t="s">
        <v>978</v>
      </c>
      <c r="C227" s="2" t="s">
        <v>44</v>
      </c>
      <c r="D227" s="2" t="s">
        <v>442</v>
      </c>
      <c r="E227" s="4">
        <v>79.73</v>
      </c>
      <c r="F227" s="4">
        <v>5345.06</v>
      </c>
      <c r="G227" s="3">
        <v>67</v>
      </c>
      <c r="H227" s="6">
        <v>4.5</v>
      </c>
      <c r="I227" s="3">
        <v>72</v>
      </c>
      <c r="J227" s="13" t="str">
        <f>HYPERLINK("https://amazon.com/dp/B0F8B96XV6","Amazon - B0F8B96XV6")</f>
        <v>Amazon - B0F8B96XV6</v>
      </c>
      <c r="K227" s="14" t="s">
        <v>482</v>
      </c>
      <c r="L227" s="14" t="s">
        <v>461</v>
      </c>
      <c r="M227" s="14" t="s">
        <v>577</v>
      </c>
      <c r="N227" s="14" t="s">
        <v>446</v>
      </c>
      <c r="O227" s="14" t="s">
        <v>447</v>
      </c>
    </row>
    <row r="228" spans="1:15" ht="30" x14ac:dyDescent="0.2">
      <c r="A228" s="2" t="s">
        <v>979</v>
      </c>
      <c r="B228" s="2" t="s">
        <v>980</v>
      </c>
      <c r="C228" s="2" t="s">
        <v>13</v>
      </c>
      <c r="D228" s="2" t="s">
        <v>472</v>
      </c>
      <c r="E228" s="4">
        <v>499.99</v>
      </c>
      <c r="F228" s="4">
        <v>5265.73</v>
      </c>
      <c r="G228" s="3">
        <v>11</v>
      </c>
      <c r="H228" s="6">
        <v>4.5</v>
      </c>
      <c r="I228" s="3">
        <v>33</v>
      </c>
      <c r="J228" s="13" t="str">
        <f>HYPERLINK("https://amazon.com/dp/B0CLLJSCJ9","Amazon - B0CLLJSCJ9")</f>
        <v>Amazon - B0CLLJSCJ9</v>
      </c>
      <c r="K228" s="14" t="s">
        <v>443</v>
      </c>
      <c r="L228" s="14" t="s">
        <v>461</v>
      </c>
      <c r="M228" s="14" t="s">
        <v>303</v>
      </c>
      <c r="N228" s="14" t="s">
        <v>446</v>
      </c>
      <c r="O228" s="14" t="s">
        <v>517</v>
      </c>
    </row>
    <row r="229" spans="1:15" ht="45" x14ac:dyDescent="0.2">
      <c r="A229" s="2" t="s">
        <v>981</v>
      </c>
      <c r="B229" s="2" t="s">
        <v>982</v>
      </c>
      <c r="C229" s="2" t="s">
        <v>27</v>
      </c>
      <c r="D229" s="2" t="s">
        <v>472</v>
      </c>
      <c r="E229" s="4">
        <v>359.99</v>
      </c>
      <c r="F229" s="4">
        <v>5260.87</v>
      </c>
      <c r="G229" s="3">
        <v>15</v>
      </c>
      <c r="H229" s="6">
        <v>3.9</v>
      </c>
      <c r="I229" s="3">
        <v>25</v>
      </c>
      <c r="J229" s="13" t="str">
        <f>HYPERLINK("https://amazon.com/dp/B0FKH8S6GC","Amazon - B0FKH8S6GC")</f>
        <v>Amazon - B0FKH8S6GC</v>
      </c>
      <c r="K229" s="14" t="s">
        <v>443</v>
      </c>
      <c r="L229" s="14" t="s">
        <v>502</v>
      </c>
      <c r="M229" s="14" t="s">
        <v>303</v>
      </c>
      <c r="N229" s="14" t="s">
        <v>446</v>
      </c>
      <c r="O229" s="14" t="s">
        <v>742</v>
      </c>
    </row>
    <row r="230" spans="1:15" ht="45" x14ac:dyDescent="0.2">
      <c r="A230" s="2" t="s">
        <v>983</v>
      </c>
      <c r="B230" s="2" t="s">
        <v>984</v>
      </c>
      <c r="C230" s="2" t="s">
        <v>82</v>
      </c>
      <c r="D230" s="2" t="s">
        <v>472</v>
      </c>
      <c r="E230" s="4">
        <v>614.99</v>
      </c>
      <c r="F230" s="4">
        <v>5249.29</v>
      </c>
      <c r="G230" s="3">
        <v>9</v>
      </c>
      <c r="H230" s="6">
        <v>5</v>
      </c>
      <c r="I230" s="3">
        <v>3</v>
      </c>
      <c r="J230" s="13" t="str">
        <f>HYPERLINK("https://amazon.com/dp/B0G25T561Y","Amazon - B0G25T561Y")</f>
        <v>Amazon - B0G25T561Y</v>
      </c>
      <c r="K230" s="14" t="s">
        <v>443</v>
      </c>
      <c r="L230" s="14" t="s">
        <v>502</v>
      </c>
      <c r="M230" s="14" t="s">
        <v>303</v>
      </c>
      <c r="N230" s="14" t="s">
        <v>446</v>
      </c>
      <c r="O230" s="14" t="s">
        <v>985</v>
      </c>
    </row>
    <row r="231" spans="1:15" ht="45" x14ac:dyDescent="0.2">
      <c r="A231" s="2" t="s">
        <v>986</v>
      </c>
      <c r="B231" s="2" t="s">
        <v>987</v>
      </c>
      <c r="C231" s="2" t="s">
        <v>11</v>
      </c>
      <c r="D231" s="2" t="s">
        <v>472</v>
      </c>
      <c r="E231" s="4">
        <v>589.99</v>
      </c>
      <c r="F231" s="4">
        <v>5249.17</v>
      </c>
      <c r="G231" s="3">
        <v>9</v>
      </c>
      <c r="H231" s="6">
        <v>3.9</v>
      </c>
      <c r="I231" s="3">
        <v>76</v>
      </c>
      <c r="J231" s="13" t="str">
        <f>HYPERLINK("https://amazon.com/dp/B0C1B657ST","Amazon - B0C1B657ST")</f>
        <v>Amazon - B0C1B657ST</v>
      </c>
      <c r="K231" s="14" t="s">
        <v>443</v>
      </c>
      <c r="L231" s="14" t="s">
        <v>667</v>
      </c>
      <c r="M231" s="14" t="s">
        <v>303</v>
      </c>
      <c r="N231" s="14" t="s">
        <v>446</v>
      </c>
      <c r="O231" s="14" t="s">
        <v>988</v>
      </c>
    </row>
    <row r="232" spans="1:15" ht="45" x14ac:dyDescent="0.2">
      <c r="A232" s="2" t="s">
        <v>989</v>
      </c>
      <c r="B232" s="2" t="s">
        <v>990</v>
      </c>
      <c r="C232" s="2" t="s">
        <v>50</v>
      </c>
      <c r="D232" s="2" t="s">
        <v>472</v>
      </c>
      <c r="E232" s="4">
        <v>499.99</v>
      </c>
      <c r="F232" s="4">
        <v>5209.6000000000004</v>
      </c>
      <c r="G232" s="3">
        <v>10</v>
      </c>
      <c r="H232" s="6">
        <v>2.9</v>
      </c>
      <c r="I232" s="3">
        <v>2</v>
      </c>
      <c r="J232" s="13" t="str">
        <f>HYPERLINK("https://amazon.com/dp/B0FL1SGLYN","Amazon - B0FL1SGLYN")</f>
        <v>Amazon - B0FL1SGLYN</v>
      </c>
      <c r="K232" s="14" t="s">
        <v>443</v>
      </c>
      <c r="L232" s="14" t="s">
        <v>502</v>
      </c>
      <c r="M232" s="14" t="s">
        <v>303</v>
      </c>
      <c r="N232" s="14" t="s">
        <v>446</v>
      </c>
      <c r="O232" s="14" t="s">
        <v>517</v>
      </c>
    </row>
    <row r="233" spans="1:15" ht="45" x14ac:dyDescent="0.2">
      <c r="A233" s="2" t="s">
        <v>991</v>
      </c>
      <c r="B233" s="2" t="s">
        <v>992</v>
      </c>
      <c r="C233" s="2" t="s">
        <v>13</v>
      </c>
      <c r="D233" s="2" t="s">
        <v>472</v>
      </c>
      <c r="E233" s="4">
        <v>429.99</v>
      </c>
      <c r="F233" s="4">
        <v>5088.93</v>
      </c>
      <c r="G233" s="3">
        <v>12</v>
      </c>
      <c r="H233" s="6">
        <v>4.3</v>
      </c>
      <c r="I233" s="3">
        <v>521</v>
      </c>
      <c r="J233" s="13" t="str">
        <f>HYPERLINK("https://amazon.com/dp/B0CYH6NPFK","Amazon - B0CYH6NPFK")</f>
        <v>Amazon - B0CYH6NPFK</v>
      </c>
      <c r="K233" s="14" t="s">
        <v>443</v>
      </c>
      <c r="L233" s="14" t="s">
        <v>461</v>
      </c>
      <c r="M233" s="14" t="s">
        <v>303</v>
      </c>
      <c r="N233" s="14" t="s">
        <v>446</v>
      </c>
      <c r="O233" s="14" t="s">
        <v>517</v>
      </c>
    </row>
    <row r="234" spans="1:15" ht="45" x14ac:dyDescent="0.2">
      <c r="A234" s="2" t="s">
        <v>993</v>
      </c>
      <c r="B234" s="2" t="s">
        <v>994</v>
      </c>
      <c r="C234" s="2" t="s">
        <v>8</v>
      </c>
      <c r="D234" s="2" t="s">
        <v>469</v>
      </c>
      <c r="E234" s="4">
        <v>99.99</v>
      </c>
      <c r="F234" s="4">
        <v>5073.38</v>
      </c>
      <c r="G234" s="3">
        <v>51</v>
      </c>
      <c r="H234" s="6">
        <v>4.4000000000000004</v>
      </c>
      <c r="I234" s="3">
        <v>149</v>
      </c>
      <c r="J234" s="13" t="str">
        <f>HYPERLINK("https://amazon.com/dp/B0DH24P6NY","Amazon - B0DH24P6NY")</f>
        <v>Amazon - B0DH24P6NY</v>
      </c>
      <c r="K234" s="14" t="s">
        <v>443</v>
      </c>
      <c r="L234" s="14" t="s">
        <v>456</v>
      </c>
      <c r="M234" s="14" t="s">
        <v>445</v>
      </c>
      <c r="N234" s="14" t="s">
        <v>452</v>
      </c>
      <c r="O234" s="14" t="s">
        <v>479</v>
      </c>
    </row>
    <row r="235" spans="1:15" ht="30" x14ac:dyDescent="0.2">
      <c r="A235" s="2" t="s">
        <v>995</v>
      </c>
      <c r="B235" s="2" t="s">
        <v>996</v>
      </c>
      <c r="C235" s="2" t="s">
        <v>13</v>
      </c>
      <c r="D235" s="2" t="s">
        <v>472</v>
      </c>
      <c r="E235" s="4">
        <v>599.99</v>
      </c>
      <c r="F235" s="4">
        <v>5035.3500000000004</v>
      </c>
      <c r="G235" s="3">
        <v>8</v>
      </c>
      <c r="H235" s="6">
        <v>4.5</v>
      </c>
      <c r="I235" s="3">
        <v>32</v>
      </c>
      <c r="J235" s="13" t="str">
        <f>HYPERLINK("https://amazon.com/dp/B0DDXDMTPR","Amazon - B0DDXDMTPR")</f>
        <v>Amazon - B0DDXDMTPR</v>
      </c>
      <c r="K235" s="14" t="s">
        <v>443</v>
      </c>
      <c r="L235" s="14" t="s">
        <v>461</v>
      </c>
      <c r="M235" s="14" t="s">
        <v>303</v>
      </c>
      <c r="N235" s="14" t="s">
        <v>446</v>
      </c>
      <c r="O235" s="14" t="s">
        <v>856</v>
      </c>
    </row>
    <row r="236" spans="1:15" ht="30" x14ac:dyDescent="0.2">
      <c r="A236" s="2" t="s">
        <v>997</v>
      </c>
      <c r="B236" s="2" t="s">
        <v>998</v>
      </c>
      <c r="C236" s="2" t="s">
        <v>13</v>
      </c>
      <c r="D236" s="2" t="s">
        <v>442</v>
      </c>
      <c r="E236" s="4">
        <v>659.99</v>
      </c>
      <c r="F236" s="4">
        <v>5020.25</v>
      </c>
      <c r="G236" s="3">
        <v>8</v>
      </c>
      <c r="H236" s="6">
        <v>4.2</v>
      </c>
      <c r="I236" s="3">
        <v>158</v>
      </c>
      <c r="J236" s="13" t="str">
        <f>HYPERLINK("https://amazon.com/dp/B093SVJZRZ","Amazon - B093SVJZRZ")</f>
        <v>Amazon - B093SVJZRZ</v>
      </c>
      <c r="K236" s="14" t="s">
        <v>443</v>
      </c>
      <c r="L236" s="14" t="s">
        <v>461</v>
      </c>
      <c r="M236" s="14" t="s">
        <v>303</v>
      </c>
      <c r="N236" s="14" t="s">
        <v>446</v>
      </c>
      <c r="O236" s="14" t="s">
        <v>517</v>
      </c>
    </row>
    <row r="237" spans="1:15" ht="45" x14ac:dyDescent="0.2">
      <c r="A237" s="2" t="s">
        <v>999</v>
      </c>
      <c r="B237" s="2" t="s">
        <v>1000</v>
      </c>
      <c r="C237" s="2" t="s">
        <v>11</v>
      </c>
      <c r="D237" s="2" t="s">
        <v>442</v>
      </c>
      <c r="E237" s="4">
        <v>64.900000000000006</v>
      </c>
      <c r="F237" s="4">
        <v>5011.2700000000004</v>
      </c>
      <c r="G237" s="3">
        <v>77</v>
      </c>
      <c r="H237" s="6">
        <v>4.4000000000000004</v>
      </c>
      <c r="I237" s="3">
        <v>250</v>
      </c>
      <c r="J237" s="13" t="str">
        <f>HYPERLINK("https://amazon.com/dp/B0DHRTVQZB","Amazon - B0DHRTVQZB")</f>
        <v>Amazon - B0DHRTVQZB</v>
      </c>
      <c r="K237" s="14" t="s">
        <v>443</v>
      </c>
      <c r="L237" s="14" t="s">
        <v>461</v>
      </c>
      <c r="M237" s="14" t="s">
        <v>303</v>
      </c>
      <c r="N237" s="14" t="s">
        <v>473</v>
      </c>
      <c r="O237" s="14" t="s">
        <v>453</v>
      </c>
    </row>
    <row r="238" spans="1:15" ht="45" x14ac:dyDescent="0.2">
      <c r="A238" s="2" t="s">
        <v>1001</v>
      </c>
      <c r="B238" s="2" t="s">
        <v>1002</v>
      </c>
      <c r="C238" s="2" t="s">
        <v>14</v>
      </c>
      <c r="D238" s="2" t="s">
        <v>472</v>
      </c>
      <c r="E238" s="4">
        <v>299.99</v>
      </c>
      <c r="F238" s="4">
        <v>4987.1099999999997</v>
      </c>
      <c r="G238" s="3">
        <v>17</v>
      </c>
      <c r="H238" s="6">
        <v>4.8</v>
      </c>
      <c r="I238" s="3">
        <v>7</v>
      </c>
      <c r="J238" s="13" t="str">
        <f>HYPERLINK("https://amazon.com/dp/B0FSXSQWQY","Amazon - B0FSXSQWQY")</f>
        <v>Amazon - B0FSXSQWQY</v>
      </c>
      <c r="K238" s="14" t="s">
        <v>443</v>
      </c>
      <c r="L238" s="14" t="s">
        <v>667</v>
      </c>
      <c r="M238" s="14" t="s">
        <v>303</v>
      </c>
      <c r="N238" s="14" t="s">
        <v>446</v>
      </c>
      <c r="O238" s="14" t="s">
        <v>742</v>
      </c>
    </row>
    <row r="239" spans="1:15" ht="30" x14ac:dyDescent="0.2">
      <c r="A239" s="2" t="s">
        <v>1003</v>
      </c>
      <c r="B239" s="2" t="s">
        <v>1004</v>
      </c>
      <c r="C239" s="2" t="s">
        <v>29</v>
      </c>
      <c r="D239" s="2" t="s">
        <v>472</v>
      </c>
      <c r="E239" s="4">
        <v>194.34</v>
      </c>
      <c r="F239" s="4">
        <v>4965.51</v>
      </c>
      <c r="G239" s="3">
        <v>26</v>
      </c>
      <c r="H239" s="6">
        <v>4.5999999999999996</v>
      </c>
      <c r="I239" s="3">
        <v>3</v>
      </c>
      <c r="J239" s="13" t="str">
        <f>HYPERLINK("https://amazon.com/dp/B0FJLZTX4Q","Amazon - B0FJLZTX4Q")</f>
        <v>Amazon - B0FJLZTX4Q</v>
      </c>
      <c r="K239" s="14" t="s">
        <v>443</v>
      </c>
      <c r="L239" s="14" t="s">
        <v>456</v>
      </c>
      <c r="M239" s="14" t="s">
        <v>677</v>
      </c>
      <c r="N239" s="14" t="s">
        <v>446</v>
      </c>
      <c r="O239" s="14" t="s">
        <v>517</v>
      </c>
    </row>
    <row r="240" spans="1:15" ht="45" x14ac:dyDescent="0.2">
      <c r="A240" s="2" t="s">
        <v>1005</v>
      </c>
      <c r="B240" s="2" t="s">
        <v>1006</v>
      </c>
      <c r="C240" s="2" t="s">
        <v>33</v>
      </c>
      <c r="D240" s="2" t="s">
        <v>472</v>
      </c>
      <c r="E240" s="4">
        <v>219.99</v>
      </c>
      <c r="F240" s="4">
        <v>4965.24</v>
      </c>
      <c r="G240" s="3">
        <v>23</v>
      </c>
      <c r="H240" s="6">
        <v>4.3</v>
      </c>
      <c r="I240" s="3">
        <v>53</v>
      </c>
      <c r="J240" s="13" t="str">
        <f>HYPERLINK("https://amazon.com/dp/B0CRV5JNY1","Amazon - B0CRV5JNY1")</f>
        <v>Amazon - B0CRV5JNY1</v>
      </c>
      <c r="K240" s="14" t="s">
        <v>443</v>
      </c>
      <c r="L240" s="14" t="s">
        <v>456</v>
      </c>
      <c r="M240" s="14" t="s">
        <v>303</v>
      </c>
      <c r="N240" s="14" t="s">
        <v>446</v>
      </c>
      <c r="O240" s="14" t="s">
        <v>517</v>
      </c>
    </row>
    <row r="241" spans="1:15" ht="45" x14ac:dyDescent="0.2">
      <c r="A241" s="2" t="s">
        <v>1007</v>
      </c>
      <c r="B241" s="2" t="s">
        <v>1008</v>
      </c>
      <c r="C241" s="2" t="s">
        <v>28</v>
      </c>
      <c r="D241" s="2" t="s">
        <v>442</v>
      </c>
      <c r="E241" s="4">
        <v>19.989999999999998</v>
      </c>
      <c r="F241" s="4">
        <v>4951.38</v>
      </c>
      <c r="G241" s="3">
        <v>248</v>
      </c>
      <c r="H241" s="6">
        <v>4.4000000000000004</v>
      </c>
      <c r="I241" s="3">
        <v>53</v>
      </c>
      <c r="J241" s="13" t="str">
        <f>HYPERLINK("https://amazon.com/dp/B0G6L4JSWF","Amazon - B0G6L4JSWF")</f>
        <v>Amazon - B0G6L4JSWF</v>
      </c>
      <c r="K241" s="14" t="s">
        <v>443</v>
      </c>
      <c r="L241" s="14" t="s">
        <v>456</v>
      </c>
      <c r="M241" s="14" t="s">
        <v>303</v>
      </c>
      <c r="N241" s="14" t="s">
        <v>452</v>
      </c>
      <c r="O241" s="14" t="s">
        <v>453</v>
      </c>
    </row>
    <row r="242" spans="1:15" ht="45" x14ac:dyDescent="0.2">
      <c r="A242" s="2" t="s">
        <v>1009</v>
      </c>
      <c r="B242" s="2" t="s">
        <v>1010</v>
      </c>
      <c r="C242" s="2" t="s">
        <v>47</v>
      </c>
      <c r="D242" s="2" t="s">
        <v>472</v>
      </c>
      <c r="E242" s="4">
        <v>550.99</v>
      </c>
      <c r="F242" s="4">
        <v>4946.82</v>
      </c>
      <c r="G242" s="3">
        <v>8</v>
      </c>
      <c r="H242" s="6">
        <v>4</v>
      </c>
      <c r="I242" s="3">
        <v>41</v>
      </c>
      <c r="J242" s="13" t="str">
        <f>HYPERLINK("https://amazon.com/dp/B0DFQ8D1PW","Amazon - B0DFQ8D1PW")</f>
        <v>Amazon - B0DFQ8D1PW</v>
      </c>
      <c r="K242" s="14" t="s">
        <v>443</v>
      </c>
      <c r="L242" s="14" t="s">
        <v>502</v>
      </c>
      <c r="M242" s="14" t="s">
        <v>303</v>
      </c>
      <c r="N242" s="14" t="s">
        <v>446</v>
      </c>
      <c r="O242" s="14" t="s">
        <v>863</v>
      </c>
    </row>
    <row r="243" spans="1:15" ht="45" x14ac:dyDescent="0.2">
      <c r="A243" s="2" t="s">
        <v>1011</v>
      </c>
      <c r="B243" s="2" t="s">
        <v>1012</v>
      </c>
      <c r="C243" s="2" t="s">
        <v>33</v>
      </c>
      <c r="D243" s="2" t="s">
        <v>472</v>
      </c>
      <c r="E243" s="4">
        <v>899.99</v>
      </c>
      <c r="F243" s="4">
        <v>4929.79</v>
      </c>
      <c r="G243" s="3">
        <v>5</v>
      </c>
      <c r="H243" s="6">
        <v>4.8</v>
      </c>
      <c r="I243" s="3">
        <v>7</v>
      </c>
      <c r="J243" s="13" t="str">
        <f>HYPERLINK("https://amazon.com/dp/B0FM7X3P5X","Amazon - B0FM7X3P5X")</f>
        <v>Amazon - B0FM7X3P5X</v>
      </c>
      <c r="K243" s="14" t="s">
        <v>443</v>
      </c>
      <c r="L243" s="14" t="s">
        <v>564</v>
      </c>
      <c r="M243" s="14" t="s">
        <v>303</v>
      </c>
      <c r="N243" s="14" t="s">
        <v>446</v>
      </c>
      <c r="O243" s="14" t="s">
        <v>517</v>
      </c>
    </row>
    <row r="244" spans="1:15" ht="30" x14ac:dyDescent="0.2">
      <c r="A244" s="2" t="s">
        <v>1013</v>
      </c>
      <c r="B244" s="2" t="s">
        <v>1014</v>
      </c>
      <c r="C244" s="2" t="s">
        <v>8</v>
      </c>
      <c r="D244" s="2" t="s">
        <v>442</v>
      </c>
      <c r="E244" s="4">
        <v>89.99</v>
      </c>
      <c r="F244" s="4">
        <v>4889.8999999999996</v>
      </c>
      <c r="G244" s="3">
        <v>54</v>
      </c>
      <c r="H244" s="6">
        <v>4.5999999999999996</v>
      </c>
      <c r="I244" s="3">
        <v>51</v>
      </c>
      <c r="J244" s="13" t="str">
        <f>HYPERLINK("https://amazon.com/dp/B08QCCZHC6","Amazon - B08QCCZHC6")</f>
        <v>Amazon - B08QCCZHC6</v>
      </c>
      <c r="K244" s="14" t="s">
        <v>443</v>
      </c>
      <c r="L244" s="14" t="s">
        <v>303</v>
      </c>
      <c r="M244" s="14" t="s">
        <v>462</v>
      </c>
      <c r="N244" s="14" t="s">
        <v>452</v>
      </c>
      <c r="O244" s="14" t="s">
        <v>543</v>
      </c>
    </row>
    <row r="245" spans="1:15" ht="45" x14ac:dyDescent="0.2">
      <c r="A245" s="2" t="s">
        <v>1015</v>
      </c>
      <c r="B245" s="2" t="s">
        <v>1016</v>
      </c>
      <c r="C245" s="2" t="s">
        <v>9</v>
      </c>
      <c r="D245" s="2" t="s">
        <v>472</v>
      </c>
      <c r="E245" s="4">
        <v>72.989999999999995</v>
      </c>
      <c r="F245" s="4">
        <v>4859.91</v>
      </c>
      <c r="G245" s="3">
        <v>77</v>
      </c>
      <c r="H245" s="6">
        <v>4.5</v>
      </c>
      <c r="I245" s="3">
        <v>7036</v>
      </c>
      <c r="J245" s="13" t="str">
        <f>HYPERLINK("https://amazon.com/dp/B09DKKJGS7","Amazon - B09DKKJGS7")</f>
        <v>Amazon - B09DKKJGS7</v>
      </c>
      <c r="K245" s="14" t="s">
        <v>443</v>
      </c>
      <c r="L245" s="14" t="s">
        <v>456</v>
      </c>
      <c r="M245" s="14" t="s">
        <v>445</v>
      </c>
      <c r="N245" s="14" t="s">
        <v>452</v>
      </c>
      <c r="O245" s="14" t="s">
        <v>453</v>
      </c>
    </row>
    <row r="246" spans="1:15" ht="45" x14ac:dyDescent="0.2">
      <c r="A246" s="2" t="s">
        <v>1017</v>
      </c>
      <c r="B246" s="2" t="s">
        <v>1018</v>
      </c>
      <c r="C246" s="2" t="s">
        <v>11</v>
      </c>
      <c r="D246" s="2" t="s">
        <v>472</v>
      </c>
      <c r="E246" s="4">
        <v>656.9</v>
      </c>
      <c r="F246" s="4">
        <v>4838.42</v>
      </c>
      <c r="G246" s="3">
        <v>7</v>
      </c>
      <c r="H246" s="6">
        <v>4</v>
      </c>
      <c r="I246" s="3">
        <v>18</v>
      </c>
      <c r="J246" s="13" t="str">
        <f>HYPERLINK("https://amazon.com/dp/B0BV2Q92RJ","Amazon - B0BV2Q92RJ")</f>
        <v>Amazon - B0BV2Q92RJ</v>
      </c>
      <c r="K246" s="14" t="s">
        <v>443</v>
      </c>
      <c r="L246" s="14" t="s">
        <v>502</v>
      </c>
      <c r="M246" s="14" t="s">
        <v>303</v>
      </c>
      <c r="N246" s="14" t="s">
        <v>446</v>
      </c>
      <c r="O246" s="14" t="s">
        <v>504</v>
      </c>
    </row>
    <row r="247" spans="1:15" ht="45" x14ac:dyDescent="0.2">
      <c r="A247" s="2" t="s">
        <v>1019</v>
      </c>
      <c r="B247" s="2" t="s">
        <v>1020</v>
      </c>
      <c r="C247" s="2" t="s">
        <v>13</v>
      </c>
      <c r="D247" s="2" t="s">
        <v>472</v>
      </c>
      <c r="E247" s="4">
        <v>849.99</v>
      </c>
      <c r="F247" s="4">
        <v>4837.63</v>
      </c>
      <c r="G247" s="3">
        <v>6</v>
      </c>
      <c r="H247" s="6">
        <v>5</v>
      </c>
      <c r="I247" s="3">
        <v>2</v>
      </c>
      <c r="J247" s="13" t="str">
        <f>HYPERLINK("https://amazon.com/dp/B0DNW97B3J","Amazon - B0DNW97B3J")</f>
        <v>Amazon - B0DNW97B3J</v>
      </c>
      <c r="K247" s="14" t="s">
        <v>443</v>
      </c>
      <c r="L247" s="14" t="s">
        <v>502</v>
      </c>
      <c r="M247" s="14" t="s">
        <v>565</v>
      </c>
      <c r="N247" s="14" t="s">
        <v>446</v>
      </c>
      <c r="O247" s="14" t="s">
        <v>856</v>
      </c>
    </row>
    <row r="248" spans="1:15" ht="45" x14ac:dyDescent="0.2">
      <c r="A248" s="2" t="s">
        <v>1021</v>
      </c>
      <c r="B248" s="2" t="s">
        <v>1022</v>
      </c>
      <c r="C248" s="2" t="s">
        <v>61</v>
      </c>
      <c r="D248" s="2" t="s">
        <v>472</v>
      </c>
      <c r="E248" s="4">
        <v>439.99</v>
      </c>
      <c r="F248" s="4">
        <v>4834.66</v>
      </c>
      <c r="G248" s="3">
        <v>11</v>
      </c>
      <c r="H248" s="6">
        <v>4.3</v>
      </c>
      <c r="I248" s="3">
        <v>78</v>
      </c>
      <c r="J248" s="13" t="str">
        <f>HYPERLINK("https://amazon.com/dp/B0FRSSTC51","Amazon - B0FRSSTC51")</f>
        <v>Amazon - B0FRSSTC51</v>
      </c>
      <c r="K248" s="14" t="s">
        <v>443</v>
      </c>
      <c r="L248" s="14" t="s">
        <v>667</v>
      </c>
      <c r="M248" s="14" t="s">
        <v>303</v>
      </c>
      <c r="N248" s="14" t="s">
        <v>446</v>
      </c>
      <c r="O248" s="14" t="s">
        <v>517</v>
      </c>
    </row>
    <row r="249" spans="1:15" ht="45" x14ac:dyDescent="0.2">
      <c r="A249" s="2" t="s">
        <v>1023</v>
      </c>
      <c r="B249" s="2" t="s">
        <v>1024</v>
      </c>
      <c r="C249" s="2" t="s">
        <v>63</v>
      </c>
      <c r="D249" s="2" t="s">
        <v>442</v>
      </c>
      <c r="E249" s="4">
        <v>89.99</v>
      </c>
      <c r="F249" s="4">
        <v>4797.3999999999996</v>
      </c>
      <c r="G249" s="3">
        <v>51</v>
      </c>
      <c r="H249" s="6">
        <v>5</v>
      </c>
      <c r="I249" s="3">
        <v>9</v>
      </c>
      <c r="J249" s="13" t="str">
        <f>HYPERLINK("https://amazon.com/dp/B0FJF9SXSR","Amazon - B0FJF9SXSR")</f>
        <v>Amazon - B0FJF9SXSR</v>
      </c>
      <c r="K249" s="14" t="s">
        <v>443</v>
      </c>
      <c r="L249" s="14" t="s">
        <v>456</v>
      </c>
      <c r="M249" s="14" t="s">
        <v>484</v>
      </c>
      <c r="N249" s="14" t="s">
        <v>446</v>
      </c>
      <c r="O249" s="14" t="s">
        <v>543</v>
      </c>
    </row>
    <row r="250" spans="1:15" ht="45" x14ac:dyDescent="0.2">
      <c r="A250" s="2" t="s">
        <v>1025</v>
      </c>
      <c r="B250" s="2" t="s">
        <v>1026</v>
      </c>
      <c r="C250" s="2" t="s">
        <v>37</v>
      </c>
      <c r="D250" s="2" t="s">
        <v>472</v>
      </c>
      <c r="E250" s="4">
        <v>38.99</v>
      </c>
      <c r="F250" s="4">
        <v>4758.07</v>
      </c>
      <c r="G250" s="3">
        <v>120</v>
      </c>
      <c r="H250" s="6">
        <v>4.4000000000000004</v>
      </c>
      <c r="I250" s="3">
        <v>2773</v>
      </c>
      <c r="J250" s="13" t="str">
        <f>HYPERLINK("https://amazon.com/dp/B0FQVDJ14T","Amazon - B0FQVDJ14T")</f>
        <v>Amazon - B0FQVDJ14T</v>
      </c>
      <c r="K250" s="14" t="s">
        <v>443</v>
      </c>
      <c r="L250" s="14" t="s">
        <v>303</v>
      </c>
      <c r="M250" s="14" t="s">
        <v>303</v>
      </c>
      <c r="N250" s="14" t="s">
        <v>446</v>
      </c>
      <c r="O250" s="14" t="s">
        <v>608</v>
      </c>
    </row>
    <row r="251" spans="1:15" ht="45" x14ac:dyDescent="0.2">
      <c r="A251" s="2" t="s">
        <v>1027</v>
      </c>
      <c r="B251" s="2" t="s">
        <v>1028</v>
      </c>
      <c r="C251" s="2" t="s">
        <v>15</v>
      </c>
      <c r="D251" s="2" t="s">
        <v>442</v>
      </c>
      <c r="E251" s="4">
        <v>329.99</v>
      </c>
      <c r="F251" s="4">
        <v>4751.9399999999996</v>
      </c>
      <c r="G251" s="3">
        <v>14</v>
      </c>
      <c r="H251" s="6">
        <v>4.3</v>
      </c>
      <c r="I251" s="3">
        <v>66</v>
      </c>
      <c r="J251" s="13" t="str">
        <f>HYPERLINK("https://amazon.com/dp/B0FJLL4LY1","Amazon - B0FJLL4LY1")</f>
        <v>Amazon - B0FJLL4LY1</v>
      </c>
      <c r="K251" s="14" t="s">
        <v>443</v>
      </c>
      <c r="L251" s="14" t="s">
        <v>461</v>
      </c>
      <c r="M251" s="14" t="s">
        <v>511</v>
      </c>
      <c r="N251" s="14" t="s">
        <v>446</v>
      </c>
      <c r="O251" s="14" t="s">
        <v>447</v>
      </c>
    </row>
    <row r="252" spans="1:15" ht="30" x14ac:dyDescent="0.2">
      <c r="A252" s="2" t="s">
        <v>1029</v>
      </c>
      <c r="B252" s="2" t="s">
        <v>1030</v>
      </c>
      <c r="C252" s="2" t="s">
        <v>40</v>
      </c>
      <c r="D252" s="2" t="s">
        <v>472</v>
      </c>
      <c r="E252" s="4">
        <v>139.99</v>
      </c>
      <c r="F252" s="4">
        <v>4747.8999999999996</v>
      </c>
      <c r="G252" s="3">
        <v>38</v>
      </c>
      <c r="H252" s="6">
        <v>3.5</v>
      </c>
      <c r="I252" s="3">
        <v>51</v>
      </c>
      <c r="J252" s="13" t="str">
        <f>HYPERLINK("https://amazon.com/dp/B09L16P119","Amazon - B09L16P119")</f>
        <v>Amazon - B09L16P119</v>
      </c>
      <c r="K252" s="14" t="s">
        <v>443</v>
      </c>
      <c r="L252" s="14" t="s">
        <v>303</v>
      </c>
      <c r="M252" s="14" t="s">
        <v>503</v>
      </c>
      <c r="N252" s="14" t="s">
        <v>446</v>
      </c>
      <c r="O252" s="14" t="s">
        <v>303</v>
      </c>
    </row>
    <row r="253" spans="1:15" ht="45" x14ac:dyDescent="0.2">
      <c r="A253" s="2" t="s">
        <v>1031</v>
      </c>
      <c r="B253" s="2" t="s">
        <v>1032</v>
      </c>
      <c r="C253" s="2" t="s">
        <v>13</v>
      </c>
      <c r="D253" s="2" t="s">
        <v>472</v>
      </c>
      <c r="E253" s="4">
        <v>899.99</v>
      </c>
      <c r="F253" s="4">
        <v>4732.58</v>
      </c>
      <c r="G253" s="3">
        <v>5</v>
      </c>
      <c r="H253" s="6">
        <v>4.0999999999999996</v>
      </c>
      <c r="I253" s="3">
        <v>31</v>
      </c>
      <c r="J253" s="13" t="str">
        <f>HYPERLINK("https://amazon.com/dp/B0FFML9DVK","Amazon - B0FFML9DVK")</f>
        <v>Amazon - B0FFML9DVK</v>
      </c>
      <c r="K253" s="14" t="s">
        <v>443</v>
      </c>
      <c r="L253" s="14" t="s">
        <v>461</v>
      </c>
      <c r="M253" s="14" t="s">
        <v>565</v>
      </c>
      <c r="N253" s="14" t="s">
        <v>446</v>
      </c>
      <c r="O253" s="14" t="s">
        <v>570</v>
      </c>
    </row>
    <row r="254" spans="1:15" ht="30" x14ac:dyDescent="0.2">
      <c r="A254" s="2" t="s">
        <v>1033</v>
      </c>
      <c r="B254" s="2" t="s">
        <v>1034</v>
      </c>
      <c r="C254" s="2" t="s">
        <v>34</v>
      </c>
      <c r="D254" s="2" t="s">
        <v>450</v>
      </c>
      <c r="E254" s="4">
        <v>19.98</v>
      </c>
      <c r="F254" s="4">
        <v>4730.33</v>
      </c>
      <c r="G254" s="3">
        <v>197</v>
      </c>
      <c r="H254" s="6">
        <v>4.2</v>
      </c>
      <c r="I254" s="3">
        <v>616</v>
      </c>
      <c r="J254" s="13" t="str">
        <f>HYPERLINK("https://amazon.com/dp/B0FY1QX78V","Amazon - B0FY1QX78V")</f>
        <v>Amazon - B0FY1QX78V</v>
      </c>
      <c r="K254" s="14" t="s">
        <v>443</v>
      </c>
      <c r="L254" s="14" t="s">
        <v>451</v>
      </c>
      <c r="M254" s="14" t="s">
        <v>303</v>
      </c>
      <c r="N254" s="14" t="s">
        <v>446</v>
      </c>
      <c r="O254" s="14" t="s">
        <v>524</v>
      </c>
    </row>
    <row r="255" spans="1:15" ht="45" x14ac:dyDescent="0.2">
      <c r="A255" s="2" t="s">
        <v>1035</v>
      </c>
      <c r="B255" s="2" t="s">
        <v>1036</v>
      </c>
      <c r="C255" s="2" t="s">
        <v>62</v>
      </c>
      <c r="D255" s="2" t="s">
        <v>450</v>
      </c>
      <c r="E255" s="4">
        <v>49</v>
      </c>
      <c r="F255" s="4">
        <v>4715.87</v>
      </c>
      <c r="G255" s="3">
        <v>96</v>
      </c>
      <c r="H255" s="6">
        <v>4.5999999999999996</v>
      </c>
      <c r="I255" s="3">
        <v>316</v>
      </c>
      <c r="J255" s="13" t="str">
        <f>HYPERLINK("https://amazon.com/dp/B013BJX63O","Amazon - B013BJX63O")</f>
        <v>Amazon - B013BJX63O</v>
      </c>
      <c r="K255" s="14" t="s">
        <v>443</v>
      </c>
      <c r="L255" s="14" t="s">
        <v>303</v>
      </c>
      <c r="M255" s="14" t="s">
        <v>457</v>
      </c>
      <c r="N255" s="14" t="s">
        <v>446</v>
      </c>
      <c r="O255" s="14" t="s">
        <v>303</v>
      </c>
    </row>
    <row r="256" spans="1:15" ht="45" x14ac:dyDescent="0.2">
      <c r="A256" s="2" t="s">
        <v>1037</v>
      </c>
      <c r="B256" s="2" t="s">
        <v>1038</v>
      </c>
      <c r="C256" s="2" t="s">
        <v>15</v>
      </c>
      <c r="D256" s="2" t="s">
        <v>442</v>
      </c>
      <c r="E256" s="4">
        <v>129.99</v>
      </c>
      <c r="F256" s="4">
        <v>4702.68</v>
      </c>
      <c r="G256" s="3">
        <v>36</v>
      </c>
      <c r="H256" s="6">
        <v>4.5999999999999996</v>
      </c>
      <c r="I256" s="3">
        <v>65</v>
      </c>
      <c r="J256" s="13" t="str">
        <f>HYPERLINK("https://amazon.com/dp/B0FZT8LXG2","Amazon - B0FZT8LXG2")</f>
        <v>Amazon - B0FZT8LXG2</v>
      </c>
      <c r="K256" s="14" t="s">
        <v>443</v>
      </c>
      <c r="L256" s="14" t="s">
        <v>461</v>
      </c>
      <c r="M256" s="14" t="s">
        <v>577</v>
      </c>
      <c r="N256" s="14" t="s">
        <v>446</v>
      </c>
      <c r="O256" s="14" t="s">
        <v>447</v>
      </c>
    </row>
    <row r="257" spans="1:15" ht="45" x14ac:dyDescent="0.2">
      <c r="A257" s="2" t="s">
        <v>1039</v>
      </c>
      <c r="B257" s="2" t="s">
        <v>1040</v>
      </c>
      <c r="C257" s="2" t="s">
        <v>47</v>
      </c>
      <c r="D257" s="2" t="s">
        <v>472</v>
      </c>
      <c r="E257" s="4">
        <v>859.99</v>
      </c>
      <c r="F257" s="4">
        <v>4695.8999999999996</v>
      </c>
      <c r="G257" s="3">
        <v>6</v>
      </c>
      <c r="H257" s="6">
        <v>4</v>
      </c>
      <c r="I257" s="3">
        <v>41</v>
      </c>
      <c r="J257" s="13" t="str">
        <f>HYPERLINK("https://amazon.com/dp/B0DFQ95DW2","Amazon - B0DFQ95DW2")</f>
        <v>Amazon - B0DFQ95DW2</v>
      </c>
      <c r="K257" s="14" t="s">
        <v>443</v>
      </c>
      <c r="L257" s="14" t="s">
        <v>502</v>
      </c>
      <c r="M257" s="14" t="s">
        <v>303</v>
      </c>
      <c r="N257" s="14" t="s">
        <v>446</v>
      </c>
      <c r="O257" s="14" t="s">
        <v>570</v>
      </c>
    </row>
    <row r="258" spans="1:15" ht="45" x14ac:dyDescent="0.2">
      <c r="A258" s="2" t="s">
        <v>1041</v>
      </c>
      <c r="B258" s="2" t="s">
        <v>1042</v>
      </c>
      <c r="C258" s="2" t="s">
        <v>13</v>
      </c>
      <c r="D258" s="2" t="s">
        <v>472</v>
      </c>
      <c r="E258" s="4">
        <v>899.99</v>
      </c>
      <c r="F258" s="4">
        <v>4693.16</v>
      </c>
      <c r="G258" s="3">
        <v>5</v>
      </c>
      <c r="H258" s="6">
        <v>4.3</v>
      </c>
      <c r="I258" s="3">
        <v>20</v>
      </c>
      <c r="J258" s="13" t="str">
        <f>HYPERLINK("https://amazon.com/dp/B0BTDDX3LD","Amazon - B0BTDDX3LD")</f>
        <v>Amazon - B0BTDDX3LD</v>
      </c>
      <c r="K258" s="14" t="s">
        <v>443</v>
      </c>
      <c r="L258" s="14" t="s">
        <v>461</v>
      </c>
      <c r="M258" s="14" t="s">
        <v>303</v>
      </c>
      <c r="N258" s="14" t="s">
        <v>446</v>
      </c>
      <c r="O258" s="14" t="s">
        <v>570</v>
      </c>
    </row>
    <row r="259" spans="1:15" ht="45" x14ac:dyDescent="0.2">
      <c r="A259" s="2" t="s">
        <v>1043</v>
      </c>
      <c r="B259" s="2" t="s">
        <v>1044</v>
      </c>
      <c r="C259" s="2" t="s">
        <v>13</v>
      </c>
      <c r="D259" s="2" t="s">
        <v>472</v>
      </c>
      <c r="E259" s="4">
        <v>629.99</v>
      </c>
      <c r="F259" s="4">
        <v>4679.62</v>
      </c>
      <c r="G259" s="3">
        <v>7</v>
      </c>
      <c r="H259" s="6">
        <v>4.8</v>
      </c>
      <c r="I259" s="3">
        <v>5</v>
      </c>
      <c r="J259" s="13" t="str">
        <f>HYPERLINK("https://amazon.com/dp/B0FXXFZBB6","Amazon - B0FXXFZBB6")</f>
        <v>Amazon - B0FXXFZBB6</v>
      </c>
      <c r="K259" s="14" t="s">
        <v>443</v>
      </c>
      <c r="L259" s="14" t="s">
        <v>461</v>
      </c>
      <c r="M259" s="14" t="s">
        <v>565</v>
      </c>
      <c r="N259" s="14" t="s">
        <v>446</v>
      </c>
      <c r="O259" s="14" t="s">
        <v>570</v>
      </c>
    </row>
    <row r="260" spans="1:15" ht="45" x14ac:dyDescent="0.2">
      <c r="A260" s="2" t="s">
        <v>1045</v>
      </c>
      <c r="B260" s="2" t="s">
        <v>1046</v>
      </c>
      <c r="C260" s="2" t="s">
        <v>86</v>
      </c>
      <c r="D260" s="2" t="s">
        <v>442</v>
      </c>
      <c r="E260" s="4">
        <v>112.99</v>
      </c>
      <c r="F260" s="4">
        <v>4645.54</v>
      </c>
      <c r="G260" s="3">
        <v>38</v>
      </c>
      <c r="H260" s="6">
        <v>4.4000000000000004</v>
      </c>
      <c r="I260" s="3">
        <v>75</v>
      </c>
      <c r="J260" s="13" t="str">
        <f>HYPERLINK("https://amazon.com/dp/B0DPQ2HV9T","Amazon - B0DPQ2HV9T")</f>
        <v>Amazon - B0DPQ2HV9T</v>
      </c>
      <c r="K260" s="14" t="s">
        <v>443</v>
      </c>
      <c r="L260" s="14" t="s">
        <v>461</v>
      </c>
      <c r="M260" s="14" t="s">
        <v>484</v>
      </c>
      <c r="N260" s="14" t="s">
        <v>452</v>
      </c>
      <c r="O260" s="14" t="s">
        <v>447</v>
      </c>
    </row>
    <row r="261" spans="1:15" ht="45" x14ac:dyDescent="0.2">
      <c r="A261" s="2" t="s">
        <v>1047</v>
      </c>
      <c r="B261" s="2" t="s">
        <v>1048</v>
      </c>
      <c r="C261" s="2" t="s">
        <v>13</v>
      </c>
      <c r="D261" s="2" t="s">
        <v>472</v>
      </c>
      <c r="E261" s="4">
        <v>449.99</v>
      </c>
      <c r="F261" s="4">
        <v>4644.17</v>
      </c>
      <c r="G261" s="3">
        <v>10</v>
      </c>
      <c r="H261" s="6">
        <v>4.8</v>
      </c>
      <c r="I261" s="3">
        <v>5</v>
      </c>
      <c r="J261" s="13" t="str">
        <f>HYPERLINK("https://amazon.com/dp/B0FKB5FTTH","Amazon - B0FKB5FTTH")</f>
        <v>Amazon - B0FKB5FTTH</v>
      </c>
      <c r="K261" s="14" t="s">
        <v>443</v>
      </c>
      <c r="L261" s="14" t="s">
        <v>461</v>
      </c>
      <c r="M261" s="14" t="s">
        <v>565</v>
      </c>
      <c r="N261" s="14" t="s">
        <v>446</v>
      </c>
      <c r="O261" s="14" t="s">
        <v>517</v>
      </c>
    </row>
    <row r="262" spans="1:15" ht="45" x14ac:dyDescent="0.2">
      <c r="A262" s="2" t="s">
        <v>1049</v>
      </c>
      <c r="B262" s="2" t="s">
        <v>1050</v>
      </c>
      <c r="C262" s="2" t="s">
        <v>41</v>
      </c>
      <c r="D262" s="2" t="s">
        <v>442</v>
      </c>
      <c r="E262" s="4">
        <v>28.99</v>
      </c>
      <c r="F262" s="4">
        <v>4630.7700000000004</v>
      </c>
      <c r="G262" s="3">
        <v>165</v>
      </c>
      <c r="H262" s="6">
        <v>4.5</v>
      </c>
      <c r="I262" s="3">
        <v>592</v>
      </c>
      <c r="J262" s="13" t="str">
        <f>HYPERLINK("https://amazon.com/dp/B0D5QZBDRX","Amazon - B0D5QZBDRX")</f>
        <v>Amazon - B0D5QZBDRX</v>
      </c>
      <c r="K262" s="14" t="s">
        <v>443</v>
      </c>
      <c r="L262" s="14" t="s">
        <v>456</v>
      </c>
      <c r="M262" s="14" t="s">
        <v>303</v>
      </c>
      <c r="N262" s="14" t="s">
        <v>446</v>
      </c>
      <c r="O262" s="14" t="s">
        <v>453</v>
      </c>
    </row>
    <row r="263" spans="1:15" ht="30" x14ac:dyDescent="0.2">
      <c r="A263" s="2" t="s">
        <v>1051</v>
      </c>
      <c r="B263" s="2" t="s">
        <v>1052</v>
      </c>
      <c r="C263" s="2" t="s">
        <v>38</v>
      </c>
      <c r="D263" s="2" t="s">
        <v>442</v>
      </c>
      <c r="E263" s="4">
        <v>149.99</v>
      </c>
      <c r="F263" s="4">
        <v>4590.6400000000003</v>
      </c>
      <c r="G263" s="3">
        <v>47</v>
      </c>
      <c r="H263" s="6">
        <v>4.9000000000000004</v>
      </c>
      <c r="I263" s="3">
        <v>57</v>
      </c>
      <c r="J263" s="13" t="str">
        <f>HYPERLINK("https://amazon.com/dp/B0FDF9WVNK","Amazon - B0FDF9WVNK")</f>
        <v>Amazon - B0FDF9WVNK</v>
      </c>
      <c r="K263" s="14" t="s">
        <v>443</v>
      </c>
      <c r="L263" s="14" t="s">
        <v>461</v>
      </c>
      <c r="M263" s="14" t="s">
        <v>303</v>
      </c>
      <c r="N263" s="14" t="s">
        <v>452</v>
      </c>
      <c r="O263" s="14" t="s">
        <v>447</v>
      </c>
    </row>
    <row r="264" spans="1:15" ht="45" x14ac:dyDescent="0.2">
      <c r="A264" s="2" t="s">
        <v>1053</v>
      </c>
      <c r="B264" s="2" t="s">
        <v>1054</v>
      </c>
      <c r="C264" s="2" t="s">
        <v>87</v>
      </c>
      <c r="D264" s="2" t="s">
        <v>442</v>
      </c>
      <c r="E264" s="4">
        <v>259.99</v>
      </c>
      <c r="F264" s="4">
        <v>4573.26</v>
      </c>
      <c r="G264" s="3">
        <v>15</v>
      </c>
      <c r="H264" s="6">
        <v>4.5</v>
      </c>
      <c r="I264" s="3">
        <v>18</v>
      </c>
      <c r="J264" s="13" t="str">
        <f>HYPERLINK("https://amazon.com/dp/B0DZFTBJXN","Amazon - B0DZFTBJXN")</f>
        <v>Amazon - B0DZFTBJXN</v>
      </c>
      <c r="K264" s="14" t="s">
        <v>443</v>
      </c>
      <c r="L264" s="14" t="s">
        <v>461</v>
      </c>
      <c r="M264" s="14" t="s">
        <v>535</v>
      </c>
      <c r="N264" s="14" t="s">
        <v>446</v>
      </c>
      <c r="O264" s="14" t="s">
        <v>447</v>
      </c>
    </row>
    <row r="265" spans="1:15" ht="30" x14ac:dyDescent="0.2">
      <c r="A265" s="2" t="s">
        <v>1055</v>
      </c>
      <c r="B265" s="2" t="s">
        <v>1056</v>
      </c>
      <c r="C265" s="2" t="s">
        <v>13</v>
      </c>
      <c r="D265" s="2" t="s">
        <v>472</v>
      </c>
      <c r="E265" s="4">
        <v>729.99</v>
      </c>
      <c r="F265" s="4">
        <v>4559.08</v>
      </c>
      <c r="G265" s="3">
        <v>6</v>
      </c>
      <c r="H265" s="6">
        <v>4.2</v>
      </c>
      <c r="I265" s="3">
        <v>15</v>
      </c>
      <c r="J265" s="13" t="str">
        <f>HYPERLINK("https://amazon.com/dp/B0CYSTX8HK","Amazon - B0CYSTX8HK")</f>
        <v>Amazon - B0CYSTX8HK</v>
      </c>
      <c r="K265" s="14" t="s">
        <v>443</v>
      </c>
      <c r="L265" s="14" t="s">
        <v>461</v>
      </c>
      <c r="M265" s="14" t="s">
        <v>565</v>
      </c>
      <c r="N265" s="14" t="s">
        <v>446</v>
      </c>
      <c r="O265" s="14" t="s">
        <v>856</v>
      </c>
    </row>
    <row r="266" spans="1:15" ht="45" x14ac:dyDescent="0.2">
      <c r="A266" s="2" t="s">
        <v>1057</v>
      </c>
      <c r="B266" s="2" t="s">
        <v>1058</v>
      </c>
      <c r="C266" s="2" t="s">
        <v>16</v>
      </c>
      <c r="D266" s="2" t="s">
        <v>442</v>
      </c>
      <c r="E266" s="4">
        <v>33.99</v>
      </c>
      <c r="F266" s="4">
        <v>4551.79</v>
      </c>
      <c r="G266" s="3">
        <v>119</v>
      </c>
      <c r="H266" s="6">
        <v>4.5</v>
      </c>
      <c r="I266" s="3">
        <v>430</v>
      </c>
      <c r="J266" s="13" t="str">
        <f>HYPERLINK("https://amazon.com/dp/B0C9L96KF7","Amazon - B0C9L96KF7")</f>
        <v>Amazon - B0C9L96KF7</v>
      </c>
      <c r="K266" s="14" t="s">
        <v>443</v>
      </c>
      <c r="L266" s="14" t="s">
        <v>456</v>
      </c>
      <c r="M266" s="14" t="s">
        <v>303</v>
      </c>
      <c r="N266" s="14" t="s">
        <v>446</v>
      </c>
      <c r="O266" s="14" t="s">
        <v>745</v>
      </c>
    </row>
    <row r="267" spans="1:15" ht="45" x14ac:dyDescent="0.2">
      <c r="A267" s="2" t="s">
        <v>1059</v>
      </c>
      <c r="B267" s="2" t="s">
        <v>1060</v>
      </c>
      <c r="C267" s="2" t="s">
        <v>9</v>
      </c>
      <c r="D267" s="2" t="s">
        <v>472</v>
      </c>
      <c r="E267" s="4">
        <v>89.99</v>
      </c>
      <c r="F267" s="4">
        <v>4512.37</v>
      </c>
      <c r="G267" s="3">
        <v>50</v>
      </c>
      <c r="H267" s="6">
        <v>4.7</v>
      </c>
      <c r="I267" s="3">
        <v>17</v>
      </c>
      <c r="J267" s="13" t="str">
        <f>HYPERLINK("https://amazon.com/dp/B0FS68V4ZV","Amazon - B0FS68V4ZV")</f>
        <v>Amazon - B0FS68V4ZV</v>
      </c>
      <c r="K267" s="14" t="s">
        <v>443</v>
      </c>
      <c r="L267" s="14" t="s">
        <v>461</v>
      </c>
      <c r="M267" s="14" t="s">
        <v>303</v>
      </c>
      <c r="N267" s="14" t="s">
        <v>473</v>
      </c>
      <c r="O267" s="14" t="s">
        <v>453</v>
      </c>
    </row>
    <row r="268" spans="1:15" ht="45" x14ac:dyDescent="0.2">
      <c r="A268" s="2" t="s">
        <v>1061</v>
      </c>
      <c r="B268" s="2" t="s">
        <v>1062</v>
      </c>
      <c r="C268" s="2" t="s">
        <v>8</v>
      </c>
      <c r="D268" s="2" t="s">
        <v>442</v>
      </c>
      <c r="E268" s="4">
        <v>89.99</v>
      </c>
      <c r="F268" s="4">
        <v>4496.2</v>
      </c>
      <c r="G268" s="3">
        <v>50</v>
      </c>
      <c r="H268" s="6">
        <v>4.3</v>
      </c>
      <c r="I268" s="3">
        <v>178</v>
      </c>
      <c r="J268" s="13" t="str">
        <f>HYPERLINK("https://amazon.com/dp/B09YGNWL44","Amazon - B09YGNWL44")</f>
        <v>Amazon - B09YGNWL44</v>
      </c>
      <c r="K268" s="14" t="s">
        <v>443</v>
      </c>
      <c r="L268" s="14" t="s">
        <v>444</v>
      </c>
      <c r="M268" s="14" t="s">
        <v>462</v>
      </c>
      <c r="N268" s="14" t="s">
        <v>452</v>
      </c>
      <c r="O268" s="14" t="s">
        <v>447</v>
      </c>
    </row>
    <row r="269" spans="1:15" ht="45" x14ac:dyDescent="0.2">
      <c r="A269" s="2" t="s">
        <v>1063</v>
      </c>
      <c r="B269" s="2" t="s">
        <v>1064</v>
      </c>
      <c r="C269" s="2" t="s">
        <v>52</v>
      </c>
      <c r="D269" s="2" t="s">
        <v>442</v>
      </c>
      <c r="E269" s="4">
        <v>249.99</v>
      </c>
      <c r="F269" s="4">
        <v>4457.29</v>
      </c>
      <c r="G269" s="3">
        <v>21</v>
      </c>
      <c r="H269" s="6">
        <v>4.5</v>
      </c>
      <c r="I269" s="3">
        <v>145</v>
      </c>
      <c r="J269" s="13" t="str">
        <f>HYPERLINK("https://amazon.com/dp/B0F21RD15V","Amazon - B0F21RD15V")</f>
        <v>Amazon - B0F21RD15V</v>
      </c>
      <c r="K269" s="14" t="s">
        <v>482</v>
      </c>
      <c r="L269" s="14" t="s">
        <v>461</v>
      </c>
      <c r="M269" s="14" t="s">
        <v>577</v>
      </c>
      <c r="N269" s="14" t="s">
        <v>452</v>
      </c>
      <c r="O269" s="14" t="s">
        <v>447</v>
      </c>
    </row>
    <row r="270" spans="1:15" ht="45" x14ac:dyDescent="0.2">
      <c r="A270" s="2" t="s">
        <v>1065</v>
      </c>
      <c r="B270" s="2" t="s">
        <v>1066</v>
      </c>
      <c r="C270" s="2" t="s">
        <v>11</v>
      </c>
      <c r="D270" s="2" t="s">
        <v>442</v>
      </c>
      <c r="E270" s="4">
        <v>73.989999999999995</v>
      </c>
      <c r="F270" s="4">
        <v>4432.22</v>
      </c>
      <c r="G270" s="3">
        <v>60</v>
      </c>
      <c r="H270" s="6">
        <v>4.2</v>
      </c>
      <c r="I270" s="3">
        <v>316</v>
      </c>
      <c r="J270" s="13" t="str">
        <f>HYPERLINK("https://amazon.com/dp/B0C2Z9ZK9F","Amazon - B0C2Z9ZK9F")</f>
        <v>Amazon - B0C2Z9ZK9F</v>
      </c>
      <c r="K270" s="14" t="s">
        <v>443</v>
      </c>
      <c r="L270" s="14" t="s">
        <v>461</v>
      </c>
      <c r="M270" s="14" t="s">
        <v>303</v>
      </c>
      <c r="N270" s="14" t="s">
        <v>473</v>
      </c>
      <c r="O270" s="14" t="s">
        <v>453</v>
      </c>
    </row>
    <row r="271" spans="1:15" ht="45" x14ac:dyDescent="0.2">
      <c r="A271" s="2" t="s">
        <v>1067</v>
      </c>
      <c r="B271" s="2" t="s">
        <v>1068</v>
      </c>
      <c r="C271" s="2" t="s">
        <v>43</v>
      </c>
      <c r="D271" s="2" t="s">
        <v>472</v>
      </c>
      <c r="E271" s="4">
        <v>251.79</v>
      </c>
      <c r="F271" s="4">
        <v>4421.3599999999997</v>
      </c>
      <c r="G271" s="3">
        <v>18</v>
      </c>
      <c r="H271" s="6">
        <v>4.3</v>
      </c>
      <c r="I271" s="3">
        <v>6</v>
      </c>
      <c r="J271" s="13" t="str">
        <f>HYPERLINK("https://amazon.com/dp/B0FMKG8RJK","Amazon - B0FMKG8RJK")</f>
        <v>Amazon - B0FMKG8RJK</v>
      </c>
      <c r="K271" s="14" t="s">
        <v>443</v>
      </c>
      <c r="L271" s="14" t="s">
        <v>667</v>
      </c>
      <c r="M271" s="14" t="s">
        <v>503</v>
      </c>
      <c r="N271" s="14" t="s">
        <v>446</v>
      </c>
      <c r="O271" s="14" t="s">
        <v>742</v>
      </c>
    </row>
    <row r="272" spans="1:15" ht="45" x14ac:dyDescent="0.2">
      <c r="A272" s="2" t="s">
        <v>1069</v>
      </c>
      <c r="B272" s="2" t="s">
        <v>1070</v>
      </c>
      <c r="C272" s="2" t="s">
        <v>23</v>
      </c>
      <c r="D272" s="2" t="s">
        <v>472</v>
      </c>
      <c r="E272" s="4">
        <v>244.32</v>
      </c>
      <c r="F272" s="4">
        <v>4368.7299999999996</v>
      </c>
      <c r="G272" s="3">
        <v>17</v>
      </c>
      <c r="H272" s="6">
        <v>4.0999999999999996</v>
      </c>
      <c r="I272" s="3">
        <v>61</v>
      </c>
      <c r="J272" s="13" t="str">
        <f>HYPERLINK("https://amazon.com/dp/B0DCC6DLBC","Amazon - B0DCC6DLBC")</f>
        <v>Amazon - B0DCC6DLBC</v>
      </c>
      <c r="K272" s="14" t="s">
        <v>443</v>
      </c>
      <c r="L272" s="14" t="s">
        <v>456</v>
      </c>
      <c r="M272" s="14" t="s">
        <v>688</v>
      </c>
      <c r="N272" s="14" t="s">
        <v>446</v>
      </c>
      <c r="O272" s="14" t="s">
        <v>479</v>
      </c>
    </row>
    <row r="273" spans="1:15" ht="45" x14ac:dyDescent="0.2">
      <c r="A273" s="2" t="s">
        <v>1071</v>
      </c>
      <c r="B273" s="2" t="s">
        <v>532</v>
      </c>
      <c r="C273" s="2" t="s">
        <v>27</v>
      </c>
      <c r="D273" s="2" t="s">
        <v>472</v>
      </c>
      <c r="E273" s="4">
        <v>379.99</v>
      </c>
      <c r="F273" s="4">
        <v>4341.96</v>
      </c>
      <c r="G273" s="3">
        <v>11</v>
      </c>
      <c r="H273" s="6">
        <v>3.7</v>
      </c>
      <c r="I273" s="3">
        <v>4</v>
      </c>
      <c r="J273" s="13" t="str">
        <f>HYPERLINK("https://amazon.com/dp/B0FMF4QPDV","Amazon - B0FMF4QPDV")</f>
        <v>Amazon - B0FMF4QPDV</v>
      </c>
      <c r="K273" s="14" t="s">
        <v>443</v>
      </c>
      <c r="L273" s="14" t="s">
        <v>502</v>
      </c>
      <c r="M273" s="14" t="s">
        <v>303</v>
      </c>
      <c r="N273" s="14" t="s">
        <v>446</v>
      </c>
      <c r="O273" s="14" t="s">
        <v>517</v>
      </c>
    </row>
    <row r="274" spans="1:15" ht="30" x14ac:dyDescent="0.2">
      <c r="A274" s="2" t="s">
        <v>1072</v>
      </c>
      <c r="B274" s="2" t="s">
        <v>1073</v>
      </c>
      <c r="C274" s="2" t="s">
        <v>8</v>
      </c>
      <c r="D274" s="2" t="s">
        <v>472</v>
      </c>
      <c r="E274" s="4">
        <v>109.99</v>
      </c>
      <c r="F274" s="4">
        <v>4335.95</v>
      </c>
      <c r="G274" s="3">
        <v>42</v>
      </c>
      <c r="H274" s="6">
        <v>4.4000000000000004</v>
      </c>
      <c r="I274" s="3">
        <v>2323</v>
      </c>
      <c r="J274" s="13" t="str">
        <f>HYPERLINK("https://amazon.com/dp/B08QCMT89N","Amazon - B08QCMT89N")</f>
        <v>Amazon - B08QCMT89N</v>
      </c>
      <c r="K274" s="14" t="s">
        <v>443</v>
      </c>
      <c r="L274" s="14" t="s">
        <v>303</v>
      </c>
      <c r="M274" s="14" t="s">
        <v>303</v>
      </c>
      <c r="N274" s="14" t="s">
        <v>446</v>
      </c>
      <c r="O274" s="14" t="s">
        <v>479</v>
      </c>
    </row>
    <row r="275" spans="1:15" ht="45" x14ac:dyDescent="0.2">
      <c r="A275" s="2" t="s">
        <v>1074</v>
      </c>
      <c r="B275" s="2" t="s">
        <v>1075</v>
      </c>
      <c r="C275" s="2" t="s">
        <v>62</v>
      </c>
      <c r="D275" s="2" t="s">
        <v>442</v>
      </c>
      <c r="E275" s="4">
        <v>249</v>
      </c>
      <c r="F275" s="4">
        <v>4322.29</v>
      </c>
      <c r="G275" s="3">
        <v>17</v>
      </c>
      <c r="H275" s="6">
        <v>4.5</v>
      </c>
      <c r="I275" s="3">
        <v>43</v>
      </c>
      <c r="J275" s="13" t="str">
        <f>HYPERLINK("https://amazon.com/dp/B085L57J5W","Amazon - B085L57J5W")</f>
        <v>Amazon - B085L57J5W</v>
      </c>
      <c r="K275" s="14" t="s">
        <v>482</v>
      </c>
      <c r="L275" s="14" t="s">
        <v>303</v>
      </c>
      <c r="M275" s="14" t="s">
        <v>303</v>
      </c>
      <c r="N275" s="14" t="s">
        <v>452</v>
      </c>
      <c r="O275" s="14" t="s">
        <v>303</v>
      </c>
    </row>
    <row r="276" spans="1:15" ht="45" x14ac:dyDescent="0.2">
      <c r="A276" s="2" t="s">
        <v>1076</v>
      </c>
      <c r="B276" s="2" t="s">
        <v>1077</v>
      </c>
      <c r="C276" s="2" t="s">
        <v>90</v>
      </c>
      <c r="D276" s="2" t="s">
        <v>450</v>
      </c>
      <c r="E276" s="4">
        <v>14.64</v>
      </c>
      <c r="F276" s="4">
        <v>4316.58</v>
      </c>
      <c r="G276" s="3">
        <v>285</v>
      </c>
      <c r="H276" s="6">
        <v>4.3</v>
      </c>
      <c r="I276" s="3">
        <v>179</v>
      </c>
      <c r="J276" s="13" t="str">
        <f>HYPERLINK("https://amazon.com/dp/B0CZKVWF4B","Amazon - B0CZKVWF4B")</f>
        <v>Amazon - B0CZKVWF4B</v>
      </c>
      <c r="K276" s="14" t="s">
        <v>443</v>
      </c>
      <c r="L276" s="14" t="s">
        <v>451</v>
      </c>
      <c r="M276" s="14" t="s">
        <v>303</v>
      </c>
      <c r="N276" s="14" t="s">
        <v>452</v>
      </c>
      <c r="O276" s="14" t="s">
        <v>453</v>
      </c>
    </row>
    <row r="277" spans="1:15" ht="45" x14ac:dyDescent="0.2">
      <c r="A277" s="2" t="s">
        <v>1078</v>
      </c>
      <c r="B277" s="2" t="s">
        <v>1079</v>
      </c>
      <c r="C277" s="2" t="s">
        <v>70</v>
      </c>
      <c r="D277" s="2" t="s">
        <v>472</v>
      </c>
      <c r="E277" s="4">
        <v>499</v>
      </c>
      <c r="F277" s="4">
        <v>4307.92</v>
      </c>
      <c r="G277" s="3">
        <v>9</v>
      </c>
      <c r="H277" s="6">
        <v>4.2</v>
      </c>
      <c r="I277" s="3">
        <v>15</v>
      </c>
      <c r="J277" s="13" t="str">
        <f>HYPERLINK("https://amazon.com/dp/B0F9SSJNB5","Amazon - B0F9SSJNB5")</f>
        <v>Amazon - B0F9SSJNB5</v>
      </c>
      <c r="K277" s="14" t="s">
        <v>443</v>
      </c>
      <c r="L277" s="14" t="s">
        <v>667</v>
      </c>
      <c r="M277" s="14" t="s">
        <v>303</v>
      </c>
      <c r="N277" s="14" t="s">
        <v>446</v>
      </c>
      <c r="O277" s="14" t="s">
        <v>570</v>
      </c>
    </row>
    <row r="278" spans="1:15" ht="45" x14ac:dyDescent="0.2">
      <c r="A278" s="2" t="s">
        <v>1080</v>
      </c>
      <c r="B278" s="2" t="s">
        <v>1081</v>
      </c>
      <c r="C278" s="2" t="s">
        <v>91</v>
      </c>
      <c r="D278" s="2" t="s">
        <v>450</v>
      </c>
      <c r="E278" s="4">
        <v>19.59</v>
      </c>
      <c r="F278" s="4">
        <v>4290.79</v>
      </c>
      <c r="G278" s="3">
        <v>216</v>
      </c>
      <c r="H278" s="6">
        <v>4.4000000000000004</v>
      </c>
      <c r="I278" s="3">
        <v>68</v>
      </c>
      <c r="J278" s="13" t="str">
        <f>HYPERLINK("https://amazon.com/dp/B0G33NS5WQ","Amazon - B0G33NS5WQ")</f>
        <v>Amazon - B0G33NS5WQ</v>
      </c>
      <c r="K278" s="14" t="s">
        <v>443</v>
      </c>
      <c r="L278" s="14" t="s">
        <v>451</v>
      </c>
      <c r="M278" s="14" t="s">
        <v>303</v>
      </c>
      <c r="N278" s="14" t="s">
        <v>452</v>
      </c>
      <c r="O278" s="14" t="s">
        <v>453</v>
      </c>
    </row>
    <row r="279" spans="1:15" ht="45" x14ac:dyDescent="0.2">
      <c r="A279" s="2" t="s">
        <v>1082</v>
      </c>
      <c r="B279" s="2" t="s">
        <v>1083</v>
      </c>
      <c r="C279" s="2" t="s">
        <v>61</v>
      </c>
      <c r="D279" s="2" t="s">
        <v>442</v>
      </c>
      <c r="E279" s="4">
        <v>49.99</v>
      </c>
      <c r="F279" s="4">
        <v>4286.72</v>
      </c>
      <c r="G279" s="3">
        <v>84</v>
      </c>
      <c r="H279" s="6">
        <v>4.3</v>
      </c>
      <c r="I279" s="3">
        <v>3838</v>
      </c>
      <c r="J279" s="13" t="str">
        <f>HYPERLINK("https://amazon.com/dp/B07PBW52SF","Amazon - B07PBW52SF")</f>
        <v>Amazon - B07PBW52SF</v>
      </c>
      <c r="K279" s="14" t="s">
        <v>443</v>
      </c>
      <c r="L279" s="14" t="s">
        <v>456</v>
      </c>
      <c r="M279" s="14" t="s">
        <v>462</v>
      </c>
      <c r="N279" s="14" t="s">
        <v>446</v>
      </c>
      <c r="O279" s="14" t="s">
        <v>745</v>
      </c>
    </row>
    <row r="280" spans="1:15" ht="45" x14ac:dyDescent="0.2">
      <c r="A280" s="2" t="s">
        <v>1084</v>
      </c>
      <c r="B280" s="2" t="s">
        <v>1085</v>
      </c>
      <c r="C280" s="2" t="s">
        <v>10</v>
      </c>
      <c r="D280" s="2" t="s">
        <v>450</v>
      </c>
      <c r="E280" s="4">
        <v>15.99</v>
      </c>
      <c r="F280" s="4">
        <v>4261.78</v>
      </c>
      <c r="G280" s="3">
        <v>254</v>
      </c>
      <c r="H280" s="6">
        <v>4.3</v>
      </c>
      <c r="I280" s="3">
        <v>5984</v>
      </c>
      <c r="J280" s="13" t="str">
        <f>HYPERLINK("https://amazon.com/dp/B0G23FH94K","Amazon - B0G23FH94K")</f>
        <v>Amazon - B0G23FH94K</v>
      </c>
      <c r="K280" s="14" t="s">
        <v>443</v>
      </c>
      <c r="L280" s="14" t="s">
        <v>451</v>
      </c>
      <c r="M280" s="14" t="s">
        <v>303</v>
      </c>
      <c r="N280" s="14" t="s">
        <v>446</v>
      </c>
      <c r="O280" s="14" t="s">
        <v>453</v>
      </c>
    </row>
    <row r="281" spans="1:15" ht="45" x14ac:dyDescent="0.2">
      <c r="A281" s="2" t="s">
        <v>1086</v>
      </c>
      <c r="B281" s="2" t="s">
        <v>1087</v>
      </c>
      <c r="C281" s="2" t="s">
        <v>47</v>
      </c>
      <c r="D281" s="2" t="s">
        <v>472</v>
      </c>
      <c r="E281" s="4">
        <v>265.99</v>
      </c>
      <c r="F281" s="4">
        <v>4255.95</v>
      </c>
      <c r="G281" s="3">
        <v>16</v>
      </c>
      <c r="H281" s="6">
        <v>4</v>
      </c>
      <c r="I281" s="3">
        <v>41</v>
      </c>
      <c r="J281" s="13" t="str">
        <f>HYPERLINK("https://amazon.com/dp/B0DFQ87GD9","Amazon - B0DFQ87GD9")</f>
        <v>Amazon - B0DFQ87GD9</v>
      </c>
      <c r="K281" s="14" t="s">
        <v>443</v>
      </c>
      <c r="L281" s="14" t="s">
        <v>456</v>
      </c>
      <c r="M281" s="14" t="s">
        <v>303</v>
      </c>
      <c r="N281" s="14" t="s">
        <v>446</v>
      </c>
      <c r="O281" s="14" t="s">
        <v>517</v>
      </c>
    </row>
    <row r="282" spans="1:15" ht="45" x14ac:dyDescent="0.2">
      <c r="A282" s="2" t="s">
        <v>1088</v>
      </c>
      <c r="B282" s="2" t="s">
        <v>1089</v>
      </c>
      <c r="C282" s="2" t="s">
        <v>40</v>
      </c>
      <c r="D282" s="2" t="s">
        <v>472</v>
      </c>
      <c r="E282" s="4">
        <v>276.99</v>
      </c>
      <c r="F282" s="4">
        <v>4252.03</v>
      </c>
      <c r="G282" s="3">
        <v>15</v>
      </c>
      <c r="H282" s="6">
        <v>4.0999999999999996</v>
      </c>
      <c r="I282" s="3">
        <v>2</v>
      </c>
      <c r="J282" s="13" t="str">
        <f>HYPERLINK("https://amazon.com/dp/B0DNDKWY5T","Amazon - B0DNDKWY5T")</f>
        <v>Amazon - B0DNDKWY5T</v>
      </c>
      <c r="K282" s="14" t="s">
        <v>443</v>
      </c>
      <c r="L282" s="14" t="s">
        <v>456</v>
      </c>
      <c r="M282" s="14" t="s">
        <v>773</v>
      </c>
      <c r="N282" s="14" t="s">
        <v>446</v>
      </c>
      <c r="O282" s="14" t="s">
        <v>629</v>
      </c>
    </row>
    <row r="283" spans="1:15" ht="45" x14ac:dyDescent="0.2">
      <c r="A283" s="2" t="s">
        <v>1090</v>
      </c>
      <c r="B283" s="2" t="s">
        <v>1091</v>
      </c>
      <c r="C283" s="2" t="s">
        <v>40</v>
      </c>
      <c r="D283" s="2" t="s">
        <v>472</v>
      </c>
      <c r="E283" s="4">
        <v>275.99</v>
      </c>
      <c r="F283" s="4">
        <v>4243.8100000000004</v>
      </c>
      <c r="G283" s="3">
        <v>15</v>
      </c>
      <c r="H283" s="6">
        <v>4.0999999999999996</v>
      </c>
      <c r="I283" s="3">
        <v>26</v>
      </c>
      <c r="J283" s="13" t="str">
        <f>HYPERLINK("https://amazon.com/dp/B0DN66V72B","Amazon - B0DN66V72B")</f>
        <v>Amazon - B0DN66V72B</v>
      </c>
      <c r="K283" s="14" t="s">
        <v>443</v>
      </c>
      <c r="L283" s="14" t="s">
        <v>456</v>
      </c>
      <c r="M283" s="14" t="s">
        <v>503</v>
      </c>
      <c r="N283" s="14" t="s">
        <v>446</v>
      </c>
      <c r="O283" s="14" t="s">
        <v>629</v>
      </c>
    </row>
    <row r="284" spans="1:15" ht="45" x14ac:dyDescent="0.2">
      <c r="A284" s="2" t="s">
        <v>1092</v>
      </c>
      <c r="B284" s="2" t="s">
        <v>1093</v>
      </c>
      <c r="C284" s="2" t="s">
        <v>48</v>
      </c>
      <c r="D284" s="2" t="s">
        <v>442</v>
      </c>
      <c r="E284" s="4">
        <v>269.99</v>
      </c>
      <c r="F284" s="4">
        <v>4212.96</v>
      </c>
      <c r="G284" s="3">
        <v>16</v>
      </c>
      <c r="H284" s="6">
        <v>4.5</v>
      </c>
      <c r="I284" s="3">
        <v>33</v>
      </c>
      <c r="J284" s="13" t="str">
        <f>HYPERLINK("https://amazon.com/dp/B0F3X42K51","Amazon - B0F3X42K51")</f>
        <v>Amazon - B0F3X42K51</v>
      </c>
      <c r="K284" s="14" t="s">
        <v>482</v>
      </c>
      <c r="L284" s="14" t="s">
        <v>461</v>
      </c>
      <c r="M284" s="14" t="s">
        <v>577</v>
      </c>
      <c r="N284" s="14" t="s">
        <v>446</v>
      </c>
      <c r="O284" s="14" t="s">
        <v>543</v>
      </c>
    </row>
    <row r="285" spans="1:15" ht="45" x14ac:dyDescent="0.2">
      <c r="A285" s="2" t="s">
        <v>1094</v>
      </c>
      <c r="B285" s="2" t="s">
        <v>1095</v>
      </c>
      <c r="C285" s="2" t="s">
        <v>8</v>
      </c>
      <c r="D285" s="2" t="s">
        <v>450</v>
      </c>
      <c r="E285" s="4">
        <v>49.99</v>
      </c>
      <c r="F285" s="4">
        <v>4210.93</v>
      </c>
      <c r="G285" s="3">
        <v>84</v>
      </c>
      <c r="H285" s="6">
        <v>4.0999999999999996</v>
      </c>
      <c r="I285" s="3">
        <v>380</v>
      </c>
      <c r="J285" s="13" t="str">
        <f>HYPERLINK("https://amazon.com/dp/B07HVT2XZL","Amazon - B07HVT2XZL")</f>
        <v>Amazon - B07HVT2XZL</v>
      </c>
      <c r="K285" s="14" t="s">
        <v>443</v>
      </c>
      <c r="L285" s="14" t="s">
        <v>451</v>
      </c>
      <c r="M285" s="14" t="s">
        <v>303</v>
      </c>
      <c r="N285" s="14" t="s">
        <v>446</v>
      </c>
      <c r="O285" s="14" t="s">
        <v>453</v>
      </c>
    </row>
    <row r="286" spans="1:15" ht="45" x14ac:dyDescent="0.2">
      <c r="A286" s="2" t="s">
        <v>1096</v>
      </c>
      <c r="B286" s="2" t="s">
        <v>1097</v>
      </c>
      <c r="C286" s="2" t="s">
        <v>58</v>
      </c>
      <c r="D286" s="2" t="s">
        <v>472</v>
      </c>
      <c r="E286" s="4">
        <v>261.99</v>
      </c>
      <c r="F286" s="4">
        <v>4188.18</v>
      </c>
      <c r="G286" s="3">
        <v>16</v>
      </c>
      <c r="H286" s="6">
        <v>3.4</v>
      </c>
      <c r="I286" s="3">
        <v>8</v>
      </c>
      <c r="J286" s="13" t="str">
        <f>HYPERLINK("https://amazon.com/dp/B0F23DYJPT","Amazon - B0F23DYJPT")</f>
        <v>Amazon - B0F23DYJPT</v>
      </c>
      <c r="K286" s="14" t="s">
        <v>443</v>
      </c>
      <c r="L286" s="14" t="s">
        <v>667</v>
      </c>
      <c r="M286" s="14" t="s">
        <v>503</v>
      </c>
      <c r="N286" s="14" t="s">
        <v>446</v>
      </c>
      <c r="O286" s="14" t="s">
        <v>517</v>
      </c>
    </row>
    <row r="287" spans="1:15" ht="45" x14ac:dyDescent="0.2">
      <c r="A287" s="2" t="s">
        <v>1098</v>
      </c>
      <c r="B287" s="2" t="s">
        <v>1099</v>
      </c>
      <c r="C287" s="2" t="s">
        <v>11</v>
      </c>
      <c r="D287" s="2" t="s">
        <v>442</v>
      </c>
      <c r="E287" s="4">
        <v>39.9</v>
      </c>
      <c r="F287" s="4">
        <v>4178.0600000000004</v>
      </c>
      <c r="G287" s="3">
        <v>101</v>
      </c>
      <c r="H287" s="6">
        <v>4.4000000000000004</v>
      </c>
      <c r="I287" s="3">
        <v>250</v>
      </c>
      <c r="J287" s="13" t="str">
        <f>HYPERLINK("https://amazon.com/dp/B0DJGFL6B8","Amazon - B0DJGFL6B8")</f>
        <v>Amazon - B0DJGFL6B8</v>
      </c>
      <c r="K287" s="14" t="s">
        <v>443</v>
      </c>
      <c r="L287" s="14" t="s">
        <v>456</v>
      </c>
      <c r="M287" s="14" t="s">
        <v>303</v>
      </c>
      <c r="N287" s="14" t="s">
        <v>452</v>
      </c>
      <c r="O287" s="14" t="s">
        <v>453</v>
      </c>
    </row>
    <row r="288" spans="1:15" ht="45" x14ac:dyDescent="0.2">
      <c r="A288" s="2" t="s">
        <v>1100</v>
      </c>
      <c r="B288" s="2" t="s">
        <v>1101</v>
      </c>
      <c r="C288" s="2" t="s">
        <v>13</v>
      </c>
      <c r="D288" s="2" t="s">
        <v>472</v>
      </c>
      <c r="E288" s="4">
        <v>409.99</v>
      </c>
      <c r="F288" s="4">
        <v>4147.71</v>
      </c>
      <c r="G288" s="3">
        <v>9</v>
      </c>
      <c r="H288" s="6">
        <v>4.3</v>
      </c>
      <c r="I288" s="3">
        <v>521</v>
      </c>
      <c r="J288" s="13" t="str">
        <f>HYPERLINK("https://amazon.com/dp/B07PBZZKJD","Amazon - B07PBZZKJD")</f>
        <v>Amazon - B07PBZZKJD</v>
      </c>
      <c r="K288" s="14" t="s">
        <v>443</v>
      </c>
      <c r="L288" s="14" t="s">
        <v>461</v>
      </c>
      <c r="M288" s="14" t="s">
        <v>303</v>
      </c>
      <c r="N288" s="14" t="s">
        <v>446</v>
      </c>
      <c r="O288" s="14" t="s">
        <v>570</v>
      </c>
    </row>
    <row r="289" spans="1:15" ht="30" x14ac:dyDescent="0.2">
      <c r="A289" s="2" t="s">
        <v>1102</v>
      </c>
      <c r="B289" s="2" t="s">
        <v>1103</v>
      </c>
      <c r="C289" s="2" t="s">
        <v>13</v>
      </c>
      <c r="D289" s="2" t="s">
        <v>472</v>
      </c>
      <c r="E289" s="4">
        <v>959.99</v>
      </c>
      <c r="F289" s="4">
        <v>4140.18</v>
      </c>
      <c r="G289" s="3">
        <v>4</v>
      </c>
      <c r="H289" s="6">
        <v>4.2</v>
      </c>
      <c r="I289" s="3">
        <v>158</v>
      </c>
      <c r="J289" s="13" t="str">
        <f>HYPERLINK("https://amazon.com/dp/B0C3D3JM9K","Amazon - B0C3D3JM9K")</f>
        <v>Amazon - B0C3D3JM9K</v>
      </c>
      <c r="K289" s="14" t="s">
        <v>443</v>
      </c>
      <c r="L289" s="14" t="s">
        <v>461</v>
      </c>
      <c r="M289" s="14" t="s">
        <v>303</v>
      </c>
      <c r="N289" s="14" t="s">
        <v>446</v>
      </c>
      <c r="O289" s="14" t="s">
        <v>517</v>
      </c>
    </row>
    <row r="290" spans="1:15" ht="45" x14ac:dyDescent="0.2">
      <c r="A290" s="2" t="s">
        <v>1104</v>
      </c>
      <c r="B290" s="2" t="s">
        <v>1105</v>
      </c>
      <c r="C290" s="2" t="s">
        <v>92</v>
      </c>
      <c r="D290" s="2" t="s">
        <v>442</v>
      </c>
      <c r="E290" s="4">
        <v>23.99</v>
      </c>
      <c r="F290" s="4">
        <v>4107.04</v>
      </c>
      <c r="G290" s="3">
        <v>165</v>
      </c>
      <c r="H290" s="6">
        <v>4.5</v>
      </c>
      <c r="I290" s="3">
        <v>33</v>
      </c>
      <c r="J290" s="13" t="str">
        <f>HYPERLINK("https://amazon.com/dp/B0FHWCZ5RB","Amazon - B0FHWCZ5RB")</f>
        <v>Amazon - B0FHWCZ5RB</v>
      </c>
      <c r="K290" s="14" t="s">
        <v>443</v>
      </c>
      <c r="L290" s="14" t="s">
        <v>456</v>
      </c>
      <c r="M290" s="14" t="s">
        <v>303</v>
      </c>
      <c r="N290" s="14" t="s">
        <v>446</v>
      </c>
      <c r="O290" s="14" t="s">
        <v>453</v>
      </c>
    </row>
    <row r="291" spans="1:15" ht="45" x14ac:dyDescent="0.2">
      <c r="A291" s="2" t="s">
        <v>1106</v>
      </c>
      <c r="B291" s="2" t="s">
        <v>1107</v>
      </c>
      <c r="C291" s="2" t="s">
        <v>39</v>
      </c>
      <c r="D291" s="2" t="s">
        <v>472</v>
      </c>
      <c r="E291" s="4">
        <v>799.99</v>
      </c>
      <c r="F291" s="4">
        <v>4071.52</v>
      </c>
      <c r="G291" s="3">
        <v>5</v>
      </c>
      <c r="H291" s="6">
        <v>4.8</v>
      </c>
      <c r="I291" s="3">
        <v>11</v>
      </c>
      <c r="J291" s="13" t="str">
        <f>HYPERLINK("https://amazon.com/dp/B0FHHKPFVH","Amazon - B0FHHKPFVH")</f>
        <v>Amazon - B0FHHKPFVH</v>
      </c>
      <c r="K291" s="14" t="s">
        <v>443</v>
      </c>
      <c r="L291" s="14" t="s">
        <v>461</v>
      </c>
      <c r="M291" s="14" t="s">
        <v>303</v>
      </c>
      <c r="N291" s="14" t="s">
        <v>446</v>
      </c>
      <c r="O291" s="14" t="s">
        <v>517</v>
      </c>
    </row>
    <row r="292" spans="1:15" ht="30" x14ac:dyDescent="0.2">
      <c r="A292" s="2" t="s">
        <v>1108</v>
      </c>
      <c r="B292" s="2" t="s">
        <v>1109</v>
      </c>
      <c r="C292" s="2" t="s">
        <v>51</v>
      </c>
      <c r="D292" s="2" t="s">
        <v>450</v>
      </c>
      <c r="E292" s="4">
        <v>235.8</v>
      </c>
      <c r="F292" s="4">
        <v>4053.15</v>
      </c>
      <c r="G292" s="3">
        <v>17</v>
      </c>
      <c r="H292" s="6">
        <v>3.9</v>
      </c>
      <c r="I292" s="3">
        <v>202</v>
      </c>
      <c r="J292" s="13" t="str">
        <f>HYPERLINK("https://amazon.com/dp/B00GY7C9ZW","Amazon - B00GY7C9ZW")</f>
        <v>Amazon - B00GY7C9ZW</v>
      </c>
      <c r="K292" s="14" t="s">
        <v>443</v>
      </c>
      <c r="L292" s="14" t="s">
        <v>461</v>
      </c>
      <c r="M292" s="14" t="s">
        <v>457</v>
      </c>
      <c r="N292" s="14" t="s">
        <v>446</v>
      </c>
      <c r="O292" s="14" t="s">
        <v>447</v>
      </c>
    </row>
    <row r="293" spans="1:15" ht="45" x14ac:dyDescent="0.2">
      <c r="A293" s="2" t="s">
        <v>1110</v>
      </c>
      <c r="B293" s="2" t="s">
        <v>1111</v>
      </c>
      <c r="C293" s="2" t="s">
        <v>11</v>
      </c>
      <c r="D293" s="2" t="s">
        <v>472</v>
      </c>
      <c r="E293" s="4">
        <v>739.9</v>
      </c>
      <c r="F293" s="4">
        <v>4046.36</v>
      </c>
      <c r="G293" s="3">
        <v>5</v>
      </c>
      <c r="H293" s="6">
        <v>4.8</v>
      </c>
      <c r="I293" s="3">
        <v>12</v>
      </c>
      <c r="J293" s="13" t="str">
        <f>HYPERLINK("https://amazon.com/dp/B0BV2VFMVZ","Amazon - B0BV2VFMVZ")</f>
        <v>Amazon - B0BV2VFMVZ</v>
      </c>
      <c r="K293" s="14" t="s">
        <v>443</v>
      </c>
      <c r="L293" s="14" t="s">
        <v>502</v>
      </c>
      <c r="M293" s="14" t="s">
        <v>303</v>
      </c>
      <c r="N293" s="14" t="s">
        <v>446</v>
      </c>
      <c r="O293" s="14" t="s">
        <v>1112</v>
      </c>
    </row>
    <row r="294" spans="1:15" ht="45" x14ac:dyDescent="0.2">
      <c r="A294" s="2" t="s">
        <v>1113</v>
      </c>
      <c r="B294" s="2" t="s">
        <v>1114</v>
      </c>
      <c r="C294" s="2" t="s">
        <v>69</v>
      </c>
      <c r="D294" s="2" t="s">
        <v>472</v>
      </c>
      <c r="E294" s="4">
        <v>244.99</v>
      </c>
      <c r="F294" s="4">
        <v>3987.09</v>
      </c>
      <c r="G294" s="3">
        <v>16</v>
      </c>
      <c r="H294" s="6">
        <v>5</v>
      </c>
      <c r="I294" s="3">
        <v>1</v>
      </c>
      <c r="J294" s="13" t="str">
        <f>HYPERLINK("https://amazon.com/dp/B0F6TYDVT4","Amazon - B0F6TYDVT4")</f>
        <v>Amazon - B0F6TYDVT4</v>
      </c>
      <c r="K294" s="14" t="s">
        <v>443</v>
      </c>
      <c r="L294" s="14" t="s">
        <v>461</v>
      </c>
      <c r="M294" s="14" t="s">
        <v>503</v>
      </c>
      <c r="N294" s="14" t="s">
        <v>446</v>
      </c>
      <c r="O294" s="14" t="s">
        <v>517</v>
      </c>
    </row>
    <row r="295" spans="1:15" ht="45" x14ac:dyDescent="0.2">
      <c r="A295" s="2" t="s">
        <v>1115</v>
      </c>
      <c r="B295" s="2" t="s">
        <v>1116</v>
      </c>
      <c r="C295" s="2" t="s">
        <v>39</v>
      </c>
      <c r="D295" s="2" t="s">
        <v>442</v>
      </c>
      <c r="E295" s="4">
        <v>359.99</v>
      </c>
      <c r="F295" s="4">
        <v>3985.5</v>
      </c>
      <c r="G295" s="3">
        <v>10</v>
      </c>
      <c r="H295" s="6">
        <v>4.8</v>
      </c>
      <c r="I295" s="3">
        <v>9</v>
      </c>
      <c r="J295" s="13" t="str">
        <f>HYPERLINK("https://amazon.com/dp/B0FXLZZPF2","Amazon - B0FXLZZPF2")</f>
        <v>Amazon - B0FXLZZPF2</v>
      </c>
      <c r="K295" s="14" t="s">
        <v>482</v>
      </c>
      <c r="L295" s="14" t="s">
        <v>461</v>
      </c>
      <c r="M295" s="14" t="s">
        <v>535</v>
      </c>
      <c r="N295" s="14" t="s">
        <v>446</v>
      </c>
      <c r="O295" s="14" t="s">
        <v>447</v>
      </c>
    </row>
    <row r="296" spans="1:15" ht="45" x14ac:dyDescent="0.2">
      <c r="A296" s="2" t="s">
        <v>1117</v>
      </c>
      <c r="B296" s="2" t="s">
        <v>1118</v>
      </c>
      <c r="C296" s="2" t="s">
        <v>43</v>
      </c>
      <c r="D296" s="2" t="s">
        <v>472</v>
      </c>
      <c r="E296" s="4">
        <v>265.99</v>
      </c>
      <c r="F296" s="4">
        <v>3904.8</v>
      </c>
      <c r="G296" s="3">
        <v>15</v>
      </c>
      <c r="H296" s="6">
        <v>4</v>
      </c>
      <c r="I296" s="3">
        <v>92</v>
      </c>
      <c r="J296" s="13" t="str">
        <f>HYPERLINK("https://amazon.com/dp/B0CMX4SD6M","Amazon - B0CMX4SD6M")</f>
        <v>Amazon - B0CMX4SD6M</v>
      </c>
      <c r="K296" s="14" t="s">
        <v>443</v>
      </c>
      <c r="L296" s="14" t="s">
        <v>456</v>
      </c>
      <c r="M296" s="14" t="s">
        <v>677</v>
      </c>
      <c r="N296" s="14" t="s">
        <v>446</v>
      </c>
      <c r="O296" s="14" t="s">
        <v>742</v>
      </c>
    </row>
    <row r="297" spans="1:15" x14ac:dyDescent="0.2">
      <c r="A297" s="2" t="s">
        <v>1119</v>
      </c>
      <c r="B297" s="2" t="s">
        <v>1120</v>
      </c>
      <c r="C297" s="2" t="s">
        <v>83</v>
      </c>
      <c r="D297" s="2" t="s">
        <v>442</v>
      </c>
      <c r="E297" s="4">
        <v>114.94</v>
      </c>
      <c r="F297" s="4">
        <v>3853.46</v>
      </c>
      <c r="G297" s="3">
        <v>38</v>
      </c>
      <c r="H297" s="6">
        <v>4.5</v>
      </c>
      <c r="I297" s="3">
        <v>328</v>
      </c>
      <c r="J297" s="13" t="str">
        <f>HYPERLINK("https://amazon.com/dp/B008H1EAOQ","Amazon - B008H1EAOQ")</f>
        <v>Amazon - B008H1EAOQ</v>
      </c>
      <c r="K297" s="14" t="s">
        <v>443</v>
      </c>
      <c r="L297" s="14" t="s">
        <v>303</v>
      </c>
      <c r="M297" s="14" t="s">
        <v>303</v>
      </c>
      <c r="N297" s="14" t="s">
        <v>446</v>
      </c>
      <c r="O297" s="14" t="s">
        <v>494</v>
      </c>
    </row>
    <row r="298" spans="1:15" ht="30" x14ac:dyDescent="0.2">
      <c r="A298" s="2" t="s">
        <v>1121</v>
      </c>
      <c r="B298" s="2" t="s">
        <v>1122</v>
      </c>
      <c r="C298" s="2" t="s">
        <v>40</v>
      </c>
      <c r="D298" s="2" t="s">
        <v>472</v>
      </c>
      <c r="E298" s="4">
        <v>129.99</v>
      </c>
      <c r="F298" s="4">
        <v>3809.95</v>
      </c>
      <c r="G298" s="3">
        <v>29</v>
      </c>
      <c r="H298" s="6">
        <v>3.5</v>
      </c>
      <c r="I298" s="3">
        <v>51</v>
      </c>
      <c r="J298" s="13" t="str">
        <f>HYPERLINK("https://amazon.com/dp/B0DXF586FS","Amazon - B0DXF586FS")</f>
        <v>Amazon - B0DXF586FS</v>
      </c>
      <c r="K298" s="14" t="s">
        <v>443</v>
      </c>
      <c r="L298" s="14" t="s">
        <v>303</v>
      </c>
      <c r="M298" s="14" t="s">
        <v>688</v>
      </c>
      <c r="N298" s="14" t="s">
        <v>446</v>
      </c>
      <c r="O298" s="14" t="s">
        <v>303</v>
      </c>
    </row>
    <row r="299" spans="1:15" ht="45" x14ac:dyDescent="0.2">
      <c r="A299" s="2" t="s">
        <v>1123</v>
      </c>
      <c r="B299" s="2" t="s">
        <v>1124</v>
      </c>
      <c r="C299" s="2" t="s">
        <v>58</v>
      </c>
      <c r="D299" s="2" t="s">
        <v>472</v>
      </c>
      <c r="E299" s="4">
        <v>359.99</v>
      </c>
      <c r="F299" s="4">
        <v>3789.98</v>
      </c>
      <c r="G299" s="3">
        <v>10</v>
      </c>
      <c r="H299" s="6">
        <v>4.5999999999999996</v>
      </c>
      <c r="I299" s="3">
        <v>8</v>
      </c>
      <c r="J299" s="13" t="str">
        <f>HYPERLINK("https://amazon.com/dp/B0DM8TJGN1","Amazon - B0DM8TJGN1")</f>
        <v>Amazon - B0DM8TJGN1</v>
      </c>
      <c r="K299" s="14" t="s">
        <v>443</v>
      </c>
      <c r="L299" s="14" t="s">
        <v>461</v>
      </c>
      <c r="M299" s="14" t="s">
        <v>303</v>
      </c>
      <c r="N299" s="14" t="s">
        <v>446</v>
      </c>
      <c r="O299" s="14" t="s">
        <v>517</v>
      </c>
    </row>
    <row r="300" spans="1:15" ht="45" x14ac:dyDescent="0.2">
      <c r="A300" s="2" t="s">
        <v>1125</v>
      </c>
      <c r="B300" s="2" t="s">
        <v>1126</v>
      </c>
      <c r="C300" s="2" t="s">
        <v>52</v>
      </c>
      <c r="D300" s="2" t="s">
        <v>442</v>
      </c>
      <c r="E300" s="4">
        <v>39.979999999999997</v>
      </c>
      <c r="F300" s="4">
        <v>3756.53</v>
      </c>
      <c r="G300" s="3">
        <v>94</v>
      </c>
      <c r="H300" s="6">
        <v>4.5</v>
      </c>
      <c r="I300" s="3">
        <v>158</v>
      </c>
      <c r="J300" s="13" t="str">
        <f>HYPERLINK("https://amazon.com/dp/B0FCFWRV19","Amazon - B0FCFWRV19")</f>
        <v>Amazon - B0FCFWRV19</v>
      </c>
      <c r="K300" s="14" t="s">
        <v>443</v>
      </c>
      <c r="L300" s="14" t="s">
        <v>461</v>
      </c>
      <c r="M300" s="14" t="s">
        <v>303</v>
      </c>
      <c r="N300" s="14" t="s">
        <v>452</v>
      </c>
      <c r="O300" s="14" t="s">
        <v>453</v>
      </c>
    </row>
    <row r="301" spans="1:15" ht="45" x14ac:dyDescent="0.2">
      <c r="A301" s="2" t="s">
        <v>1127</v>
      </c>
      <c r="B301" s="2" t="s">
        <v>1128</v>
      </c>
      <c r="C301" s="2" t="s">
        <v>13</v>
      </c>
      <c r="D301" s="2" t="s">
        <v>472</v>
      </c>
      <c r="E301" s="4">
        <v>699.99</v>
      </c>
      <c r="F301" s="4">
        <v>3754.76</v>
      </c>
      <c r="G301" s="3">
        <v>5</v>
      </c>
      <c r="H301" s="6">
        <v>4.2</v>
      </c>
      <c r="I301" s="3">
        <v>158</v>
      </c>
      <c r="J301" s="13" t="str">
        <f>HYPERLINK("https://amazon.com/dp/B093SXC6X7","Amazon - B093SXC6X7")</f>
        <v>Amazon - B093SXC6X7</v>
      </c>
      <c r="K301" s="14" t="s">
        <v>443</v>
      </c>
      <c r="L301" s="14" t="s">
        <v>667</v>
      </c>
      <c r="M301" s="14" t="s">
        <v>303</v>
      </c>
      <c r="N301" s="14" t="s">
        <v>446</v>
      </c>
      <c r="O301" s="14" t="s">
        <v>570</v>
      </c>
    </row>
    <row r="302" spans="1:15" ht="45" x14ac:dyDescent="0.2">
      <c r="A302" s="2" t="s">
        <v>1129</v>
      </c>
      <c r="B302" s="2" t="s">
        <v>1130</v>
      </c>
      <c r="C302" s="2" t="s">
        <v>33</v>
      </c>
      <c r="D302" s="2" t="s">
        <v>472</v>
      </c>
      <c r="E302" s="4">
        <v>220.84</v>
      </c>
      <c r="F302" s="4">
        <v>3746.89</v>
      </c>
      <c r="G302" s="3">
        <v>15</v>
      </c>
      <c r="H302" s="6">
        <v>4.2</v>
      </c>
      <c r="I302" s="3">
        <v>4</v>
      </c>
      <c r="J302" s="13" t="str">
        <f>HYPERLINK("https://amazon.com/dp/B0FJXP9R3F","Amazon - B0FJXP9R3F")</f>
        <v>Amazon - B0FJXP9R3F</v>
      </c>
      <c r="K302" s="14" t="s">
        <v>443</v>
      </c>
      <c r="L302" s="14" t="s">
        <v>456</v>
      </c>
      <c r="M302" s="14" t="s">
        <v>503</v>
      </c>
      <c r="N302" s="14" t="s">
        <v>446</v>
      </c>
      <c r="O302" s="14" t="s">
        <v>517</v>
      </c>
    </row>
    <row r="303" spans="1:15" ht="45" x14ac:dyDescent="0.2">
      <c r="A303" s="2" t="s">
        <v>1131</v>
      </c>
      <c r="B303" s="2" t="s">
        <v>1132</v>
      </c>
      <c r="C303" s="2" t="s">
        <v>22</v>
      </c>
      <c r="D303" s="2" t="s">
        <v>450</v>
      </c>
      <c r="E303" s="4">
        <v>29.99</v>
      </c>
      <c r="F303" s="4">
        <v>3698.87</v>
      </c>
      <c r="G303" s="3">
        <v>123</v>
      </c>
      <c r="H303" s="6">
        <v>4.3</v>
      </c>
      <c r="I303" s="3">
        <v>1336</v>
      </c>
      <c r="J303" s="13" t="str">
        <f>HYPERLINK("https://amazon.com/dp/B0DNMM3S49","Amazon - B0DNMM3S49")</f>
        <v>Amazon - B0DNMM3S49</v>
      </c>
      <c r="K303" s="14" t="s">
        <v>443</v>
      </c>
      <c r="L303" s="14" t="s">
        <v>451</v>
      </c>
      <c r="M303" s="14" t="s">
        <v>303</v>
      </c>
      <c r="N303" s="14" t="s">
        <v>452</v>
      </c>
      <c r="O303" s="14" t="s">
        <v>453</v>
      </c>
    </row>
    <row r="304" spans="1:15" ht="45" x14ac:dyDescent="0.2">
      <c r="A304" s="2" t="s">
        <v>1133</v>
      </c>
      <c r="B304" s="2" t="s">
        <v>1134</v>
      </c>
      <c r="C304" s="2" t="s">
        <v>38</v>
      </c>
      <c r="D304" s="2" t="s">
        <v>442</v>
      </c>
      <c r="E304" s="4">
        <v>85.99</v>
      </c>
      <c r="F304" s="4">
        <v>3682.13</v>
      </c>
      <c r="G304" s="3">
        <v>39</v>
      </c>
      <c r="H304" s="6">
        <v>4.9000000000000004</v>
      </c>
      <c r="I304" s="3">
        <v>58</v>
      </c>
      <c r="J304" s="13" t="str">
        <f>HYPERLINK("https://amazon.com/dp/B0G5KYXKVW","Amazon - B0G5KYXKVW")</f>
        <v>Amazon - B0G5KYXKVW</v>
      </c>
      <c r="K304" s="14" t="s">
        <v>443</v>
      </c>
      <c r="L304" s="14" t="s">
        <v>461</v>
      </c>
      <c r="M304" s="14" t="s">
        <v>484</v>
      </c>
      <c r="N304" s="14" t="s">
        <v>446</v>
      </c>
      <c r="O304" s="14" t="s">
        <v>543</v>
      </c>
    </row>
    <row r="305" spans="1:15" ht="45" x14ac:dyDescent="0.2">
      <c r="A305" s="2" t="s">
        <v>1135</v>
      </c>
      <c r="B305" s="2" t="s">
        <v>1136</v>
      </c>
      <c r="C305" s="2" t="s">
        <v>26</v>
      </c>
      <c r="D305" s="2" t="s">
        <v>469</v>
      </c>
      <c r="E305" s="4">
        <v>29.44</v>
      </c>
      <c r="F305" s="4">
        <v>3671.38</v>
      </c>
      <c r="G305" s="3">
        <v>117</v>
      </c>
      <c r="H305" s="6">
        <v>4.5</v>
      </c>
      <c r="I305" s="3">
        <v>111</v>
      </c>
      <c r="J305" s="13" t="str">
        <f>HYPERLINK("https://amazon.com/dp/B0F9X12NH3","Amazon - B0F9X12NH3")</f>
        <v>Amazon - B0F9X12NH3</v>
      </c>
      <c r="K305" s="14" t="s">
        <v>514</v>
      </c>
      <c r="L305" s="14" t="s">
        <v>456</v>
      </c>
      <c r="M305" s="14" t="s">
        <v>445</v>
      </c>
      <c r="N305" s="14" t="s">
        <v>446</v>
      </c>
      <c r="O305" s="14" t="s">
        <v>453</v>
      </c>
    </row>
    <row r="306" spans="1:15" ht="45" x14ac:dyDescent="0.2">
      <c r="A306" s="2" t="s">
        <v>1137</v>
      </c>
      <c r="B306" s="2" t="s">
        <v>1138</v>
      </c>
      <c r="C306" s="2" t="s">
        <v>13</v>
      </c>
      <c r="D306" s="2" t="s">
        <v>472</v>
      </c>
      <c r="E306" s="4">
        <v>329.99</v>
      </c>
      <c r="F306" s="4">
        <v>3637.59</v>
      </c>
      <c r="G306" s="3">
        <v>11</v>
      </c>
      <c r="H306" s="6">
        <v>1</v>
      </c>
      <c r="I306" s="3">
        <v>1</v>
      </c>
      <c r="J306" s="13" t="str">
        <f>HYPERLINK("https://amazon.com/dp/B0FKB5XRTJ","Amazon - B0FKB5XRTJ")</f>
        <v>Amazon - B0FKB5XRTJ</v>
      </c>
      <c r="K306" s="14" t="s">
        <v>443</v>
      </c>
      <c r="L306" s="14" t="s">
        <v>461</v>
      </c>
      <c r="M306" s="14" t="s">
        <v>715</v>
      </c>
      <c r="N306" s="14" t="s">
        <v>446</v>
      </c>
      <c r="O306" s="14" t="s">
        <v>517</v>
      </c>
    </row>
    <row r="307" spans="1:15" ht="45" x14ac:dyDescent="0.2">
      <c r="A307" s="2" t="s">
        <v>1139</v>
      </c>
      <c r="B307" s="2" t="s">
        <v>1140</v>
      </c>
      <c r="C307" s="2" t="s">
        <v>17</v>
      </c>
      <c r="D307" s="2" t="s">
        <v>442</v>
      </c>
      <c r="E307" s="4">
        <v>33.99</v>
      </c>
      <c r="F307" s="4">
        <v>3623.87</v>
      </c>
      <c r="G307" s="3">
        <v>107</v>
      </c>
      <c r="H307" s="6">
        <v>4.5</v>
      </c>
      <c r="I307" s="3">
        <v>2862</v>
      </c>
      <c r="J307" s="13" t="str">
        <f>HYPERLINK("https://amazon.com/dp/B0FCRFV5TX","Amazon - B0FCRFV5TX")</f>
        <v>Amazon - B0FCRFV5TX</v>
      </c>
      <c r="K307" s="14" t="s">
        <v>443</v>
      </c>
      <c r="L307" s="14" t="s">
        <v>303</v>
      </c>
      <c r="M307" s="14" t="s">
        <v>303</v>
      </c>
      <c r="N307" s="14" t="s">
        <v>446</v>
      </c>
      <c r="O307" s="14" t="s">
        <v>303</v>
      </c>
    </row>
    <row r="308" spans="1:15" ht="45" x14ac:dyDescent="0.2">
      <c r="A308" s="2" t="s">
        <v>1141</v>
      </c>
      <c r="B308" s="2" t="s">
        <v>1142</v>
      </c>
      <c r="C308" s="2" t="s">
        <v>48</v>
      </c>
      <c r="D308" s="2" t="s">
        <v>442</v>
      </c>
      <c r="E308" s="4">
        <v>109.99</v>
      </c>
      <c r="F308" s="4">
        <v>3613.33</v>
      </c>
      <c r="G308" s="3">
        <v>33</v>
      </c>
      <c r="H308" s="6">
        <v>4.8</v>
      </c>
      <c r="I308" s="3">
        <v>34</v>
      </c>
      <c r="J308" s="13" t="str">
        <f>HYPERLINK("https://amazon.com/dp/B0FJL74Z8H","Amazon - B0FJL74Z8H")</f>
        <v>Amazon - B0FJL74Z8H</v>
      </c>
      <c r="K308" s="14" t="s">
        <v>443</v>
      </c>
      <c r="L308" s="14" t="s">
        <v>461</v>
      </c>
      <c r="M308" s="14" t="s">
        <v>535</v>
      </c>
      <c r="N308" s="14" t="s">
        <v>446</v>
      </c>
      <c r="O308" s="14" t="s">
        <v>447</v>
      </c>
    </row>
    <row r="309" spans="1:15" ht="45" x14ac:dyDescent="0.2">
      <c r="A309" s="2" t="s">
        <v>1143</v>
      </c>
      <c r="B309" s="2" t="s">
        <v>1144</v>
      </c>
      <c r="C309" s="2" t="s">
        <v>23</v>
      </c>
      <c r="D309" s="2" t="s">
        <v>472</v>
      </c>
      <c r="E309" s="4">
        <v>138.9</v>
      </c>
      <c r="F309" s="4">
        <v>3610.55</v>
      </c>
      <c r="G309" s="3">
        <v>26</v>
      </c>
      <c r="H309" s="6">
        <v>4.3</v>
      </c>
      <c r="I309" s="3">
        <v>9</v>
      </c>
      <c r="J309" s="13" t="str">
        <f>HYPERLINK("https://amazon.com/dp/B0CQYW4MHD","Amazon - B0CQYW4MHD")</f>
        <v>Amazon - B0CQYW4MHD</v>
      </c>
      <c r="K309" s="14" t="s">
        <v>443</v>
      </c>
      <c r="L309" s="14" t="s">
        <v>502</v>
      </c>
      <c r="M309" s="14" t="s">
        <v>303</v>
      </c>
      <c r="N309" s="14" t="s">
        <v>446</v>
      </c>
      <c r="O309" s="14" t="s">
        <v>303</v>
      </c>
    </row>
    <row r="310" spans="1:15" ht="45" x14ac:dyDescent="0.2">
      <c r="A310" s="2" t="s">
        <v>1145</v>
      </c>
      <c r="B310" s="2" t="s">
        <v>1146</v>
      </c>
      <c r="C310" s="2" t="s">
        <v>27</v>
      </c>
      <c r="D310" s="2" t="s">
        <v>472</v>
      </c>
      <c r="E310" s="4">
        <v>379</v>
      </c>
      <c r="F310" s="4">
        <v>3566.35</v>
      </c>
      <c r="G310" s="3">
        <v>9</v>
      </c>
      <c r="H310" s="6">
        <v>3.8</v>
      </c>
      <c r="I310" s="3">
        <v>19</v>
      </c>
      <c r="J310" s="13" t="str">
        <f>HYPERLINK("https://amazon.com/dp/B0FKGYSFW5","Amazon - B0FKGYSFW5")</f>
        <v>Amazon - B0FKGYSFW5</v>
      </c>
      <c r="K310" s="14" t="s">
        <v>443</v>
      </c>
      <c r="L310" s="14" t="s">
        <v>502</v>
      </c>
      <c r="M310" s="14" t="s">
        <v>303</v>
      </c>
      <c r="N310" s="14" t="s">
        <v>446</v>
      </c>
      <c r="O310" s="14" t="s">
        <v>742</v>
      </c>
    </row>
    <row r="311" spans="1:15" ht="45" x14ac:dyDescent="0.2">
      <c r="A311" s="2" t="s">
        <v>1147</v>
      </c>
      <c r="B311" s="2" t="s">
        <v>1148</v>
      </c>
      <c r="C311" s="2" t="s">
        <v>58</v>
      </c>
      <c r="D311" s="2" t="s">
        <v>472</v>
      </c>
      <c r="E311" s="4">
        <v>515.99</v>
      </c>
      <c r="F311" s="4">
        <v>3532.62</v>
      </c>
      <c r="G311" s="3">
        <v>7</v>
      </c>
      <c r="H311" s="6">
        <v>5</v>
      </c>
      <c r="I311" s="3">
        <v>1</v>
      </c>
      <c r="J311" s="13" t="str">
        <f>HYPERLINK("https://amazon.com/dp/B0DYP4MVQ5","Amazon - B0DYP4MVQ5")</f>
        <v>Amazon - B0DYP4MVQ5</v>
      </c>
      <c r="K311" s="14" t="s">
        <v>443</v>
      </c>
      <c r="L311" s="14" t="s">
        <v>667</v>
      </c>
      <c r="M311" s="14" t="s">
        <v>303</v>
      </c>
      <c r="N311" s="14" t="s">
        <v>446</v>
      </c>
      <c r="O311" s="14" t="s">
        <v>517</v>
      </c>
    </row>
    <row r="312" spans="1:15" ht="30" x14ac:dyDescent="0.2">
      <c r="A312" s="2" t="s">
        <v>1149</v>
      </c>
      <c r="B312" s="2" t="s">
        <v>1150</v>
      </c>
      <c r="C312" s="2" t="s">
        <v>8</v>
      </c>
      <c r="D312" s="2" t="s">
        <v>442</v>
      </c>
      <c r="E312" s="4">
        <v>79.989999999999995</v>
      </c>
      <c r="F312" s="4">
        <v>3471.43</v>
      </c>
      <c r="G312" s="3">
        <v>43</v>
      </c>
      <c r="H312" s="6">
        <v>4.7</v>
      </c>
      <c r="I312" s="3">
        <v>50</v>
      </c>
      <c r="J312" s="13" t="str">
        <f>HYPERLINK("https://amazon.com/dp/B09WMFTQYB","Amazon - B09WMFTQYB")</f>
        <v>Amazon - B09WMFTQYB</v>
      </c>
      <c r="K312" s="14" t="s">
        <v>443</v>
      </c>
      <c r="L312" s="14" t="s">
        <v>303</v>
      </c>
      <c r="M312" s="14" t="s">
        <v>445</v>
      </c>
      <c r="N312" s="14" t="s">
        <v>473</v>
      </c>
      <c r="O312" s="14" t="s">
        <v>543</v>
      </c>
    </row>
    <row r="313" spans="1:15" ht="30" x14ac:dyDescent="0.2">
      <c r="A313" s="2" t="s">
        <v>1151</v>
      </c>
      <c r="B313" s="2" t="s">
        <v>1152</v>
      </c>
      <c r="C313" s="2" t="s">
        <v>15</v>
      </c>
      <c r="D313" s="2" t="s">
        <v>450</v>
      </c>
      <c r="E313" s="4">
        <v>125.99</v>
      </c>
      <c r="F313" s="4">
        <v>3463.82</v>
      </c>
      <c r="G313" s="3">
        <v>28</v>
      </c>
      <c r="H313" s="6">
        <v>4.3</v>
      </c>
      <c r="I313" s="3">
        <v>204</v>
      </c>
      <c r="J313" s="13" t="str">
        <f>HYPERLINK("https://amazon.com/dp/B0DT95GVP1","Amazon - B0DT95GVP1")</f>
        <v>Amazon - B0DT95GVP1</v>
      </c>
      <c r="K313" s="14" t="s">
        <v>443</v>
      </c>
      <c r="L313" s="14" t="s">
        <v>451</v>
      </c>
      <c r="M313" s="14" t="s">
        <v>457</v>
      </c>
      <c r="N313" s="14" t="s">
        <v>446</v>
      </c>
      <c r="O313" s="14" t="s">
        <v>487</v>
      </c>
    </row>
    <row r="314" spans="1:15" ht="45" x14ac:dyDescent="0.2">
      <c r="A314" s="2" t="s">
        <v>1153</v>
      </c>
      <c r="B314" s="2" t="s">
        <v>1154</v>
      </c>
      <c r="C314" s="2" t="s">
        <v>61</v>
      </c>
      <c r="D314" s="2" t="s">
        <v>472</v>
      </c>
      <c r="E314" s="4">
        <v>949.99</v>
      </c>
      <c r="F314" s="4">
        <v>3458.18</v>
      </c>
      <c r="G314" s="3">
        <v>4</v>
      </c>
      <c r="H314" s="6">
        <v>3.4</v>
      </c>
      <c r="I314" s="3">
        <v>62</v>
      </c>
      <c r="J314" s="13" t="str">
        <f>HYPERLINK("https://amazon.com/dp/B0DGTVC7C1","Amazon - B0DGTVC7C1")</f>
        <v>Amazon - B0DGTVC7C1</v>
      </c>
      <c r="K314" s="14" t="s">
        <v>443</v>
      </c>
      <c r="L314" s="14" t="s">
        <v>764</v>
      </c>
      <c r="M314" s="14" t="s">
        <v>462</v>
      </c>
      <c r="N314" s="14" t="s">
        <v>446</v>
      </c>
      <c r="O314" s="14" t="s">
        <v>570</v>
      </c>
    </row>
    <row r="315" spans="1:15" ht="45" x14ac:dyDescent="0.2">
      <c r="A315" s="2" t="s">
        <v>1155</v>
      </c>
      <c r="B315" s="2" t="s">
        <v>1156</v>
      </c>
      <c r="C315" s="2" t="s">
        <v>15</v>
      </c>
      <c r="D315" s="2" t="s">
        <v>442</v>
      </c>
      <c r="E315" s="4">
        <v>94.99</v>
      </c>
      <c r="F315" s="4">
        <v>3409.88</v>
      </c>
      <c r="G315" s="3">
        <v>34</v>
      </c>
      <c r="H315" s="6">
        <v>4.5999999999999996</v>
      </c>
      <c r="I315" s="3">
        <v>144</v>
      </c>
      <c r="J315" s="13" t="str">
        <f>HYPERLINK("https://amazon.com/dp/B0D8SDT9HT","Amazon - B0D8SDT9HT")</f>
        <v>Amazon - B0D8SDT9HT</v>
      </c>
      <c r="K315" s="14" t="s">
        <v>443</v>
      </c>
      <c r="L315" s="14" t="s">
        <v>461</v>
      </c>
      <c r="M315" s="14" t="s">
        <v>577</v>
      </c>
      <c r="N315" s="14" t="s">
        <v>446</v>
      </c>
      <c r="O315" s="14" t="s">
        <v>543</v>
      </c>
    </row>
    <row r="316" spans="1:15" ht="45" x14ac:dyDescent="0.2">
      <c r="A316" s="2" t="s">
        <v>1157</v>
      </c>
      <c r="B316" s="2" t="s">
        <v>1158</v>
      </c>
      <c r="C316" s="2" t="s">
        <v>23</v>
      </c>
      <c r="D316" s="2" t="s">
        <v>472</v>
      </c>
      <c r="E316" s="4">
        <v>332</v>
      </c>
      <c r="F316" s="4">
        <v>3408.69</v>
      </c>
      <c r="G316" s="3">
        <v>10</v>
      </c>
      <c r="H316" s="6">
        <v>4.0999999999999996</v>
      </c>
      <c r="I316" s="3">
        <v>61</v>
      </c>
      <c r="J316" s="13" t="str">
        <f>HYPERLINK("https://amazon.com/dp/B0DCCBC2WZ","Amazon - B0DCCBC2WZ")</f>
        <v>Amazon - B0DCCBC2WZ</v>
      </c>
      <c r="K316" s="14" t="s">
        <v>482</v>
      </c>
      <c r="L316" s="14" t="s">
        <v>461</v>
      </c>
      <c r="M316" s="14" t="s">
        <v>503</v>
      </c>
      <c r="N316" s="14" t="s">
        <v>446</v>
      </c>
      <c r="O316" s="14" t="s">
        <v>856</v>
      </c>
    </row>
    <row r="317" spans="1:15" ht="30" x14ac:dyDescent="0.2">
      <c r="A317" s="2" t="s">
        <v>1159</v>
      </c>
      <c r="B317" s="2" t="s">
        <v>1160</v>
      </c>
      <c r="C317" s="2" t="s">
        <v>11</v>
      </c>
      <c r="D317" s="2" t="s">
        <v>442</v>
      </c>
      <c r="E317" s="4">
        <v>489.9</v>
      </c>
      <c r="F317" s="4">
        <v>3380.05</v>
      </c>
      <c r="G317" s="3">
        <v>7</v>
      </c>
      <c r="H317" s="6">
        <v>3.3</v>
      </c>
      <c r="I317" s="3">
        <v>8</v>
      </c>
      <c r="J317" s="13" t="str">
        <f>HYPERLINK("https://amazon.com/dp/B0DNYTF8L4","Amazon - B0DNYTF8L4")</f>
        <v>Amazon - B0DNYTF8L4</v>
      </c>
      <c r="K317" s="14" t="s">
        <v>443</v>
      </c>
      <c r="L317" s="14" t="s">
        <v>502</v>
      </c>
      <c r="M317" s="14" t="s">
        <v>303</v>
      </c>
      <c r="N317" s="14" t="s">
        <v>446</v>
      </c>
      <c r="O317" s="14" t="s">
        <v>570</v>
      </c>
    </row>
    <row r="318" spans="1:15" ht="45" x14ac:dyDescent="0.2">
      <c r="A318" s="2" t="s">
        <v>1161</v>
      </c>
      <c r="B318" s="2" t="s">
        <v>1162</v>
      </c>
      <c r="C318" s="2" t="s">
        <v>17</v>
      </c>
      <c r="D318" s="2" t="s">
        <v>442</v>
      </c>
      <c r="E318" s="4">
        <v>31.98</v>
      </c>
      <c r="F318" s="4">
        <v>3360.83</v>
      </c>
      <c r="G318" s="3">
        <v>105</v>
      </c>
      <c r="H318" s="6">
        <v>4.5</v>
      </c>
      <c r="I318" s="3">
        <v>2866</v>
      </c>
      <c r="J318" s="13" t="str">
        <f>HYPERLINK("https://amazon.com/dp/B0B8HKQFPD","Amazon - B0B8HKQFPD")</f>
        <v>Amazon - B0B8HKQFPD</v>
      </c>
      <c r="K318" s="14" t="s">
        <v>443</v>
      </c>
      <c r="L318" s="14" t="s">
        <v>303</v>
      </c>
      <c r="M318" s="14" t="s">
        <v>303</v>
      </c>
      <c r="N318" s="14" t="s">
        <v>446</v>
      </c>
      <c r="O318" s="14" t="s">
        <v>303</v>
      </c>
    </row>
    <row r="319" spans="1:15" ht="45" x14ac:dyDescent="0.2">
      <c r="A319" s="2" t="s">
        <v>1163</v>
      </c>
      <c r="B319" s="2" t="s">
        <v>1164</v>
      </c>
      <c r="C319" s="2" t="s">
        <v>13</v>
      </c>
      <c r="D319" s="2" t="s">
        <v>472</v>
      </c>
      <c r="E319" s="4">
        <v>539.99</v>
      </c>
      <c r="F319" s="4">
        <v>3312.57</v>
      </c>
      <c r="G319" s="3">
        <v>6</v>
      </c>
      <c r="H319" s="6">
        <v>4.3</v>
      </c>
      <c r="I319" s="3">
        <v>89</v>
      </c>
      <c r="J319" s="13" t="str">
        <f>HYPERLINK("https://amazon.com/dp/B0BJKTWZBV","Amazon - B0BJKTWZBV")</f>
        <v>Amazon - B0BJKTWZBV</v>
      </c>
      <c r="K319" s="14" t="s">
        <v>443</v>
      </c>
      <c r="L319" s="14" t="s">
        <v>502</v>
      </c>
      <c r="M319" s="14" t="s">
        <v>565</v>
      </c>
      <c r="N319" s="14" t="s">
        <v>446</v>
      </c>
      <c r="O319" s="14" t="s">
        <v>517</v>
      </c>
    </row>
    <row r="320" spans="1:15" ht="45" x14ac:dyDescent="0.2">
      <c r="A320" s="2" t="s">
        <v>1165</v>
      </c>
      <c r="B320" s="2" t="s">
        <v>1166</v>
      </c>
      <c r="C320" s="2" t="s">
        <v>28</v>
      </c>
      <c r="D320" s="2" t="s">
        <v>442</v>
      </c>
      <c r="E320" s="4">
        <v>20.99</v>
      </c>
      <c r="F320" s="4">
        <v>3303.74</v>
      </c>
      <c r="G320" s="3">
        <v>158</v>
      </c>
      <c r="H320" s="6">
        <v>4</v>
      </c>
      <c r="I320" s="3">
        <v>334</v>
      </c>
      <c r="J320" s="13" t="str">
        <f>HYPERLINK("https://amazon.com/dp/B0F13SV3DP","Amazon - B0F13SV3DP")</f>
        <v>Amazon - B0F13SV3DP</v>
      </c>
      <c r="K320" s="14" t="s">
        <v>443</v>
      </c>
      <c r="L320" s="14" t="s">
        <v>456</v>
      </c>
      <c r="M320" s="14" t="s">
        <v>303</v>
      </c>
      <c r="N320" s="14" t="s">
        <v>446</v>
      </c>
      <c r="O320" s="14" t="s">
        <v>608</v>
      </c>
    </row>
    <row r="321" spans="1:15" ht="45" x14ac:dyDescent="0.2">
      <c r="A321" s="2" t="s">
        <v>1167</v>
      </c>
      <c r="B321" s="2" t="s">
        <v>1168</v>
      </c>
      <c r="C321" s="2" t="s">
        <v>13</v>
      </c>
      <c r="D321" s="2" t="s">
        <v>472</v>
      </c>
      <c r="E321" s="4">
        <v>429.99</v>
      </c>
      <c r="F321" s="4">
        <v>3292.43</v>
      </c>
      <c r="G321" s="3">
        <v>7</v>
      </c>
      <c r="H321" s="6">
        <v>4.3</v>
      </c>
      <c r="I321" s="3">
        <v>521</v>
      </c>
      <c r="J321" s="13" t="str">
        <f>HYPERLINK("https://amazon.com/dp/B07RGV67HY","Amazon - B07RGV67HY")</f>
        <v>Amazon - B07RGV67HY</v>
      </c>
      <c r="K321" s="14" t="s">
        <v>443</v>
      </c>
      <c r="L321" s="14" t="s">
        <v>667</v>
      </c>
      <c r="M321" s="14" t="s">
        <v>303</v>
      </c>
      <c r="N321" s="14" t="s">
        <v>446</v>
      </c>
      <c r="O321" s="14" t="s">
        <v>517</v>
      </c>
    </row>
    <row r="322" spans="1:15" ht="30" x14ac:dyDescent="0.2">
      <c r="A322" s="2" t="s">
        <v>1169</v>
      </c>
      <c r="B322" s="2" t="s">
        <v>1170</v>
      </c>
      <c r="C322" s="2" t="s">
        <v>44</v>
      </c>
      <c r="D322" s="2" t="s">
        <v>450</v>
      </c>
      <c r="E322" s="4">
        <v>19.989999999999998</v>
      </c>
      <c r="F322" s="4">
        <v>3287.63</v>
      </c>
      <c r="G322" s="3">
        <v>161</v>
      </c>
      <c r="H322" s="6">
        <v>4.5</v>
      </c>
      <c r="I322" s="3">
        <v>87</v>
      </c>
      <c r="J322" s="13" t="str">
        <f>HYPERLINK("https://amazon.com/dp/B0G4GGYXBC","Amazon - B0G4GGYXBC")</f>
        <v>Amazon - B0G4GGYXBC</v>
      </c>
      <c r="K322" s="14" t="s">
        <v>443</v>
      </c>
      <c r="L322" s="14" t="s">
        <v>451</v>
      </c>
      <c r="M322" s="14" t="s">
        <v>445</v>
      </c>
      <c r="N322" s="14" t="s">
        <v>446</v>
      </c>
      <c r="O322" s="14" t="s">
        <v>453</v>
      </c>
    </row>
    <row r="323" spans="1:15" ht="45" x14ac:dyDescent="0.2">
      <c r="A323" s="2" t="s">
        <v>1171</v>
      </c>
      <c r="B323" s="2" t="s">
        <v>1172</v>
      </c>
      <c r="C323" s="2" t="s">
        <v>33</v>
      </c>
      <c r="D323" s="2" t="s">
        <v>472</v>
      </c>
      <c r="E323" s="4">
        <v>999.99</v>
      </c>
      <c r="F323" s="4">
        <v>3284.74</v>
      </c>
      <c r="G323" s="3">
        <v>3</v>
      </c>
      <c r="H323" s="6">
        <v>4.8</v>
      </c>
      <c r="I323" s="3">
        <v>7</v>
      </c>
      <c r="J323" s="13" t="str">
        <f>HYPERLINK("https://amazon.com/dp/B0FMDTV17J","Amazon - B0FMDTV17J")</f>
        <v>Amazon - B0FMDTV17J</v>
      </c>
      <c r="K323" s="14" t="s">
        <v>443</v>
      </c>
      <c r="L323" s="14" t="s">
        <v>564</v>
      </c>
      <c r="M323" s="14" t="s">
        <v>303</v>
      </c>
      <c r="N323" s="14" t="s">
        <v>446</v>
      </c>
      <c r="O323" s="14" t="s">
        <v>570</v>
      </c>
    </row>
    <row r="324" spans="1:15" ht="30" x14ac:dyDescent="0.2">
      <c r="A324" s="2" t="s">
        <v>1173</v>
      </c>
      <c r="B324" s="2" t="s">
        <v>1174</v>
      </c>
      <c r="C324" s="2" t="s">
        <v>15</v>
      </c>
      <c r="D324" s="2" t="s">
        <v>442</v>
      </c>
      <c r="E324" s="4">
        <v>99.99</v>
      </c>
      <c r="F324" s="4">
        <v>3275.42</v>
      </c>
      <c r="G324" s="3">
        <v>30</v>
      </c>
      <c r="H324" s="6">
        <v>4.3</v>
      </c>
      <c r="I324" s="3">
        <v>67</v>
      </c>
      <c r="J324" s="13" t="str">
        <f>HYPERLINK("https://amazon.com/dp/B0G43L1BD9","Amazon - B0G43L1BD9")</f>
        <v>Amazon - B0G43L1BD9</v>
      </c>
      <c r="K324" s="14" t="s">
        <v>443</v>
      </c>
      <c r="L324" s="14" t="s">
        <v>456</v>
      </c>
      <c r="M324" s="14" t="s">
        <v>577</v>
      </c>
      <c r="N324" s="14" t="s">
        <v>446</v>
      </c>
      <c r="O324" s="14" t="s">
        <v>578</v>
      </c>
    </row>
    <row r="325" spans="1:15" ht="45" x14ac:dyDescent="0.2">
      <c r="A325" s="2" t="s">
        <v>1175</v>
      </c>
      <c r="B325" s="2" t="s">
        <v>1176</v>
      </c>
      <c r="C325" s="2" t="s">
        <v>14</v>
      </c>
      <c r="D325" s="2" t="s">
        <v>472</v>
      </c>
      <c r="E325" s="4">
        <v>209.88</v>
      </c>
      <c r="F325" s="4">
        <v>3263.87</v>
      </c>
      <c r="G325" s="3">
        <v>16</v>
      </c>
      <c r="H325" s="6">
        <v>4.2</v>
      </c>
      <c r="I325" s="3">
        <v>141</v>
      </c>
      <c r="J325" s="13" t="str">
        <f>HYPERLINK("https://amazon.com/dp/B0FHK3NQ4R","Amazon - B0FHK3NQ4R")</f>
        <v>Amazon - B0FHK3NQ4R</v>
      </c>
      <c r="K325" s="14" t="s">
        <v>443</v>
      </c>
      <c r="L325" s="14" t="s">
        <v>303</v>
      </c>
      <c r="M325" s="14" t="s">
        <v>866</v>
      </c>
      <c r="N325" s="14" t="s">
        <v>446</v>
      </c>
      <c r="O325" s="14" t="s">
        <v>742</v>
      </c>
    </row>
    <row r="326" spans="1:15" ht="45" x14ac:dyDescent="0.2">
      <c r="A326" s="2" t="s">
        <v>1177</v>
      </c>
      <c r="B326" s="2" t="s">
        <v>1178</v>
      </c>
      <c r="C326" s="2" t="s">
        <v>58</v>
      </c>
      <c r="D326" s="2" t="s">
        <v>472</v>
      </c>
      <c r="E326" s="4">
        <v>223.99</v>
      </c>
      <c r="F326" s="4">
        <v>3240.56</v>
      </c>
      <c r="G326" s="3">
        <v>14</v>
      </c>
      <c r="H326" s="6">
        <v>5</v>
      </c>
      <c r="I326" s="3">
        <v>1</v>
      </c>
      <c r="J326" s="13" t="str">
        <f>HYPERLINK("https://amazon.com/dp/B0FL1ZH8S1","Amazon - B0FL1ZH8S1")</f>
        <v>Amazon - B0FL1ZH8S1</v>
      </c>
      <c r="K326" s="14" t="s">
        <v>443</v>
      </c>
      <c r="L326" s="14" t="s">
        <v>456</v>
      </c>
      <c r="M326" s="14" t="s">
        <v>503</v>
      </c>
      <c r="N326" s="14" t="s">
        <v>446</v>
      </c>
      <c r="O326" s="14" t="s">
        <v>517</v>
      </c>
    </row>
    <row r="327" spans="1:15" ht="45" x14ac:dyDescent="0.2">
      <c r="A327" s="2" t="s">
        <v>1179</v>
      </c>
      <c r="B327" s="2" t="s">
        <v>1180</v>
      </c>
      <c r="C327" s="2" t="s">
        <v>11</v>
      </c>
      <c r="D327" s="2" t="s">
        <v>472</v>
      </c>
      <c r="E327" s="4">
        <v>727.9</v>
      </c>
      <c r="F327" s="4">
        <v>3199.18</v>
      </c>
      <c r="G327" s="3">
        <v>4</v>
      </c>
      <c r="H327" s="6">
        <v>4</v>
      </c>
      <c r="I327" s="3">
        <v>14</v>
      </c>
      <c r="J327" s="13" t="str">
        <f>HYPERLINK("https://amazon.com/dp/B0DNMH4MR6","Amazon - B0DNMH4MR6")</f>
        <v>Amazon - B0DNMH4MR6</v>
      </c>
      <c r="K327" s="14" t="s">
        <v>443</v>
      </c>
      <c r="L327" s="14" t="s">
        <v>502</v>
      </c>
      <c r="M327" s="14" t="s">
        <v>303</v>
      </c>
      <c r="N327" s="14" t="s">
        <v>446</v>
      </c>
      <c r="O327" s="14" t="s">
        <v>527</v>
      </c>
    </row>
    <row r="328" spans="1:15" ht="45" x14ac:dyDescent="0.2">
      <c r="A328" s="2" t="s">
        <v>1181</v>
      </c>
      <c r="B328" s="2" t="s">
        <v>1182</v>
      </c>
      <c r="C328" s="2" t="s">
        <v>98</v>
      </c>
      <c r="D328" s="2" t="s">
        <v>450</v>
      </c>
      <c r="E328" s="4">
        <v>22.99</v>
      </c>
      <c r="F328" s="4">
        <v>3196.21</v>
      </c>
      <c r="G328" s="3">
        <v>139</v>
      </c>
      <c r="H328" s="6">
        <v>4.3</v>
      </c>
      <c r="I328" s="3">
        <v>1049</v>
      </c>
      <c r="J328" s="13" t="str">
        <f>HYPERLINK("https://amazon.com/dp/B0CG6953FL","Amazon - B0CG6953FL")</f>
        <v>Amazon - B0CG6953FL</v>
      </c>
      <c r="K328" s="14" t="s">
        <v>443</v>
      </c>
      <c r="L328" s="14" t="s">
        <v>451</v>
      </c>
      <c r="M328" s="14" t="s">
        <v>303</v>
      </c>
      <c r="N328" s="14" t="s">
        <v>446</v>
      </c>
      <c r="O328" s="14" t="s">
        <v>524</v>
      </c>
    </row>
    <row r="329" spans="1:15" ht="45" x14ac:dyDescent="0.2">
      <c r="A329" s="2" t="s">
        <v>1183</v>
      </c>
      <c r="B329" s="2" t="s">
        <v>1184</v>
      </c>
      <c r="C329" s="2" t="s">
        <v>13</v>
      </c>
      <c r="D329" s="2" t="s">
        <v>472</v>
      </c>
      <c r="E329" s="4">
        <v>659.99</v>
      </c>
      <c r="F329" s="4">
        <v>3192.6</v>
      </c>
      <c r="G329" s="3">
        <v>5</v>
      </c>
      <c r="H329" s="6">
        <v>3.8</v>
      </c>
      <c r="I329" s="3">
        <v>7</v>
      </c>
      <c r="J329" s="13" t="str">
        <f>HYPERLINK("https://amazon.com/dp/B0D7HQ7MQQ","Amazon - B0D7HQ7MQQ")</f>
        <v>Amazon - B0D7HQ7MQQ</v>
      </c>
      <c r="K329" s="14" t="s">
        <v>443</v>
      </c>
      <c r="L329" s="14" t="s">
        <v>461</v>
      </c>
      <c r="M329" s="14" t="s">
        <v>565</v>
      </c>
      <c r="N329" s="14" t="s">
        <v>446</v>
      </c>
      <c r="O329" s="14" t="s">
        <v>517</v>
      </c>
    </row>
    <row r="330" spans="1:15" ht="45" x14ac:dyDescent="0.2">
      <c r="A330" s="2" t="s">
        <v>1185</v>
      </c>
      <c r="B330" s="2" t="s">
        <v>1186</v>
      </c>
      <c r="C330" s="2" t="s">
        <v>13</v>
      </c>
      <c r="D330" s="2" t="s">
        <v>472</v>
      </c>
      <c r="E330" s="4">
        <v>899.99</v>
      </c>
      <c r="F330" s="4">
        <v>3185.93</v>
      </c>
      <c r="G330" s="3">
        <v>4</v>
      </c>
      <c r="H330" s="6">
        <v>3.4</v>
      </c>
      <c r="I330" s="3">
        <v>2</v>
      </c>
      <c r="J330" s="13" t="str">
        <f>HYPERLINK("https://amazon.com/dp/B0DJ7L3MCV","Amazon - B0DJ7L3MCV")</f>
        <v>Amazon - B0DJ7L3MCV</v>
      </c>
      <c r="K330" s="14" t="s">
        <v>443</v>
      </c>
      <c r="L330" s="14" t="s">
        <v>461</v>
      </c>
      <c r="M330" s="14" t="s">
        <v>565</v>
      </c>
      <c r="N330" s="14" t="s">
        <v>446</v>
      </c>
      <c r="O330" s="14" t="s">
        <v>856</v>
      </c>
    </row>
    <row r="331" spans="1:15" ht="30" x14ac:dyDescent="0.2">
      <c r="A331" s="2" t="s">
        <v>1187</v>
      </c>
      <c r="B331" s="2" t="s">
        <v>1188</v>
      </c>
      <c r="C331" s="2" t="s">
        <v>51</v>
      </c>
      <c r="D331" s="2" t="s">
        <v>450</v>
      </c>
      <c r="E331" s="4">
        <v>299.98</v>
      </c>
      <c r="F331" s="4">
        <v>3162.34</v>
      </c>
      <c r="G331" s="3">
        <v>11</v>
      </c>
      <c r="H331" s="6">
        <v>4.5</v>
      </c>
      <c r="I331" s="3">
        <v>9</v>
      </c>
      <c r="J331" s="13" t="str">
        <f>HYPERLINK("https://amazon.com/dp/B0CXR3J9ZS","Amazon - B0CXR3J9ZS")</f>
        <v>Amazon - B0CXR3J9ZS</v>
      </c>
      <c r="K331" s="14" t="s">
        <v>443</v>
      </c>
      <c r="L331" s="14" t="s">
        <v>451</v>
      </c>
      <c r="M331" s="14" t="s">
        <v>303</v>
      </c>
      <c r="N331" s="14" t="s">
        <v>446</v>
      </c>
      <c r="O331" s="14" t="s">
        <v>447</v>
      </c>
    </row>
    <row r="332" spans="1:15" ht="45" x14ac:dyDescent="0.2">
      <c r="A332" s="2" t="s">
        <v>1189</v>
      </c>
      <c r="B332" s="2" t="s">
        <v>1190</v>
      </c>
      <c r="C332" s="2" t="s">
        <v>14</v>
      </c>
      <c r="D332" s="2" t="s">
        <v>472</v>
      </c>
      <c r="E332" s="4">
        <v>369.99</v>
      </c>
      <c r="F332" s="4">
        <v>3137.27</v>
      </c>
      <c r="G332" s="3">
        <v>10</v>
      </c>
      <c r="H332" s="6">
        <v>3.7</v>
      </c>
      <c r="I332" s="3">
        <v>70</v>
      </c>
      <c r="J332" s="13" t="str">
        <f>HYPERLINK("https://amazon.com/dp/B0DP9TKWT4","Amazon - B0DP9TKWT4")</f>
        <v>Amazon - B0DP9TKWT4</v>
      </c>
      <c r="K332" s="14" t="s">
        <v>443</v>
      </c>
      <c r="L332" s="14" t="s">
        <v>502</v>
      </c>
      <c r="M332" s="14" t="s">
        <v>303</v>
      </c>
      <c r="N332" s="14" t="s">
        <v>446</v>
      </c>
      <c r="O332" s="14" t="s">
        <v>517</v>
      </c>
    </row>
    <row r="333" spans="1:15" ht="45" x14ac:dyDescent="0.2">
      <c r="A333" s="2" t="s">
        <v>1191</v>
      </c>
      <c r="B333" s="2" t="s">
        <v>1192</v>
      </c>
      <c r="C333" s="2" t="s">
        <v>48</v>
      </c>
      <c r="D333" s="2" t="s">
        <v>442</v>
      </c>
      <c r="E333" s="4">
        <v>129.99</v>
      </c>
      <c r="F333" s="4">
        <v>3136.6</v>
      </c>
      <c r="G333" s="3">
        <v>24</v>
      </c>
      <c r="H333" s="6">
        <v>4.7</v>
      </c>
      <c r="I333" s="3">
        <v>26</v>
      </c>
      <c r="J333" s="13" t="str">
        <f>HYPERLINK("https://amazon.com/dp/B0FZSZV9DJ","Amazon - B0FZSZV9DJ")</f>
        <v>Amazon - B0FZSZV9DJ</v>
      </c>
      <c r="K333" s="14" t="s">
        <v>443</v>
      </c>
      <c r="L333" s="14" t="s">
        <v>461</v>
      </c>
      <c r="M333" s="14" t="s">
        <v>535</v>
      </c>
      <c r="N333" s="14" t="s">
        <v>452</v>
      </c>
      <c r="O333" s="14" t="s">
        <v>447</v>
      </c>
    </row>
    <row r="334" spans="1:15" ht="30" x14ac:dyDescent="0.2">
      <c r="A334" s="2" t="s">
        <v>1193</v>
      </c>
      <c r="B334" s="2" t="s">
        <v>1194</v>
      </c>
      <c r="C334" s="2" t="s">
        <v>99</v>
      </c>
      <c r="D334" s="2" t="s">
        <v>450</v>
      </c>
      <c r="E334" s="4">
        <v>18.989999999999998</v>
      </c>
      <c r="F334" s="4">
        <v>3129.41</v>
      </c>
      <c r="G334" s="3">
        <v>165</v>
      </c>
      <c r="H334" s="6">
        <v>4.4000000000000004</v>
      </c>
      <c r="I334" s="3">
        <v>58</v>
      </c>
      <c r="J334" s="13" t="str">
        <f>HYPERLINK("https://amazon.com/dp/B0DBCFYL2H","Amazon - B0DBCFYL2H")</f>
        <v>Amazon - B0DBCFYL2H</v>
      </c>
      <c r="K334" s="14" t="s">
        <v>443</v>
      </c>
      <c r="L334" s="14" t="s">
        <v>451</v>
      </c>
      <c r="M334" s="14" t="s">
        <v>303</v>
      </c>
      <c r="N334" s="14" t="s">
        <v>446</v>
      </c>
      <c r="O334" s="14" t="s">
        <v>453</v>
      </c>
    </row>
    <row r="335" spans="1:15" ht="45" x14ac:dyDescent="0.2">
      <c r="A335" s="2" t="s">
        <v>1195</v>
      </c>
      <c r="B335" s="2" t="s">
        <v>1196</v>
      </c>
      <c r="C335" s="2" t="s">
        <v>100</v>
      </c>
      <c r="D335" s="2" t="s">
        <v>472</v>
      </c>
      <c r="E335" s="4">
        <v>33.99</v>
      </c>
      <c r="F335" s="4">
        <v>3126.99</v>
      </c>
      <c r="G335" s="3">
        <v>92</v>
      </c>
      <c r="H335" s="6">
        <v>4.5</v>
      </c>
      <c r="I335" s="3">
        <v>51</v>
      </c>
      <c r="J335" s="13" t="str">
        <f>HYPERLINK("https://amazon.com/dp/B0G123VB7K","Amazon - B0G123VB7K")</f>
        <v>Amazon - B0G123VB7K</v>
      </c>
      <c r="K335" s="14" t="s">
        <v>443</v>
      </c>
      <c r="L335" s="14" t="s">
        <v>451</v>
      </c>
      <c r="M335" s="14" t="s">
        <v>303</v>
      </c>
      <c r="N335" s="14" t="s">
        <v>446</v>
      </c>
      <c r="O335" s="14" t="s">
        <v>453</v>
      </c>
    </row>
    <row r="336" spans="1:15" ht="45" x14ac:dyDescent="0.2">
      <c r="A336" s="2" t="s">
        <v>1197</v>
      </c>
      <c r="B336" s="2" t="s">
        <v>1198</v>
      </c>
      <c r="C336" s="2" t="s">
        <v>50</v>
      </c>
      <c r="D336" s="2" t="s">
        <v>472</v>
      </c>
      <c r="E336" s="4">
        <v>599.99</v>
      </c>
      <c r="F336" s="4">
        <v>3106.79</v>
      </c>
      <c r="G336" s="3">
        <v>5</v>
      </c>
      <c r="H336" s="6">
        <v>2.9</v>
      </c>
      <c r="I336" s="3">
        <v>2</v>
      </c>
      <c r="J336" s="13" t="str">
        <f>HYPERLINK("https://amazon.com/dp/B0FL1TPZSQ","Amazon - B0FL1TPZSQ")</f>
        <v>Amazon - B0FL1TPZSQ</v>
      </c>
      <c r="K336" s="14" t="s">
        <v>443</v>
      </c>
      <c r="L336" s="14" t="s">
        <v>502</v>
      </c>
      <c r="M336" s="14" t="s">
        <v>303</v>
      </c>
      <c r="N336" s="14" t="s">
        <v>446</v>
      </c>
      <c r="O336" s="14" t="s">
        <v>1199</v>
      </c>
    </row>
    <row r="337" spans="1:15" ht="45" x14ac:dyDescent="0.2">
      <c r="A337" s="2" t="s">
        <v>1200</v>
      </c>
      <c r="B337" s="2" t="s">
        <v>1201</v>
      </c>
      <c r="C337" s="2" t="s">
        <v>47</v>
      </c>
      <c r="D337" s="2" t="s">
        <v>472</v>
      </c>
      <c r="E337" s="4">
        <v>299.99</v>
      </c>
      <c r="F337" s="4">
        <v>3106.63</v>
      </c>
      <c r="G337" s="3">
        <v>11</v>
      </c>
      <c r="H337" s="6">
        <v>4</v>
      </c>
      <c r="I337" s="3">
        <v>41</v>
      </c>
      <c r="J337" s="13" t="str">
        <f>HYPERLINK("https://amazon.com/dp/B0DFQ9JP9J","Amazon - B0DFQ9JP9J")</f>
        <v>Amazon - B0DFQ9JP9J</v>
      </c>
      <c r="K337" s="14" t="s">
        <v>443</v>
      </c>
      <c r="L337" s="14" t="s">
        <v>456</v>
      </c>
      <c r="M337" s="14" t="s">
        <v>303</v>
      </c>
      <c r="N337" s="14" t="s">
        <v>446</v>
      </c>
      <c r="O337" s="14" t="s">
        <v>570</v>
      </c>
    </row>
    <row r="338" spans="1:15" ht="30" x14ac:dyDescent="0.2">
      <c r="A338" s="2" t="s">
        <v>1202</v>
      </c>
      <c r="B338" s="2" t="s">
        <v>1203</v>
      </c>
      <c r="C338" s="2" t="s">
        <v>74</v>
      </c>
      <c r="D338" s="2" t="s">
        <v>442</v>
      </c>
      <c r="E338" s="4">
        <v>27.99</v>
      </c>
      <c r="F338" s="4">
        <v>3106.16</v>
      </c>
      <c r="G338" s="3">
        <v>114</v>
      </c>
      <c r="H338" s="6">
        <v>4.3</v>
      </c>
      <c r="I338" s="3">
        <v>16</v>
      </c>
      <c r="J338" s="13" t="str">
        <f>HYPERLINK("https://amazon.com/dp/B0F9959W84","Amazon - B0F9959W84")</f>
        <v>Amazon - B0F9959W84</v>
      </c>
      <c r="K338" s="14" t="s">
        <v>443</v>
      </c>
      <c r="L338" s="14" t="s">
        <v>456</v>
      </c>
      <c r="M338" s="14" t="s">
        <v>303</v>
      </c>
      <c r="N338" s="14" t="s">
        <v>446</v>
      </c>
      <c r="O338" s="14" t="s">
        <v>1204</v>
      </c>
    </row>
    <row r="339" spans="1:15" ht="45" x14ac:dyDescent="0.2">
      <c r="A339" s="2" t="s">
        <v>1205</v>
      </c>
      <c r="B339" s="2" t="s">
        <v>1206</v>
      </c>
      <c r="C339" s="2" t="s">
        <v>102</v>
      </c>
      <c r="D339" s="2" t="s">
        <v>472</v>
      </c>
      <c r="E339" s="4">
        <v>205</v>
      </c>
      <c r="F339" s="4">
        <v>3089.31</v>
      </c>
      <c r="G339" s="3">
        <v>15</v>
      </c>
      <c r="H339" s="6">
        <v>3.7</v>
      </c>
      <c r="I339" s="3">
        <v>21</v>
      </c>
      <c r="J339" s="13" t="str">
        <f>HYPERLINK("https://amazon.com/dp/B0DHRQ9KM1","Amazon - B0DHRQ9KM1")</f>
        <v>Amazon - B0DHRQ9KM1</v>
      </c>
      <c r="K339" s="14" t="s">
        <v>443</v>
      </c>
      <c r="L339" s="14" t="s">
        <v>461</v>
      </c>
      <c r="M339" s="14" t="s">
        <v>303</v>
      </c>
      <c r="N339" s="14" t="s">
        <v>446</v>
      </c>
      <c r="O339" s="14" t="s">
        <v>517</v>
      </c>
    </row>
    <row r="340" spans="1:15" ht="45" x14ac:dyDescent="0.2">
      <c r="A340" s="2" t="s">
        <v>1207</v>
      </c>
      <c r="B340" s="2" t="s">
        <v>1208</v>
      </c>
      <c r="C340" s="2" t="s">
        <v>77</v>
      </c>
      <c r="D340" s="2" t="s">
        <v>472</v>
      </c>
      <c r="E340" s="4">
        <v>699.99</v>
      </c>
      <c r="F340" s="4">
        <v>3086.3</v>
      </c>
      <c r="G340" s="3">
        <v>4</v>
      </c>
      <c r="H340" s="6">
        <v>4.8</v>
      </c>
      <c r="I340" s="3">
        <v>7</v>
      </c>
      <c r="J340" s="13" t="str">
        <f>HYPERLINK("https://amazon.com/dp/B0FYP9SDDX","Amazon - B0FYP9SDDX")</f>
        <v>Amazon - B0FYP9SDDX</v>
      </c>
      <c r="K340" s="14" t="s">
        <v>443</v>
      </c>
      <c r="L340" s="14" t="s">
        <v>667</v>
      </c>
      <c r="M340" s="14" t="s">
        <v>303</v>
      </c>
      <c r="N340" s="14" t="s">
        <v>446</v>
      </c>
      <c r="O340" s="14" t="s">
        <v>527</v>
      </c>
    </row>
    <row r="341" spans="1:15" ht="45" x14ac:dyDescent="0.2">
      <c r="A341" s="2" t="s">
        <v>1209</v>
      </c>
      <c r="B341" s="2" t="s">
        <v>1210</v>
      </c>
      <c r="C341" s="2" t="s">
        <v>103</v>
      </c>
      <c r="D341" s="2" t="s">
        <v>442</v>
      </c>
      <c r="E341" s="4">
        <v>69.989999999999995</v>
      </c>
      <c r="F341" s="4">
        <v>3079.1</v>
      </c>
      <c r="G341" s="3">
        <v>44</v>
      </c>
      <c r="H341" s="6">
        <v>4.5</v>
      </c>
      <c r="I341" s="3">
        <v>221</v>
      </c>
      <c r="J341" s="13" t="str">
        <f>HYPERLINK("https://amazon.com/dp/B0DT98YB3X","Amazon - B0DT98YB3X")</f>
        <v>Amazon - B0DT98YB3X</v>
      </c>
      <c r="K341" s="14" t="s">
        <v>443</v>
      </c>
      <c r="L341" s="14" t="s">
        <v>456</v>
      </c>
      <c r="M341" s="14" t="s">
        <v>445</v>
      </c>
      <c r="N341" s="14" t="s">
        <v>446</v>
      </c>
      <c r="O341" s="14" t="s">
        <v>458</v>
      </c>
    </row>
    <row r="342" spans="1:15" ht="30" x14ac:dyDescent="0.2">
      <c r="A342" s="2" t="s">
        <v>1211</v>
      </c>
      <c r="B342" s="2" t="s">
        <v>1212</v>
      </c>
      <c r="C342" s="2" t="s">
        <v>13</v>
      </c>
      <c r="D342" s="2" t="s">
        <v>472</v>
      </c>
      <c r="E342" s="4">
        <v>999.99</v>
      </c>
      <c r="F342" s="4">
        <v>3076.27</v>
      </c>
      <c r="G342" s="3">
        <v>3</v>
      </c>
      <c r="H342" s="6">
        <v>4.2</v>
      </c>
      <c r="I342" s="3">
        <v>158</v>
      </c>
      <c r="J342" s="13" t="str">
        <f>HYPERLINK("https://amazon.com/dp/B0C3D3SXDN","Amazon - B0C3D3SXDN")</f>
        <v>Amazon - B0C3D3SXDN</v>
      </c>
      <c r="K342" s="14" t="s">
        <v>443</v>
      </c>
      <c r="L342" s="14" t="s">
        <v>461</v>
      </c>
      <c r="M342" s="14" t="s">
        <v>303</v>
      </c>
      <c r="N342" s="14" t="s">
        <v>446</v>
      </c>
      <c r="O342" s="14" t="s">
        <v>856</v>
      </c>
    </row>
    <row r="343" spans="1:15" ht="45" x14ac:dyDescent="0.2">
      <c r="A343" s="2" t="s">
        <v>1213</v>
      </c>
      <c r="B343" s="2" t="s">
        <v>1214</v>
      </c>
      <c r="C343" s="2" t="s">
        <v>94</v>
      </c>
      <c r="D343" s="2" t="s">
        <v>442</v>
      </c>
      <c r="E343" s="4">
        <v>535</v>
      </c>
      <c r="F343" s="4">
        <v>3052.68</v>
      </c>
      <c r="G343" s="3">
        <v>6</v>
      </c>
      <c r="H343" s="6">
        <v>3.6</v>
      </c>
      <c r="I343" s="3">
        <v>12</v>
      </c>
      <c r="J343" s="13" t="str">
        <f>HYPERLINK("https://amazon.com/dp/B071S8J2X8","Amazon - B071S8J2X8")</f>
        <v>Amazon - B071S8J2X8</v>
      </c>
      <c r="K343" s="14" t="s">
        <v>443</v>
      </c>
      <c r="L343" s="14" t="s">
        <v>303</v>
      </c>
      <c r="M343" s="14" t="s">
        <v>303</v>
      </c>
      <c r="N343" s="14" t="s">
        <v>446</v>
      </c>
      <c r="O343" s="14" t="s">
        <v>303</v>
      </c>
    </row>
    <row r="344" spans="1:15" ht="45" x14ac:dyDescent="0.2">
      <c r="A344" s="2" t="s">
        <v>1215</v>
      </c>
      <c r="B344" s="2" t="s">
        <v>1216</v>
      </c>
      <c r="C344" s="2" t="s">
        <v>43</v>
      </c>
      <c r="D344" s="2" t="s">
        <v>472</v>
      </c>
      <c r="E344" s="4">
        <v>569.04999999999995</v>
      </c>
      <c r="F344" s="4">
        <v>3049.4</v>
      </c>
      <c r="G344" s="3">
        <v>5</v>
      </c>
      <c r="H344" s="6">
        <v>0</v>
      </c>
      <c r="I344" s="3">
        <v>0</v>
      </c>
      <c r="J344" s="13" t="str">
        <f>HYPERLINK("https://amazon.com/dp/B0BWJMD13W","Amazon - B0BWJMD13W")</f>
        <v>Amazon - B0BWJMD13W</v>
      </c>
      <c r="K344" s="14" t="s">
        <v>443</v>
      </c>
      <c r="L344" s="14" t="s">
        <v>461</v>
      </c>
      <c r="M344" s="14" t="s">
        <v>303</v>
      </c>
      <c r="N344" s="14" t="s">
        <v>446</v>
      </c>
      <c r="O344" s="14" t="s">
        <v>517</v>
      </c>
    </row>
    <row r="345" spans="1:15" ht="45" x14ac:dyDescent="0.2">
      <c r="A345" s="2" t="s">
        <v>1217</v>
      </c>
      <c r="B345" s="2" t="s">
        <v>1218</v>
      </c>
      <c r="C345" s="2" t="s">
        <v>23</v>
      </c>
      <c r="D345" s="2" t="s">
        <v>472</v>
      </c>
      <c r="E345" s="4">
        <v>337.2</v>
      </c>
      <c r="F345" s="4">
        <v>3021.71</v>
      </c>
      <c r="G345" s="3">
        <v>9</v>
      </c>
      <c r="H345" s="6">
        <v>4.0999999999999996</v>
      </c>
      <c r="I345" s="3">
        <v>61</v>
      </c>
      <c r="J345" s="13" t="str">
        <f>HYPERLINK("https://amazon.com/dp/B0DCC7JN6M","Amazon - B0DCC7JN6M")</f>
        <v>Amazon - B0DCC7JN6M</v>
      </c>
      <c r="K345" s="14" t="s">
        <v>443</v>
      </c>
      <c r="L345" s="14" t="s">
        <v>461</v>
      </c>
      <c r="M345" s="14" t="s">
        <v>688</v>
      </c>
      <c r="N345" s="14" t="s">
        <v>446</v>
      </c>
      <c r="O345" s="14" t="s">
        <v>856</v>
      </c>
    </row>
    <row r="346" spans="1:15" ht="45" x14ac:dyDescent="0.2">
      <c r="A346" s="2" t="s">
        <v>1219</v>
      </c>
      <c r="B346" s="2" t="s">
        <v>1220</v>
      </c>
      <c r="C346" s="2" t="s">
        <v>16</v>
      </c>
      <c r="D346" s="2" t="s">
        <v>442</v>
      </c>
      <c r="E346" s="4">
        <v>26.43</v>
      </c>
      <c r="F346" s="4">
        <v>2984.37</v>
      </c>
      <c r="G346" s="3">
        <v>100</v>
      </c>
      <c r="H346" s="6">
        <v>4.5</v>
      </c>
      <c r="I346" s="3">
        <v>203</v>
      </c>
      <c r="J346" s="13" t="str">
        <f>HYPERLINK("https://amazon.com/dp/B0G1MGRCZ1","Amazon - B0G1MGRCZ1")</f>
        <v>Amazon - B0G1MGRCZ1</v>
      </c>
      <c r="K346" s="14" t="s">
        <v>443</v>
      </c>
      <c r="L346" s="14" t="s">
        <v>456</v>
      </c>
      <c r="M346" s="14" t="s">
        <v>303</v>
      </c>
      <c r="N346" s="14" t="s">
        <v>446</v>
      </c>
      <c r="O346" s="14" t="s">
        <v>453</v>
      </c>
    </row>
    <row r="347" spans="1:15" ht="45" x14ac:dyDescent="0.2">
      <c r="A347" s="2" t="s">
        <v>1221</v>
      </c>
      <c r="B347" s="2" t="s">
        <v>1222</v>
      </c>
      <c r="C347" s="2" t="s">
        <v>105</v>
      </c>
      <c r="D347" s="2" t="s">
        <v>472</v>
      </c>
      <c r="E347" s="4">
        <v>39.9</v>
      </c>
      <c r="F347" s="4">
        <v>2965.32</v>
      </c>
      <c r="G347" s="3">
        <v>74</v>
      </c>
      <c r="H347" s="6">
        <v>3.9</v>
      </c>
      <c r="I347" s="3">
        <v>5</v>
      </c>
      <c r="J347" s="13" t="str">
        <f>HYPERLINK("https://amazon.com/dp/B0FQNT3LPQ","Amazon - B0FQNT3LPQ")</f>
        <v>Amazon - B0FQNT3LPQ</v>
      </c>
      <c r="K347" s="14" t="s">
        <v>443</v>
      </c>
      <c r="L347" s="14" t="s">
        <v>303</v>
      </c>
      <c r="M347" s="14" t="s">
        <v>303</v>
      </c>
      <c r="N347" s="14" t="s">
        <v>446</v>
      </c>
      <c r="O347" s="14" t="s">
        <v>303</v>
      </c>
    </row>
    <row r="348" spans="1:15" ht="30" x14ac:dyDescent="0.2">
      <c r="A348" s="2" t="s">
        <v>1223</v>
      </c>
      <c r="B348" s="2" t="s">
        <v>1224</v>
      </c>
      <c r="C348" s="2" t="s">
        <v>55</v>
      </c>
      <c r="D348" s="2" t="s">
        <v>472</v>
      </c>
      <c r="E348" s="4">
        <v>379.99</v>
      </c>
      <c r="F348" s="4">
        <v>2954.62</v>
      </c>
      <c r="G348" s="3">
        <v>8</v>
      </c>
      <c r="H348" s="6">
        <v>4.0999999999999996</v>
      </c>
      <c r="I348" s="3">
        <v>223</v>
      </c>
      <c r="J348" s="13" t="str">
        <f>HYPERLINK("https://amazon.com/dp/B0C2ZBWZSK","Amazon - B0C2ZBWZSK")</f>
        <v>Amazon - B0C2ZBWZSK</v>
      </c>
      <c r="K348" s="14" t="s">
        <v>443</v>
      </c>
      <c r="L348" s="14" t="s">
        <v>667</v>
      </c>
      <c r="M348" s="14" t="s">
        <v>303</v>
      </c>
      <c r="N348" s="14" t="s">
        <v>446</v>
      </c>
      <c r="O348" s="14" t="s">
        <v>1225</v>
      </c>
    </row>
    <row r="349" spans="1:15" ht="45" x14ac:dyDescent="0.2">
      <c r="A349" s="2" t="s">
        <v>1226</v>
      </c>
      <c r="B349" s="2" t="s">
        <v>1227</v>
      </c>
      <c r="C349" s="2" t="s">
        <v>11</v>
      </c>
      <c r="D349" s="2" t="s">
        <v>472</v>
      </c>
      <c r="E349" s="4">
        <v>749.9</v>
      </c>
      <c r="F349" s="4">
        <v>2952.26</v>
      </c>
      <c r="G349" s="3">
        <v>4</v>
      </c>
      <c r="H349" s="6">
        <v>3.8</v>
      </c>
      <c r="I349" s="3">
        <v>8</v>
      </c>
      <c r="J349" s="13" t="str">
        <f>HYPERLINK("https://amazon.com/dp/B0DNMFPQ9L","Amazon - B0DNMFPQ9L")</f>
        <v>Amazon - B0DNMFPQ9L</v>
      </c>
      <c r="K349" s="14" t="s">
        <v>443</v>
      </c>
      <c r="L349" s="14" t="s">
        <v>502</v>
      </c>
      <c r="M349" s="14" t="s">
        <v>303</v>
      </c>
      <c r="N349" s="14" t="s">
        <v>446</v>
      </c>
      <c r="O349" s="14" t="s">
        <v>570</v>
      </c>
    </row>
    <row r="350" spans="1:15" ht="45" x14ac:dyDescent="0.2">
      <c r="A350" s="2" t="s">
        <v>1228</v>
      </c>
      <c r="B350" s="2" t="s">
        <v>1229</v>
      </c>
      <c r="C350" s="2" t="s">
        <v>11</v>
      </c>
      <c r="D350" s="2" t="s">
        <v>472</v>
      </c>
      <c r="E350" s="4">
        <v>239.9</v>
      </c>
      <c r="F350" s="4">
        <v>2942.97</v>
      </c>
      <c r="G350" s="3">
        <v>12</v>
      </c>
      <c r="H350" s="6">
        <v>4.0999999999999996</v>
      </c>
      <c r="I350" s="3">
        <v>101</v>
      </c>
      <c r="J350" s="13" t="str">
        <f>HYPERLINK("https://amazon.com/dp/B0BYZ4P2ST","Amazon - B0BYZ4P2ST")</f>
        <v>Amazon - B0BYZ4P2ST</v>
      </c>
      <c r="K350" s="14" t="s">
        <v>443</v>
      </c>
      <c r="L350" s="14" t="s">
        <v>456</v>
      </c>
      <c r="M350" s="14" t="s">
        <v>303</v>
      </c>
      <c r="N350" s="14" t="s">
        <v>446</v>
      </c>
      <c r="O350" s="14" t="s">
        <v>917</v>
      </c>
    </row>
    <row r="351" spans="1:15" ht="45" x14ac:dyDescent="0.2">
      <c r="A351" s="2" t="s">
        <v>1230</v>
      </c>
      <c r="B351" s="2" t="s">
        <v>1231</v>
      </c>
      <c r="C351" s="2" t="s">
        <v>14</v>
      </c>
      <c r="D351" s="2" t="s">
        <v>472</v>
      </c>
      <c r="E351" s="4">
        <v>279.88</v>
      </c>
      <c r="F351" s="4">
        <v>2942.74</v>
      </c>
      <c r="G351" s="3">
        <v>11</v>
      </c>
      <c r="H351" s="6">
        <v>4.3</v>
      </c>
      <c r="I351" s="3">
        <v>139</v>
      </c>
      <c r="J351" s="13" t="str">
        <f>HYPERLINK("https://amazon.com/dp/B0FHK5GK5M","Amazon - B0FHK5GK5M")</f>
        <v>Amazon - B0FHK5GK5M</v>
      </c>
      <c r="K351" s="14" t="s">
        <v>443</v>
      </c>
      <c r="L351" s="14" t="s">
        <v>461</v>
      </c>
      <c r="M351" s="14" t="s">
        <v>303</v>
      </c>
      <c r="N351" s="14" t="s">
        <v>446</v>
      </c>
      <c r="O351" s="14" t="s">
        <v>517</v>
      </c>
    </row>
    <row r="352" spans="1:15" ht="30" x14ac:dyDescent="0.2">
      <c r="A352" s="2" t="s">
        <v>1232</v>
      </c>
      <c r="B352" s="2" t="s">
        <v>1233</v>
      </c>
      <c r="C352" s="2" t="s">
        <v>29</v>
      </c>
      <c r="D352" s="2" t="s">
        <v>472</v>
      </c>
      <c r="E352" s="4">
        <v>289.99</v>
      </c>
      <c r="F352" s="4">
        <v>2922.37</v>
      </c>
      <c r="G352" s="3">
        <v>10</v>
      </c>
      <c r="H352" s="6">
        <v>4.2</v>
      </c>
      <c r="I352" s="3">
        <v>12</v>
      </c>
      <c r="J352" s="13" t="str">
        <f>HYPERLINK("https://amazon.com/dp/B0DD7L4ZDR","Amazon - B0DD7L4ZDR")</f>
        <v>Amazon - B0DD7L4ZDR</v>
      </c>
      <c r="K352" s="14" t="s">
        <v>443</v>
      </c>
      <c r="L352" s="14" t="s">
        <v>461</v>
      </c>
      <c r="M352" s="14" t="s">
        <v>303</v>
      </c>
      <c r="N352" s="14" t="s">
        <v>446</v>
      </c>
      <c r="O352" s="14" t="s">
        <v>517</v>
      </c>
    </row>
    <row r="353" spans="1:15" ht="30" x14ac:dyDescent="0.2">
      <c r="A353" s="2" t="s">
        <v>1234</v>
      </c>
      <c r="B353" s="2" t="s">
        <v>1235</v>
      </c>
      <c r="C353" s="2" t="s">
        <v>30</v>
      </c>
      <c r="D353" s="2" t="s">
        <v>472</v>
      </c>
      <c r="E353" s="4">
        <v>142.99</v>
      </c>
      <c r="F353" s="4">
        <v>2878.7</v>
      </c>
      <c r="G353" s="3">
        <v>20</v>
      </c>
      <c r="H353" s="6">
        <v>4.5</v>
      </c>
      <c r="I353" s="3">
        <v>19</v>
      </c>
      <c r="J353" s="13" t="str">
        <f>HYPERLINK("https://amazon.com/dp/B0G5NDX4TT","Amazon - B0G5NDX4TT")</f>
        <v>Amazon - B0G5NDX4TT</v>
      </c>
      <c r="K353" s="14" t="s">
        <v>443</v>
      </c>
      <c r="L353" s="14" t="s">
        <v>461</v>
      </c>
      <c r="M353" s="14" t="s">
        <v>484</v>
      </c>
      <c r="N353" s="14" t="s">
        <v>446</v>
      </c>
      <c r="O353" s="14" t="s">
        <v>303</v>
      </c>
    </row>
    <row r="354" spans="1:15" ht="45" x14ac:dyDescent="0.2">
      <c r="A354" s="2" t="s">
        <v>1236</v>
      </c>
      <c r="B354" s="2" t="s">
        <v>1237</v>
      </c>
      <c r="C354" s="2" t="s">
        <v>69</v>
      </c>
      <c r="D354" s="2" t="s">
        <v>472</v>
      </c>
      <c r="E354" s="4">
        <v>254.99</v>
      </c>
      <c r="F354" s="4">
        <v>2872.99</v>
      </c>
      <c r="G354" s="3">
        <v>11</v>
      </c>
      <c r="H354" s="6">
        <v>4.7</v>
      </c>
      <c r="I354" s="3">
        <v>5</v>
      </c>
      <c r="J354" s="13" t="str">
        <f>HYPERLINK("https://amazon.com/dp/B0FGBWTXJT","Amazon - B0FGBWTXJT")</f>
        <v>Amazon - B0FGBWTXJT</v>
      </c>
      <c r="K354" s="14" t="s">
        <v>443</v>
      </c>
      <c r="L354" s="14" t="s">
        <v>461</v>
      </c>
      <c r="M354" s="14" t="s">
        <v>503</v>
      </c>
      <c r="N354" s="14" t="s">
        <v>446</v>
      </c>
      <c r="O354" s="14" t="s">
        <v>517</v>
      </c>
    </row>
    <row r="355" spans="1:15" ht="45" x14ac:dyDescent="0.2">
      <c r="A355" s="2" t="s">
        <v>1238</v>
      </c>
      <c r="B355" s="2" t="s">
        <v>1239</v>
      </c>
      <c r="C355" s="2" t="s">
        <v>33</v>
      </c>
      <c r="D355" s="2" t="s">
        <v>472</v>
      </c>
      <c r="E355" s="4">
        <v>269.99</v>
      </c>
      <c r="F355" s="4">
        <v>2846.73</v>
      </c>
      <c r="G355" s="3">
        <v>11</v>
      </c>
      <c r="H355" s="6">
        <v>4.3</v>
      </c>
      <c r="I355" s="3">
        <v>53</v>
      </c>
      <c r="J355" s="13" t="str">
        <f>HYPERLINK("https://amazon.com/dp/B0CRV7GPRM","Amazon - B0CRV7GPRM")</f>
        <v>Amazon - B0CRV7GPRM</v>
      </c>
      <c r="K355" s="14" t="s">
        <v>443</v>
      </c>
      <c r="L355" s="14" t="s">
        <v>456</v>
      </c>
      <c r="M355" s="14" t="s">
        <v>303</v>
      </c>
      <c r="N355" s="14" t="s">
        <v>446</v>
      </c>
      <c r="O355" s="14" t="s">
        <v>517</v>
      </c>
    </row>
    <row r="356" spans="1:15" ht="45" x14ac:dyDescent="0.2">
      <c r="A356" s="2" t="s">
        <v>1240</v>
      </c>
      <c r="B356" s="2" t="s">
        <v>1241</v>
      </c>
      <c r="C356" s="2" t="s">
        <v>55</v>
      </c>
      <c r="D356" s="2" t="s">
        <v>472</v>
      </c>
      <c r="E356" s="4">
        <v>399.99</v>
      </c>
      <c r="F356" s="4">
        <v>2825.02</v>
      </c>
      <c r="G356" s="3">
        <v>7</v>
      </c>
      <c r="H356" s="6">
        <v>4.0999999999999996</v>
      </c>
      <c r="I356" s="3">
        <v>92</v>
      </c>
      <c r="J356" s="13" t="str">
        <f>HYPERLINK("https://amazon.com/dp/B0C2ZBB6V5","Amazon - B0C2ZBB6V5")</f>
        <v>Amazon - B0C2ZBB6V5</v>
      </c>
      <c r="K356" s="14" t="s">
        <v>443</v>
      </c>
      <c r="L356" s="14" t="s">
        <v>667</v>
      </c>
      <c r="M356" s="14" t="s">
        <v>303</v>
      </c>
      <c r="N356" s="14" t="s">
        <v>446</v>
      </c>
      <c r="O356" s="14" t="s">
        <v>517</v>
      </c>
    </row>
    <row r="357" spans="1:15" ht="45" x14ac:dyDescent="0.2">
      <c r="A357" s="2" t="s">
        <v>1242</v>
      </c>
      <c r="B357" s="2" t="s">
        <v>1243</v>
      </c>
      <c r="C357" s="2" t="s">
        <v>57</v>
      </c>
      <c r="D357" s="2" t="s">
        <v>472</v>
      </c>
      <c r="E357" s="4">
        <v>269.99</v>
      </c>
      <c r="F357" s="4">
        <v>2816.62</v>
      </c>
      <c r="G357" s="3">
        <v>10</v>
      </c>
      <c r="H357" s="6">
        <v>4.2</v>
      </c>
      <c r="I357" s="3">
        <v>20</v>
      </c>
      <c r="J357" s="13" t="str">
        <f>HYPERLINK("https://amazon.com/dp/B0DKJFCHS5","Amazon - B0DKJFCHS5")</f>
        <v>Amazon - B0DKJFCHS5</v>
      </c>
      <c r="K357" s="14" t="s">
        <v>443</v>
      </c>
      <c r="L357" s="14" t="s">
        <v>667</v>
      </c>
      <c r="M357" s="14" t="s">
        <v>303</v>
      </c>
      <c r="N357" s="14" t="s">
        <v>446</v>
      </c>
      <c r="O357" s="14" t="s">
        <v>742</v>
      </c>
    </row>
    <row r="358" spans="1:15" ht="45" x14ac:dyDescent="0.2">
      <c r="A358" s="2" t="s">
        <v>1244</v>
      </c>
      <c r="B358" s="2" t="s">
        <v>1245</v>
      </c>
      <c r="C358" s="2" t="s">
        <v>106</v>
      </c>
      <c r="D358" s="2" t="s">
        <v>450</v>
      </c>
      <c r="E358" s="4">
        <v>15.99</v>
      </c>
      <c r="F358" s="4">
        <v>2808.91</v>
      </c>
      <c r="G358" s="3">
        <v>173</v>
      </c>
      <c r="H358" s="6">
        <v>4.0999999999999996</v>
      </c>
      <c r="I358" s="3">
        <v>48</v>
      </c>
      <c r="J358" s="13" t="str">
        <f>HYPERLINK("https://amazon.com/dp/B0FMFF8QY2","Amazon - B0FMFF8QY2")</f>
        <v>Amazon - B0FMFF8QY2</v>
      </c>
      <c r="K358" s="14" t="s">
        <v>443</v>
      </c>
      <c r="L358" s="14" t="s">
        <v>451</v>
      </c>
      <c r="M358" s="14" t="s">
        <v>303</v>
      </c>
      <c r="N358" s="14" t="s">
        <v>446</v>
      </c>
      <c r="O358" s="14" t="s">
        <v>453</v>
      </c>
    </row>
    <row r="359" spans="1:15" ht="45" x14ac:dyDescent="0.2">
      <c r="A359" s="2" t="s">
        <v>1246</v>
      </c>
      <c r="B359" s="2" t="s">
        <v>1247</v>
      </c>
      <c r="C359" s="2" t="s">
        <v>107</v>
      </c>
      <c r="D359" s="2" t="s">
        <v>442</v>
      </c>
      <c r="E359" s="4">
        <v>27.54</v>
      </c>
      <c r="F359" s="4">
        <v>2786.27</v>
      </c>
      <c r="G359" s="3">
        <v>101</v>
      </c>
      <c r="H359" s="6">
        <v>4.3</v>
      </c>
      <c r="I359" s="3">
        <v>26</v>
      </c>
      <c r="J359" s="13" t="str">
        <f>HYPERLINK("https://amazon.com/dp/B0D8TBXFTJ","Amazon - B0D8TBXFTJ")</f>
        <v>Amazon - B0D8TBXFTJ</v>
      </c>
      <c r="K359" s="14" t="s">
        <v>443</v>
      </c>
      <c r="L359" s="14" t="s">
        <v>461</v>
      </c>
      <c r="M359" s="14" t="s">
        <v>303</v>
      </c>
      <c r="N359" s="14" t="s">
        <v>446</v>
      </c>
      <c r="O359" s="14" t="s">
        <v>453</v>
      </c>
    </row>
    <row r="360" spans="1:15" ht="45" x14ac:dyDescent="0.2">
      <c r="A360" s="2" t="s">
        <v>1248</v>
      </c>
      <c r="B360" s="2" t="s">
        <v>1249</v>
      </c>
      <c r="C360" s="2" t="s">
        <v>42</v>
      </c>
      <c r="D360" s="2" t="s">
        <v>472</v>
      </c>
      <c r="E360" s="4">
        <v>774.66</v>
      </c>
      <c r="F360" s="4">
        <v>2776.23</v>
      </c>
      <c r="G360" s="3">
        <v>4</v>
      </c>
      <c r="H360" s="6">
        <v>4.7</v>
      </c>
      <c r="I360" s="3">
        <v>14</v>
      </c>
      <c r="J360" s="13" t="str">
        <f>HYPERLINK("https://amazon.com/dp/B0DK4KY5S3","Amazon - B0DK4KY5S3")</f>
        <v>Amazon - B0DK4KY5S3</v>
      </c>
      <c r="K360" s="14" t="s">
        <v>443</v>
      </c>
      <c r="L360" s="14" t="s">
        <v>461</v>
      </c>
      <c r="M360" s="14" t="s">
        <v>565</v>
      </c>
      <c r="N360" s="14" t="s">
        <v>446</v>
      </c>
      <c r="O360" s="14" t="s">
        <v>570</v>
      </c>
    </row>
    <row r="361" spans="1:15" ht="30" x14ac:dyDescent="0.2">
      <c r="A361" s="2" t="s">
        <v>1250</v>
      </c>
      <c r="B361" s="2" t="s">
        <v>1251</v>
      </c>
      <c r="C361" s="2" t="s">
        <v>13</v>
      </c>
      <c r="D361" s="2" t="s">
        <v>472</v>
      </c>
      <c r="E361" s="4">
        <v>799.99</v>
      </c>
      <c r="F361" s="4">
        <v>2757.59</v>
      </c>
      <c r="G361" s="3">
        <v>3</v>
      </c>
      <c r="H361" s="6">
        <v>4.3</v>
      </c>
      <c r="I361" s="3">
        <v>13</v>
      </c>
      <c r="J361" s="13" t="str">
        <f>HYPERLINK("https://amazon.com/dp/B0DWS2LD48","Amazon - B0DWS2LD48")</f>
        <v>Amazon - B0DWS2LD48</v>
      </c>
      <c r="K361" s="14" t="s">
        <v>443</v>
      </c>
      <c r="L361" s="14" t="s">
        <v>461</v>
      </c>
      <c r="M361" s="14" t="s">
        <v>565</v>
      </c>
      <c r="N361" s="14" t="s">
        <v>446</v>
      </c>
      <c r="O361" s="14" t="s">
        <v>570</v>
      </c>
    </row>
    <row r="362" spans="1:15" ht="45" x14ac:dyDescent="0.2">
      <c r="A362" s="2" t="s">
        <v>1252</v>
      </c>
      <c r="B362" s="2" t="s">
        <v>1253</v>
      </c>
      <c r="C362" s="2" t="s">
        <v>13</v>
      </c>
      <c r="D362" s="2" t="s">
        <v>472</v>
      </c>
      <c r="E362" s="4">
        <v>959.99</v>
      </c>
      <c r="F362" s="4">
        <v>2748.41</v>
      </c>
      <c r="G362" s="3">
        <v>3</v>
      </c>
      <c r="H362" s="6">
        <v>5</v>
      </c>
      <c r="I362" s="3">
        <v>4</v>
      </c>
      <c r="J362" s="13" t="str">
        <f>HYPERLINK("https://amazon.com/dp/B0DG92JLVS","Amazon - B0DG92JLVS")</f>
        <v>Amazon - B0DG92JLVS</v>
      </c>
      <c r="K362" s="14" t="s">
        <v>443</v>
      </c>
      <c r="L362" s="14" t="s">
        <v>461</v>
      </c>
      <c r="M362" s="14" t="s">
        <v>565</v>
      </c>
      <c r="N362" s="14" t="s">
        <v>446</v>
      </c>
      <c r="O362" s="14" t="s">
        <v>856</v>
      </c>
    </row>
    <row r="363" spans="1:15" ht="45" x14ac:dyDescent="0.2">
      <c r="A363" s="2" t="s">
        <v>1254</v>
      </c>
      <c r="B363" s="2" t="s">
        <v>1255</v>
      </c>
      <c r="C363" s="2" t="s">
        <v>23</v>
      </c>
      <c r="D363" s="2" t="s">
        <v>472</v>
      </c>
      <c r="E363" s="4">
        <v>272</v>
      </c>
      <c r="F363" s="4">
        <v>2731.83</v>
      </c>
      <c r="G363" s="3">
        <v>10</v>
      </c>
      <c r="H363" s="6">
        <v>0</v>
      </c>
      <c r="I363" s="3">
        <v>0</v>
      </c>
      <c r="J363" s="13" t="str">
        <f>HYPERLINK("https://amazon.com/dp/B0D3BNBGQS","Amazon - B0D3BNBGQS")</f>
        <v>Amazon - B0D3BNBGQS</v>
      </c>
      <c r="K363" s="14" t="s">
        <v>443</v>
      </c>
      <c r="L363" s="14" t="s">
        <v>303</v>
      </c>
      <c r="M363" s="14" t="s">
        <v>503</v>
      </c>
      <c r="N363" s="14" t="s">
        <v>446</v>
      </c>
      <c r="O363" s="14" t="s">
        <v>303</v>
      </c>
    </row>
    <row r="364" spans="1:15" ht="30" x14ac:dyDescent="0.2">
      <c r="A364" s="2" t="s">
        <v>1256</v>
      </c>
      <c r="B364" s="2" t="s">
        <v>1257</v>
      </c>
      <c r="C364" s="2" t="s">
        <v>9</v>
      </c>
      <c r="D364" s="2" t="s">
        <v>472</v>
      </c>
      <c r="E364" s="4">
        <v>44.99</v>
      </c>
      <c r="F364" s="4">
        <v>2725.27</v>
      </c>
      <c r="G364" s="3">
        <v>58</v>
      </c>
      <c r="H364" s="6">
        <v>4.5999999999999996</v>
      </c>
      <c r="I364" s="3">
        <v>196</v>
      </c>
      <c r="J364" s="13" t="str">
        <f>HYPERLINK("https://amazon.com/dp/B0CF9C3QQF","Amazon - B0CF9C3QQF")</f>
        <v>Amazon - B0CF9C3QQF</v>
      </c>
      <c r="K364" s="14" t="s">
        <v>443</v>
      </c>
      <c r="L364" s="14" t="s">
        <v>461</v>
      </c>
      <c r="M364" s="14" t="s">
        <v>303</v>
      </c>
      <c r="N364" s="14" t="s">
        <v>446</v>
      </c>
      <c r="O364" s="14" t="s">
        <v>453</v>
      </c>
    </row>
    <row r="365" spans="1:15" ht="45" x14ac:dyDescent="0.2">
      <c r="A365" s="2" t="s">
        <v>1258</v>
      </c>
      <c r="B365" s="2" t="s">
        <v>1259</v>
      </c>
      <c r="C365" s="2" t="s">
        <v>39</v>
      </c>
      <c r="D365" s="2" t="s">
        <v>472</v>
      </c>
      <c r="E365" s="4">
        <v>999.99</v>
      </c>
      <c r="F365" s="4">
        <v>2715.7</v>
      </c>
      <c r="G365" s="3">
        <v>3</v>
      </c>
      <c r="H365" s="6">
        <v>4.8</v>
      </c>
      <c r="I365" s="3">
        <v>11</v>
      </c>
      <c r="J365" s="13" t="str">
        <f>HYPERLINK("https://amazon.com/dp/B0FHHF2V6P","Amazon - B0FHHF2V6P")</f>
        <v>Amazon - B0FHHF2V6P</v>
      </c>
      <c r="K365" s="14" t="s">
        <v>443</v>
      </c>
      <c r="L365" s="14" t="s">
        <v>461</v>
      </c>
      <c r="M365" s="14" t="s">
        <v>565</v>
      </c>
      <c r="N365" s="14" t="s">
        <v>446</v>
      </c>
      <c r="O365" s="14" t="s">
        <v>778</v>
      </c>
    </row>
    <row r="366" spans="1:15" ht="45" x14ac:dyDescent="0.2">
      <c r="A366" s="2" t="s">
        <v>1260</v>
      </c>
      <c r="B366" s="2" t="s">
        <v>1261</v>
      </c>
      <c r="C366" s="2" t="s">
        <v>34</v>
      </c>
      <c r="D366" s="2" t="s">
        <v>450</v>
      </c>
      <c r="E366" s="4">
        <v>33.99</v>
      </c>
      <c r="F366" s="4">
        <v>2654.88</v>
      </c>
      <c r="G366" s="3">
        <v>78</v>
      </c>
      <c r="H366" s="6">
        <v>4.3</v>
      </c>
      <c r="I366" s="3">
        <v>639</v>
      </c>
      <c r="J366" s="13" t="str">
        <f>HYPERLINK("https://amazon.com/dp/B0FZH2C8YH","Amazon - B0FZH2C8YH")</f>
        <v>Amazon - B0FZH2C8YH</v>
      </c>
      <c r="K366" s="14" t="s">
        <v>443</v>
      </c>
      <c r="L366" s="14" t="s">
        <v>451</v>
      </c>
      <c r="M366" s="14" t="s">
        <v>303</v>
      </c>
      <c r="N366" s="14" t="s">
        <v>452</v>
      </c>
      <c r="O366" s="14" t="s">
        <v>608</v>
      </c>
    </row>
    <row r="367" spans="1:15" ht="45" x14ac:dyDescent="0.2">
      <c r="A367" s="2" t="s">
        <v>1262</v>
      </c>
      <c r="B367" s="2" t="s">
        <v>1263</v>
      </c>
      <c r="C367" s="2" t="s">
        <v>45</v>
      </c>
      <c r="D367" s="2" t="s">
        <v>450</v>
      </c>
      <c r="E367" s="4">
        <v>22.09</v>
      </c>
      <c r="F367" s="4">
        <v>2632.1</v>
      </c>
      <c r="G367" s="3">
        <v>106</v>
      </c>
      <c r="H367" s="6">
        <v>4.3</v>
      </c>
      <c r="I367" s="3">
        <v>355</v>
      </c>
      <c r="J367" s="13" t="str">
        <f>HYPERLINK("https://amazon.com/dp/B0FMY9V1KD","Amazon - B0FMY9V1KD")</f>
        <v>Amazon - B0FMY9V1KD</v>
      </c>
      <c r="K367" s="14" t="s">
        <v>443</v>
      </c>
      <c r="L367" s="14" t="s">
        <v>451</v>
      </c>
      <c r="M367" s="14" t="s">
        <v>303</v>
      </c>
      <c r="N367" s="14" t="s">
        <v>446</v>
      </c>
      <c r="O367" s="14" t="s">
        <v>629</v>
      </c>
    </row>
    <row r="368" spans="1:15" ht="45" x14ac:dyDescent="0.2">
      <c r="A368" s="2" t="s">
        <v>1264</v>
      </c>
      <c r="B368" s="2" t="s">
        <v>1265</v>
      </c>
      <c r="C368" s="2" t="s">
        <v>13</v>
      </c>
      <c r="D368" s="2" t="s">
        <v>472</v>
      </c>
      <c r="E368" s="4">
        <v>459.99</v>
      </c>
      <c r="F368" s="4">
        <v>2629.58</v>
      </c>
      <c r="G368" s="3">
        <v>6</v>
      </c>
      <c r="H368" s="6">
        <v>5</v>
      </c>
      <c r="I368" s="3">
        <v>1</v>
      </c>
      <c r="J368" s="13" t="str">
        <f>HYPERLINK("https://amazon.com/dp/B0FK29787B","Amazon - B0FK29787B")</f>
        <v>Amazon - B0FK29787B</v>
      </c>
      <c r="K368" s="14" t="s">
        <v>443</v>
      </c>
      <c r="L368" s="14" t="s">
        <v>461</v>
      </c>
      <c r="M368" s="14" t="s">
        <v>565</v>
      </c>
      <c r="N368" s="14" t="s">
        <v>446</v>
      </c>
      <c r="O368" s="14" t="s">
        <v>517</v>
      </c>
    </row>
    <row r="369" spans="1:15" ht="30" x14ac:dyDescent="0.2">
      <c r="A369" s="2" t="s">
        <v>1266</v>
      </c>
      <c r="B369" s="2" t="s">
        <v>1267</v>
      </c>
      <c r="C369" s="2" t="s">
        <v>13</v>
      </c>
      <c r="D369" s="2" t="s">
        <v>472</v>
      </c>
      <c r="E369" s="4">
        <v>599.99</v>
      </c>
      <c r="F369" s="4">
        <v>2627.48</v>
      </c>
      <c r="G369" s="3">
        <v>4</v>
      </c>
      <c r="H369" s="6">
        <v>4.3</v>
      </c>
      <c r="I369" s="3">
        <v>89</v>
      </c>
      <c r="J369" s="13" t="str">
        <f>HYPERLINK("https://amazon.com/dp/B0G1C9X4XH","Amazon - B0G1C9X4XH")</f>
        <v>Amazon - B0G1C9X4XH</v>
      </c>
      <c r="K369" s="14" t="s">
        <v>443</v>
      </c>
      <c r="L369" s="14" t="s">
        <v>502</v>
      </c>
      <c r="M369" s="14" t="s">
        <v>565</v>
      </c>
      <c r="N369" s="14" t="s">
        <v>446</v>
      </c>
      <c r="O369" s="14" t="s">
        <v>517</v>
      </c>
    </row>
    <row r="370" spans="1:15" ht="45" x14ac:dyDescent="0.2">
      <c r="A370" s="2" t="s">
        <v>1268</v>
      </c>
      <c r="B370" s="2" t="s">
        <v>1269</v>
      </c>
      <c r="C370" s="2" t="s">
        <v>13</v>
      </c>
      <c r="D370" s="2" t="s">
        <v>472</v>
      </c>
      <c r="E370" s="4">
        <v>999.99</v>
      </c>
      <c r="F370" s="4">
        <v>2626.13</v>
      </c>
      <c r="G370" s="3">
        <v>3</v>
      </c>
      <c r="H370" s="6">
        <v>3</v>
      </c>
      <c r="I370" s="3">
        <v>2</v>
      </c>
      <c r="J370" s="13" t="str">
        <f>HYPERLINK("https://amazon.com/dp/B0DJ7JVYZF","Amazon - B0DJ7JVYZF")</f>
        <v>Amazon - B0DJ7JVYZF</v>
      </c>
      <c r="K370" s="14" t="s">
        <v>443</v>
      </c>
      <c r="L370" s="14" t="s">
        <v>461</v>
      </c>
      <c r="M370" s="14" t="s">
        <v>565</v>
      </c>
      <c r="N370" s="14" t="s">
        <v>446</v>
      </c>
      <c r="O370" s="14" t="s">
        <v>725</v>
      </c>
    </row>
    <row r="371" spans="1:15" ht="45" x14ac:dyDescent="0.2">
      <c r="A371" s="2" t="s">
        <v>1270</v>
      </c>
      <c r="B371" s="2" t="s">
        <v>1271</v>
      </c>
      <c r="C371" s="2" t="s">
        <v>13</v>
      </c>
      <c r="D371" s="2" t="s">
        <v>472</v>
      </c>
      <c r="E371" s="4">
        <v>479.99</v>
      </c>
      <c r="F371" s="4">
        <v>2614.16</v>
      </c>
      <c r="G371" s="3">
        <v>5</v>
      </c>
      <c r="H371" s="6">
        <v>4.3</v>
      </c>
      <c r="I371" s="3">
        <v>521</v>
      </c>
      <c r="J371" s="13" t="str">
        <f>HYPERLINK("https://amazon.com/dp/B0CYGX2KY3","Amazon - B0CYGX2KY3")</f>
        <v>Amazon - B0CYGX2KY3</v>
      </c>
      <c r="K371" s="14" t="s">
        <v>443</v>
      </c>
      <c r="L371" s="14" t="s">
        <v>461</v>
      </c>
      <c r="M371" s="14" t="s">
        <v>303</v>
      </c>
      <c r="N371" s="14" t="s">
        <v>446</v>
      </c>
      <c r="O371" s="14" t="s">
        <v>570</v>
      </c>
    </row>
    <row r="372" spans="1:15" ht="45" x14ac:dyDescent="0.2">
      <c r="A372" s="2" t="s">
        <v>1272</v>
      </c>
      <c r="B372" s="2" t="s">
        <v>1273</v>
      </c>
      <c r="C372" s="2" t="s">
        <v>14</v>
      </c>
      <c r="D372" s="2" t="s">
        <v>472</v>
      </c>
      <c r="E372" s="4">
        <v>419.88</v>
      </c>
      <c r="F372" s="4">
        <v>2595.02</v>
      </c>
      <c r="G372" s="3">
        <v>6</v>
      </c>
      <c r="H372" s="6">
        <v>4.8</v>
      </c>
      <c r="I372" s="3">
        <v>7</v>
      </c>
      <c r="J372" s="13" t="str">
        <f>HYPERLINK("https://amazon.com/dp/B0FSXYGCBP","Amazon - B0FSXYGCBP")</f>
        <v>Amazon - B0FSXYGCBP</v>
      </c>
      <c r="K372" s="14" t="s">
        <v>443</v>
      </c>
      <c r="L372" s="14" t="s">
        <v>667</v>
      </c>
      <c r="M372" s="14" t="s">
        <v>303</v>
      </c>
      <c r="N372" s="14" t="s">
        <v>446</v>
      </c>
      <c r="O372" s="14" t="s">
        <v>570</v>
      </c>
    </row>
    <row r="373" spans="1:15" ht="45" x14ac:dyDescent="0.2">
      <c r="A373" s="2" t="s">
        <v>1274</v>
      </c>
      <c r="B373" s="2" t="s">
        <v>1275</v>
      </c>
      <c r="C373" s="2" t="s">
        <v>8</v>
      </c>
      <c r="D373" s="2" t="s">
        <v>450</v>
      </c>
      <c r="E373" s="4">
        <v>33.53</v>
      </c>
      <c r="F373" s="4">
        <v>2592.5300000000002</v>
      </c>
      <c r="G373" s="3">
        <v>61</v>
      </c>
      <c r="H373" s="6">
        <v>4.2</v>
      </c>
      <c r="I373" s="3">
        <v>78</v>
      </c>
      <c r="J373" s="13" t="str">
        <f>HYPERLINK("https://amazon.com/dp/B0DL8LJTWM","Amazon - B0DL8LJTWM")</f>
        <v>Amazon - B0DL8LJTWM</v>
      </c>
      <c r="K373" s="14" t="s">
        <v>443</v>
      </c>
      <c r="L373" s="14" t="s">
        <v>451</v>
      </c>
      <c r="M373" s="14" t="s">
        <v>303</v>
      </c>
      <c r="N373" s="14" t="s">
        <v>446</v>
      </c>
      <c r="O373" s="14" t="s">
        <v>453</v>
      </c>
    </row>
    <row r="374" spans="1:15" ht="45" x14ac:dyDescent="0.2">
      <c r="A374" s="2" t="s">
        <v>1276</v>
      </c>
      <c r="B374" s="2" t="s">
        <v>1277</v>
      </c>
      <c r="C374" s="2" t="s">
        <v>64</v>
      </c>
      <c r="D374" s="2" t="s">
        <v>472</v>
      </c>
      <c r="E374" s="4">
        <v>899.88</v>
      </c>
      <c r="F374" s="4">
        <v>2581.0300000000002</v>
      </c>
      <c r="G374" s="3">
        <v>3</v>
      </c>
      <c r="H374" s="6">
        <v>0</v>
      </c>
      <c r="I374" s="3">
        <v>0</v>
      </c>
      <c r="J374" s="13" t="str">
        <f>HYPERLINK("https://amazon.com/dp/B0GK74151C","Amazon - B0GK74151C")</f>
        <v>Amazon - B0GK74151C</v>
      </c>
      <c r="K374" s="14" t="s">
        <v>443</v>
      </c>
      <c r="L374" s="14" t="s">
        <v>502</v>
      </c>
      <c r="M374" s="14" t="s">
        <v>303</v>
      </c>
      <c r="N374" s="14" t="s">
        <v>446</v>
      </c>
      <c r="O374" s="14" t="s">
        <v>570</v>
      </c>
    </row>
    <row r="375" spans="1:15" ht="45" x14ac:dyDescent="0.2">
      <c r="A375" s="2" t="s">
        <v>1278</v>
      </c>
      <c r="B375" s="2" t="s">
        <v>1279</v>
      </c>
      <c r="C375" s="2" t="s">
        <v>101</v>
      </c>
      <c r="D375" s="2" t="s">
        <v>472</v>
      </c>
      <c r="E375" s="4">
        <v>279</v>
      </c>
      <c r="F375" s="4">
        <v>2580.02</v>
      </c>
      <c r="G375" s="3">
        <v>9</v>
      </c>
      <c r="H375" s="6">
        <v>4.0999999999999996</v>
      </c>
      <c r="I375" s="3">
        <v>8</v>
      </c>
      <c r="J375" s="13" t="str">
        <f>HYPERLINK("https://amazon.com/dp/B0D5TN5XHW","Amazon - B0D5TN5XHW")</f>
        <v>Amazon - B0D5TN5XHW</v>
      </c>
      <c r="K375" s="14" t="s">
        <v>443</v>
      </c>
      <c r="L375" s="14" t="s">
        <v>461</v>
      </c>
      <c r="M375" s="14" t="s">
        <v>303</v>
      </c>
      <c r="N375" s="14" t="s">
        <v>446</v>
      </c>
      <c r="O375" s="14" t="s">
        <v>517</v>
      </c>
    </row>
    <row r="376" spans="1:15" ht="45" x14ac:dyDescent="0.2">
      <c r="A376" s="2" t="s">
        <v>1280</v>
      </c>
      <c r="B376" s="2" t="s">
        <v>1281</v>
      </c>
      <c r="C376" s="2" t="s">
        <v>59</v>
      </c>
      <c r="D376" s="2" t="s">
        <v>472</v>
      </c>
      <c r="E376" s="4">
        <v>24.99</v>
      </c>
      <c r="F376" s="4">
        <v>2570.87</v>
      </c>
      <c r="G376" s="3">
        <v>105</v>
      </c>
      <c r="H376" s="6">
        <v>4.2</v>
      </c>
      <c r="I376" s="3">
        <v>64</v>
      </c>
      <c r="J376" s="13" t="str">
        <f>HYPERLINK("https://amazon.com/dp/B0FPL965MM","Amazon - B0FPL965MM")</f>
        <v>Amazon - B0FPL965MM</v>
      </c>
      <c r="K376" s="14" t="s">
        <v>443</v>
      </c>
      <c r="L376" s="14" t="s">
        <v>1282</v>
      </c>
      <c r="M376" s="14" t="s">
        <v>303</v>
      </c>
      <c r="N376" s="14" t="s">
        <v>446</v>
      </c>
      <c r="O376" s="14" t="s">
        <v>453</v>
      </c>
    </row>
    <row r="377" spans="1:15" ht="45" x14ac:dyDescent="0.2">
      <c r="A377" s="2" t="s">
        <v>1283</v>
      </c>
      <c r="B377" s="2" t="s">
        <v>1284</v>
      </c>
      <c r="C377" s="2" t="s">
        <v>58</v>
      </c>
      <c r="D377" s="2" t="s">
        <v>472</v>
      </c>
      <c r="E377" s="4">
        <v>615.99</v>
      </c>
      <c r="F377" s="4">
        <v>2557.19</v>
      </c>
      <c r="G377" s="3">
        <v>4</v>
      </c>
      <c r="H377" s="6">
        <v>5</v>
      </c>
      <c r="I377" s="3">
        <v>1</v>
      </c>
      <c r="J377" s="13" t="str">
        <f>HYPERLINK("https://amazon.com/dp/B0DZ2DWH1G","Amazon - B0DZ2DWH1G")</f>
        <v>Amazon - B0DZ2DWH1G</v>
      </c>
      <c r="K377" s="14" t="s">
        <v>443</v>
      </c>
      <c r="L377" s="14" t="s">
        <v>667</v>
      </c>
      <c r="M377" s="14" t="s">
        <v>565</v>
      </c>
      <c r="N377" s="14" t="s">
        <v>446</v>
      </c>
      <c r="O377" s="14" t="s">
        <v>725</v>
      </c>
    </row>
    <row r="378" spans="1:15" ht="30" x14ac:dyDescent="0.2">
      <c r="A378" s="2" t="s">
        <v>1285</v>
      </c>
      <c r="B378" s="2" t="s">
        <v>1286</v>
      </c>
      <c r="C378" s="2" t="s">
        <v>13</v>
      </c>
      <c r="D378" s="2" t="s">
        <v>472</v>
      </c>
      <c r="E378" s="4">
        <v>499.99</v>
      </c>
      <c r="F378" s="4">
        <v>2538.5300000000002</v>
      </c>
      <c r="G378" s="3">
        <v>5</v>
      </c>
      <c r="H378" s="6">
        <v>3.6</v>
      </c>
      <c r="I378" s="3">
        <v>5</v>
      </c>
      <c r="J378" s="13" t="str">
        <f>HYPERLINK("https://amazon.com/dp/B0BTYF8KX6","Amazon - B0BTYF8KX6")</f>
        <v>Amazon - B0BTYF8KX6</v>
      </c>
      <c r="K378" s="14" t="s">
        <v>443</v>
      </c>
      <c r="L378" s="14" t="s">
        <v>461</v>
      </c>
      <c r="M378" s="14" t="s">
        <v>303</v>
      </c>
      <c r="N378" s="14" t="s">
        <v>446</v>
      </c>
      <c r="O378" s="14" t="s">
        <v>517</v>
      </c>
    </row>
    <row r="379" spans="1:15" ht="45" x14ac:dyDescent="0.2">
      <c r="A379" s="2" t="s">
        <v>1287</v>
      </c>
      <c r="B379" s="2" t="s">
        <v>1288</v>
      </c>
      <c r="C379" s="2" t="s">
        <v>23</v>
      </c>
      <c r="D379" s="2" t="s">
        <v>472</v>
      </c>
      <c r="E379" s="4">
        <v>349.6</v>
      </c>
      <c r="F379" s="4">
        <v>2525.9299999999998</v>
      </c>
      <c r="G379" s="3">
        <v>7</v>
      </c>
      <c r="H379" s="6">
        <v>4.0999999999999996</v>
      </c>
      <c r="I379" s="3">
        <v>61</v>
      </c>
      <c r="J379" s="13" t="str">
        <f>HYPERLINK("https://amazon.com/dp/B0DCC6DNGD","Amazon - B0DCC6DNGD")</f>
        <v>Amazon - B0DCC6DNGD</v>
      </c>
      <c r="K379" s="14" t="s">
        <v>443</v>
      </c>
      <c r="L379" s="14" t="s">
        <v>456</v>
      </c>
      <c r="M379" s="14" t="s">
        <v>503</v>
      </c>
      <c r="N379" s="14" t="s">
        <v>446</v>
      </c>
      <c r="O379" s="14" t="s">
        <v>725</v>
      </c>
    </row>
    <row r="380" spans="1:15" ht="45" x14ac:dyDescent="0.2">
      <c r="A380" s="2" t="s">
        <v>1289</v>
      </c>
      <c r="B380" s="2" t="s">
        <v>1290</v>
      </c>
      <c r="C380" s="2" t="s">
        <v>13</v>
      </c>
      <c r="D380" s="2" t="s">
        <v>472</v>
      </c>
      <c r="E380" s="4">
        <v>729.99</v>
      </c>
      <c r="F380" s="4">
        <v>2524.1799999999998</v>
      </c>
      <c r="G380" s="3">
        <v>3</v>
      </c>
      <c r="H380" s="6">
        <v>4.3</v>
      </c>
      <c r="I380" s="3">
        <v>521</v>
      </c>
      <c r="J380" s="13" t="str">
        <f>HYPERLINK("https://amazon.com/dp/B09HSBR5RG","Amazon - B09HSBR5RG")</f>
        <v>Amazon - B09HSBR5RG</v>
      </c>
      <c r="K380" s="14" t="s">
        <v>443</v>
      </c>
      <c r="L380" s="14" t="s">
        <v>461</v>
      </c>
      <c r="M380" s="14" t="s">
        <v>303</v>
      </c>
      <c r="N380" s="14" t="s">
        <v>446</v>
      </c>
      <c r="O380" s="14" t="s">
        <v>517</v>
      </c>
    </row>
    <row r="381" spans="1:15" ht="30" x14ac:dyDescent="0.2">
      <c r="A381" s="2" t="s">
        <v>1291</v>
      </c>
      <c r="B381" s="2" t="s">
        <v>1292</v>
      </c>
      <c r="C381" s="2" t="s">
        <v>69</v>
      </c>
      <c r="D381" s="2" t="s">
        <v>472</v>
      </c>
      <c r="E381" s="4">
        <v>118</v>
      </c>
      <c r="F381" s="4">
        <v>2508.5700000000002</v>
      </c>
      <c r="G381" s="3">
        <v>21</v>
      </c>
      <c r="H381" s="6">
        <v>5</v>
      </c>
      <c r="I381" s="3">
        <v>1</v>
      </c>
      <c r="J381" s="13" t="str">
        <f>HYPERLINK("https://amazon.com/dp/B0F7F941JH","Amazon - B0F7F941JH")</f>
        <v>Amazon - B0F7F941JH</v>
      </c>
      <c r="K381" s="14" t="s">
        <v>443</v>
      </c>
      <c r="L381" s="14" t="s">
        <v>303</v>
      </c>
      <c r="M381" s="14" t="s">
        <v>503</v>
      </c>
      <c r="N381" s="14" t="s">
        <v>446</v>
      </c>
      <c r="O381" s="14" t="s">
        <v>303</v>
      </c>
    </row>
    <row r="382" spans="1:15" ht="30" x14ac:dyDescent="0.2">
      <c r="A382" s="2" t="s">
        <v>1293</v>
      </c>
      <c r="B382" s="2" t="s">
        <v>1294</v>
      </c>
      <c r="C382" s="2" t="s">
        <v>13</v>
      </c>
      <c r="D382" s="2" t="s">
        <v>472</v>
      </c>
      <c r="E382" s="4">
        <v>999.99</v>
      </c>
      <c r="F382" s="4">
        <v>2507.02</v>
      </c>
      <c r="G382" s="3">
        <v>3</v>
      </c>
      <c r="H382" s="6">
        <v>2.8</v>
      </c>
      <c r="I382" s="3">
        <v>4</v>
      </c>
      <c r="J382" s="13" t="str">
        <f>HYPERLINK("https://amazon.com/dp/B0DLW66T4W","Amazon - B0DLW66T4W")</f>
        <v>Amazon - B0DLW66T4W</v>
      </c>
      <c r="K382" s="14" t="s">
        <v>443</v>
      </c>
      <c r="L382" s="14" t="s">
        <v>764</v>
      </c>
      <c r="M382" s="14" t="s">
        <v>565</v>
      </c>
      <c r="N382" s="14" t="s">
        <v>446</v>
      </c>
      <c r="O382" s="14" t="s">
        <v>517</v>
      </c>
    </row>
    <row r="383" spans="1:15" ht="45" x14ac:dyDescent="0.2">
      <c r="A383" s="2" t="s">
        <v>1295</v>
      </c>
      <c r="B383" s="2" t="s">
        <v>1296</v>
      </c>
      <c r="C383" s="2" t="s">
        <v>28</v>
      </c>
      <c r="D383" s="2" t="s">
        <v>472</v>
      </c>
      <c r="E383" s="4">
        <v>59.99</v>
      </c>
      <c r="F383" s="4">
        <v>2495.85</v>
      </c>
      <c r="G383" s="3">
        <v>42</v>
      </c>
      <c r="H383" s="6">
        <v>4</v>
      </c>
      <c r="I383" s="3">
        <v>334</v>
      </c>
      <c r="J383" s="13" t="str">
        <f>HYPERLINK("https://amazon.com/dp/B0FC2BD267","Amazon - B0FC2BD267")</f>
        <v>Amazon - B0FC2BD267</v>
      </c>
      <c r="K383" s="14" t="s">
        <v>443</v>
      </c>
      <c r="L383" s="14" t="s">
        <v>667</v>
      </c>
      <c r="M383" s="14" t="s">
        <v>445</v>
      </c>
      <c r="N383" s="14" t="s">
        <v>452</v>
      </c>
      <c r="O383" s="14" t="s">
        <v>453</v>
      </c>
    </row>
    <row r="384" spans="1:15" ht="45" x14ac:dyDescent="0.2">
      <c r="A384" s="2" t="s">
        <v>1297</v>
      </c>
      <c r="B384" s="2" t="s">
        <v>1298</v>
      </c>
      <c r="C384" s="2" t="s">
        <v>14</v>
      </c>
      <c r="D384" s="2" t="s">
        <v>472</v>
      </c>
      <c r="E384" s="4">
        <v>399.88</v>
      </c>
      <c r="F384" s="4">
        <v>2491.17</v>
      </c>
      <c r="G384" s="3">
        <v>6</v>
      </c>
      <c r="H384" s="6">
        <v>4.7</v>
      </c>
      <c r="I384" s="3">
        <v>4</v>
      </c>
      <c r="J384" s="13" t="str">
        <f>HYPERLINK("https://amazon.com/dp/B0F9NMV4DC","Amazon - B0F9NMV4DC")</f>
        <v>Amazon - B0F9NMV4DC</v>
      </c>
      <c r="K384" s="14" t="s">
        <v>443</v>
      </c>
      <c r="L384" s="14" t="s">
        <v>1299</v>
      </c>
      <c r="M384" s="14" t="s">
        <v>303</v>
      </c>
      <c r="N384" s="14" t="s">
        <v>446</v>
      </c>
      <c r="O384" s="14" t="s">
        <v>453</v>
      </c>
    </row>
    <row r="385" spans="1:15" ht="45" x14ac:dyDescent="0.2">
      <c r="A385" s="2" t="s">
        <v>1300</v>
      </c>
      <c r="B385" s="2" t="s">
        <v>1301</v>
      </c>
      <c r="C385" s="2" t="s">
        <v>84</v>
      </c>
      <c r="D385" s="2" t="s">
        <v>450</v>
      </c>
      <c r="E385" s="4">
        <v>125.99</v>
      </c>
      <c r="F385" s="4">
        <v>2489.0500000000002</v>
      </c>
      <c r="G385" s="3">
        <v>20</v>
      </c>
      <c r="H385" s="6">
        <v>4.5</v>
      </c>
      <c r="I385" s="3">
        <v>18</v>
      </c>
      <c r="J385" s="13" t="str">
        <f>HYPERLINK("https://amazon.com/dp/B0BTH4WYWX","Amazon - B0BTH4WYWX")</f>
        <v>Amazon - B0BTH4WYWX</v>
      </c>
      <c r="K385" s="14" t="s">
        <v>443</v>
      </c>
      <c r="L385" s="14" t="s">
        <v>451</v>
      </c>
      <c r="M385" s="14" t="s">
        <v>535</v>
      </c>
      <c r="N385" s="14" t="s">
        <v>446</v>
      </c>
      <c r="O385" s="14" t="s">
        <v>1302</v>
      </c>
    </row>
    <row r="386" spans="1:15" ht="45" x14ac:dyDescent="0.2">
      <c r="A386" s="2" t="s">
        <v>1303</v>
      </c>
      <c r="B386" s="2" t="s">
        <v>1304</v>
      </c>
      <c r="C386" s="2" t="s">
        <v>43</v>
      </c>
      <c r="D386" s="2" t="s">
        <v>472</v>
      </c>
      <c r="E386" s="4">
        <v>699</v>
      </c>
      <c r="F386" s="4">
        <v>2451.41</v>
      </c>
      <c r="G386" s="3">
        <v>4</v>
      </c>
      <c r="H386" s="6">
        <v>5</v>
      </c>
      <c r="I386" s="3">
        <v>1</v>
      </c>
      <c r="J386" s="13" t="str">
        <f>HYPERLINK("https://amazon.com/dp/B0D3F71GSQ","Amazon - B0D3F71GSQ")</f>
        <v>Amazon - B0D3F71GSQ</v>
      </c>
      <c r="K386" s="14" t="s">
        <v>443</v>
      </c>
      <c r="L386" s="14" t="s">
        <v>502</v>
      </c>
      <c r="M386" s="14" t="s">
        <v>303</v>
      </c>
      <c r="N386" s="14" t="s">
        <v>446</v>
      </c>
      <c r="O386" s="14" t="s">
        <v>517</v>
      </c>
    </row>
    <row r="387" spans="1:15" ht="30" x14ac:dyDescent="0.2">
      <c r="A387" s="2" t="s">
        <v>1305</v>
      </c>
      <c r="B387" s="2" t="s">
        <v>1306</v>
      </c>
      <c r="C387" s="2" t="s">
        <v>110</v>
      </c>
      <c r="D387" s="2" t="s">
        <v>450</v>
      </c>
      <c r="E387" s="4">
        <v>24.99</v>
      </c>
      <c r="F387" s="4">
        <v>2449.0100000000002</v>
      </c>
      <c r="G387" s="3">
        <v>106</v>
      </c>
      <c r="H387" s="6">
        <v>4.3</v>
      </c>
      <c r="I387" s="3">
        <v>45</v>
      </c>
      <c r="J387" s="13" t="str">
        <f>HYPERLINK("https://amazon.com/dp/B0DTP6QXBY","Amazon - B0DTP6QXBY")</f>
        <v>Amazon - B0DTP6QXBY</v>
      </c>
      <c r="K387" s="14" t="s">
        <v>443</v>
      </c>
      <c r="L387" s="14" t="s">
        <v>451</v>
      </c>
      <c r="M387" s="14" t="s">
        <v>303</v>
      </c>
      <c r="N387" s="14" t="s">
        <v>446</v>
      </c>
      <c r="O387" s="14" t="s">
        <v>453</v>
      </c>
    </row>
    <row r="388" spans="1:15" ht="45" x14ac:dyDescent="0.2">
      <c r="A388" s="2" t="s">
        <v>1307</v>
      </c>
      <c r="B388" s="2" t="s">
        <v>1308</v>
      </c>
      <c r="C388" s="2" t="s">
        <v>8</v>
      </c>
      <c r="D388" s="2" t="s">
        <v>450</v>
      </c>
      <c r="E388" s="4">
        <v>36.99</v>
      </c>
      <c r="F388" s="4">
        <v>2434.2800000000002</v>
      </c>
      <c r="G388" s="3">
        <v>66</v>
      </c>
      <c r="H388" s="6">
        <v>4.3</v>
      </c>
      <c r="I388" s="3">
        <v>328</v>
      </c>
      <c r="J388" s="13" t="str">
        <f>HYPERLINK("https://amazon.com/dp/B0CF1VCDBD","Amazon - B0CF1VCDBD")</f>
        <v>Amazon - B0CF1VCDBD</v>
      </c>
      <c r="K388" s="14" t="s">
        <v>443</v>
      </c>
      <c r="L388" s="14" t="s">
        <v>451</v>
      </c>
      <c r="M388" s="14" t="s">
        <v>303</v>
      </c>
      <c r="N388" s="14" t="s">
        <v>452</v>
      </c>
      <c r="O388" s="14" t="s">
        <v>487</v>
      </c>
    </row>
    <row r="389" spans="1:15" ht="45" x14ac:dyDescent="0.2">
      <c r="A389" s="2" t="s">
        <v>1309</v>
      </c>
      <c r="B389" s="2" t="s">
        <v>1310</v>
      </c>
      <c r="C389" s="2" t="s">
        <v>27</v>
      </c>
      <c r="D389" s="2" t="s">
        <v>472</v>
      </c>
      <c r="E389" s="4">
        <v>599.99</v>
      </c>
      <c r="F389" s="4">
        <v>2424.12</v>
      </c>
      <c r="G389" s="3">
        <v>4</v>
      </c>
      <c r="H389" s="6">
        <v>3.8</v>
      </c>
      <c r="I389" s="3">
        <v>19</v>
      </c>
      <c r="J389" s="13" t="str">
        <f>HYPERLINK("https://amazon.com/dp/B0FKHCHYPR","Amazon - B0FKHCHYPR")</f>
        <v>Amazon - B0FKHCHYPR</v>
      </c>
      <c r="K389" s="14" t="s">
        <v>443</v>
      </c>
      <c r="L389" s="14" t="s">
        <v>502</v>
      </c>
      <c r="M389" s="14" t="s">
        <v>303</v>
      </c>
      <c r="N389" s="14" t="s">
        <v>446</v>
      </c>
      <c r="O389" s="14" t="s">
        <v>570</v>
      </c>
    </row>
    <row r="390" spans="1:15" ht="30" x14ac:dyDescent="0.2">
      <c r="A390" s="2" t="s">
        <v>1311</v>
      </c>
      <c r="B390" s="2" t="s">
        <v>1312</v>
      </c>
      <c r="C390" s="2" t="s">
        <v>9</v>
      </c>
      <c r="D390" s="2" t="s">
        <v>442</v>
      </c>
      <c r="E390" s="4">
        <v>29.99</v>
      </c>
      <c r="F390" s="4">
        <v>2392.44</v>
      </c>
      <c r="G390" s="3">
        <v>80</v>
      </c>
      <c r="H390" s="6">
        <v>4.5999999999999996</v>
      </c>
      <c r="I390" s="3">
        <v>290</v>
      </c>
      <c r="J390" s="13" t="str">
        <f>HYPERLINK("https://amazon.com/dp/B0DD47VS7S","Amazon - B0DD47VS7S")</f>
        <v>Amazon - B0DD47VS7S</v>
      </c>
      <c r="K390" s="14" t="s">
        <v>443</v>
      </c>
      <c r="L390" s="14" t="s">
        <v>461</v>
      </c>
      <c r="M390" s="14" t="s">
        <v>303</v>
      </c>
      <c r="N390" s="14" t="s">
        <v>452</v>
      </c>
      <c r="O390" s="14" t="s">
        <v>453</v>
      </c>
    </row>
    <row r="391" spans="1:15" ht="30" x14ac:dyDescent="0.2">
      <c r="A391" s="2" t="s">
        <v>1313</v>
      </c>
      <c r="B391" s="2" t="s">
        <v>1314</v>
      </c>
      <c r="C391" s="2" t="s">
        <v>13</v>
      </c>
      <c r="D391" s="2" t="s">
        <v>472</v>
      </c>
      <c r="E391" s="4">
        <v>797.99</v>
      </c>
      <c r="F391" s="4">
        <v>2385.27</v>
      </c>
      <c r="G391" s="3">
        <v>3</v>
      </c>
      <c r="H391" s="6">
        <v>4.2</v>
      </c>
      <c r="I391" s="3">
        <v>15</v>
      </c>
      <c r="J391" s="13" t="str">
        <f>HYPERLINK("https://amazon.com/dp/B0CYSJHBGQ","Amazon - B0CYSJHBGQ")</f>
        <v>Amazon - B0CYSJHBGQ</v>
      </c>
      <c r="K391" s="14" t="s">
        <v>443</v>
      </c>
      <c r="L391" s="14" t="s">
        <v>461</v>
      </c>
      <c r="M391" s="14" t="s">
        <v>565</v>
      </c>
      <c r="N391" s="14" t="s">
        <v>446</v>
      </c>
      <c r="O391" s="14" t="s">
        <v>725</v>
      </c>
    </row>
    <row r="392" spans="1:15" ht="30" x14ac:dyDescent="0.2">
      <c r="A392" s="2" t="s">
        <v>1315</v>
      </c>
      <c r="B392" s="2" t="s">
        <v>1316</v>
      </c>
      <c r="C392" s="2" t="s">
        <v>112</v>
      </c>
      <c r="D392" s="2" t="s">
        <v>442</v>
      </c>
      <c r="E392" s="4">
        <v>228</v>
      </c>
      <c r="F392" s="4">
        <v>2364.5</v>
      </c>
      <c r="G392" s="3">
        <v>11</v>
      </c>
      <c r="H392" s="6">
        <v>4.2</v>
      </c>
      <c r="I392" s="3">
        <v>3</v>
      </c>
      <c r="J392" s="13" t="str">
        <f>HYPERLINK("https://amazon.com/dp/B0G34PXC7N","Amazon - B0G34PXC7N")</f>
        <v>Amazon - B0G34PXC7N</v>
      </c>
      <c r="K392" s="14" t="s">
        <v>482</v>
      </c>
      <c r="L392" s="14" t="s">
        <v>461</v>
      </c>
      <c r="M392" s="14" t="s">
        <v>577</v>
      </c>
      <c r="N392" s="14" t="s">
        <v>446</v>
      </c>
      <c r="O392" s="14" t="s">
        <v>447</v>
      </c>
    </row>
    <row r="393" spans="1:15" ht="45" x14ac:dyDescent="0.2">
      <c r="A393" s="2" t="s">
        <v>1317</v>
      </c>
      <c r="B393" s="2" t="s">
        <v>1318</v>
      </c>
      <c r="C393" s="2" t="s">
        <v>39</v>
      </c>
      <c r="D393" s="2" t="s">
        <v>472</v>
      </c>
      <c r="E393" s="4">
        <v>649.99</v>
      </c>
      <c r="F393" s="4">
        <v>2360.38</v>
      </c>
      <c r="G393" s="3">
        <v>4</v>
      </c>
      <c r="H393" s="6">
        <v>4.4000000000000004</v>
      </c>
      <c r="I393" s="3">
        <v>12</v>
      </c>
      <c r="J393" s="13" t="str">
        <f>HYPERLINK("https://amazon.com/dp/B0FQ5FBYPW","Amazon - B0FQ5FBYPW")</f>
        <v>Amazon - B0FQ5FBYPW</v>
      </c>
      <c r="K393" s="14" t="s">
        <v>443</v>
      </c>
      <c r="L393" s="14" t="s">
        <v>461</v>
      </c>
      <c r="M393" s="14" t="s">
        <v>303</v>
      </c>
      <c r="N393" s="14" t="s">
        <v>446</v>
      </c>
      <c r="O393" s="14" t="s">
        <v>517</v>
      </c>
    </row>
    <row r="394" spans="1:15" ht="45" x14ac:dyDescent="0.2">
      <c r="A394" s="2" t="s">
        <v>1319</v>
      </c>
      <c r="B394" s="2" t="s">
        <v>1320</v>
      </c>
      <c r="C394" s="2" t="s">
        <v>13</v>
      </c>
      <c r="D394" s="2" t="s">
        <v>472</v>
      </c>
      <c r="E394" s="4">
        <v>369.99</v>
      </c>
      <c r="F394" s="4">
        <v>2359.06</v>
      </c>
      <c r="G394" s="3">
        <v>6</v>
      </c>
      <c r="H394" s="6">
        <v>5</v>
      </c>
      <c r="I394" s="3">
        <v>1</v>
      </c>
      <c r="J394" s="13" t="str">
        <f>HYPERLINK("https://amazon.com/dp/B0FLPXZR53","Amazon - B0FLPXZR53")</f>
        <v>Amazon - B0FLPXZR53</v>
      </c>
      <c r="K394" s="14" t="s">
        <v>443</v>
      </c>
      <c r="L394" s="14" t="s">
        <v>461</v>
      </c>
      <c r="M394" s="14" t="s">
        <v>715</v>
      </c>
      <c r="N394" s="14" t="s">
        <v>446</v>
      </c>
      <c r="O394" s="14" t="s">
        <v>517</v>
      </c>
    </row>
    <row r="395" spans="1:15" ht="45" x14ac:dyDescent="0.2">
      <c r="A395" s="2" t="s">
        <v>1321</v>
      </c>
      <c r="B395" s="2" t="s">
        <v>1322</v>
      </c>
      <c r="C395" s="2" t="s">
        <v>13</v>
      </c>
      <c r="D395" s="2" t="s">
        <v>472</v>
      </c>
      <c r="E395" s="4">
        <v>699.99</v>
      </c>
      <c r="F395" s="4">
        <v>2356.1</v>
      </c>
      <c r="G395" s="3">
        <v>3</v>
      </c>
      <c r="H395" s="6">
        <v>4.8</v>
      </c>
      <c r="I395" s="3">
        <v>5</v>
      </c>
      <c r="J395" s="13" t="str">
        <f>HYPERLINK("https://amazon.com/dp/B0FXXGFLTL","Amazon - B0FXXGFLTL")</f>
        <v>Amazon - B0FXXGFLTL</v>
      </c>
      <c r="K395" s="14" t="s">
        <v>443</v>
      </c>
      <c r="L395" s="14" t="s">
        <v>461</v>
      </c>
      <c r="M395" s="14" t="s">
        <v>715</v>
      </c>
      <c r="N395" s="14" t="s">
        <v>446</v>
      </c>
      <c r="O395" s="14" t="s">
        <v>570</v>
      </c>
    </row>
    <row r="396" spans="1:15" ht="45" x14ac:dyDescent="0.2">
      <c r="A396" s="2" t="s">
        <v>1323</v>
      </c>
      <c r="B396" s="2" t="s">
        <v>1324</v>
      </c>
      <c r="C396" s="2" t="s">
        <v>43</v>
      </c>
      <c r="D396" s="2" t="s">
        <v>472</v>
      </c>
      <c r="E396" s="4">
        <v>322.73</v>
      </c>
      <c r="F396" s="4">
        <v>2347.35</v>
      </c>
      <c r="G396" s="3">
        <v>7</v>
      </c>
      <c r="H396" s="6">
        <v>4</v>
      </c>
      <c r="I396" s="3">
        <v>93</v>
      </c>
      <c r="J396" s="13" t="str">
        <f>HYPERLINK("https://amazon.com/dp/B0CMTV1YRC","Amazon - B0CMTV1YRC")</f>
        <v>Amazon - B0CMTV1YRC</v>
      </c>
      <c r="K396" s="14" t="s">
        <v>443</v>
      </c>
      <c r="L396" s="14" t="s">
        <v>456</v>
      </c>
      <c r="M396" s="14" t="s">
        <v>677</v>
      </c>
      <c r="N396" s="14" t="s">
        <v>446</v>
      </c>
      <c r="O396" s="14" t="s">
        <v>570</v>
      </c>
    </row>
    <row r="397" spans="1:15" ht="30" x14ac:dyDescent="0.2">
      <c r="A397" s="2" t="s">
        <v>1325</v>
      </c>
      <c r="B397" s="2" t="s">
        <v>1326</v>
      </c>
      <c r="C397" s="2" t="s">
        <v>13</v>
      </c>
      <c r="D397" s="2" t="s">
        <v>472</v>
      </c>
      <c r="E397" s="4">
        <v>739.99</v>
      </c>
      <c r="F397" s="4">
        <v>2342.38</v>
      </c>
      <c r="G397" s="3">
        <v>3</v>
      </c>
      <c r="H397" s="6">
        <v>4.3</v>
      </c>
      <c r="I397" s="3">
        <v>89</v>
      </c>
      <c r="J397" s="13" t="str">
        <f>HYPERLINK("https://amazon.com/dp/B0G1C1XPW5","Amazon - B0G1C1XPW5")</f>
        <v>Amazon - B0G1C1XPW5</v>
      </c>
      <c r="K397" s="14" t="s">
        <v>443</v>
      </c>
      <c r="L397" s="14" t="s">
        <v>502</v>
      </c>
      <c r="M397" s="14" t="s">
        <v>565</v>
      </c>
      <c r="N397" s="14" t="s">
        <v>446</v>
      </c>
      <c r="O397" s="14" t="s">
        <v>725</v>
      </c>
    </row>
    <row r="398" spans="1:15" ht="45" x14ac:dyDescent="0.2">
      <c r="A398" s="2" t="s">
        <v>1327</v>
      </c>
      <c r="B398" s="2" t="s">
        <v>1328</v>
      </c>
      <c r="C398" s="2" t="s">
        <v>113</v>
      </c>
      <c r="D398" s="2" t="s">
        <v>442</v>
      </c>
      <c r="E398" s="4">
        <v>26.99</v>
      </c>
      <c r="F398" s="4">
        <v>2297.12</v>
      </c>
      <c r="G398" s="3">
        <v>85</v>
      </c>
      <c r="H398" s="6">
        <v>4.4000000000000004</v>
      </c>
      <c r="I398" s="3">
        <v>693</v>
      </c>
      <c r="J398" s="13" t="str">
        <f>HYPERLINK("https://amazon.com/dp/B0DFGTYXD5","Amazon - B0DFGTYXD5")</f>
        <v>Amazon - B0DFGTYXD5</v>
      </c>
      <c r="K398" s="14" t="s">
        <v>443</v>
      </c>
      <c r="L398" s="14" t="s">
        <v>461</v>
      </c>
      <c r="M398" s="14" t="s">
        <v>445</v>
      </c>
      <c r="N398" s="14" t="s">
        <v>452</v>
      </c>
      <c r="O398" s="14" t="s">
        <v>453</v>
      </c>
    </row>
    <row r="399" spans="1:15" ht="45" x14ac:dyDescent="0.2">
      <c r="A399" s="2" t="s">
        <v>1329</v>
      </c>
      <c r="B399" s="2" t="s">
        <v>1330</v>
      </c>
      <c r="C399" s="2" t="s">
        <v>13</v>
      </c>
      <c r="D399" s="2" t="s">
        <v>472</v>
      </c>
      <c r="E399" s="4">
        <v>659.99</v>
      </c>
      <c r="F399" s="4">
        <v>2292.15</v>
      </c>
      <c r="G399" s="3">
        <v>3</v>
      </c>
      <c r="H399" s="6">
        <v>4.3</v>
      </c>
      <c r="I399" s="3">
        <v>89</v>
      </c>
      <c r="J399" s="13" t="str">
        <f>HYPERLINK("https://amazon.com/dp/B0CBS872G4","Amazon - B0CBS872G4")</f>
        <v>Amazon - B0CBS872G4</v>
      </c>
      <c r="K399" s="14" t="s">
        <v>443</v>
      </c>
      <c r="L399" s="14" t="s">
        <v>502</v>
      </c>
      <c r="M399" s="14" t="s">
        <v>565</v>
      </c>
      <c r="N399" s="14" t="s">
        <v>446</v>
      </c>
      <c r="O399" s="14" t="s">
        <v>725</v>
      </c>
    </row>
    <row r="400" spans="1:15" ht="45" x14ac:dyDescent="0.2">
      <c r="A400" s="2" t="s">
        <v>1331</v>
      </c>
      <c r="B400" s="2" t="s">
        <v>1332</v>
      </c>
      <c r="C400" s="2" t="s">
        <v>115</v>
      </c>
      <c r="D400" s="2" t="s">
        <v>442</v>
      </c>
      <c r="E400" s="4">
        <v>59.98</v>
      </c>
      <c r="F400" s="4">
        <v>2291.08</v>
      </c>
      <c r="G400" s="3">
        <v>38</v>
      </c>
      <c r="H400" s="6">
        <v>4.0999999999999996</v>
      </c>
      <c r="I400" s="3">
        <v>27</v>
      </c>
      <c r="J400" s="13" t="str">
        <f>HYPERLINK("https://amazon.com/dp/B0FLXRVP6M","Amazon - B0FLXRVP6M")</f>
        <v>Amazon - B0FLXRVP6M</v>
      </c>
      <c r="K400" s="14" t="s">
        <v>443</v>
      </c>
      <c r="L400" s="14" t="s">
        <v>303</v>
      </c>
      <c r="M400" s="14" t="s">
        <v>462</v>
      </c>
      <c r="N400" s="14" t="s">
        <v>446</v>
      </c>
      <c r="O400" s="14" t="s">
        <v>303</v>
      </c>
    </row>
    <row r="401" spans="1:15" ht="30" x14ac:dyDescent="0.2">
      <c r="A401" s="2" t="s">
        <v>1333</v>
      </c>
      <c r="B401" s="2" t="s">
        <v>1334</v>
      </c>
      <c r="C401" s="2" t="s">
        <v>14</v>
      </c>
      <c r="D401" s="2" t="s">
        <v>472</v>
      </c>
      <c r="E401" s="4">
        <v>259.99</v>
      </c>
      <c r="F401" s="4">
        <v>2288.09</v>
      </c>
      <c r="G401" s="3">
        <v>9</v>
      </c>
      <c r="H401" s="6">
        <v>2.8</v>
      </c>
      <c r="I401" s="3">
        <v>2</v>
      </c>
      <c r="J401" s="13" t="str">
        <f>HYPERLINK("https://amazon.com/dp/B0DWMNLK1B","Amazon - B0DWMNLK1B")</f>
        <v>Amazon - B0DWMNLK1B</v>
      </c>
      <c r="K401" s="14" t="s">
        <v>443</v>
      </c>
      <c r="L401" s="14" t="s">
        <v>303</v>
      </c>
      <c r="M401" s="14" t="s">
        <v>565</v>
      </c>
      <c r="N401" s="14" t="s">
        <v>446</v>
      </c>
      <c r="O401" s="14" t="s">
        <v>570</v>
      </c>
    </row>
    <row r="402" spans="1:15" ht="45" x14ac:dyDescent="0.2">
      <c r="A402" s="2" t="s">
        <v>1335</v>
      </c>
      <c r="B402" s="2" t="s">
        <v>1336</v>
      </c>
      <c r="C402" s="2" t="s">
        <v>14</v>
      </c>
      <c r="D402" s="2" t="s">
        <v>472</v>
      </c>
      <c r="E402" s="4">
        <v>299.88</v>
      </c>
      <c r="F402" s="4">
        <v>2274.69</v>
      </c>
      <c r="G402" s="3">
        <v>8</v>
      </c>
      <c r="H402" s="6">
        <v>4.3</v>
      </c>
      <c r="I402" s="3">
        <v>140</v>
      </c>
      <c r="J402" s="13" t="str">
        <f>HYPERLINK("https://amazon.com/dp/B0CC1LCRYL","Amazon - B0CC1LCRYL")</f>
        <v>Amazon - B0CC1LCRYL</v>
      </c>
      <c r="K402" s="14" t="s">
        <v>443</v>
      </c>
      <c r="L402" s="14" t="s">
        <v>456</v>
      </c>
      <c r="M402" s="14" t="s">
        <v>688</v>
      </c>
      <c r="N402" s="14" t="s">
        <v>446</v>
      </c>
      <c r="O402" s="14" t="s">
        <v>517</v>
      </c>
    </row>
    <row r="403" spans="1:15" ht="30" x14ac:dyDescent="0.2">
      <c r="A403" s="2" t="s">
        <v>1337</v>
      </c>
      <c r="B403" s="2" t="s">
        <v>1338</v>
      </c>
      <c r="C403" s="2" t="s">
        <v>18</v>
      </c>
      <c r="D403" s="2" t="s">
        <v>472</v>
      </c>
      <c r="E403" s="4">
        <v>25.98</v>
      </c>
      <c r="F403" s="4">
        <v>2257.61</v>
      </c>
      <c r="G403" s="3">
        <v>84</v>
      </c>
      <c r="H403" s="6">
        <v>4.5999999999999996</v>
      </c>
      <c r="I403" s="3">
        <v>396</v>
      </c>
      <c r="J403" s="13" t="str">
        <f>HYPERLINK("https://amazon.com/dp/B0DRSF5Q5Z","Amazon - B0DRSF5Q5Z")</f>
        <v>Amazon - B0DRSF5Q5Z</v>
      </c>
      <c r="K403" s="14" t="s">
        <v>443</v>
      </c>
      <c r="L403" s="14" t="s">
        <v>461</v>
      </c>
      <c r="M403" s="14" t="s">
        <v>303</v>
      </c>
      <c r="N403" s="14" t="s">
        <v>452</v>
      </c>
      <c r="O403" s="14" t="s">
        <v>524</v>
      </c>
    </row>
    <row r="404" spans="1:15" ht="45" x14ac:dyDescent="0.2">
      <c r="A404" s="2" t="s">
        <v>1339</v>
      </c>
      <c r="B404" s="2" t="s">
        <v>1340</v>
      </c>
      <c r="C404" s="2" t="s">
        <v>13</v>
      </c>
      <c r="D404" s="2" t="s">
        <v>472</v>
      </c>
      <c r="E404" s="4">
        <v>329.99</v>
      </c>
      <c r="F404" s="4">
        <v>2255.89</v>
      </c>
      <c r="G404" s="3">
        <v>7</v>
      </c>
      <c r="H404" s="6">
        <v>4.3</v>
      </c>
      <c r="I404" s="3">
        <v>521</v>
      </c>
      <c r="J404" s="13" t="str">
        <f>HYPERLINK("https://amazon.com/dp/B0B4SDBMPX","Amazon - B0B4SDBMPX")</f>
        <v>Amazon - B0B4SDBMPX</v>
      </c>
      <c r="K404" s="14" t="s">
        <v>443</v>
      </c>
      <c r="L404" s="14" t="s">
        <v>461</v>
      </c>
      <c r="M404" s="14" t="s">
        <v>303</v>
      </c>
      <c r="N404" s="14" t="s">
        <v>446</v>
      </c>
      <c r="O404" s="14" t="s">
        <v>1225</v>
      </c>
    </row>
    <row r="405" spans="1:15" ht="30" x14ac:dyDescent="0.2">
      <c r="A405" s="2" t="s">
        <v>1341</v>
      </c>
      <c r="B405" s="2" t="s">
        <v>1342</v>
      </c>
      <c r="C405" s="2" t="s">
        <v>11</v>
      </c>
      <c r="D405" s="2" t="s">
        <v>472</v>
      </c>
      <c r="E405" s="4">
        <v>289.89999999999998</v>
      </c>
      <c r="F405" s="4">
        <v>2253.2399999999998</v>
      </c>
      <c r="G405" s="3">
        <v>8</v>
      </c>
      <c r="H405" s="6">
        <v>2.8</v>
      </c>
      <c r="I405" s="3">
        <v>4</v>
      </c>
      <c r="J405" s="13" t="str">
        <f>HYPERLINK("https://amazon.com/dp/B0DZ66K1CC","Amazon - B0DZ66K1CC")</f>
        <v>Amazon - B0DZ66K1CC</v>
      </c>
      <c r="K405" s="14" t="s">
        <v>443</v>
      </c>
      <c r="L405" s="14" t="s">
        <v>667</v>
      </c>
      <c r="M405" s="14" t="s">
        <v>303</v>
      </c>
      <c r="N405" s="14" t="s">
        <v>446</v>
      </c>
      <c r="O405" s="14" t="s">
        <v>517</v>
      </c>
    </row>
    <row r="406" spans="1:15" x14ac:dyDescent="0.2">
      <c r="A406" s="2" t="s">
        <v>1343</v>
      </c>
      <c r="B406" s="2" t="s">
        <v>1344</v>
      </c>
      <c r="C406" s="2" t="s">
        <v>55</v>
      </c>
      <c r="D406" s="2" t="s">
        <v>442</v>
      </c>
      <c r="E406" s="4">
        <v>499.99</v>
      </c>
      <c r="F406" s="4">
        <v>2251.7199999999998</v>
      </c>
      <c r="G406" s="3">
        <v>4</v>
      </c>
      <c r="H406" s="6">
        <v>4.2</v>
      </c>
      <c r="I406" s="3">
        <v>66</v>
      </c>
      <c r="J406" s="13" t="str">
        <f>HYPERLINK("https://amazon.com/dp/B07SR2LHBT","Amazon - B07SR2LHBT")</f>
        <v>Amazon - B07SR2LHBT</v>
      </c>
      <c r="K406" s="14" t="s">
        <v>443</v>
      </c>
      <c r="L406" s="14" t="s">
        <v>667</v>
      </c>
      <c r="M406" s="14" t="s">
        <v>303</v>
      </c>
      <c r="N406" s="14" t="s">
        <v>446</v>
      </c>
      <c r="O406" s="14" t="s">
        <v>570</v>
      </c>
    </row>
    <row r="407" spans="1:15" ht="30" x14ac:dyDescent="0.2">
      <c r="A407" s="2" t="s">
        <v>1345</v>
      </c>
      <c r="B407" s="2" t="s">
        <v>1346</v>
      </c>
      <c r="C407" s="2" t="s">
        <v>89</v>
      </c>
      <c r="D407" s="2" t="s">
        <v>442</v>
      </c>
      <c r="E407" s="4">
        <v>25.99</v>
      </c>
      <c r="F407" s="4">
        <v>2243.2399999999998</v>
      </c>
      <c r="G407" s="3">
        <v>86</v>
      </c>
      <c r="H407" s="6">
        <v>4.3</v>
      </c>
      <c r="I407" s="3">
        <v>152</v>
      </c>
      <c r="J407" s="13" t="str">
        <f>HYPERLINK("https://amazon.com/dp/B0D8W215CX","Amazon - B0D8W215CX")</f>
        <v>Amazon - B0D8W215CX</v>
      </c>
      <c r="K407" s="14" t="s">
        <v>443</v>
      </c>
      <c r="L407" s="14" t="s">
        <v>303</v>
      </c>
      <c r="M407" s="14" t="s">
        <v>445</v>
      </c>
      <c r="N407" s="14" t="s">
        <v>446</v>
      </c>
      <c r="O407" s="14" t="s">
        <v>1347</v>
      </c>
    </row>
    <row r="408" spans="1:15" ht="45" x14ac:dyDescent="0.2">
      <c r="A408" s="2" t="s">
        <v>1348</v>
      </c>
      <c r="B408" s="2" t="s">
        <v>1349</v>
      </c>
      <c r="C408" s="2" t="s">
        <v>117</v>
      </c>
      <c r="D408" s="2" t="s">
        <v>472</v>
      </c>
      <c r="E408" s="4">
        <v>949</v>
      </c>
      <c r="F408" s="4">
        <v>2240.98</v>
      </c>
      <c r="G408" s="3">
        <v>2</v>
      </c>
      <c r="H408" s="6">
        <v>2.9</v>
      </c>
      <c r="I408" s="3">
        <v>23</v>
      </c>
      <c r="J408" s="13" t="str">
        <f>HYPERLINK("https://amazon.com/dp/B082PG2GT6","Amazon - B082PG2GT6")</f>
        <v>Amazon - B082PG2GT6</v>
      </c>
      <c r="K408" s="14" t="s">
        <v>443</v>
      </c>
      <c r="L408" s="14" t="s">
        <v>667</v>
      </c>
      <c r="M408" s="14" t="s">
        <v>303</v>
      </c>
      <c r="N408" s="14" t="s">
        <v>446</v>
      </c>
      <c r="O408" s="14" t="s">
        <v>1350</v>
      </c>
    </row>
    <row r="409" spans="1:15" ht="45" x14ac:dyDescent="0.2">
      <c r="A409" s="2" t="s">
        <v>1351</v>
      </c>
      <c r="B409" s="2" t="s">
        <v>1352</v>
      </c>
      <c r="C409" s="2" t="s">
        <v>10</v>
      </c>
      <c r="D409" s="2" t="s">
        <v>450</v>
      </c>
      <c r="E409" s="4">
        <v>19.989999999999998</v>
      </c>
      <c r="F409" s="4">
        <v>2239.9</v>
      </c>
      <c r="G409" s="3">
        <v>131</v>
      </c>
      <c r="H409" s="6">
        <v>3.8</v>
      </c>
      <c r="I409" s="3">
        <v>4</v>
      </c>
      <c r="J409" s="13" t="str">
        <f>HYPERLINK("https://amazon.com/dp/B0G23P5N7X","Amazon - B0G23P5N7X")</f>
        <v>Amazon - B0G23P5N7X</v>
      </c>
      <c r="K409" s="14" t="s">
        <v>443</v>
      </c>
      <c r="L409" s="14" t="s">
        <v>451</v>
      </c>
      <c r="M409" s="14" t="s">
        <v>303</v>
      </c>
      <c r="N409" s="14" t="s">
        <v>452</v>
      </c>
      <c r="O409" s="14" t="s">
        <v>453</v>
      </c>
    </row>
    <row r="410" spans="1:15" ht="45" x14ac:dyDescent="0.2">
      <c r="A410" s="2" t="s">
        <v>1353</v>
      </c>
      <c r="B410" s="2" t="s">
        <v>1354</v>
      </c>
      <c r="C410" s="2" t="s">
        <v>118</v>
      </c>
      <c r="D410" s="2" t="s">
        <v>450</v>
      </c>
      <c r="E410" s="4">
        <v>21.98</v>
      </c>
      <c r="F410" s="4">
        <v>2238.39</v>
      </c>
      <c r="G410" s="3">
        <v>101</v>
      </c>
      <c r="H410" s="6">
        <v>4.8</v>
      </c>
      <c r="I410" s="3">
        <v>23</v>
      </c>
      <c r="J410" s="13" t="str">
        <f>HYPERLINK("https://amazon.com/dp/B0G2XTJBJZ","Amazon - B0G2XTJBJZ")</f>
        <v>Amazon - B0G2XTJBJZ</v>
      </c>
      <c r="K410" s="14" t="s">
        <v>443</v>
      </c>
      <c r="L410" s="14" t="s">
        <v>451</v>
      </c>
      <c r="M410" s="14" t="s">
        <v>303</v>
      </c>
      <c r="N410" s="14" t="s">
        <v>446</v>
      </c>
      <c r="O410" s="14" t="s">
        <v>453</v>
      </c>
    </row>
    <row r="411" spans="1:15" ht="30" x14ac:dyDescent="0.2">
      <c r="A411" s="2" t="s">
        <v>1355</v>
      </c>
      <c r="B411" s="2" t="s">
        <v>1356</v>
      </c>
      <c r="C411" s="2" t="s">
        <v>51</v>
      </c>
      <c r="D411" s="2" t="s">
        <v>450</v>
      </c>
      <c r="E411" s="4">
        <v>299.98</v>
      </c>
      <c r="F411" s="4">
        <v>2220.4699999999998</v>
      </c>
      <c r="G411" s="3">
        <v>7</v>
      </c>
      <c r="H411" s="6">
        <v>4</v>
      </c>
      <c r="I411" s="3">
        <v>6</v>
      </c>
      <c r="J411" s="13" t="str">
        <f>HYPERLINK("https://amazon.com/dp/B09KFGS7WN","Amazon - B09KFGS7WN")</f>
        <v>Amazon - B09KFGS7WN</v>
      </c>
      <c r="K411" s="14" t="s">
        <v>482</v>
      </c>
      <c r="L411" s="14" t="s">
        <v>451</v>
      </c>
      <c r="M411" s="14" t="s">
        <v>484</v>
      </c>
      <c r="N411" s="14" t="s">
        <v>446</v>
      </c>
      <c r="O411" s="14" t="s">
        <v>543</v>
      </c>
    </row>
    <row r="412" spans="1:15" ht="45" x14ac:dyDescent="0.2">
      <c r="A412" s="2" t="s">
        <v>1357</v>
      </c>
      <c r="B412" s="2" t="s">
        <v>1358</v>
      </c>
      <c r="C412" s="2" t="s">
        <v>13</v>
      </c>
      <c r="D412" s="2" t="s">
        <v>472</v>
      </c>
      <c r="E412" s="4">
        <v>899.99</v>
      </c>
      <c r="F412" s="4">
        <v>2199.7600000000002</v>
      </c>
      <c r="G412" s="3">
        <v>2</v>
      </c>
      <c r="H412" s="6">
        <v>5</v>
      </c>
      <c r="I412" s="3">
        <v>1</v>
      </c>
      <c r="J412" s="13" t="str">
        <f>HYPERLINK("https://amazon.com/dp/B0D7HRSBK7","Amazon - B0D7HRSBK7")</f>
        <v>Amazon - B0D7HRSBK7</v>
      </c>
      <c r="K412" s="14" t="s">
        <v>443</v>
      </c>
      <c r="L412" s="14" t="s">
        <v>461</v>
      </c>
      <c r="M412" s="14" t="s">
        <v>565</v>
      </c>
      <c r="N412" s="14" t="s">
        <v>446</v>
      </c>
      <c r="O412" s="14" t="s">
        <v>504</v>
      </c>
    </row>
    <row r="413" spans="1:15" ht="45" x14ac:dyDescent="0.2">
      <c r="A413" s="2" t="s">
        <v>1359</v>
      </c>
      <c r="B413" s="2" t="s">
        <v>1360</v>
      </c>
      <c r="C413" s="2" t="s">
        <v>34</v>
      </c>
      <c r="D413" s="2" t="s">
        <v>450</v>
      </c>
      <c r="E413" s="4">
        <v>22.99</v>
      </c>
      <c r="F413" s="4">
        <v>2173.54</v>
      </c>
      <c r="G413" s="3">
        <v>94</v>
      </c>
      <c r="H413" s="6">
        <v>4.3</v>
      </c>
      <c r="I413" s="3">
        <v>639</v>
      </c>
      <c r="J413" s="13" t="str">
        <f>HYPERLINK("https://amazon.com/dp/B0FC2K8FN2","Amazon - B0FC2K8FN2")</f>
        <v>Amazon - B0FC2K8FN2</v>
      </c>
      <c r="K413" s="14" t="s">
        <v>443</v>
      </c>
      <c r="L413" s="14" t="s">
        <v>451</v>
      </c>
      <c r="M413" s="14" t="s">
        <v>303</v>
      </c>
      <c r="N413" s="14" t="s">
        <v>446</v>
      </c>
      <c r="O413" s="14" t="s">
        <v>453</v>
      </c>
    </row>
    <row r="414" spans="1:15" ht="45" x14ac:dyDescent="0.2">
      <c r="A414" s="2" t="s">
        <v>1361</v>
      </c>
      <c r="B414" s="2" t="s">
        <v>1362</v>
      </c>
      <c r="C414" s="2" t="s">
        <v>23</v>
      </c>
      <c r="D414" s="2" t="s">
        <v>472</v>
      </c>
      <c r="E414" s="4">
        <v>699.95</v>
      </c>
      <c r="F414" s="4">
        <v>2171.4</v>
      </c>
      <c r="G414" s="3">
        <v>3</v>
      </c>
      <c r="H414" s="6">
        <v>5</v>
      </c>
      <c r="I414" s="3">
        <v>1</v>
      </c>
      <c r="J414" s="13" t="str">
        <f>HYPERLINK("https://amazon.com/dp/B0DZP8NKCB","Amazon - B0DZP8NKCB")</f>
        <v>Amazon - B0DZP8NKCB</v>
      </c>
      <c r="K414" s="14" t="s">
        <v>443</v>
      </c>
      <c r="L414" s="14" t="s">
        <v>461</v>
      </c>
      <c r="M414" s="14" t="s">
        <v>303</v>
      </c>
      <c r="N414" s="14" t="s">
        <v>446</v>
      </c>
      <c r="O414" s="14" t="s">
        <v>517</v>
      </c>
    </row>
    <row r="415" spans="1:15" ht="30" x14ac:dyDescent="0.2">
      <c r="A415" s="2" t="s">
        <v>1363</v>
      </c>
      <c r="B415" s="2" t="s">
        <v>1364</v>
      </c>
      <c r="C415" s="2" t="s">
        <v>66</v>
      </c>
      <c r="D415" s="2" t="s">
        <v>472</v>
      </c>
      <c r="E415" s="4">
        <v>229.68</v>
      </c>
      <c r="F415" s="4">
        <v>2154.3000000000002</v>
      </c>
      <c r="G415" s="3">
        <v>9</v>
      </c>
      <c r="H415" s="6">
        <v>4.2</v>
      </c>
      <c r="I415" s="3">
        <v>8</v>
      </c>
      <c r="J415" s="13" t="str">
        <f>HYPERLINK("https://amazon.com/dp/B0FLJN7FVT","Amazon - B0FLJN7FVT")</f>
        <v>Amazon - B0FLJN7FVT</v>
      </c>
      <c r="K415" s="14" t="s">
        <v>443</v>
      </c>
      <c r="L415" s="14" t="s">
        <v>456</v>
      </c>
      <c r="M415" s="14" t="s">
        <v>866</v>
      </c>
      <c r="N415" s="14" t="s">
        <v>446</v>
      </c>
      <c r="O415" s="14" t="s">
        <v>742</v>
      </c>
    </row>
    <row r="416" spans="1:15" ht="45" x14ac:dyDescent="0.2">
      <c r="A416" s="2" t="s">
        <v>1365</v>
      </c>
      <c r="B416" s="2" t="s">
        <v>1366</v>
      </c>
      <c r="C416" s="2" t="s">
        <v>93</v>
      </c>
      <c r="D416" s="2" t="s">
        <v>450</v>
      </c>
      <c r="E416" s="4">
        <v>19.989999999999998</v>
      </c>
      <c r="F416" s="4">
        <v>2143.4299999999998</v>
      </c>
      <c r="G416" s="3">
        <v>125</v>
      </c>
      <c r="H416" s="6">
        <v>4.3</v>
      </c>
      <c r="I416" s="3">
        <v>380</v>
      </c>
      <c r="J416" s="13" t="str">
        <f>HYPERLINK("https://amazon.com/dp/B0CTTSWBMV","Amazon - B0CTTSWBMV")</f>
        <v>Amazon - B0CTTSWBMV</v>
      </c>
      <c r="K416" s="14" t="s">
        <v>443</v>
      </c>
      <c r="L416" s="14" t="s">
        <v>451</v>
      </c>
      <c r="M416" s="14" t="s">
        <v>303</v>
      </c>
      <c r="N416" s="14" t="s">
        <v>452</v>
      </c>
      <c r="O416" s="14" t="s">
        <v>453</v>
      </c>
    </row>
    <row r="417" spans="1:15" ht="30" x14ac:dyDescent="0.2">
      <c r="A417" s="2" t="s">
        <v>1367</v>
      </c>
      <c r="B417" s="2" t="s">
        <v>1368</v>
      </c>
      <c r="C417" s="2" t="s">
        <v>13</v>
      </c>
      <c r="D417" s="2" t="s">
        <v>472</v>
      </c>
      <c r="E417" s="4">
        <v>379.99</v>
      </c>
      <c r="F417" s="4">
        <v>2139.84</v>
      </c>
      <c r="G417" s="3">
        <v>6</v>
      </c>
      <c r="H417" s="6">
        <v>4.8</v>
      </c>
      <c r="I417" s="3">
        <v>17</v>
      </c>
      <c r="J417" s="13" t="str">
        <f>HYPERLINK("https://amazon.com/dp/B0C3D9GLTK","Amazon - B0C3D9GLTK")</f>
        <v>Amazon - B0C3D9GLTK</v>
      </c>
      <c r="K417" s="14" t="s">
        <v>443</v>
      </c>
      <c r="L417" s="14" t="s">
        <v>667</v>
      </c>
      <c r="M417" s="14" t="s">
        <v>303</v>
      </c>
      <c r="N417" s="14" t="s">
        <v>446</v>
      </c>
      <c r="O417" s="14" t="s">
        <v>517</v>
      </c>
    </row>
    <row r="418" spans="1:15" ht="45" x14ac:dyDescent="0.2">
      <c r="A418" s="2" t="s">
        <v>1369</v>
      </c>
      <c r="B418" s="2" t="s">
        <v>1370</v>
      </c>
      <c r="C418" s="2" t="s">
        <v>17</v>
      </c>
      <c r="D418" s="2" t="s">
        <v>442</v>
      </c>
      <c r="E418" s="4">
        <v>39.979999999999997</v>
      </c>
      <c r="F418" s="4">
        <v>2138.61</v>
      </c>
      <c r="G418" s="3">
        <v>41</v>
      </c>
      <c r="H418" s="6">
        <v>4.4000000000000004</v>
      </c>
      <c r="I418" s="3">
        <v>171</v>
      </c>
      <c r="J418" s="13" t="str">
        <f>HYPERLINK("https://amazon.com/dp/B0CJC8KTBM","Amazon - B0CJC8KTBM")</f>
        <v>Amazon - B0CJC8KTBM</v>
      </c>
      <c r="K418" s="14" t="s">
        <v>443</v>
      </c>
      <c r="L418" s="14" t="s">
        <v>303</v>
      </c>
      <c r="M418" s="14" t="s">
        <v>303</v>
      </c>
      <c r="N418" s="14" t="s">
        <v>452</v>
      </c>
      <c r="O418" s="14" t="s">
        <v>453</v>
      </c>
    </row>
    <row r="419" spans="1:15" ht="45" x14ac:dyDescent="0.2">
      <c r="A419" s="2" t="s">
        <v>1371</v>
      </c>
      <c r="B419" s="2" t="s">
        <v>1372</v>
      </c>
      <c r="C419" s="2" t="s">
        <v>16</v>
      </c>
      <c r="D419" s="2" t="s">
        <v>450</v>
      </c>
      <c r="E419" s="4">
        <v>49.99</v>
      </c>
      <c r="F419" s="4">
        <v>2124.67</v>
      </c>
      <c r="G419" s="3">
        <v>46</v>
      </c>
      <c r="H419" s="6">
        <v>4.4000000000000004</v>
      </c>
      <c r="I419" s="3">
        <v>356</v>
      </c>
      <c r="J419" s="13" t="str">
        <f>HYPERLINK("https://amazon.com/dp/B0FGDC15DP","Amazon - B0FGDC15DP")</f>
        <v>Amazon - B0FGDC15DP</v>
      </c>
      <c r="K419" s="14" t="s">
        <v>443</v>
      </c>
      <c r="L419" s="14" t="s">
        <v>451</v>
      </c>
      <c r="M419" s="14" t="s">
        <v>303</v>
      </c>
      <c r="N419" s="14" t="s">
        <v>446</v>
      </c>
      <c r="O419" s="14" t="s">
        <v>479</v>
      </c>
    </row>
    <row r="420" spans="1:15" ht="45" x14ac:dyDescent="0.2">
      <c r="A420" s="2" t="s">
        <v>1373</v>
      </c>
      <c r="B420" s="2" t="s">
        <v>1374</v>
      </c>
      <c r="C420" s="2" t="s">
        <v>64</v>
      </c>
      <c r="D420" s="2" t="s">
        <v>472</v>
      </c>
      <c r="E420" s="4">
        <v>499.88</v>
      </c>
      <c r="F420" s="4">
        <v>2120.14</v>
      </c>
      <c r="G420" s="3">
        <v>4</v>
      </c>
      <c r="H420" s="6">
        <v>0</v>
      </c>
      <c r="I420" s="3">
        <v>0</v>
      </c>
      <c r="J420" s="13" t="str">
        <f>HYPERLINK("https://amazon.com/dp/B0GK7R95WR","Amazon - B0GK7R95WR")</f>
        <v>Amazon - B0GK7R95WR</v>
      </c>
      <c r="K420" s="14" t="s">
        <v>443</v>
      </c>
      <c r="L420" s="14" t="s">
        <v>502</v>
      </c>
      <c r="M420" s="14" t="s">
        <v>303</v>
      </c>
      <c r="N420" s="14" t="s">
        <v>446</v>
      </c>
      <c r="O420" s="14" t="s">
        <v>517</v>
      </c>
    </row>
    <row r="421" spans="1:15" ht="45" x14ac:dyDescent="0.2">
      <c r="A421" s="2" t="s">
        <v>1375</v>
      </c>
      <c r="B421" s="2" t="s">
        <v>1376</v>
      </c>
      <c r="C421" s="2" t="s">
        <v>67</v>
      </c>
      <c r="D421" s="2" t="s">
        <v>450</v>
      </c>
      <c r="E421" s="4">
        <v>21.47</v>
      </c>
      <c r="F421" s="4">
        <v>2091.41</v>
      </c>
      <c r="G421" s="3">
        <v>97</v>
      </c>
      <c r="H421" s="6">
        <v>4.3</v>
      </c>
      <c r="I421" s="3">
        <v>418</v>
      </c>
      <c r="J421" s="13" t="str">
        <f>HYPERLINK("https://amazon.com/dp/B0D3J7337C","Amazon - B0D3J7337C")</f>
        <v>Amazon - B0D3J7337C</v>
      </c>
      <c r="K421" s="14" t="s">
        <v>443</v>
      </c>
      <c r="L421" s="14" t="s">
        <v>451</v>
      </c>
      <c r="M421" s="14" t="s">
        <v>303</v>
      </c>
      <c r="N421" s="14" t="s">
        <v>452</v>
      </c>
      <c r="O421" s="14" t="s">
        <v>453</v>
      </c>
    </row>
    <row r="422" spans="1:15" ht="45" x14ac:dyDescent="0.2">
      <c r="A422" s="2" t="s">
        <v>1377</v>
      </c>
      <c r="B422" s="2" t="s">
        <v>1378</v>
      </c>
      <c r="C422" s="2" t="s">
        <v>13</v>
      </c>
      <c r="D422" s="2" t="s">
        <v>472</v>
      </c>
      <c r="E422" s="4">
        <v>469.99</v>
      </c>
      <c r="F422" s="4">
        <v>2091.02</v>
      </c>
      <c r="G422" s="3">
        <v>4</v>
      </c>
      <c r="H422" s="6">
        <v>4.3</v>
      </c>
      <c r="I422" s="3">
        <v>521</v>
      </c>
      <c r="J422" s="13" t="str">
        <f>HYPERLINK("https://amazon.com/dp/B0CYGYXDXZ","Amazon - B0CYGYXDXZ")</f>
        <v>Amazon - B0CYGYXDXZ</v>
      </c>
      <c r="K422" s="14" t="s">
        <v>443</v>
      </c>
      <c r="L422" s="14" t="s">
        <v>461</v>
      </c>
      <c r="M422" s="14" t="s">
        <v>303</v>
      </c>
      <c r="N422" s="14" t="s">
        <v>446</v>
      </c>
      <c r="O422" s="14" t="s">
        <v>517</v>
      </c>
    </row>
    <row r="423" spans="1:15" ht="45" x14ac:dyDescent="0.2">
      <c r="A423" s="2" t="s">
        <v>1379</v>
      </c>
      <c r="B423" s="2" t="s">
        <v>1380</v>
      </c>
      <c r="C423" s="2" t="s">
        <v>55</v>
      </c>
      <c r="D423" s="2" t="s">
        <v>472</v>
      </c>
      <c r="E423" s="4">
        <v>899.99</v>
      </c>
      <c r="F423" s="4">
        <v>2074.2800000000002</v>
      </c>
      <c r="G423" s="3">
        <v>2</v>
      </c>
      <c r="H423" s="6">
        <v>4.0999999999999996</v>
      </c>
      <c r="I423" s="3">
        <v>39</v>
      </c>
      <c r="J423" s="13" t="str">
        <f>HYPERLINK("https://amazon.com/dp/B07RRNCV3G","Amazon - B07RRNCV3G")</f>
        <v>Amazon - B07RRNCV3G</v>
      </c>
      <c r="K423" s="14" t="s">
        <v>443</v>
      </c>
      <c r="L423" s="14" t="s">
        <v>502</v>
      </c>
      <c r="M423" s="14" t="s">
        <v>303</v>
      </c>
      <c r="N423" s="14" t="s">
        <v>446</v>
      </c>
      <c r="O423" s="14" t="s">
        <v>517</v>
      </c>
    </row>
    <row r="424" spans="1:15" ht="45" x14ac:dyDescent="0.2">
      <c r="A424" s="2" t="s">
        <v>1381</v>
      </c>
      <c r="B424" s="2" t="s">
        <v>1382</v>
      </c>
      <c r="C424" s="2" t="s">
        <v>55</v>
      </c>
      <c r="D424" s="2" t="s">
        <v>472</v>
      </c>
      <c r="E424" s="4">
        <v>399.99</v>
      </c>
      <c r="F424" s="4">
        <v>2052.8000000000002</v>
      </c>
      <c r="G424" s="3">
        <v>5</v>
      </c>
      <c r="H424" s="6">
        <v>4.0999999999999996</v>
      </c>
      <c r="I424" s="3">
        <v>153</v>
      </c>
      <c r="J424" s="13" t="str">
        <f>HYPERLINK("https://amazon.com/dp/B0FLXR4H4W","Amazon - B0FLXR4H4W")</f>
        <v>Amazon - B0FLXR4H4W</v>
      </c>
      <c r="K424" s="14" t="s">
        <v>443</v>
      </c>
      <c r="L424" s="14" t="s">
        <v>502</v>
      </c>
      <c r="M424" s="14" t="s">
        <v>565</v>
      </c>
      <c r="N424" s="14" t="s">
        <v>446</v>
      </c>
      <c r="O424" s="14" t="s">
        <v>1225</v>
      </c>
    </row>
    <row r="425" spans="1:15" ht="30" x14ac:dyDescent="0.2">
      <c r="A425" s="2" t="s">
        <v>1383</v>
      </c>
      <c r="B425" s="2" t="s">
        <v>1384</v>
      </c>
      <c r="C425" s="2" t="s">
        <v>13</v>
      </c>
      <c r="D425" s="2" t="s">
        <v>472</v>
      </c>
      <c r="E425" s="4">
        <v>369.99</v>
      </c>
      <c r="F425" s="4">
        <v>2047.26</v>
      </c>
      <c r="G425" s="3">
        <v>6</v>
      </c>
      <c r="H425" s="6">
        <v>3.4</v>
      </c>
      <c r="I425" s="3">
        <v>9</v>
      </c>
      <c r="J425" s="13" t="str">
        <f>HYPERLINK("https://amazon.com/dp/B0CWLBH81V","Amazon - B0CWLBH81V")</f>
        <v>Amazon - B0CWLBH81V</v>
      </c>
      <c r="K425" s="14" t="s">
        <v>443</v>
      </c>
      <c r="L425" s="14" t="s">
        <v>502</v>
      </c>
      <c r="M425" s="14" t="s">
        <v>303</v>
      </c>
      <c r="N425" s="14" t="s">
        <v>446</v>
      </c>
      <c r="O425" s="14" t="s">
        <v>517</v>
      </c>
    </row>
    <row r="426" spans="1:15" ht="45" x14ac:dyDescent="0.2">
      <c r="A426" s="2" t="s">
        <v>1385</v>
      </c>
      <c r="B426" s="2" t="s">
        <v>1386</v>
      </c>
      <c r="C426" s="2" t="s">
        <v>55</v>
      </c>
      <c r="D426" s="2" t="s">
        <v>472</v>
      </c>
      <c r="E426" s="4">
        <v>499.99</v>
      </c>
      <c r="F426" s="4">
        <v>2037.55</v>
      </c>
      <c r="G426" s="3">
        <v>4</v>
      </c>
      <c r="H426" s="6">
        <v>4.2</v>
      </c>
      <c r="I426" s="3">
        <v>15</v>
      </c>
      <c r="J426" s="13" t="str">
        <f>HYPERLINK("https://amazon.com/dp/B0C2Z5XR8S","Amazon - B0C2Z5XR8S")</f>
        <v>Amazon - B0C2Z5XR8S</v>
      </c>
      <c r="K426" s="14" t="s">
        <v>443</v>
      </c>
      <c r="L426" s="14" t="s">
        <v>303</v>
      </c>
      <c r="M426" s="14" t="s">
        <v>303</v>
      </c>
      <c r="N426" s="14" t="s">
        <v>446</v>
      </c>
      <c r="O426" s="14" t="s">
        <v>570</v>
      </c>
    </row>
    <row r="427" spans="1:15" ht="30" x14ac:dyDescent="0.2">
      <c r="A427" s="2" t="s">
        <v>1387</v>
      </c>
      <c r="B427" s="2" t="s">
        <v>1388</v>
      </c>
      <c r="C427" s="2" t="s">
        <v>114</v>
      </c>
      <c r="D427" s="2" t="s">
        <v>450</v>
      </c>
      <c r="E427" s="4">
        <v>16.989999999999998</v>
      </c>
      <c r="F427" s="4">
        <v>2036.78</v>
      </c>
      <c r="G427" s="3">
        <v>120</v>
      </c>
      <c r="H427" s="6">
        <v>4.2</v>
      </c>
      <c r="I427" s="3">
        <v>186</v>
      </c>
      <c r="J427" s="13" t="str">
        <f>HYPERLINK("https://amazon.com/dp/B0F3124G5Y","Amazon - B0F3124G5Y")</f>
        <v>Amazon - B0F3124G5Y</v>
      </c>
      <c r="K427" s="14" t="s">
        <v>443</v>
      </c>
      <c r="L427" s="14" t="s">
        <v>451</v>
      </c>
      <c r="M427" s="14" t="s">
        <v>303</v>
      </c>
      <c r="N427" s="14" t="s">
        <v>446</v>
      </c>
      <c r="O427" s="14" t="s">
        <v>453</v>
      </c>
    </row>
    <row r="428" spans="1:15" ht="45" x14ac:dyDescent="0.2">
      <c r="A428" s="2" t="s">
        <v>1389</v>
      </c>
      <c r="B428" s="2" t="s">
        <v>1390</v>
      </c>
      <c r="C428" s="2" t="s">
        <v>13</v>
      </c>
      <c r="D428" s="2" t="s">
        <v>472</v>
      </c>
      <c r="E428" s="4">
        <v>759.99</v>
      </c>
      <c r="F428" s="4">
        <v>2029.48</v>
      </c>
      <c r="G428" s="3">
        <v>3</v>
      </c>
      <c r="H428" s="6">
        <v>4.3</v>
      </c>
      <c r="I428" s="3">
        <v>521</v>
      </c>
      <c r="J428" s="13" t="str">
        <f>HYPERLINK("https://amazon.com/dp/B09HSC4Q8Y","Amazon - B09HSC4Q8Y")</f>
        <v>Amazon - B09HSC4Q8Y</v>
      </c>
      <c r="K428" s="14" t="s">
        <v>443</v>
      </c>
      <c r="L428" s="14" t="s">
        <v>461</v>
      </c>
      <c r="M428" s="14" t="s">
        <v>303</v>
      </c>
      <c r="N428" s="14" t="s">
        <v>446</v>
      </c>
      <c r="O428" s="14" t="s">
        <v>570</v>
      </c>
    </row>
    <row r="429" spans="1:15" ht="45" x14ac:dyDescent="0.2">
      <c r="A429" s="2" t="s">
        <v>1391</v>
      </c>
      <c r="B429" s="2" t="s">
        <v>1392</v>
      </c>
      <c r="C429" s="2" t="s">
        <v>14</v>
      </c>
      <c r="D429" s="2" t="s">
        <v>472</v>
      </c>
      <c r="E429" s="4">
        <v>359.88</v>
      </c>
      <c r="F429" s="4">
        <v>1999.53</v>
      </c>
      <c r="G429" s="3">
        <v>6</v>
      </c>
      <c r="H429" s="6">
        <v>0</v>
      </c>
      <c r="I429" s="3">
        <v>0</v>
      </c>
      <c r="J429" s="13" t="str">
        <f>HYPERLINK("https://amazon.com/dp/B0FSXGP3LF","Amazon - B0FSXGP3LF")</f>
        <v>Amazon - B0FSXGP3LF</v>
      </c>
      <c r="K429" s="14" t="s">
        <v>443</v>
      </c>
      <c r="L429" s="14" t="s">
        <v>667</v>
      </c>
      <c r="M429" s="14" t="s">
        <v>303</v>
      </c>
      <c r="N429" s="14" t="s">
        <v>446</v>
      </c>
      <c r="O429" s="14" t="s">
        <v>517</v>
      </c>
    </row>
    <row r="430" spans="1:15" ht="45" x14ac:dyDescent="0.2">
      <c r="A430" s="2" t="s">
        <v>1393</v>
      </c>
      <c r="B430" s="2" t="s">
        <v>1394</v>
      </c>
      <c r="C430" s="2" t="s">
        <v>13</v>
      </c>
      <c r="D430" s="2" t="s">
        <v>472</v>
      </c>
      <c r="E430" s="4">
        <v>899.99</v>
      </c>
      <c r="F430" s="4">
        <v>1996.17</v>
      </c>
      <c r="G430" s="3">
        <v>2</v>
      </c>
      <c r="H430" s="6">
        <v>5</v>
      </c>
      <c r="I430" s="3">
        <v>1</v>
      </c>
      <c r="J430" s="13" t="str">
        <f>HYPERLINK("https://amazon.com/dp/B0DGCX6G3L","Amazon - B0DGCX6G3L")</f>
        <v>Amazon - B0DGCX6G3L</v>
      </c>
      <c r="K430" s="14" t="s">
        <v>443</v>
      </c>
      <c r="L430" s="14" t="s">
        <v>461</v>
      </c>
      <c r="M430" s="14" t="s">
        <v>303</v>
      </c>
      <c r="N430" s="14" t="s">
        <v>446</v>
      </c>
      <c r="O430" s="14" t="s">
        <v>570</v>
      </c>
    </row>
    <row r="431" spans="1:15" ht="45" x14ac:dyDescent="0.2">
      <c r="A431" s="2" t="s">
        <v>1395</v>
      </c>
      <c r="B431" s="2" t="s">
        <v>1396</v>
      </c>
      <c r="C431" s="2" t="s">
        <v>81</v>
      </c>
      <c r="D431" s="2" t="s">
        <v>472</v>
      </c>
      <c r="E431" s="4">
        <v>640.99</v>
      </c>
      <c r="F431" s="4">
        <v>1985.43</v>
      </c>
      <c r="G431" s="3">
        <v>3</v>
      </c>
      <c r="H431" s="6">
        <v>4.2</v>
      </c>
      <c r="I431" s="3">
        <v>16</v>
      </c>
      <c r="J431" s="13" t="str">
        <f>HYPERLINK("https://amazon.com/dp/B0F2MPZPQP","Amazon - B0F2MPZPQP")</f>
        <v>Amazon - B0F2MPZPQP</v>
      </c>
      <c r="K431" s="14" t="s">
        <v>443</v>
      </c>
      <c r="L431" s="14" t="s">
        <v>764</v>
      </c>
      <c r="M431" s="14" t="s">
        <v>565</v>
      </c>
      <c r="N431" s="14" t="s">
        <v>446</v>
      </c>
      <c r="O431" s="14" t="s">
        <v>517</v>
      </c>
    </row>
    <row r="432" spans="1:15" ht="45" x14ac:dyDescent="0.2">
      <c r="A432" s="2" t="s">
        <v>1397</v>
      </c>
      <c r="B432" s="2" t="s">
        <v>1398</v>
      </c>
      <c r="C432" s="2" t="s">
        <v>29</v>
      </c>
      <c r="D432" s="2" t="s">
        <v>472</v>
      </c>
      <c r="E432" s="4">
        <v>599.99</v>
      </c>
      <c r="F432" s="4">
        <v>1982.41</v>
      </c>
      <c r="G432" s="3">
        <v>3</v>
      </c>
      <c r="H432" s="6">
        <v>5</v>
      </c>
      <c r="I432" s="3">
        <v>1</v>
      </c>
      <c r="J432" s="13" t="str">
        <f>HYPERLINK("https://amazon.com/dp/B0FCMKN9ZB","Amazon - B0FCMKN9ZB")</f>
        <v>Amazon - B0FCMKN9ZB</v>
      </c>
      <c r="K432" s="14" t="s">
        <v>443</v>
      </c>
      <c r="L432" s="14" t="s">
        <v>502</v>
      </c>
      <c r="M432" s="14" t="s">
        <v>565</v>
      </c>
      <c r="N432" s="14" t="s">
        <v>446</v>
      </c>
      <c r="O432" s="14" t="s">
        <v>570</v>
      </c>
    </row>
    <row r="433" spans="1:15" ht="30" x14ac:dyDescent="0.2">
      <c r="A433" s="2" t="s">
        <v>1399</v>
      </c>
      <c r="B433" s="2" t="s">
        <v>1400</v>
      </c>
      <c r="C433" s="2" t="s">
        <v>13</v>
      </c>
      <c r="D433" s="2" t="s">
        <v>472</v>
      </c>
      <c r="E433" s="4">
        <v>799.99</v>
      </c>
      <c r="F433" s="4">
        <v>1976.06</v>
      </c>
      <c r="G433" s="3">
        <v>2</v>
      </c>
      <c r="H433" s="6">
        <v>5</v>
      </c>
      <c r="I433" s="3">
        <v>1</v>
      </c>
      <c r="J433" s="13" t="str">
        <f>HYPERLINK("https://amazon.com/dp/B0CQK1GSHP","Amazon - B0CQK1GSHP")</f>
        <v>Amazon - B0CQK1GSHP</v>
      </c>
      <c r="K433" s="14" t="s">
        <v>443</v>
      </c>
      <c r="L433" s="14" t="s">
        <v>303</v>
      </c>
      <c r="M433" s="14" t="s">
        <v>303</v>
      </c>
      <c r="N433" s="14" t="s">
        <v>446</v>
      </c>
      <c r="O433" s="14" t="s">
        <v>517</v>
      </c>
    </row>
    <row r="434" spans="1:15" ht="30" x14ac:dyDescent="0.2">
      <c r="A434" s="2" t="s">
        <v>1401</v>
      </c>
      <c r="B434" s="2" t="s">
        <v>1402</v>
      </c>
      <c r="C434" s="2" t="s">
        <v>13</v>
      </c>
      <c r="D434" s="2" t="s">
        <v>472</v>
      </c>
      <c r="E434" s="4">
        <v>299.99</v>
      </c>
      <c r="F434" s="4">
        <v>1969.87</v>
      </c>
      <c r="G434" s="3">
        <v>6</v>
      </c>
      <c r="H434" s="6">
        <v>5</v>
      </c>
      <c r="I434" s="3">
        <v>1</v>
      </c>
      <c r="J434" s="13" t="str">
        <f>HYPERLINK("https://amazon.com/dp/B0CYL6LHWC","Amazon - B0CYL6LHWC")</f>
        <v>Amazon - B0CYL6LHWC</v>
      </c>
      <c r="K434" s="14" t="s">
        <v>443</v>
      </c>
      <c r="L434" s="14" t="s">
        <v>303</v>
      </c>
      <c r="M434" s="14" t="s">
        <v>303</v>
      </c>
      <c r="N434" s="14" t="s">
        <v>446</v>
      </c>
      <c r="O434" s="14" t="s">
        <v>303</v>
      </c>
    </row>
    <row r="435" spans="1:15" ht="45" x14ac:dyDescent="0.2">
      <c r="A435" s="2" t="s">
        <v>1403</v>
      </c>
      <c r="B435" s="2" t="s">
        <v>1404</v>
      </c>
      <c r="C435" s="2" t="s">
        <v>97</v>
      </c>
      <c r="D435" s="2" t="s">
        <v>442</v>
      </c>
      <c r="E435" s="4">
        <v>478</v>
      </c>
      <c r="F435" s="4">
        <v>1968.74</v>
      </c>
      <c r="G435" s="3">
        <v>4</v>
      </c>
      <c r="H435" s="6">
        <v>2</v>
      </c>
      <c r="I435" s="3">
        <v>1</v>
      </c>
      <c r="J435" s="13" t="str">
        <f>HYPERLINK("https://amazon.com/dp/B0F2DXHV3Q","Amazon - B0F2DXHV3Q")</f>
        <v>Amazon - B0F2DXHV3Q</v>
      </c>
      <c r="K435" s="14" t="s">
        <v>443</v>
      </c>
      <c r="L435" s="14" t="s">
        <v>461</v>
      </c>
      <c r="M435" s="14" t="s">
        <v>303</v>
      </c>
      <c r="N435" s="14" t="s">
        <v>446</v>
      </c>
      <c r="O435" s="14" t="s">
        <v>303</v>
      </c>
    </row>
    <row r="436" spans="1:15" ht="45" x14ac:dyDescent="0.2">
      <c r="A436" s="2" t="s">
        <v>1405</v>
      </c>
      <c r="B436" s="2" t="s">
        <v>1406</v>
      </c>
      <c r="C436" s="2" t="s">
        <v>51</v>
      </c>
      <c r="D436" s="2" t="s">
        <v>450</v>
      </c>
      <c r="E436" s="4">
        <v>899.98</v>
      </c>
      <c r="F436" s="4">
        <v>1962.64</v>
      </c>
      <c r="G436" s="3">
        <v>2</v>
      </c>
      <c r="H436" s="6">
        <v>0</v>
      </c>
      <c r="I436" s="3">
        <v>0</v>
      </c>
      <c r="J436" s="13" t="str">
        <f>HYPERLINK("https://amazon.com/dp/B0C7LWWYZ5","Amazon - B0C7LWWYZ5")</f>
        <v>Amazon - B0C7LWWYZ5</v>
      </c>
      <c r="K436" s="14" t="s">
        <v>482</v>
      </c>
      <c r="L436" s="14" t="s">
        <v>451</v>
      </c>
      <c r="M436" s="14" t="s">
        <v>511</v>
      </c>
      <c r="N436" s="14" t="s">
        <v>446</v>
      </c>
      <c r="O436" s="14" t="s">
        <v>543</v>
      </c>
    </row>
    <row r="437" spans="1:15" ht="45" x14ac:dyDescent="0.2">
      <c r="A437" s="2" t="s">
        <v>1407</v>
      </c>
      <c r="B437" s="2" t="s">
        <v>1408</v>
      </c>
      <c r="C437" s="2" t="s">
        <v>13</v>
      </c>
      <c r="D437" s="2" t="s">
        <v>472</v>
      </c>
      <c r="E437" s="4">
        <v>799.99</v>
      </c>
      <c r="F437" s="4">
        <v>1961.93</v>
      </c>
      <c r="G437" s="3">
        <v>2</v>
      </c>
      <c r="H437" s="6">
        <v>4.3</v>
      </c>
      <c r="I437" s="3">
        <v>89</v>
      </c>
      <c r="J437" s="13" t="str">
        <f>HYPERLINK("https://amazon.com/dp/B0DQH18QGD","Amazon - B0DQH18QGD")</f>
        <v>Amazon - B0DQH18QGD</v>
      </c>
      <c r="K437" s="14" t="s">
        <v>443</v>
      </c>
      <c r="L437" s="14" t="s">
        <v>502</v>
      </c>
      <c r="M437" s="14" t="s">
        <v>565</v>
      </c>
      <c r="N437" s="14" t="s">
        <v>446</v>
      </c>
      <c r="O437" s="14" t="s">
        <v>504</v>
      </c>
    </row>
    <row r="438" spans="1:15" ht="45" x14ac:dyDescent="0.2">
      <c r="A438" s="2" t="s">
        <v>1409</v>
      </c>
      <c r="B438" s="2" t="s">
        <v>1410</v>
      </c>
      <c r="C438" s="2" t="s">
        <v>57</v>
      </c>
      <c r="D438" s="2" t="s">
        <v>472</v>
      </c>
      <c r="E438" s="4">
        <v>299.99</v>
      </c>
      <c r="F438" s="4">
        <v>1953.08</v>
      </c>
      <c r="G438" s="3">
        <v>7</v>
      </c>
      <c r="H438" s="6">
        <v>4.2</v>
      </c>
      <c r="I438" s="3">
        <v>20</v>
      </c>
      <c r="J438" s="13" t="str">
        <f>HYPERLINK("https://amazon.com/dp/B0DKJ73NT4","Amazon - B0DKJ73NT4")</f>
        <v>Amazon - B0DKJ73NT4</v>
      </c>
      <c r="K438" s="14" t="s">
        <v>443</v>
      </c>
      <c r="L438" s="14" t="s">
        <v>667</v>
      </c>
      <c r="M438" s="14" t="s">
        <v>303</v>
      </c>
      <c r="N438" s="14" t="s">
        <v>446</v>
      </c>
      <c r="O438" s="14" t="s">
        <v>809</v>
      </c>
    </row>
    <row r="439" spans="1:15" ht="30" x14ac:dyDescent="0.2">
      <c r="A439" s="2" t="s">
        <v>1411</v>
      </c>
      <c r="B439" s="2" t="s">
        <v>1412</v>
      </c>
      <c r="C439" s="2" t="s">
        <v>51</v>
      </c>
      <c r="D439" s="2" t="s">
        <v>450</v>
      </c>
      <c r="E439" s="4">
        <v>149.97999999999999</v>
      </c>
      <c r="F439" s="4">
        <v>1950.58</v>
      </c>
      <c r="G439" s="3">
        <v>13</v>
      </c>
      <c r="H439" s="6">
        <v>3.9</v>
      </c>
      <c r="I439" s="3">
        <v>5</v>
      </c>
      <c r="J439" s="13" t="str">
        <f>HYPERLINK("https://amazon.com/dp/B0D6L54LZG","Amazon - B0D6L54LZG")</f>
        <v>Amazon - B0D6L54LZG</v>
      </c>
      <c r="K439" s="14" t="s">
        <v>443</v>
      </c>
      <c r="L439" s="14" t="s">
        <v>451</v>
      </c>
      <c r="M439" s="14" t="s">
        <v>445</v>
      </c>
      <c r="N439" s="14" t="s">
        <v>446</v>
      </c>
      <c r="O439" s="14" t="s">
        <v>303</v>
      </c>
    </row>
    <row r="440" spans="1:15" ht="45" x14ac:dyDescent="0.2">
      <c r="A440" s="2" t="s">
        <v>1413</v>
      </c>
      <c r="B440" s="2" t="s">
        <v>1414</v>
      </c>
      <c r="C440" s="2" t="s">
        <v>8</v>
      </c>
      <c r="D440" s="2" t="s">
        <v>442</v>
      </c>
      <c r="E440" s="4">
        <v>149.99</v>
      </c>
      <c r="F440" s="4">
        <v>1949.85</v>
      </c>
      <c r="G440" s="3">
        <v>13</v>
      </c>
      <c r="H440" s="6">
        <v>4.7</v>
      </c>
      <c r="I440" s="3">
        <v>19</v>
      </c>
      <c r="J440" s="13" t="str">
        <f>HYPERLINK("https://amazon.com/dp/B0GKLTBHH3","Amazon - B0GKLTBHH3")</f>
        <v>Amazon - B0GKLTBHH3</v>
      </c>
      <c r="K440" s="14" t="s">
        <v>443</v>
      </c>
      <c r="L440" s="14" t="s">
        <v>303</v>
      </c>
      <c r="M440" s="14" t="s">
        <v>535</v>
      </c>
      <c r="N440" s="14" t="s">
        <v>446</v>
      </c>
      <c r="O440" s="14" t="s">
        <v>487</v>
      </c>
    </row>
    <row r="441" spans="1:15" ht="45" x14ac:dyDescent="0.2">
      <c r="A441" s="2" t="s">
        <v>1415</v>
      </c>
      <c r="B441" s="2" t="s">
        <v>1416</v>
      </c>
      <c r="C441" s="2" t="s">
        <v>28</v>
      </c>
      <c r="D441" s="2" t="s">
        <v>472</v>
      </c>
      <c r="E441" s="4">
        <v>69.989999999999995</v>
      </c>
      <c r="F441" s="4">
        <v>1933.42</v>
      </c>
      <c r="G441" s="3">
        <v>28</v>
      </c>
      <c r="H441" s="6">
        <v>4</v>
      </c>
      <c r="I441" s="3">
        <v>334</v>
      </c>
      <c r="J441" s="13" t="str">
        <f>HYPERLINK("https://amazon.com/dp/B0FC28BL5R","Amazon - B0FC28BL5R")</f>
        <v>Amazon - B0FC28BL5R</v>
      </c>
      <c r="K441" s="14" t="s">
        <v>443</v>
      </c>
      <c r="L441" s="14" t="s">
        <v>667</v>
      </c>
      <c r="M441" s="14" t="s">
        <v>445</v>
      </c>
      <c r="N441" s="14" t="s">
        <v>473</v>
      </c>
      <c r="O441" s="14" t="s">
        <v>453</v>
      </c>
    </row>
    <row r="442" spans="1:15" ht="45" x14ac:dyDescent="0.2">
      <c r="A442" s="2" t="s">
        <v>1417</v>
      </c>
      <c r="B442" s="2" t="s">
        <v>1418</v>
      </c>
      <c r="C442" s="2" t="s">
        <v>23</v>
      </c>
      <c r="D442" s="2" t="s">
        <v>472</v>
      </c>
      <c r="E442" s="4">
        <v>380</v>
      </c>
      <c r="F442" s="4">
        <v>1933.17</v>
      </c>
      <c r="G442" s="3">
        <v>5</v>
      </c>
      <c r="H442" s="6">
        <v>4.0999999999999996</v>
      </c>
      <c r="I442" s="3">
        <v>61</v>
      </c>
      <c r="J442" s="13" t="str">
        <f>HYPERLINK("https://amazon.com/dp/B0F6NRMP3B","Amazon - B0F6NRMP3B")</f>
        <v>Amazon - B0F6NRMP3B</v>
      </c>
      <c r="K442" s="14" t="s">
        <v>443</v>
      </c>
      <c r="L442" s="14" t="s">
        <v>461</v>
      </c>
      <c r="M442" s="14" t="s">
        <v>688</v>
      </c>
      <c r="N442" s="14" t="s">
        <v>446</v>
      </c>
      <c r="O442" s="14" t="s">
        <v>725</v>
      </c>
    </row>
    <row r="443" spans="1:15" ht="45" x14ac:dyDescent="0.2">
      <c r="A443" s="2" t="s">
        <v>1419</v>
      </c>
      <c r="B443" s="2" t="s">
        <v>1420</v>
      </c>
      <c r="C443" s="2" t="s">
        <v>23</v>
      </c>
      <c r="D443" s="2" t="s">
        <v>472</v>
      </c>
      <c r="E443" s="4">
        <v>441.75</v>
      </c>
      <c r="F443" s="4">
        <v>1913.13</v>
      </c>
      <c r="G443" s="3">
        <v>4</v>
      </c>
      <c r="H443" s="6">
        <v>4.4000000000000004</v>
      </c>
      <c r="I443" s="3">
        <v>5</v>
      </c>
      <c r="J443" s="13" t="str">
        <f>HYPERLINK("https://amazon.com/dp/B0CS68VYN9","Amazon - B0CS68VYN9")</f>
        <v>Amazon - B0CS68VYN9</v>
      </c>
      <c r="K443" s="14" t="s">
        <v>443</v>
      </c>
      <c r="L443" s="14" t="s">
        <v>461</v>
      </c>
      <c r="M443" s="14" t="s">
        <v>503</v>
      </c>
      <c r="N443" s="14" t="s">
        <v>446</v>
      </c>
      <c r="O443" s="14" t="s">
        <v>856</v>
      </c>
    </row>
    <row r="444" spans="1:15" ht="45" x14ac:dyDescent="0.2">
      <c r="A444" s="2" t="s">
        <v>1421</v>
      </c>
      <c r="B444" s="2" t="s">
        <v>1422</v>
      </c>
      <c r="C444" s="2" t="s">
        <v>23</v>
      </c>
      <c r="D444" s="2" t="s">
        <v>472</v>
      </c>
      <c r="E444" s="4">
        <v>399</v>
      </c>
      <c r="F444" s="4">
        <v>1911.27</v>
      </c>
      <c r="G444" s="3">
        <v>5</v>
      </c>
      <c r="H444" s="6">
        <v>2.6</v>
      </c>
      <c r="I444" s="3">
        <v>4</v>
      </c>
      <c r="J444" s="13" t="str">
        <f>HYPERLINK("https://amazon.com/dp/B0D2HVFB6Y","Amazon - B0D2HVFB6Y")</f>
        <v>Amazon - B0D2HVFB6Y</v>
      </c>
      <c r="K444" s="14" t="s">
        <v>443</v>
      </c>
      <c r="L444" s="14" t="s">
        <v>461</v>
      </c>
      <c r="M444" s="14" t="s">
        <v>503</v>
      </c>
      <c r="N444" s="14" t="s">
        <v>446</v>
      </c>
      <c r="O444" s="14" t="s">
        <v>517</v>
      </c>
    </row>
    <row r="445" spans="1:15" ht="30" x14ac:dyDescent="0.2">
      <c r="A445" s="2" t="s">
        <v>1423</v>
      </c>
      <c r="B445" s="2" t="s">
        <v>1424</v>
      </c>
      <c r="C445" s="2" t="s">
        <v>68</v>
      </c>
      <c r="D445" s="2" t="s">
        <v>472</v>
      </c>
      <c r="E445" s="4">
        <v>103.98</v>
      </c>
      <c r="F445" s="4">
        <v>1910.86</v>
      </c>
      <c r="G445" s="3">
        <v>18</v>
      </c>
      <c r="H445" s="6">
        <v>4.0999999999999996</v>
      </c>
      <c r="I445" s="3">
        <v>57</v>
      </c>
      <c r="J445" s="13" t="str">
        <f>HYPERLINK("https://amazon.com/dp/B0DGLLDJSD","Amazon - B0DGLLDJSD")</f>
        <v>Amazon - B0DGLLDJSD</v>
      </c>
      <c r="K445" s="14" t="s">
        <v>443</v>
      </c>
      <c r="L445" s="14" t="s">
        <v>461</v>
      </c>
      <c r="M445" s="14" t="s">
        <v>303</v>
      </c>
      <c r="N445" s="14" t="s">
        <v>473</v>
      </c>
      <c r="O445" s="14" t="s">
        <v>479</v>
      </c>
    </row>
    <row r="446" spans="1:15" ht="45" x14ac:dyDescent="0.2">
      <c r="A446" s="2" t="s">
        <v>1425</v>
      </c>
      <c r="B446" s="2" t="s">
        <v>1426</v>
      </c>
      <c r="C446" s="2" t="s">
        <v>34</v>
      </c>
      <c r="D446" s="2" t="s">
        <v>450</v>
      </c>
      <c r="E446" s="4">
        <v>33.99</v>
      </c>
      <c r="F446" s="4">
        <v>1910.37</v>
      </c>
      <c r="G446" s="3">
        <v>56</v>
      </c>
      <c r="H446" s="6">
        <v>4.2</v>
      </c>
      <c r="I446" s="3">
        <v>632</v>
      </c>
      <c r="J446" s="13" t="str">
        <f>HYPERLINK("https://amazon.com/dp/B0FZGW1HM5","Amazon - B0FZGW1HM5")</f>
        <v>Amazon - B0FZGW1HM5</v>
      </c>
      <c r="K446" s="14" t="s">
        <v>443</v>
      </c>
      <c r="L446" s="14" t="s">
        <v>451</v>
      </c>
      <c r="M446" s="14" t="s">
        <v>303</v>
      </c>
      <c r="N446" s="14" t="s">
        <v>452</v>
      </c>
      <c r="O446" s="14" t="s">
        <v>608</v>
      </c>
    </row>
    <row r="447" spans="1:15" ht="45" x14ac:dyDescent="0.2">
      <c r="A447" s="2" t="s">
        <v>1427</v>
      </c>
      <c r="B447" s="2" t="s">
        <v>1428</v>
      </c>
      <c r="C447" s="2" t="s">
        <v>96</v>
      </c>
      <c r="D447" s="2" t="s">
        <v>442</v>
      </c>
      <c r="E447" s="4">
        <v>79.989999999999995</v>
      </c>
      <c r="F447" s="4">
        <v>1906.15</v>
      </c>
      <c r="G447" s="3">
        <v>24</v>
      </c>
      <c r="H447" s="6">
        <v>4</v>
      </c>
      <c r="I447" s="3">
        <v>36</v>
      </c>
      <c r="J447" s="13" t="str">
        <f>HYPERLINK("https://amazon.com/dp/B0FH6LPBYH","Amazon - B0FH6LPBYH")</f>
        <v>Amazon - B0FH6LPBYH</v>
      </c>
      <c r="K447" s="14" t="s">
        <v>443</v>
      </c>
      <c r="L447" s="14" t="s">
        <v>461</v>
      </c>
      <c r="M447" s="14" t="s">
        <v>484</v>
      </c>
      <c r="N447" s="14" t="s">
        <v>446</v>
      </c>
      <c r="O447" s="14" t="s">
        <v>447</v>
      </c>
    </row>
    <row r="448" spans="1:15" ht="45" x14ac:dyDescent="0.2">
      <c r="A448" s="2" t="s">
        <v>1429</v>
      </c>
      <c r="B448" s="2" t="s">
        <v>1430</v>
      </c>
      <c r="C448" s="2" t="s">
        <v>55</v>
      </c>
      <c r="D448" s="2" t="s">
        <v>472</v>
      </c>
      <c r="E448" s="4">
        <v>499.99</v>
      </c>
      <c r="F448" s="4">
        <v>1906.08</v>
      </c>
      <c r="G448" s="3">
        <v>5</v>
      </c>
      <c r="H448" s="6">
        <v>3.5</v>
      </c>
      <c r="I448" s="3">
        <v>3</v>
      </c>
      <c r="J448" s="13" t="str">
        <f>HYPERLINK("https://amazon.com/dp/B0FLXTG78F","Amazon - B0FLXTG78F")</f>
        <v>Amazon - B0FLXTG78F</v>
      </c>
      <c r="K448" s="14" t="s">
        <v>443</v>
      </c>
      <c r="L448" s="14" t="s">
        <v>502</v>
      </c>
      <c r="M448" s="14" t="s">
        <v>565</v>
      </c>
      <c r="N448" s="14" t="s">
        <v>446</v>
      </c>
      <c r="O448" s="14" t="s">
        <v>517</v>
      </c>
    </row>
    <row r="449" spans="1:15" ht="45" x14ac:dyDescent="0.2">
      <c r="A449" s="2" t="s">
        <v>1431</v>
      </c>
      <c r="B449" s="2" t="s">
        <v>1432</v>
      </c>
      <c r="C449" s="2" t="s">
        <v>74</v>
      </c>
      <c r="D449" s="2" t="s">
        <v>442</v>
      </c>
      <c r="E449" s="4">
        <v>29.99</v>
      </c>
      <c r="F449" s="4">
        <v>1899.96</v>
      </c>
      <c r="G449" s="3">
        <v>63</v>
      </c>
      <c r="H449" s="6">
        <v>4.2</v>
      </c>
      <c r="I449" s="3">
        <v>189</v>
      </c>
      <c r="J449" s="13" t="str">
        <f>HYPERLINK("https://amazon.com/dp/B0D8B5ZKFQ","Amazon - B0D8B5ZKFQ")</f>
        <v>Amazon - B0D8B5ZKFQ</v>
      </c>
      <c r="K449" s="14" t="s">
        <v>443</v>
      </c>
      <c r="L449" s="14" t="s">
        <v>303</v>
      </c>
      <c r="M449" s="14" t="s">
        <v>303</v>
      </c>
      <c r="N449" s="14" t="s">
        <v>446</v>
      </c>
      <c r="O449" s="14" t="s">
        <v>453</v>
      </c>
    </row>
    <row r="450" spans="1:15" ht="45" x14ac:dyDescent="0.2">
      <c r="A450" s="2" t="s">
        <v>1433</v>
      </c>
      <c r="B450" s="2" t="s">
        <v>1434</v>
      </c>
      <c r="C450" s="2" t="s">
        <v>15</v>
      </c>
      <c r="D450" s="2" t="s">
        <v>442</v>
      </c>
      <c r="E450" s="4">
        <v>108</v>
      </c>
      <c r="F450" s="4">
        <v>1895.31</v>
      </c>
      <c r="G450" s="3">
        <v>17</v>
      </c>
      <c r="H450" s="6">
        <v>4.5</v>
      </c>
      <c r="I450" s="3">
        <v>8</v>
      </c>
      <c r="J450" s="13" t="str">
        <f>HYPERLINK("https://amazon.com/dp/B0FX4FQC6Y","Amazon - B0FX4FQC6Y")</f>
        <v>Amazon - B0FX4FQC6Y</v>
      </c>
      <c r="K450" s="14" t="s">
        <v>443</v>
      </c>
      <c r="L450" s="14" t="s">
        <v>456</v>
      </c>
      <c r="M450" s="14" t="s">
        <v>577</v>
      </c>
      <c r="N450" s="14" t="s">
        <v>452</v>
      </c>
      <c r="O450" s="14" t="s">
        <v>447</v>
      </c>
    </row>
    <row r="451" spans="1:15" ht="45" x14ac:dyDescent="0.2">
      <c r="A451" s="2" t="s">
        <v>1435</v>
      </c>
      <c r="B451" s="2" t="s">
        <v>1436</v>
      </c>
      <c r="C451" s="2" t="s">
        <v>24</v>
      </c>
      <c r="D451" s="2" t="s">
        <v>823</v>
      </c>
      <c r="E451" s="4">
        <v>21.99</v>
      </c>
      <c r="F451" s="4">
        <v>1887</v>
      </c>
      <c r="G451" s="3">
        <v>86</v>
      </c>
      <c r="H451" s="6">
        <v>4.7</v>
      </c>
      <c r="I451" s="3">
        <v>134</v>
      </c>
      <c r="J451" s="13" t="str">
        <f>HYPERLINK("https://amazon.com/dp/B08RHKYK1C","Amazon - B08RHKYK1C")</f>
        <v>Amazon - B08RHKYK1C</v>
      </c>
      <c r="K451" s="14" t="s">
        <v>443</v>
      </c>
      <c r="L451" s="14" t="s">
        <v>456</v>
      </c>
      <c r="M451" s="14" t="s">
        <v>303</v>
      </c>
      <c r="N451" s="14" t="s">
        <v>446</v>
      </c>
      <c r="O451" s="14" t="s">
        <v>608</v>
      </c>
    </row>
    <row r="452" spans="1:15" ht="45" x14ac:dyDescent="0.2">
      <c r="A452" s="2" t="s">
        <v>1437</v>
      </c>
      <c r="B452" s="2" t="s">
        <v>1438</v>
      </c>
      <c r="C452" s="2" t="s">
        <v>93</v>
      </c>
      <c r="D452" s="2" t="s">
        <v>472</v>
      </c>
      <c r="E452" s="4">
        <v>21.59</v>
      </c>
      <c r="F452" s="4">
        <v>1885.46</v>
      </c>
      <c r="G452" s="3">
        <v>79</v>
      </c>
      <c r="H452" s="6">
        <v>4.4000000000000004</v>
      </c>
      <c r="I452" s="3">
        <v>64</v>
      </c>
      <c r="J452" s="13" t="str">
        <f>HYPERLINK("https://amazon.com/dp/B0FJ2QDNG9","Amazon - B0FJ2QDNG9")</f>
        <v>Amazon - B0FJ2QDNG9</v>
      </c>
      <c r="K452" s="14" t="s">
        <v>443</v>
      </c>
      <c r="L452" s="14" t="s">
        <v>456</v>
      </c>
      <c r="M452" s="14" t="s">
        <v>303</v>
      </c>
      <c r="N452" s="14" t="s">
        <v>446</v>
      </c>
      <c r="O452" s="14" t="s">
        <v>453</v>
      </c>
    </row>
    <row r="453" spans="1:15" ht="45" x14ac:dyDescent="0.2">
      <c r="A453" s="2" t="s">
        <v>1439</v>
      </c>
      <c r="B453" s="2" t="s">
        <v>1440</v>
      </c>
      <c r="C453" s="2" t="s">
        <v>13</v>
      </c>
      <c r="D453" s="2" t="s">
        <v>472</v>
      </c>
      <c r="E453" s="4">
        <v>999.99</v>
      </c>
      <c r="F453" s="4">
        <v>1865.64</v>
      </c>
      <c r="G453" s="3">
        <v>2</v>
      </c>
      <c r="H453" s="6">
        <v>4.5999999999999996</v>
      </c>
      <c r="I453" s="3">
        <v>3</v>
      </c>
      <c r="J453" s="13" t="str">
        <f>HYPERLINK("https://amazon.com/dp/B0DSG3KJY1","Amazon - B0DSG3KJY1")</f>
        <v>Amazon - B0DSG3KJY1</v>
      </c>
      <c r="K453" s="14" t="s">
        <v>443</v>
      </c>
      <c r="L453" s="14" t="s">
        <v>502</v>
      </c>
      <c r="M453" s="14" t="s">
        <v>565</v>
      </c>
      <c r="N453" s="14" t="s">
        <v>446</v>
      </c>
      <c r="O453" s="14" t="s">
        <v>856</v>
      </c>
    </row>
    <row r="454" spans="1:15" ht="45" x14ac:dyDescent="0.2">
      <c r="A454" s="2" t="s">
        <v>1441</v>
      </c>
      <c r="B454" s="2" t="s">
        <v>1442</v>
      </c>
      <c r="C454" s="2" t="s">
        <v>15</v>
      </c>
      <c r="D454" s="2" t="s">
        <v>450</v>
      </c>
      <c r="E454" s="4">
        <v>109.99</v>
      </c>
      <c r="F454" s="4">
        <v>1863.32</v>
      </c>
      <c r="G454" s="3">
        <v>17</v>
      </c>
      <c r="H454" s="6">
        <v>5</v>
      </c>
      <c r="I454" s="3">
        <v>3</v>
      </c>
      <c r="J454" s="13" t="str">
        <f>HYPERLINK("https://amazon.com/dp/B0F5W6HJF8","Amazon - B0F5W6HJF8")</f>
        <v>Amazon - B0F5W6HJF8</v>
      </c>
      <c r="K454" s="14" t="s">
        <v>443</v>
      </c>
      <c r="L454" s="14" t="s">
        <v>451</v>
      </c>
      <c r="M454" s="14" t="s">
        <v>462</v>
      </c>
      <c r="N454" s="14" t="s">
        <v>446</v>
      </c>
      <c r="O454" s="14" t="s">
        <v>447</v>
      </c>
    </row>
    <row r="455" spans="1:15" ht="30" x14ac:dyDescent="0.2">
      <c r="A455" s="2" t="s">
        <v>1443</v>
      </c>
      <c r="B455" s="2" t="s">
        <v>1444</v>
      </c>
      <c r="C455" s="2" t="s">
        <v>23</v>
      </c>
      <c r="D455" s="2" t="s">
        <v>472</v>
      </c>
      <c r="E455" s="4">
        <v>124.99</v>
      </c>
      <c r="F455" s="4">
        <v>1860.91</v>
      </c>
      <c r="G455" s="3">
        <v>15</v>
      </c>
      <c r="H455" s="6">
        <v>1.8</v>
      </c>
      <c r="I455" s="3">
        <v>7</v>
      </c>
      <c r="J455" s="13" t="str">
        <f>HYPERLINK("https://amazon.com/dp/B0D63F96LB","Amazon - B0D63F96LB")</f>
        <v>Amazon - B0D63F96LB</v>
      </c>
      <c r="K455" s="14" t="s">
        <v>443</v>
      </c>
      <c r="L455" s="14" t="s">
        <v>502</v>
      </c>
      <c r="M455" s="14" t="s">
        <v>303</v>
      </c>
      <c r="N455" s="14" t="s">
        <v>446</v>
      </c>
      <c r="O455" s="14" t="s">
        <v>303</v>
      </c>
    </row>
    <row r="456" spans="1:15" ht="45" x14ac:dyDescent="0.2">
      <c r="A456" s="2" t="s">
        <v>1445</v>
      </c>
      <c r="B456" s="2" t="s">
        <v>1446</v>
      </c>
      <c r="C456" s="2" t="s">
        <v>66</v>
      </c>
      <c r="D456" s="2" t="s">
        <v>472</v>
      </c>
      <c r="E456" s="4">
        <v>239.95</v>
      </c>
      <c r="F456" s="4">
        <v>1860.68</v>
      </c>
      <c r="G456" s="3">
        <v>7</v>
      </c>
      <c r="H456" s="6">
        <v>4.2</v>
      </c>
      <c r="I456" s="3">
        <v>8</v>
      </c>
      <c r="J456" s="13" t="str">
        <f>HYPERLINK("https://amazon.com/dp/B0FLDQ4P5J","Amazon - B0FLDQ4P5J")</f>
        <v>Amazon - B0FLDQ4P5J</v>
      </c>
      <c r="K456" s="14" t="s">
        <v>443</v>
      </c>
      <c r="L456" s="14" t="s">
        <v>456</v>
      </c>
      <c r="M456" s="14" t="s">
        <v>866</v>
      </c>
      <c r="N456" s="14" t="s">
        <v>446</v>
      </c>
      <c r="O456" s="14" t="s">
        <v>517</v>
      </c>
    </row>
    <row r="457" spans="1:15" ht="30" x14ac:dyDescent="0.2">
      <c r="A457" s="2" t="s">
        <v>1447</v>
      </c>
      <c r="B457" s="2" t="s">
        <v>1448</v>
      </c>
      <c r="C457" s="2" t="s">
        <v>120</v>
      </c>
      <c r="D457" s="2" t="s">
        <v>472</v>
      </c>
      <c r="E457" s="4">
        <v>29.99</v>
      </c>
      <c r="F457" s="4">
        <v>1860.29</v>
      </c>
      <c r="G457" s="3">
        <v>62</v>
      </c>
      <c r="H457" s="6">
        <v>4</v>
      </c>
      <c r="I457" s="3">
        <v>17</v>
      </c>
      <c r="J457" s="13" t="str">
        <f>HYPERLINK("https://amazon.com/dp/B0F5HCGPSJ","Amazon - B0F5HCGPSJ")</f>
        <v>Amazon - B0F5HCGPSJ</v>
      </c>
      <c r="K457" s="14" t="s">
        <v>443</v>
      </c>
      <c r="L457" s="14" t="s">
        <v>456</v>
      </c>
      <c r="M457" s="14" t="s">
        <v>303</v>
      </c>
      <c r="N457" s="14" t="s">
        <v>446</v>
      </c>
      <c r="O457" s="14" t="s">
        <v>608</v>
      </c>
    </row>
    <row r="458" spans="1:15" ht="45" x14ac:dyDescent="0.2">
      <c r="A458" s="2" t="s">
        <v>1449</v>
      </c>
      <c r="B458" s="2" t="s">
        <v>1450</v>
      </c>
      <c r="C458" s="2" t="s">
        <v>88</v>
      </c>
      <c r="D458" s="2" t="s">
        <v>450</v>
      </c>
      <c r="E458" s="4">
        <v>69.959999999999994</v>
      </c>
      <c r="F458" s="4">
        <v>1852.42</v>
      </c>
      <c r="G458" s="3">
        <v>26</v>
      </c>
      <c r="H458" s="6">
        <v>5</v>
      </c>
      <c r="I458" s="3">
        <v>3</v>
      </c>
      <c r="J458" s="13" t="str">
        <f>HYPERLINK("https://amazon.com/dp/B0D2H2C95S","Amazon - B0D2H2C95S")</f>
        <v>Amazon - B0D2H2C95S</v>
      </c>
      <c r="K458" s="14" t="s">
        <v>443</v>
      </c>
      <c r="L458" s="14" t="s">
        <v>451</v>
      </c>
      <c r="M458" s="14" t="s">
        <v>577</v>
      </c>
      <c r="N458" s="14" t="s">
        <v>446</v>
      </c>
      <c r="O458" s="14" t="s">
        <v>543</v>
      </c>
    </row>
    <row r="459" spans="1:15" ht="45" x14ac:dyDescent="0.2">
      <c r="A459" s="2" t="s">
        <v>1451</v>
      </c>
      <c r="B459" s="2" t="s">
        <v>1452</v>
      </c>
      <c r="C459" s="2" t="s">
        <v>95</v>
      </c>
      <c r="D459" s="2" t="s">
        <v>442</v>
      </c>
      <c r="E459" s="4">
        <v>129.99</v>
      </c>
      <c r="F459" s="4">
        <v>1832.39</v>
      </c>
      <c r="G459" s="3">
        <v>15</v>
      </c>
      <c r="H459" s="6">
        <v>5</v>
      </c>
      <c r="I459" s="3">
        <v>8</v>
      </c>
      <c r="J459" s="13" t="str">
        <f>HYPERLINK("https://amazon.com/dp/B0GKQFBN85","Amazon - B0GKQFBN85")</f>
        <v>Amazon - B0GKQFBN85</v>
      </c>
      <c r="K459" s="14" t="s">
        <v>443</v>
      </c>
      <c r="L459" s="14" t="s">
        <v>461</v>
      </c>
      <c r="M459" s="14" t="s">
        <v>577</v>
      </c>
      <c r="N459" s="14" t="s">
        <v>446</v>
      </c>
      <c r="O459" s="14" t="s">
        <v>543</v>
      </c>
    </row>
    <row r="460" spans="1:15" ht="45" x14ac:dyDescent="0.2">
      <c r="A460" s="2" t="s">
        <v>1453</v>
      </c>
      <c r="B460" s="2" t="s">
        <v>1454</v>
      </c>
      <c r="C460" s="2" t="s">
        <v>14</v>
      </c>
      <c r="D460" s="2" t="s">
        <v>472</v>
      </c>
      <c r="E460" s="4">
        <v>299.98</v>
      </c>
      <c r="F460" s="4">
        <v>1828.05</v>
      </c>
      <c r="G460" s="3">
        <v>6</v>
      </c>
      <c r="H460" s="6">
        <v>4.3</v>
      </c>
      <c r="I460" s="3">
        <v>144</v>
      </c>
      <c r="J460" s="13" t="str">
        <f>HYPERLINK("https://amazon.com/dp/B0DJLM28ZL","Amazon - B0DJLM28ZL")</f>
        <v>Amazon - B0DJLM28ZL</v>
      </c>
      <c r="K460" s="14" t="s">
        <v>443</v>
      </c>
      <c r="L460" s="14" t="s">
        <v>456</v>
      </c>
      <c r="M460" s="14" t="s">
        <v>688</v>
      </c>
      <c r="N460" s="14" t="s">
        <v>446</v>
      </c>
      <c r="O460" s="14" t="s">
        <v>517</v>
      </c>
    </row>
    <row r="461" spans="1:15" ht="45" x14ac:dyDescent="0.2">
      <c r="A461" s="2" t="s">
        <v>1455</v>
      </c>
      <c r="B461" s="2" t="s">
        <v>1456</v>
      </c>
      <c r="C461" s="2" t="s">
        <v>23</v>
      </c>
      <c r="D461" s="2" t="s">
        <v>472</v>
      </c>
      <c r="E461" s="4">
        <v>119</v>
      </c>
      <c r="F461" s="4">
        <v>1820.6</v>
      </c>
      <c r="G461" s="3">
        <v>15</v>
      </c>
      <c r="H461" s="6">
        <v>2.5</v>
      </c>
      <c r="I461" s="3">
        <v>7</v>
      </c>
      <c r="J461" s="13" t="str">
        <f>HYPERLINK("https://amazon.com/dp/B0CW53H8RH","Amazon - B0CW53H8RH")</f>
        <v>Amazon - B0CW53H8RH</v>
      </c>
      <c r="K461" s="14" t="s">
        <v>443</v>
      </c>
      <c r="L461" s="14" t="s">
        <v>303</v>
      </c>
      <c r="M461" s="14" t="s">
        <v>503</v>
      </c>
      <c r="N461" s="14" t="s">
        <v>446</v>
      </c>
      <c r="O461" s="14" t="s">
        <v>303</v>
      </c>
    </row>
    <row r="462" spans="1:15" ht="30" x14ac:dyDescent="0.2">
      <c r="A462" s="2" t="s">
        <v>1457</v>
      </c>
      <c r="B462" s="2" t="s">
        <v>1458</v>
      </c>
      <c r="C462" s="2" t="s">
        <v>8</v>
      </c>
      <c r="D462" s="2" t="s">
        <v>442</v>
      </c>
      <c r="E462" s="4">
        <v>59.99</v>
      </c>
      <c r="F462" s="4">
        <v>1805.67</v>
      </c>
      <c r="G462" s="3">
        <v>30</v>
      </c>
      <c r="H462" s="6">
        <v>4.5999999999999996</v>
      </c>
      <c r="I462" s="3">
        <v>11</v>
      </c>
      <c r="J462" s="13" t="str">
        <f>HYPERLINK("https://amazon.com/dp/B0BTNSJ4PZ","Amazon - B0BTNSJ4PZ")</f>
        <v>Amazon - B0BTNSJ4PZ</v>
      </c>
      <c r="K462" s="14" t="s">
        <v>443</v>
      </c>
      <c r="L462" s="14" t="s">
        <v>303</v>
      </c>
      <c r="M462" s="14" t="s">
        <v>715</v>
      </c>
      <c r="N462" s="14" t="s">
        <v>452</v>
      </c>
      <c r="O462" s="14" t="s">
        <v>447</v>
      </c>
    </row>
    <row r="463" spans="1:15" ht="45" x14ac:dyDescent="0.2">
      <c r="A463" s="2" t="s">
        <v>1459</v>
      </c>
      <c r="B463" s="2" t="s">
        <v>1460</v>
      </c>
      <c r="C463" s="2" t="s">
        <v>13</v>
      </c>
      <c r="D463" s="2" t="s">
        <v>472</v>
      </c>
      <c r="E463" s="4">
        <v>999.99</v>
      </c>
      <c r="F463" s="4">
        <v>1803.48</v>
      </c>
      <c r="G463" s="3">
        <v>2</v>
      </c>
      <c r="H463" s="6">
        <v>3</v>
      </c>
      <c r="I463" s="3">
        <v>4</v>
      </c>
      <c r="J463" s="13" t="str">
        <f>HYPERLINK("https://amazon.com/dp/B0DG8MWP8M","Amazon - B0DG8MWP8M")</f>
        <v>Amazon - B0DG8MWP8M</v>
      </c>
      <c r="K463" s="14" t="s">
        <v>443</v>
      </c>
      <c r="L463" s="14" t="s">
        <v>502</v>
      </c>
      <c r="M463" s="14" t="s">
        <v>565</v>
      </c>
      <c r="N463" s="14" t="s">
        <v>446</v>
      </c>
      <c r="O463" s="14" t="s">
        <v>725</v>
      </c>
    </row>
    <row r="464" spans="1:15" ht="45" x14ac:dyDescent="0.2">
      <c r="A464" s="2" t="s">
        <v>1461</v>
      </c>
      <c r="B464" s="2" t="s">
        <v>1462</v>
      </c>
      <c r="C464" s="2" t="s">
        <v>88</v>
      </c>
      <c r="D464" s="2" t="s">
        <v>442</v>
      </c>
      <c r="E464" s="4">
        <v>308.99</v>
      </c>
      <c r="F464" s="4">
        <v>1775</v>
      </c>
      <c r="G464" s="3">
        <v>6</v>
      </c>
      <c r="H464" s="6">
        <v>4.0999999999999996</v>
      </c>
      <c r="I464" s="3">
        <v>38</v>
      </c>
      <c r="J464" s="13" t="str">
        <f>HYPERLINK("https://amazon.com/dp/B0F62RBVSF","Amazon - B0F62RBVSF")</f>
        <v>Amazon - B0F62RBVSF</v>
      </c>
      <c r="K464" s="14" t="s">
        <v>482</v>
      </c>
      <c r="L464" s="14" t="s">
        <v>461</v>
      </c>
      <c r="M464" s="14" t="s">
        <v>577</v>
      </c>
      <c r="N464" s="14" t="s">
        <v>446</v>
      </c>
      <c r="O464" s="14" t="s">
        <v>543</v>
      </c>
    </row>
    <row r="465" spans="1:15" ht="45" x14ac:dyDescent="0.2">
      <c r="A465" s="2" t="s">
        <v>1463</v>
      </c>
      <c r="B465" s="2" t="s">
        <v>1464</v>
      </c>
      <c r="C465" s="2" t="s">
        <v>8</v>
      </c>
      <c r="D465" s="2" t="s">
        <v>442</v>
      </c>
      <c r="E465" s="4">
        <v>129.99</v>
      </c>
      <c r="F465" s="4">
        <v>1771.46</v>
      </c>
      <c r="G465" s="3">
        <v>14</v>
      </c>
      <c r="H465" s="6">
        <v>4.5999999999999996</v>
      </c>
      <c r="I465" s="3">
        <v>733</v>
      </c>
      <c r="J465" s="13" t="str">
        <f>HYPERLINK("https://amazon.com/dp/B08PTVBGBQ","Amazon - B08PTVBGBQ")</f>
        <v>Amazon - B08PTVBGBQ</v>
      </c>
      <c r="K465" s="14" t="s">
        <v>443</v>
      </c>
      <c r="L465" s="14" t="s">
        <v>461</v>
      </c>
      <c r="M465" s="14" t="s">
        <v>715</v>
      </c>
      <c r="N465" s="14" t="s">
        <v>452</v>
      </c>
      <c r="O465" s="14" t="s">
        <v>453</v>
      </c>
    </row>
    <row r="466" spans="1:15" ht="45" x14ac:dyDescent="0.2">
      <c r="A466" s="2" t="s">
        <v>1465</v>
      </c>
      <c r="B466" s="2" t="s">
        <v>1466</v>
      </c>
      <c r="C466" s="2" t="s">
        <v>104</v>
      </c>
      <c r="D466" s="2" t="s">
        <v>472</v>
      </c>
      <c r="E466" s="4">
        <v>259.99</v>
      </c>
      <c r="F466" s="4">
        <v>1766.84</v>
      </c>
      <c r="G466" s="3">
        <v>7</v>
      </c>
      <c r="H466" s="6">
        <v>3.5</v>
      </c>
      <c r="I466" s="3">
        <v>6</v>
      </c>
      <c r="J466" s="13" t="str">
        <f>HYPERLINK("https://amazon.com/dp/B0DWDK327H","Amazon - B0DWDK327H")</f>
        <v>Amazon - B0DWDK327H</v>
      </c>
      <c r="K466" s="14" t="s">
        <v>443</v>
      </c>
      <c r="L466" s="14" t="s">
        <v>456</v>
      </c>
      <c r="M466" s="14" t="s">
        <v>303</v>
      </c>
      <c r="N466" s="14" t="s">
        <v>446</v>
      </c>
      <c r="O466" s="14" t="s">
        <v>517</v>
      </c>
    </row>
    <row r="467" spans="1:15" ht="30" x14ac:dyDescent="0.2">
      <c r="A467" s="2" t="s">
        <v>1467</v>
      </c>
      <c r="B467" s="2" t="s">
        <v>1468</v>
      </c>
      <c r="C467" s="2" t="s">
        <v>124</v>
      </c>
      <c r="D467" s="2" t="s">
        <v>442</v>
      </c>
      <c r="E467" s="4">
        <v>429</v>
      </c>
      <c r="F467" s="4">
        <v>1755.51</v>
      </c>
      <c r="G467" s="3">
        <v>4</v>
      </c>
      <c r="H467" s="6">
        <v>0</v>
      </c>
      <c r="I467" s="3">
        <v>0</v>
      </c>
      <c r="J467" s="13" t="str">
        <f>HYPERLINK("https://amazon.com/dp/B0D1CJ68KG","Amazon - B0D1CJ68KG")</f>
        <v>Amazon - B0D1CJ68KG</v>
      </c>
      <c r="K467" s="14" t="s">
        <v>443</v>
      </c>
      <c r="L467" s="14" t="s">
        <v>303</v>
      </c>
      <c r="M467" s="14" t="s">
        <v>715</v>
      </c>
      <c r="N467" s="14" t="s">
        <v>446</v>
      </c>
      <c r="O467" s="14" t="s">
        <v>303</v>
      </c>
    </row>
    <row r="468" spans="1:15" ht="45" x14ac:dyDescent="0.2">
      <c r="A468" s="2" t="s">
        <v>1469</v>
      </c>
      <c r="B468" s="2" t="s">
        <v>1470</v>
      </c>
      <c r="C468" s="2" t="s">
        <v>125</v>
      </c>
      <c r="D468" s="2" t="s">
        <v>442</v>
      </c>
      <c r="E468" s="4">
        <v>14.99</v>
      </c>
      <c r="F468" s="4">
        <v>1753.73</v>
      </c>
      <c r="G468" s="3">
        <v>117</v>
      </c>
      <c r="H468" s="6">
        <v>4.9000000000000004</v>
      </c>
      <c r="I468" s="3">
        <v>28</v>
      </c>
      <c r="J468" s="13" t="str">
        <f>HYPERLINK("https://amazon.com/dp/B0F47SBC8N","Amazon - B0F47SBC8N")</f>
        <v>Amazon - B0F47SBC8N</v>
      </c>
      <c r="K468" s="14" t="s">
        <v>443</v>
      </c>
      <c r="L468" s="14" t="s">
        <v>461</v>
      </c>
      <c r="M468" s="14" t="s">
        <v>303</v>
      </c>
      <c r="N468" s="14" t="s">
        <v>446</v>
      </c>
      <c r="O468" s="14" t="s">
        <v>303</v>
      </c>
    </row>
    <row r="469" spans="1:15" ht="30" x14ac:dyDescent="0.2">
      <c r="A469" s="2" t="s">
        <v>1471</v>
      </c>
      <c r="B469" s="2" t="s">
        <v>1472</v>
      </c>
      <c r="C469" s="2" t="s">
        <v>13</v>
      </c>
      <c r="D469" s="2" t="s">
        <v>472</v>
      </c>
      <c r="E469" s="4">
        <v>129.99</v>
      </c>
      <c r="F469" s="4">
        <v>1741.7</v>
      </c>
      <c r="G469" s="3">
        <v>13</v>
      </c>
      <c r="H469" s="6">
        <v>0</v>
      </c>
      <c r="I469" s="3">
        <v>0</v>
      </c>
      <c r="J469" s="13" t="str">
        <f>HYPERLINK("https://amazon.com/dp/B0F1Y5TN2Q","Amazon - B0F1Y5TN2Q")</f>
        <v>Amazon - B0F1Y5TN2Q</v>
      </c>
      <c r="K469" s="14" t="s">
        <v>443</v>
      </c>
      <c r="L469" s="14" t="s">
        <v>502</v>
      </c>
      <c r="M469" s="14" t="s">
        <v>303</v>
      </c>
      <c r="N469" s="14" t="s">
        <v>446</v>
      </c>
      <c r="O469" s="14" t="s">
        <v>303</v>
      </c>
    </row>
    <row r="470" spans="1:15" ht="45" x14ac:dyDescent="0.2">
      <c r="A470" s="2" t="s">
        <v>1473</v>
      </c>
      <c r="B470" s="2" t="s">
        <v>1474</v>
      </c>
      <c r="C470" s="2" t="s">
        <v>13</v>
      </c>
      <c r="D470" s="2" t="s">
        <v>472</v>
      </c>
      <c r="E470" s="4">
        <v>929.99</v>
      </c>
      <c r="F470" s="4">
        <v>1737.04</v>
      </c>
      <c r="G470" s="3">
        <v>2</v>
      </c>
      <c r="H470" s="6">
        <v>4.5</v>
      </c>
      <c r="I470" s="3">
        <v>2</v>
      </c>
      <c r="J470" s="13" t="str">
        <f>HYPERLINK("https://amazon.com/dp/B0D72Y2V4Y","Amazon - B0D72Y2V4Y")</f>
        <v>Amazon - B0D72Y2V4Y</v>
      </c>
      <c r="K470" s="14" t="s">
        <v>443</v>
      </c>
      <c r="L470" s="14" t="s">
        <v>461</v>
      </c>
      <c r="M470" s="14" t="s">
        <v>565</v>
      </c>
      <c r="N470" s="14" t="s">
        <v>446</v>
      </c>
      <c r="O470" s="14" t="s">
        <v>725</v>
      </c>
    </row>
    <row r="471" spans="1:15" ht="45" x14ac:dyDescent="0.2">
      <c r="A471" s="2" t="s">
        <v>1475</v>
      </c>
      <c r="B471" s="2" t="s">
        <v>1476</v>
      </c>
      <c r="C471" s="2" t="s">
        <v>71</v>
      </c>
      <c r="D471" s="2" t="s">
        <v>450</v>
      </c>
      <c r="E471" s="4">
        <v>26.99</v>
      </c>
      <c r="F471" s="4">
        <v>1725.64</v>
      </c>
      <c r="G471" s="3">
        <v>64</v>
      </c>
      <c r="H471" s="6">
        <v>4.4000000000000004</v>
      </c>
      <c r="I471" s="3">
        <v>29</v>
      </c>
      <c r="J471" s="13" t="str">
        <f>HYPERLINK("https://amazon.com/dp/B0G6Y3W5BF","Amazon - B0G6Y3W5BF")</f>
        <v>Amazon - B0G6Y3W5BF</v>
      </c>
      <c r="K471" s="14" t="s">
        <v>443</v>
      </c>
      <c r="L471" s="14" t="s">
        <v>451</v>
      </c>
      <c r="M471" s="14" t="s">
        <v>303</v>
      </c>
      <c r="N471" s="14" t="s">
        <v>446</v>
      </c>
      <c r="O471" s="14" t="s">
        <v>453</v>
      </c>
    </row>
    <row r="472" spans="1:15" ht="45" x14ac:dyDescent="0.2">
      <c r="A472" s="2" t="s">
        <v>1477</v>
      </c>
      <c r="B472" s="2" t="s">
        <v>1478</v>
      </c>
      <c r="C472" s="2" t="s">
        <v>127</v>
      </c>
      <c r="D472" s="2" t="s">
        <v>450</v>
      </c>
      <c r="E472" s="4">
        <v>62.5</v>
      </c>
      <c r="F472" s="4">
        <v>1715.52</v>
      </c>
      <c r="G472" s="3">
        <v>28</v>
      </c>
      <c r="H472" s="6">
        <v>4.5999999999999996</v>
      </c>
      <c r="I472" s="3">
        <v>4</v>
      </c>
      <c r="J472" s="13" t="str">
        <f>HYPERLINK("https://amazon.com/dp/B0GLN5KH95","Amazon - B0GLN5KH95")</f>
        <v>Amazon - B0GLN5KH95</v>
      </c>
      <c r="K472" s="14" t="s">
        <v>443</v>
      </c>
      <c r="L472" s="14" t="s">
        <v>451</v>
      </c>
      <c r="M472" s="14" t="s">
        <v>303</v>
      </c>
      <c r="N472" s="14" t="s">
        <v>446</v>
      </c>
      <c r="O472" s="14" t="s">
        <v>447</v>
      </c>
    </row>
    <row r="473" spans="1:15" ht="45" x14ac:dyDescent="0.2">
      <c r="A473" s="2" t="s">
        <v>1479</v>
      </c>
      <c r="B473" s="2" t="s">
        <v>1480</v>
      </c>
      <c r="C473" s="2" t="s">
        <v>13</v>
      </c>
      <c r="D473" s="2" t="s">
        <v>472</v>
      </c>
      <c r="E473" s="4">
        <v>129.99</v>
      </c>
      <c r="F473" s="4">
        <v>1701.01</v>
      </c>
      <c r="G473" s="3">
        <v>13</v>
      </c>
      <c r="H473" s="6">
        <v>0</v>
      </c>
      <c r="I473" s="3">
        <v>0</v>
      </c>
      <c r="J473" s="13" t="str">
        <f>HYPERLINK("https://amazon.com/dp/B0FY4YCYG7","Amazon - B0FY4YCYG7")</f>
        <v>Amazon - B0FY4YCYG7</v>
      </c>
      <c r="K473" s="14" t="s">
        <v>443</v>
      </c>
      <c r="L473" s="14" t="s">
        <v>502</v>
      </c>
      <c r="M473" s="14" t="s">
        <v>303</v>
      </c>
      <c r="N473" s="14" t="s">
        <v>446</v>
      </c>
      <c r="O473" s="14" t="s">
        <v>303</v>
      </c>
    </row>
    <row r="474" spans="1:15" ht="30" x14ac:dyDescent="0.2">
      <c r="A474" s="2" t="s">
        <v>1481</v>
      </c>
      <c r="B474" s="2" t="s">
        <v>1482</v>
      </c>
      <c r="C474" s="2" t="s">
        <v>19</v>
      </c>
      <c r="D474" s="2" t="s">
        <v>823</v>
      </c>
      <c r="E474" s="4">
        <v>69.989999999999995</v>
      </c>
      <c r="F474" s="4">
        <v>1698.51</v>
      </c>
      <c r="G474" s="3">
        <v>24</v>
      </c>
      <c r="H474" s="6">
        <v>4.0999999999999996</v>
      </c>
      <c r="I474" s="3">
        <v>1251</v>
      </c>
      <c r="J474" s="13" t="str">
        <f>HYPERLINK("https://amazon.com/dp/B0GKBXR1ZR","Amazon - B0GKBXR1ZR")</f>
        <v>Amazon - B0GKBXR1ZR</v>
      </c>
      <c r="K474" s="14" t="s">
        <v>443</v>
      </c>
      <c r="L474" s="14" t="s">
        <v>451</v>
      </c>
      <c r="M474" s="14" t="s">
        <v>303</v>
      </c>
      <c r="N474" s="14" t="s">
        <v>446</v>
      </c>
      <c r="O474" s="14" t="s">
        <v>303</v>
      </c>
    </row>
    <row r="475" spans="1:15" ht="30" x14ac:dyDescent="0.2">
      <c r="A475" s="2" t="s">
        <v>1483</v>
      </c>
      <c r="B475" s="2" t="s">
        <v>1484</v>
      </c>
      <c r="C475" s="2" t="s">
        <v>116</v>
      </c>
      <c r="D475" s="2" t="s">
        <v>450</v>
      </c>
      <c r="E475" s="4">
        <v>492.98</v>
      </c>
      <c r="F475" s="4">
        <v>1690.52</v>
      </c>
      <c r="G475" s="3">
        <v>3</v>
      </c>
      <c r="H475" s="6">
        <v>4.5999999999999996</v>
      </c>
      <c r="I475" s="3">
        <v>7</v>
      </c>
      <c r="J475" s="13" t="str">
        <f>HYPERLINK("https://amazon.com/dp/B07TWMBLJF","Amazon - B07TWMBLJF")</f>
        <v>Amazon - B07TWMBLJF</v>
      </c>
      <c r="K475" s="14" t="s">
        <v>443</v>
      </c>
      <c r="L475" s="14" t="s">
        <v>303</v>
      </c>
      <c r="M475" s="14" t="s">
        <v>303</v>
      </c>
      <c r="N475" s="14" t="s">
        <v>446</v>
      </c>
      <c r="O475" s="14" t="s">
        <v>303</v>
      </c>
    </row>
    <row r="476" spans="1:15" ht="30" x14ac:dyDescent="0.2">
      <c r="A476" s="2" t="s">
        <v>1485</v>
      </c>
      <c r="B476" s="2" t="s">
        <v>1486</v>
      </c>
      <c r="C476" s="2" t="s">
        <v>51</v>
      </c>
      <c r="D476" s="2" t="s">
        <v>450</v>
      </c>
      <c r="E476" s="4">
        <v>299.98</v>
      </c>
      <c r="F476" s="4">
        <v>1686.39</v>
      </c>
      <c r="G476" s="3">
        <v>6</v>
      </c>
      <c r="H476" s="6">
        <v>0</v>
      </c>
      <c r="I476" s="3">
        <v>0</v>
      </c>
      <c r="J476" s="13" t="str">
        <f>HYPERLINK("https://amazon.com/dp/B0D5VQGVGX","Amazon - B0D5VQGVGX")</f>
        <v>Amazon - B0D5VQGVGX</v>
      </c>
      <c r="K476" s="14" t="s">
        <v>443</v>
      </c>
      <c r="L476" s="14" t="s">
        <v>303</v>
      </c>
      <c r="M476" s="14" t="s">
        <v>303</v>
      </c>
      <c r="N476" s="14" t="s">
        <v>446</v>
      </c>
      <c r="O476" s="14" t="s">
        <v>303</v>
      </c>
    </row>
    <row r="477" spans="1:15" ht="30" x14ac:dyDescent="0.2">
      <c r="A477" s="2" t="s">
        <v>1487</v>
      </c>
      <c r="B477" s="2" t="s">
        <v>1488</v>
      </c>
      <c r="C477" s="2" t="s">
        <v>13</v>
      </c>
      <c r="D477" s="2" t="s">
        <v>472</v>
      </c>
      <c r="E477" s="4">
        <v>799.99</v>
      </c>
      <c r="F477" s="4">
        <v>1671.71</v>
      </c>
      <c r="G477" s="3">
        <v>2</v>
      </c>
      <c r="H477" s="6">
        <v>4.5</v>
      </c>
      <c r="I477" s="3">
        <v>32</v>
      </c>
      <c r="J477" s="13" t="str">
        <f>HYPERLINK("https://amazon.com/dp/B0DD781TXP","Amazon - B0DD781TXP")</f>
        <v>Amazon - B0DD781TXP</v>
      </c>
      <c r="K477" s="14" t="s">
        <v>443</v>
      </c>
      <c r="L477" s="14" t="s">
        <v>461</v>
      </c>
      <c r="M477" s="14" t="s">
        <v>303</v>
      </c>
      <c r="N477" s="14" t="s">
        <v>446</v>
      </c>
      <c r="O477" s="14" t="s">
        <v>504</v>
      </c>
    </row>
    <row r="478" spans="1:15" ht="45" x14ac:dyDescent="0.2">
      <c r="A478" s="2" t="s">
        <v>1489</v>
      </c>
      <c r="B478" s="2" t="s">
        <v>1490</v>
      </c>
      <c r="C478" s="2" t="s">
        <v>55</v>
      </c>
      <c r="D478" s="2" t="s">
        <v>472</v>
      </c>
      <c r="E478" s="4">
        <v>979.99</v>
      </c>
      <c r="F478" s="4">
        <v>1643.22</v>
      </c>
      <c r="G478" s="3">
        <v>2</v>
      </c>
      <c r="H478" s="6">
        <v>3.6</v>
      </c>
      <c r="I478" s="3">
        <v>12</v>
      </c>
      <c r="J478" s="13" t="str">
        <f>HYPERLINK("https://amazon.com/dp/B0CGMZ6V4N","Amazon - B0CGMZ6V4N")</f>
        <v>Amazon - B0CGMZ6V4N</v>
      </c>
      <c r="K478" s="14" t="s">
        <v>443</v>
      </c>
      <c r="L478" s="14" t="s">
        <v>502</v>
      </c>
      <c r="M478" s="14" t="s">
        <v>303</v>
      </c>
      <c r="N478" s="14" t="s">
        <v>446</v>
      </c>
      <c r="O478" s="14" t="s">
        <v>570</v>
      </c>
    </row>
    <row r="479" spans="1:15" ht="45" x14ac:dyDescent="0.2">
      <c r="A479" s="2" t="s">
        <v>1491</v>
      </c>
      <c r="B479" s="2" t="s">
        <v>1492</v>
      </c>
      <c r="C479" s="2" t="s">
        <v>51</v>
      </c>
      <c r="D479" s="2" t="s">
        <v>823</v>
      </c>
      <c r="E479" s="4">
        <v>899.98</v>
      </c>
      <c r="F479" s="4">
        <v>1642.64</v>
      </c>
      <c r="G479" s="3">
        <v>2</v>
      </c>
      <c r="H479" s="6">
        <v>0</v>
      </c>
      <c r="I479" s="3">
        <v>0</v>
      </c>
      <c r="J479" s="13" t="str">
        <f>HYPERLINK("https://amazon.com/dp/B09RQ4KMK2","Amazon - B09RQ4KMK2")</f>
        <v>Amazon - B09RQ4KMK2</v>
      </c>
      <c r="K479" s="14" t="s">
        <v>443</v>
      </c>
      <c r="L479" s="14" t="s">
        <v>451</v>
      </c>
      <c r="M479" s="14" t="s">
        <v>511</v>
      </c>
      <c r="N479" s="14" t="s">
        <v>446</v>
      </c>
      <c r="O479" s="14" t="s">
        <v>447</v>
      </c>
    </row>
    <row r="480" spans="1:15" ht="45" x14ac:dyDescent="0.2">
      <c r="A480" s="2" t="s">
        <v>1493</v>
      </c>
      <c r="B480" s="2" t="s">
        <v>1494</v>
      </c>
      <c r="C480" s="2" t="s">
        <v>33</v>
      </c>
      <c r="D480" s="2" t="s">
        <v>472</v>
      </c>
      <c r="E480" s="4">
        <v>334.37</v>
      </c>
      <c r="F480" s="4">
        <v>1637.79</v>
      </c>
      <c r="G480" s="3">
        <v>5</v>
      </c>
      <c r="H480" s="6">
        <v>3.7</v>
      </c>
      <c r="I480" s="3">
        <v>3</v>
      </c>
      <c r="J480" s="13" t="str">
        <f>HYPERLINK("https://amazon.com/dp/B0FC639HC1","Amazon - B0FC639HC1")</f>
        <v>Amazon - B0FC639HC1</v>
      </c>
      <c r="K480" s="14" t="s">
        <v>443</v>
      </c>
      <c r="L480" s="14" t="s">
        <v>667</v>
      </c>
      <c r="M480" s="14" t="s">
        <v>866</v>
      </c>
      <c r="N480" s="14" t="s">
        <v>446</v>
      </c>
      <c r="O480" s="14" t="s">
        <v>303</v>
      </c>
    </row>
    <row r="481" spans="1:15" ht="45" x14ac:dyDescent="0.2">
      <c r="A481" s="2" t="s">
        <v>1495</v>
      </c>
      <c r="B481" s="2" t="s">
        <v>1496</v>
      </c>
      <c r="C481" s="2" t="s">
        <v>15</v>
      </c>
      <c r="D481" s="2" t="s">
        <v>442</v>
      </c>
      <c r="E481" s="4">
        <v>108.99</v>
      </c>
      <c r="F481" s="4">
        <v>1635.5</v>
      </c>
      <c r="G481" s="3">
        <v>15</v>
      </c>
      <c r="H481" s="6">
        <v>4.0999999999999996</v>
      </c>
      <c r="I481" s="3">
        <v>25</v>
      </c>
      <c r="J481" s="13" t="str">
        <f>HYPERLINK("https://amazon.com/dp/B0DXFBLWLJ","Amazon - B0DXFBLWLJ")</f>
        <v>Amazon - B0DXFBLWLJ</v>
      </c>
      <c r="K481" s="14" t="s">
        <v>443</v>
      </c>
      <c r="L481" s="14" t="s">
        <v>303</v>
      </c>
      <c r="M481" s="14" t="s">
        <v>577</v>
      </c>
      <c r="N481" s="14" t="s">
        <v>446</v>
      </c>
      <c r="O481" s="14" t="s">
        <v>578</v>
      </c>
    </row>
    <row r="482" spans="1:15" ht="45" x14ac:dyDescent="0.2">
      <c r="A482" s="2" t="s">
        <v>1497</v>
      </c>
      <c r="B482" s="2" t="s">
        <v>1498</v>
      </c>
      <c r="C482" s="2" t="s">
        <v>34</v>
      </c>
      <c r="D482" s="2" t="s">
        <v>450</v>
      </c>
      <c r="E482" s="4">
        <v>22.99</v>
      </c>
      <c r="F482" s="4">
        <v>1628.76</v>
      </c>
      <c r="G482" s="3">
        <v>71</v>
      </c>
      <c r="H482" s="6">
        <v>4.3</v>
      </c>
      <c r="I482" s="3">
        <v>639</v>
      </c>
      <c r="J482" s="13" t="str">
        <f>HYPERLINK("https://amazon.com/dp/B0FC2GLGL2","Amazon - B0FC2GLGL2")</f>
        <v>Amazon - B0FC2GLGL2</v>
      </c>
      <c r="K482" s="14" t="s">
        <v>443</v>
      </c>
      <c r="L482" s="14" t="s">
        <v>451</v>
      </c>
      <c r="M482" s="14" t="s">
        <v>303</v>
      </c>
      <c r="N482" s="14" t="s">
        <v>446</v>
      </c>
      <c r="O482" s="14" t="s">
        <v>453</v>
      </c>
    </row>
    <row r="483" spans="1:15" ht="45" x14ac:dyDescent="0.2">
      <c r="A483" s="2" t="s">
        <v>1499</v>
      </c>
      <c r="B483" s="2" t="s">
        <v>1310</v>
      </c>
      <c r="C483" s="2" t="s">
        <v>27</v>
      </c>
      <c r="D483" s="2" t="s">
        <v>472</v>
      </c>
      <c r="E483" s="4">
        <v>599.99</v>
      </c>
      <c r="F483" s="4">
        <v>1619.53</v>
      </c>
      <c r="G483" s="3">
        <v>3</v>
      </c>
      <c r="H483" s="6">
        <v>0</v>
      </c>
      <c r="I483" s="3">
        <v>0</v>
      </c>
      <c r="J483" s="13" t="str">
        <f>HYPERLINK("https://amazon.com/dp/B0FKGZD63J","Amazon - B0FKGZD63J")</f>
        <v>Amazon - B0FKGZD63J</v>
      </c>
      <c r="K483" s="14" t="s">
        <v>443</v>
      </c>
      <c r="L483" s="14" t="s">
        <v>502</v>
      </c>
      <c r="M483" s="14" t="s">
        <v>303</v>
      </c>
      <c r="N483" s="14" t="s">
        <v>446</v>
      </c>
      <c r="O483" s="14" t="s">
        <v>570</v>
      </c>
    </row>
    <row r="484" spans="1:15" ht="45" x14ac:dyDescent="0.2">
      <c r="A484" s="2" t="s">
        <v>1500</v>
      </c>
      <c r="B484" s="2" t="s">
        <v>1501</v>
      </c>
      <c r="C484" s="2" t="s">
        <v>58</v>
      </c>
      <c r="D484" s="2" t="s">
        <v>472</v>
      </c>
      <c r="E484" s="4">
        <v>729.99</v>
      </c>
      <c r="F484" s="4">
        <v>1617.39</v>
      </c>
      <c r="G484" s="3">
        <v>2</v>
      </c>
      <c r="H484" s="6">
        <v>4.7</v>
      </c>
      <c r="I484" s="3">
        <v>10</v>
      </c>
      <c r="J484" s="13" t="str">
        <f>HYPERLINK("https://amazon.com/dp/B0DYP3S7NW","Amazon - B0DYP3S7NW")</f>
        <v>Amazon - B0DYP3S7NW</v>
      </c>
      <c r="K484" s="14" t="s">
        <v>443</v>
      </c>
      <c r="L484" s="14" t="s">
        <v>667</v>
      </c>
      <c r="M484" s="14" t="s">
        <v>303</v>
      </c>
      <c r="N484" s="14" t="s">
        <v>446</v>
      </c>
      <c r="O484" s="14" t="s">
        <v>517</v>
      </c>
    </row>
    <row r="485" spans="1:15" ht="45" x14ac:dyDescent="0.2">
      <c r="A485" s="2" t="s">
        <v>1502</v>
      </c>
      <c r="B485" s="2" t="s">
        <v>1503</v>
      </c>
      <c r="C485" s="2" t="s">
        <v>89</v>
      </c>
      <c r="D485" s="2" t="s">
        <v>450</v>
      </c>
      <c r="E485" s="4">
        <v>99.99</v>
      </c>
      <c r="F485" s="4">
        <v>1612.97</v>
      </c>
      <c r="G485" s="3">
        <v>16</v>
      </c>
      <c r="H485" s="6">
        <v>5</v>
      </c>
      <c r="I485" s="3">
        <v>1</v>
      </c>
      <c r="J485" s="13" t="str">
        <f>HYPERLINK("https://amazon.com/dp/B0G3ZQDT5B","Amazon - B0G3ZQDT5B")</f>
        <v>Amazon - B0G3ZQDT5B</v>
      </c>
      <c r="K485" s="14" t="s">
        <v>482</v>
      </c>
      <c r="L485" s="14" t="s">
        <v>451</v>
      </c>
      <c r="M485" s="14" t="s">
        <v>303</v>
      </c>
      <c r="N485" s="14" t="s">
        <v>446</v>
      </c>
      <c r="O485" s="14" t="s">
        <v>447</v>
      </c>
    </row>
    <row r="486" spans="1:15" ht="30" x14ac:dyDescent="0.2">
      <c r="A486" s="2" t="s">
        <v>1504</v>
      </c>
      <c r="B486" s="2" t="s">
        <v>1505</v>
      </c>
      <c r="C486" s="2" t="s">
        <v>13</v>
      </c>
      <c r="D486" s="2" t="s">
        <v>472</v>
      </c>
      <c r="E486" s="4">
        <v>369.94</v>
      </c>
      <c r="F486" s="4">
        <v>1603.61</v>
      </c>
      <c r="G486" s="3">
        <v>4</v>
      </c>
      <c r="H486" s="6">
        <v>2.7</v>
      </c>
      <c r="I486" s="3">
        <v>4</v>
      </c>
      <c r="J486" s="13" t="str">
        <f>HYPERLINK("https://amazon.com/dp/B0D1CG3JXK","Amazon - B0D1CG3JXK")</f>
        <v>Amazon - B0D1CG3JXK</v>
      </c>
      <c r="K486" s="14" t="s">
        <v>443</v>
      </c>
      <c r="L486" s="14" t="s">
        <v>303</v>
      </c>
      <c r="M486" s="14" t="s">
        <v>303</v>
      </c>
      <c r="N486" s="14" t="s">
        <v>446</v>
      </c>
      <c r="O486" s="14" t="s">
        <v>303</v>
      </c>
    </row>
    <row r="487" spans="1:15" ht="45" x14ac:dyDescent="0.2">
      <c r="A487" s="2" t="s">
        <v>1506</v>
      </c>
      <c r="B487" s="2" t="s">
        <v>1507</v>
      </c>
      <c r="C487" s="2" t="s">
        <v>71</v>
      </c>
      <c r="D487" s="2" t="s">
        <v>442</v>
      </c>
      <c r="E487" s="4">
        <v>26.99</v>
      </c>
      <c r="F487" s="4">
        <v>1599.2</v>
      </c>
      <c r="G487" s="3">
        <v>63</v>
      </c>
      <c r="H487" s="6">
        <v>4.4000000000000004</v>
      </c>
      <c r="I487" s="3">
        <v>14</v>
      </c>
      <c r="J487" s="13" t="str">
        <f>HYPERLINK("https://amazon.com/dp/B0G6XZF1YN","Amazon - B0G6XZF1YN")</f>
        <v>Amazon - B0G6XZF1YN</v>
      </c>
      <c r="K487" s="14" t="s">
        <v>443</v>
      </c>
      <c r="L487" s="14" t="s">
        <v>456</v>
      </c>
      <c r="M487" s="14" t="s">
        <v>303</v>
      </c>
      <c r="N487" s="14" t="s">
        <v>446</v>
      </c>
      <c r="O487" s="14" t="s">
        <v>453</v>
      </c>
    </row>
    <row r="488" spans="1:15" ht="45" x14ac:dyDescent="0.2">
      <c r="A488" s="2" t="s">
        <v>1508</v>
      </c>
      <c r="B488" s="2" t="s">
        <v>1509</v>
      </c>
      <c r="C488" s="2" t="s">
        <v>34</v>
      </c>
      <c r="D488" s="2" t="s">
        <v>450</v>
      </c>
      <c r="E488" s="4">
        <v>19.989999999999998</v>
      </c>
      <c r="F488" s="4">
        <v>1599.15</v>
      </c>
      <c r="G488" s="3">
        <v>80</v>
      </c>
      <c r="H488" s="6">
        <v>4.3</v>
      </c>
      <c r="I488" s="3">
        <v>639</v>
      </c>
      <c r="J488" s="13" t="str">
        <f>HYPERLINK("https://amazon.com/dp/B0FZGZMVP3","Amazon - B0FZGZMVP3")</f>
        <v>Amazon - B0FZGZMVP3</v>
      </c>
      <c r="K488" s="14" t="s">
        <v>443</v>
      </c>
      <c r="L488" s="14" t="s">
        <v>451</v>
      </c>
      <c r="M488" s="14" t="s">
        <v>303</v>
      </c>
      <c r="N488" s="14" t="s">
        <v>446</v>
      </c>
      <c r="O488" s="14" t="s">
        <v>524</v>
      </c>
    </row>
    <row r="489" spans="1:15" ht="45" x14ac:dyDescent="0.2">
      <c r="A489" s="2" t="s">
        <v>1510</v>
      </c>
      <c r="B489" s="2" t="s">
        <v>1511</v>
      </c>
      <c r="C489" s="2" t="s">
        <v>43</v>
      </c>
      <c r="D489" s="2" t="s">
        <v>472</v>
      </c>
      <c r="E489" s="4">
        <v>284.05</v>
      </c>
      <c r="F489" s="4">
        <v>1595.96</v>
      </c>
      <c r="G489" s="3">
        <v>6</v>
      </c>
      <c r="H489" s="6">
        <v>4.3</v>
      </c>
      <c r="I489" s="3">
        <v>6</v>
      </c>
      <c r="J489" s="13" t="str">
        <f>HYPERLINK("https://amazon.com/dp/B0FMKFY56V","Amazon - B0FMKFY56V")</f>
        <v>Amazon - B0FMKFY56V</v>
      </c>
      <c r="K489" s="14" t="s">
        <v>443</v>
      </c>
      <c r="L489" s="14" t="s">
        <v>667</v>
      </c>
      <c r="M489" s="14" t="s">
        <v>503</v>
      </c>
      <c r="N489" s="14" t="s">
        <v>446</v>
      </c>
      <c r="O489" s="14" t="s">
        <v>517</v>
      </c>
    </row>
    <row r="490" spans="1:15" ht="45" x14ac:dyDescent="0.2">
      <c r="A490" s="2" t="s">
        <v>1512</v>
      </c>
      <c r="B490" s="2" t="s">
        <v>1513</v>
      </c>
      <c r="C490" s="2" t="s">
        <v>13</v>
      </c>
      <c r="D490" s="2" t="s">
        <v>472</v>
      </c>
      <c r="E490" s="4">
        <v>799.99</v>
      </c>
      <c r="F490" s="4">
        <v>1592.33</v>
      </c>
      <c r="G490" s="3">
        <v>2</v>
      </c>
      <c r="H490" s="6">
        <v>5</v>
      </c>
      <c r="I490" s="3">
        <v>1</v>
      </c>
      <c r="J490" s="13" t="str">
        <f>HYPERLINK("https://amazon.com/dp/B0G394XQCT","Amazon - B0G394XQCT")</f>
        <v>Amazon - B0G394XQCT</v>
      </c>
      <c r="K490" s="14" t="s">
        <v>443</v>
      </c>
      <c r="L490" s="14" t="s">
        <v>461</v>
      </c>
      <c r="M490" s="14" t="s">
        <v>565</v>
      </c>
      <c r="N490" s="14" t="s">
        <v>446</v>
      </c>
      <c r="O490" s="14" t="s">
        <v>517</v>
      </c>
    </row>
    <row r="491" spans="1:15" ht="45" x14ac:dyDescent="0.2">
      <c r="A491" s="2" t="s">
        <v>1514</v>
      </c>
      <c r="B491" s="2" t="s">
        <v>1515</v>
      </c>
      <c r="C491" s="2" t="s">
        <v>39</v>
      </c>
      <c r="D491" s="2" t="s">
        <v>442</v>
      </c>
      <c r="E491" s="4">
        <v>419.99</v>
      </c>
      <c r="F491" s="4">
        <v>1592.19</v>
      </c>
      <c r="G491" s="3">
        <v>4</v>
      </c>
      <c r="H491" s="6">
        <v>4.8</v>
      </c>
      <c r="I491" s="3">
        <v>9</v>
      </c>
      <c r="J491" s="13" t="str">
        <f>HYPERLINK("https://amazon.com/dp/B0FXXB799G","Amazon - B0FXXB799G")</f>
        <v>Amazon - B0FXXB799G</v>
      </c>
      <c r="K491" s="14" t="s">
        <v>482</v>
      </c>
      <c r="L491" s="14" t="s">
        <v>461</v>
      </c>
      <c r="M491" s="14" t="s">
        <v>511</v>
      </c>
      <c r="N491" s="14" t="s">
        <v>446</v>
      </c>
      <c r="O491" s="14" t="s">
        <v>1516</v>
      </c>
    </row>
    <row r="492" spans="1:15" ht="30" x14ac:dyDescent="0.2">
      <c r="A492" s="2" t="s">
        <v>1517</v>
      </c>
      <c r="B492" s="2" t="s">
        <v>1518</v>
      </c>
      <c r="C492" s="2" t="s">
        <v>8</v>
      </c>
      <c r="D492" s="2" t="s">
        <v>450</v>
      </c>
      <c r="E492" s="4">
        <v>29.99</v>
      </c>
      <c r="F492" s="4">
        <v>1586.25</v>
      </c>
      <c r="G492" s="3">
        <v>53</v>
      </c>
      <c r="H492" s="6">
        <v>4</v>
      </c>
      <c r="I492" s="3">
        <v>17</v>
      </c>
      <c r="J492" s="13" t="str">
        <f>HYPERLINK("https://amazon.com/dp/B0DYH3JJL5","Amazon - B0DYH3JJL5")</f>
        <v>Amazon - B0DYH3JJL5</v>
      </c>
      <c r="K492" s="14" t="s">
        <v>443</v>
      </c>
      <c r="L492" s="14" t="s">
        <v>451</v>
      </c>
      <c r="M492" s="14" t="s">
        <v>303</v>
      </c>
      <c r="N492" s="14" t="s">
        <v>452</v>
      </c>
      <c r="O492" s="14" t="s">
        <v>453</v>
      </c>
    </row>
    <row r="493" spans="1:15" ht="45" x14ac:dyDescent="0.2">
      <c r="A493" s="2" t="s">
        <v>1519</v>
      </c>
      <c r="B493" s="2" t="s">
        <v>1520</v>
      </c>
      <c r="C493" s="2" t="s">
        <v>24</v>
      </c>
      <c r="D493" s="2" t="s">
        <v>442</v>
      </c>
      <c r="E493" s="4">
        <v>79.989999999999995</v>
      </c>
      <c r="F493" s="4">
        <v>1575.23</v>
      </c>
      <c r="G493" s="3">
        <v>20</v>
      </c>
      <c r="H493" s="6">
        <v>4.4000000000000004</v>
      </c>
      <c r="I493" s="3">
        <v>9</v>
      </c>
      <c r="J493" s="13" t="str">
        <f>HYPERLINK("https://amazon.com/dp/B0FR4KB3KL","Amazon - B0FR4KB3KL")</f>
        <v>Amazon - B0FR4KB3KL</v>
      </c>
      <c r="K493" s="14" t="s">
        <v>443</v>
      </c>
      <c r="L493" s="14" t="s">
        <v>461</v>
      </c>
      <c r="M493" s="14" t="s">
        <v>462</v>
      </c>
      <c r="N493" s="14" t="s">
        <v>446</v>
      </c>
      <c r="O493" s="14" t="s">
        <v>494</v>
      </c>
    </row>
    <row r="494" spans="1:15" ht="45" x14ac:dyDescent="0.2">
      <c r="A494" s="2" t="s">
        <v>1521</v>
      </c>
      <c r="B494" s="2" t="s">
        <v>1522</v>
      </c>
      <c r="C494" s="2" t="s">
        <v>34</v>
      </c>
      <c r="D494" s="2" t="s">
        <v>450</v>
      </c>
      <c r="E494" s="4">
        <v>22.99</v>
      </c>
      <c r="F494" s="4">
        <v>1565.43</v>
      </c>
      <c r="G494" s="3">
        <v>68</v>
      </c>
      <c r="H494" s="6">
        <v>4.3</v>
      </c>
      <c r="I494" s="3">
        <v>639</v>
      </c>
      <c r="J494" s="13" t="str">
        <f>HYPERLINK("https://amazon.com/dp/B0FZGWDVTK","Amazon - B0FZGWDVTK")</f>
        <v>Amazon - B0FZGWDVTK</v>
      </c>
      <c r="K494" s="14" t="s">
        <v>443</v>
      </c>
      <c r="L494" s="14" t="s">
        <v>451</v>
      </c>
      <c r="M494" s="14" t="s">
        <v>303</v>
      </c>
      <c r="N494" s="14" t="s">
        <v>446</v>
      </c>
      <c r="O494" s="14" t="s">
        <v>453</v>
      </c>
    </row>
    <row r="495" spans="1:15" ht="45" x14ac:dyDescent="0.2">
      <c r="A495" s="2" t="s">
        <v>1523</v>
      </c>
      <c r="B495" s="2" t="s">
        <v>1524</v>
      </c>
      <c r="C495" s="2" t="s">
        <v>56</v>
      </c>
      <c r="D495" s="2" t="s">
        <v>450</v>
      </c>
      <c r="E495" s="4">
        <v>32.99</v>
      </c>
      <c r="F495" s="4">
        <v>1555.62</v>
      </c>
      <c r="G495" s="3">
        <v>48</v>
      </c>
      <c r="H495" s="6">
        <v>4.4000000000000004</v>
      </c>
      <c r="I495" s="3">
        <v>231</v>
      </c>
      <c r="J495" s="13" t="str">
        <f>HYPERLINK("https://amazon.com/dp/B0FYX7DVDS","Amazon - B0FYX7DVDS")</f>
        <v>Amazon - B0FYX7DVDS</v>
      </c>
      <c r="K495" s="14" t="s">
        <v>443</v>
      </c>
      <c r="L495" s="14" t="s">
        <v>451</v>
      </c>
      <c r="M495" s="14" t="s">
        <v>303</v>
      </c>
      <c r="N495" s="14" t="s">
        <v>452</v>
      </c>
      <c r="O495" s="14" t="s">
        <v>608</v>
      </c>
    </row>
    <row r="496" spans="1:15" ht="30" x14ac:dyDescent="0.2">
      <c r="A496" s="2" t="s">
        <v>1525</v>
      </c>
      <c r="B496" s="2" t="s">
        <v>1526</v>
      </c>
      <c r="C496" s="2" t="s">
        <v>23</v>
      </c>
      <c r="D496" s="2" t="s">
        <v>472</v>
      </c>
      <c r="E496" s="4">
        <v>561</v>
      </c>
      <c r="F496" s="4">
        <v>1547.55</v>
      </c>
      <c r="G496" s="3">
        <v>3</v>
      </c>
      <c r="H496" s="6">
        <v>5</v>
      </c>
      <c r="I496" s="3">
        <v>3</v>
      </c>
      <c r="J496" s="13" t="str">
        <f>HYPERLINK("https://amazon.com/dp/B0DTPVML4K","Amazon - B0DTPVML4K")</f>
        <v>Amazon - B0DTPVML4K</v>
      </c>
      <c r="K496" s="14" t="s">
        <v>443</v>
      </c>
      <c r="L496" s="14" t="s">
        <v>502</v>
      </c>
      <c r="M496" s="14" t="s">
        <v>503</v>
      </c>
      <c r="N496" s="14" t="s">
        <v>446</v>
      </c>
      <c r="O496" s="14" t="s">
        <v>517</v>
      </c>
    </row>
    <row r="497" spans="1:15" ht="45" x14ac:dyDescent="0.2">
      <c r="A497" s="2" t="s">
        <v>1527</v>
      </c>
      <c r="B497" s="2" t="s">
        <v>1528</v>
      </c>
      <c r="C497" s="2" t="s">
        <v>34</v>
      </c>
      <c r="D497" s="2" t="s">
        <v>450</v>
      </c>
      <c r="E497" s="4">
        <v>50.99</v>
      </c>
      <c r="F497" s="4">
        <v>1541.19</v>
      </c>
      <c r="G497" s="3">
        <v>44</v>
      </c>
      <c r="H497" s="6">
        <v>4.2</v>
      </c>
      <c r="I497" s="3">
        <v>565</v>
      </c>
      <c r="J497" s="13" t="str">
        <f>HYPERLINK("https://amazon.com/dp/B0FZH2327S","Amazon - B0FZH2327S")</f>
        <v>Amazon - B0FZH2327S</v>
      </c>
      <c r="K497" s="14" t="s">
        <v>443</v>
      </c>
      <c r="L497" s="14" t="s">
        <v>451</v>
      </c>
      <c r="M497" s="14" t="s">
        <v>303</v>
      </c>
      <c r="N497" s="14" t="s">
        <v>446</v>
      </c>
      <c r="O497" s="14" t="s">
        <v>608</v>
      </c>
    </row>
    <row r="498" spans="1:15" ht="30" x14ac:dyDescent="0.2">
      <c r="A498" s="2" t="s">
        <v>1529</v>
      </c>
      <c r="B498" s="2" t="s">
        <v>1530</v>
      </c>
      <c r="C498" s="2" t="s">
        <v>123</v>
      </c>
      <c r="D498" s="2" t="s">
        <v>442</v>
      </c>
      <c r="E498" s="4">
        <v>59.99</v>
      </c>
      <c r="F498" s="4">
        <v>1537.72</v>
      </c>
      <c r="G498" s="3">
        <v>22</v>
      </c>
      <c r="H498" s="6">
        <v>3.3</v>
      </c>
      <c r="I498" s="3">
        <v>23</v>
      </c>
      <c r="J498" s="13" t="str">
        <f>HYPERLINK("https://amazon.com/dp/B0F64LBZW5","Amazon - B0F64LBZW5")</f>
        <v>Amazon - B0F64LBZW5</v>
      </c>
      <c r="K498" s="14" t="s">
        <v>443</v>
      </c>
      <c r="L498" s="14" t="s">
        <v>461</v>
      </c>
      <c r="M498" s="14" t="s">
        <v>577</v>
      </c>
      <c r="N498" s="14" t="s">
        <v>446</v>
      </c>
      <c r="O498" s="14" t="s">
        <v>447</v>
      </c>
    </row>
    <row r="499" spans="1:15" ht="45" x14ac:dyDescent="0.2">
      <c r="A499" s="2" t="s">
        <v>1531</v>
      </c>
      <c r="B499" s="2" t="s">
        <v>1532</v>
      </c>
      <c r="C499" s="2" t="s">
        <v>130</v>
      </c>
      <c r="D499" s="2" t="s">
        <v>472</v>
      </c>
      <c r="E499" s="4">
        <v>729.99</v>
      </c>
      <c r="F499" s="4">
        <v>1533.53</v>
      </c>
      <c r="G499" s="3">
        <v>2</v>
      </c>
      <c r="H499" s="6">
        <v>0</v>
      </c>
      <c r="I499" s="3">
        <v>0</v>
      </c>
      <c r="J499" s="13" t="str">
        <f>HYPERLINK("https://amazon.com/dp/B0FNQYD1QP","Amazon - B0FNQYD1QP")</f>
        <v>Amazon - B0FNQYD1QP</v>
      </c>
      <c r="K499" s="14" t="s">
        <v>443</v>
      </c>
      <c r="L499" s="14" t="s">
        <v>502</v>
      </c>
      <c r="M499" s="14" t="s">
        <v>303</v>
      </c>
      <c r="N499" s="14" t="s">
        <v>446</v>
      </c>
      <c r="O499" s="14" t="s">
        <v>570</v>
      </c>
    </row>
    <row r="500" spans="1:15" ht="45" x14ac:dyDescent="0.2">
      <c r="A500" s="2" t="s">
        <v>1533</v>
      </c>
      <c r="B500" s="2" t="s">
        <v>1534</v>
      </c>
      <c r="C500" s="2" t="s">
        <v>13</v>
      </c>
      <c r="D500" s="2" t="s">
        <v>472</v>
      </c>
      <c r="E500" s="4">
        <v>499.99</v>
      </c>
      <c r="F500" s="4">
        <v>1518.18</v>
      </c>
      <c r="G500" s="3">
        <v>3</v>
      </c>
      <c r="H500" s="6">
        <v>2.4</v>
      </c>
      <c r="I500" s="3">
        <v>2</v>
      </c>
      <c r="J500" s="13" t="str">
        <f>HYPERLINK("https://amazon.com/dp/B0DDXT2242","Amazon - B0DDXT2242")</f>
        <v>Amazon - B0DDXT2242</v>
      </c>
      <c r="K500" s="14" t="s">
        <v>443</v>
      </c>
      <c r="L500" s="14" t="s">
        <v>461</v>
      </c>
      <c r="M500" s="14" t="s">
        <v>303</v>
      </c>
      <c r="N500" s="14" t="s">
        <v>446</v>
      </c>
      <c r="O500" s="14" t="s">
        <v>517</v>
      </c>
    </row>
    <row r="501" spans="1:15" x14ac:dyDescent="0.2">
      <c r="A501" s="2" t="s">
        <v>1535</v>
      </c>
      <c r="B501" s="2" t="s">
        <v>1536</v>
      </c>
      <c r="C501" s="2" t="s">
        <v>111</v>
      </c>
      <c r="D501" s="2" t="s">
        <v>823</v>
      </c>
      <c r="E501" s="4">
        <v>151.69999999999999</v>
      </c>
      <c r="F501" s="4">
        <v>1506.1</v>
      </c>
      <c r="G501" s="3">
        <v>11</v>
      </c>
      <c r="H501" s="6">
        <v>5</v>
      </c>
      <c r="I501" s="3">
        <v>3</v>
      </c>
      <c r="J501" s="13" t="str">
        <f>HYPERLINK("https://amazon.com/dp/B0BW4PM53X","Amazon - B0BW4PM53X")</f>
        <v>Amazon - B0BW4PM53X</v>
      </c>
      <c r="K501" s="14" t="s">
        <v>443</v>
      </c>
      <c r="L501" s="14" t="s">
        <v>451</v>
      </c>
      <c r="M501" s="14" t="s">
        <v>303</v>
      </c>
      <c r="N501" s="14" t="s">
        <v>452</v>
      </c>
      <c r="O501" s="14" t="s">
        <v>303</v>
      </c>
    </row>
    <row r="502" spans="1:15" ht="45" x14ac:dyDescent="0.2">
      <c r="A502" s="2" t="s">
        <v>1537</v>
      </c>
      <c r="B502" s="2" t="s">
        <v>1538</v>
      </c>
      <c r="C502" s="2" t="s">
        <v>85</v>
      </c>
      <c r="D502" s="2" t="s">
        <v>450</v>
      </c>
      <c r="E502" s="4">
        <v>59.92</v>
      </c>
      <c r="F502" s="4">
        <v>1501.79</v>
      </c>
      <c r="G502" s="3">
        <v>25</v>
      </c>
      <c r="H502" s="6">
        <v>4.2</v>
      </c>
      <c r="I502" s="3">
        <v>102</v>
      </c>
      <c r="J502" s="13" t="str">
        <f>HYPERLINK("https://amazon.com/dp/B097SPRWSL","Amazon - B097SPRWSL")</f>
        <v>Amazon - B097SPRWSL</v>
      </c>
      <c r="K502" s="14" t="s">
        <v>443</v>
      </c>
      <c r="L502" s="14" t="s">
        <v>451</v>
      </c>
      <c r="M502" s="14" t="s">
        <v>462</v>
      </c>
      <c r="N502" s="14" t="s">
        <v>446</v>
      </c>
      <c r="O502" s="14" t="s">
        <v>303</v>
      </c>
    </row>
    <row r="503" spans="1:15" ht="45" x14ac:dyDescent="0.2">
      <c r="A503" s="2" t="s">
        <v>1539</v>
      </c>
      <c r="B503" s="2" t="s">
        <v>1540</v>
      </c>
      <c r="C503" s="2" t="s">
        <v>77</v>
      </c>
      <c r="D503" s="2" t="s">
        <v>472</v>
      </c>
      <c r="E503" s="4">
        <v>199.99</v>
      </c>
      <c r="F503" s="4">
        <v>1492.84</v>
      </c>
      <c r="G503" s="3">
        <v>7</v>
      </c>
      <c r="H503" s="6">
        <v>4.2</v>
      </c>
      <c r="I503" s="3">
        <v>13</v>
      </c>
      <c r="J503" s="13" t="str">
        <f>HYPERLINK("https://amazon.com/dp/B0F28XLQLS","Amazon - B0F28XLQLS")</f>
        <v>Amazon - B0F28XLQLS</v>
      </c>
      <c r="K503" s="14" t="s">
        <v>443</v>
      </c>
      <c r="L503" s="14" t="s">
        <v>456</v>
      </c>
      <c r="M503" s="14" t="s">
        <v>688</v>
      </c>
      <c r="N503" s="14" t="s">
        <v>446</v>
      </c>
      <c r="O503" s="14" t="s">
        <v>1541</v>
      </c>
    </row>
    <row r="504" spans="1:15" ht="45" x14ac:dyDescent="0.2">
      <c r="A504" s="2" t="s">
        <v>1542</v>
      </c>
      <c r="B504" s="2" t="s">
        <v>1543</v>
      </c>
      <c r="C504" s="2" t="s">
        <v>32</v>
      </c>
      <c r="D504" s="2" t="s">
        <v>450</v>
      </c>
      <c r="E504" s="4">
        <v>20.99</v>
      </c>
      <c r="F504" s="4">
        <v>1487.33</v>
      </c>
      <c r="G504" s="3">
        <v>71</v>
      </c>
      <c r="H504" s="6">
        <v>4</v>
      </c>
      <c r="I504" s="3">
        <v>10379</v>
      </c>
      <c r="J504" s="13" t="str">
        <f>HYPERLINK("https://amazon.com/dp/B07PBF6DX5","Amazon - B07PBF6DX5")</f>
        <v>Amazon - B07PBF6DX5</v>
      </c>
      <c r="K504" s="14" t="s">
        <v>443</v>
      </c>
      <c r="L504" s="14" t="s">
        <v>451</v>
      </c>
      <c r="M504" s="14" t="s">
        <v>462</v>
      </c>
      <c r="N504" s="14" t="s">
        <v>446</v>
      </c>
      <c r="O504" s="14" t="s">
        <v>453</v>
      </c>
    </row>
    <row r="505" spans="1:15" ht="45" x14ac:dyDescent="0.2">
      <c r="A505" s="2" t="s">
        <v>1544</v>
      </c>
      <c r="B505" s="2" t="s">
        <v>1545</v>
      </c>
      <c r="C505" s="2" t="s">
        <v>33</v>
      </c>
      <c r="D505" s="2" t="s">
        <v>472</v>
      </c>
      <c r="E505" s="4">
        <v>208.68</v>
      </c>
      <c r="F505" s="4">
        <v>1487.05</v>
      </c>
      <c r="G505" s="3">
        <v>7</v>
      </c>
      <c r="H505" s="6">
        <v>3.6</v>
      </c>
      <c r="I505" s="3">
        <v>27</v>
      </c>
      <c r="J505" s="13" t="str">
        <f>HYPERLINK("https://amazon.com/dp/B0CQR83M83","Amazon - B0CQR83M83")</f>
        <v>Amazon - B0CQR83M83</v>
      </c>
      <c r="K505" s="14" t="s">
        <v>443</v>
      </c>
      <c r="L505" s="14" t="s">
        <v>456</v>
      </c>
      <c r="M505" s="14" t="s">
        <v>677</v>
      </c>
      <c r="N505" s="14" t="s">
        <v>446</v>
      </c>
      <c r="O505" s="14" t="s">
        <v>517</v>
      </c>
    </row>
    <row r="506" spans="1:15" ht="45" x14ac:dyDescent="0.2">
      <c r="A506" s="2" t="s">
        <v>1546</v>
      </c>
      <c r="B506" s="2" t="s">
        <v>1547</v>
      </c>
      <c r="C506" s="2" t="s">
        <v>121</v>
      </c>
      <c r="D506" s="2" t="s">
        <v>450</v>
      </c>
      <c r="E506" s="4">
        <v>21.99</v>
      </c>
      <c r="F506" s="4">
        <v>1478.27</v>
      </c>
      <c r="G506" s="3">
        <v>67</v>
      </c>
      <c r="H506" s="6">
        <v>4.5</v>
      </c>
      <c r="I506" s="3">
        <v>444</v>
      </c>
      <c r="J506" s="13" t="str">
        <f>HYPERLINK("https://amazon.com/dp/B0DYHGQ1GL","Amazon - B0DYHGQ1GL")</f>
        <v>Amazon - B0DYHGQ1GL</v>
      </c>
      <c r="K506" s="14" t="s">
        <v>443</v>
      </c>
      <c r="L506" s="14" t="s">
        <v>456</v>
      </c>
      <c r="M506" s="14" t="s">
        <v>445</v>
      </c>
      <c r="N506" s="14" t="s">
        <v>446</v>
      </c>
      <c r="O506" s="14" t="s">
        <v>453</v>
      </c>
    </row>
    <row r="507" spans="1:15" ht="45" x14ac:dyDescent="0.2">
      <c r="A507" s="2" t="s">
        <v>1548</v>
      </c>
      <c r="B507" s="2" t="s">
        <v>1549</v>
      </c>
      <c r="C507" s="2" t="s">
        <v>81</v>
      </c>
      <c r="D507" s="2" t="s">
        <v>472</v>
      </c>
      <c r="E507" s="4">
        <v>205.99</v>
      </c>
      <c r="F507" s="4">
        <v>1477.91</v>
      </c>
      <c r="G507" s="3">
        <v>7</v>
      </c>
      <c r="H507" s="6">
        <v>5</v>
      </c>
      <c r="I507" s="3">
        <v>3</v>
      </c>
      <c r="J507" s="13" t="str">
        <f>HYPERLINK("https://amazon.com/dp/B0CSFH4VGH","Amazon - B0CSFH4VGH")</f>
        <v>Amazon - B0CSFH4VGH</v>
      </c>
      <c r="K507" s="14" t="s">
        <v>443</v>
      </c>
      <c r="L507" s="14" t="s">
        <v>667</v>
      </c>
      <c r="M507" s="14" t="s">
        <v>715</v>
      </c>
      <c r="N507" s="14" t="s">
        <v>446</v>
      </c>
      <c r="O507" s="14" t="s">
        <v>742</v>
      </c>
    </row>
    <row r="508" spans="1:15" ht="45" x14ac:dyDescent="0.2">
      <c r="A508" s="2" t="s">
        <v>1550</v>
      </c>
      <c r="B508" s="2" t="s">
        <v>1551</v>
      </c>
      <c r="C508" s="2" t="s">
        <v>56</v>
      </c>
      <c r="D508" s="2" t="s">
        <v>450</v>
      </c>
      <c r="E508" s="4">
        <v>28.99</v>
      </c>
      <c r="F508" s="4">
        <v>1457.14</v>
      </c>
      <c r="G508" s="3">
        <v>50</v>
      </c>
      <c r="H508" s="6">
        <v>4.4000000000000004</v>
      </c>
      <c r="I508" s="3">
        <v>231</v>
      </c>
      <c r="J508" s="13" t="str">
        <f>HYPERLINK("https://amazon.com/dp/B0FYX5KL3L","Amazon - B0FYX5KL3L")</f>
        <v>Amazon - B0FYX5KL3L</v>
      </c>
      <c r="K508" s="14" t="s">
        <v>443</v>
      </c>
      <c r="L508" s="14" t="s">
        <v>451</v>
      </c>
      <c r="M508" s="14" t="s">
        <v>303</v>
      </c>
      <c r="N508" s="14" t="s">
        <v>446</v>
      </c>
      <c r="O508" s="14" t="s">
        <v>608</v>
      </c>
    </row>
    <row r="509" spans="1:15" ht="45" x14ac:dyDescent="0.2">
      <c r="A509" s="2" t="s">
        <v>1552</v>
      </c>
      <c r="B509" s="2" t="s">
        <v>1553</v>
      </c>
      <c r="C509" s="2" t="s">
        <v>13</v>
      </c>
      <c r="D509" s="2" t="s">
        <v>472</v>
      </c>
      <c r="E509" s="4">
        <v>999.99</v>
      </c>
      <c r="F509" s="4">
        <v>1436.61</v>
      </c>
      <c r="G509" s="3">
        <v>1</v>
      </c>
      <c r="H509" s="6">
        <v>3.7</v>
      </c>
      <c r="I509" s="3">
        <v>59</v>
      </c>
      <c r="J509" s="13" t="str">
        <f>HYPERLINK("https://amazon.com/dp/B0BRYYQ9TV","Amazon - B0BRYYQ9TV")</f>
        <v>Amazon - B0BRYYQ9TV</v>
      </c>
      <c r="K509" s="14" t="s">
        <v>443</v>
      </c>
      <c r="L509" s="14" t="s">
        <v>502</v>
      </c>
      <c r="M509" s="14" t="s">
        <v>303</v>
      </c>
      <c r="N509" s="14" t="s">
        <v>446</v>
      </c>
      <c r="O509" s="14" t="s">
        <v>517</v>
      </c>
    </row>
    <row r="510" spans="1:15" ht="30" x14ac:dyDescent="0.2">
      <c r="A510" s="2" t="s">
        <v>1554</v>
      </c>
      <c r="B510" s="2" t="s">
        <v>1555</v>
      </c>
      <c r="C510" s="2" t="s">
        <v>8</v>
      </c>
      <c r="D510" s="2" t="s">
        <v>442</v>
      </c>
      <c r="E510" s="4">
        <v>99.99</v>
      </c>
      <c r="F510" s="4">
        <v>1431.57</v>
      </c>
      <c r="G510" s="3">
        <v>14</v>
      </c>
      <c r="H510" s="6">
        <v>4.5999999999999996</v>
      </c>
      <c r="I510" s="3">
        <v>8</v>
      </c>
      <c r="J510" s="13" t="str">
        <f>HYPERLINK("https://amazon.com/dp/B09WMFVTWJ","Amazon - B09WMFVTWJ")</f>
        <v>Amazon - B09WMFVTWJ</v>
      </c>
      <c r="K510" s="14" t="s">
        <v>443</v>
      </c>
      <c r="L510" s="14" t="s">
        <v>303</v>
      </c>
      <c r="M510" s="14" t="s">
        <v>445</v>
      </c>
      <c r="N510" s="14" t="s">
        <v>473</v>
      </c>
      <c r="O510" s="14" t="s">
        <v>453</v>
      </c>
    </row>
    <row r="511" spans="1:15" ht="45" x14ac:dyDescent="0.2">
      <c r="A511" s="2" t="s">
        <v>1556</v>
      </c>
      <c r="B511" s="2" t="s">
        <v>1557</v>
      </c>
      <c r="C511" s="2" t="s">
        <v>48</v>
      </c>
      <c r="D511" s="2" t="s">
        <v>442</v>
      </c>
      <c r="E511" s="4">
        <v>299.99</v>
      </c>
      <c r="F511" s="4">
        <v>1431.21</v>
      </c>
      <c r="G511" s="3">
        <v>5</v>
      </c>
      <c r="H511" s="6">
        <v>4.5</v>
      </c>
      <c r="I511" s="3">
        <v>33</v>
      </c>
      <c r="J511" s="13" t="str">
        <f>HYPERLINK("https://amazon.com/dp/B0F3X5MSMM","Amazon - B0F3X5MSMM")</f>
        <v>Amazon - B0F3X5MSMM</v>
      </c>
      <c r="K511" s="14" t="s">
        <v>482</v>
      </c>
      <c r="L511" s="14" t="s">
        <v>461</v>
      </c>
      <c r="M511" s="14" t="s">
        <v>577</v>
      </c>
      <c r="N511" s="14" t="s">
        <v>446</v>
      </c>
      <c r="O511" s="14" t="s">
        <v>447</v>
      </c>
    </row>
    <row r="512" spans="1:15" ht="45" x14ac:dyDescent="0.2">
      <c r="A512" s="2" t="s">
        <v>1558</v>
      </c>
      <c r="B512" s="2" t="s">
        <v>1559</v>
      </c>
      <c r="C512" s="2" t="s">
        <v>64</v>
      </c>
      <c r="D512" s="2" t="s">
        <v>472</v>
      </c>
      <c r="E512" s="4">
        <v>249.99</v>
      </c>
      <c r="F512" s="4">
        <v>1430.96</v>
      </c>
      <c r="G512" s="3">
        <v>6</v>
      </c>
      <c r="H512" s="6">
        <v>0</v>
      </c>
      <c r="I512" s="3">
        <v>0</v>
      </c>
      <c r="J512" s="13" t="str">
        <f>HYPERLINK("https://amazon.com/dp/B0GK848VF5","Amazon - B0GK848VF5")</f>
        <v>Amazon - B0GK848VF5</v>
      </c>
      <c r="K512" s="14" t="s">
        <v>443</v>
      </c>
      <c r="L512" s="14" t="s">
        <v>456</v>
      </c>
      <c r="M512" s="14" t="s">
        <v>303</v>
      </c>
      <c r="N512" s="14" t="s">
        <v>446</v>
      </c>
      <c r="O512" s="14" t="s">
        <v>517</v>
      </c>
    </row>
    <row r="513" spans="1:15" ht="30" x14ac:dyDescent="0.2">
      <c r="A513" s="2" t="s">
        <v>1560</v>
      </c>
      <c r="B513" s="2" t="s">
        <v>1561</v>
      </c>
      <c r="C513" s="2" t="s">
        <v>19</v>
      </c>
      <c r="D513" s="2" t="s">
        <v>823</v>
      </c>
      <c r="E513" s="4">
        <v>99</v>
      </c>
      <c r="F513" s="4">
        <v>1426.03</v>
      </c>
      <c r="G513" s="3">
        <v>13</v>
      </c>
      <c r="H513" s="6">
        <v>4.3</v>
      </c>
      <c r="I513" s="3">
        <v>440</v>
      </c>
      <c r="J513" s="13" t="str">
        <f>HYPERLINK("https://amazon.com/dp/B07Q78WXFP","Amazon - B07Q78WXFP")</f>
        <v>Amazon - B07Q78WXFP</v>
      </c>
      <c r="K513" s="14" t="s">
        <v>443</v>
      </c>
      <c r="L513" s="14" t="s">
        <v>451</v>
      </c>
      <c r="M513" s="14" t="s">
        <v>1562</v>
      </c>
      <c r="N513" s="14" t="s">
        <v>446</v>
      </c>
      <c r="O513" s="14" t="s">
        <v>303</v>
      </c>
    </row>
    <row r="514" spans="1:15" ht="45" x14ac:dyDescent="0.2">
      <c r="A514" s="2" t="s">
        <v>1563</v>
      </c>
      <c r="B514" s="2" t="s">
        <v>1564</v>
      </c>
      <c r="C514" s="2" t="s">
        <v>32</v>
      </c>
      <c r="D514" s="2" t="s">
        <v>442</v>
      </c>
      <c r="E514" s="4">
        <v>49.99</v>
      </c>
      <c r="F514" s="4">
        <v>1419.23</v>
      </c>
      <c r="G514" s="3">
        <v>28</v>
      </c>
      <c r="H514" s="6">
        <v>4.7</v>
      </c>
      <c r="I514" s="3">
        <v>89</v>
      </c>
      <c r="J514" s="13" t="str">
        <f>HYPERLINK("https://amazon.com/dp/B0FMJ29TWN","Amazon - B0FMJ29TWN")</f>
        <v>Amazon - B0FMJ29TWN</v>
      </c>
      <c r="K514" s="14" t="s">
        <v>443</v>
      </c>
      <c r="L514" s="14" t="s">
        <v>303</v>
      </c>
      <c r="M514" s="14" t="s">
        <v>303</v>
      </c>
      <c r="N514" s="14" t="s">
        <v>452</v>
      </c>
      <c r="O514" s="14" t="s">
        <v>453</v>
      </c>
    </row>
    <row r="515" spans="1:15" ht="30" x14ac:dyDescent="0.2">
      <c r="A515" s="2" t="s">
        <v>1565</v>
      </c>
      <c r="B515" s="2" t="s">
        <v>1566</v>
      </c>
      <c r="C515" s="2" t="s">
        <v>13</v>
      </c>
      <c r="D515" s="2" t="s">
        <v>472</v>
      </c>
      <c r="E515" s="4">
        <v>699.99</v>
      </c>
      <c r="F515" s="4">
        <v>1418.74</v>
      </c>
      <c r="G515" s="3">
        <v>2</v>
      </c>
      <c r="H515" s="6">
        <v>4.0999999999999996</v>
      </c>
      <c r="I515" s="3">
        <v>24</v>
      </c>
      <c r="J515" s="13" t="str">
        <f>HYPERLINK("https://amazon.com/dp/B0B2JT9WQD","Amazon - B0B2JT9WQD")</f>
        <v>Amazon - B0B2JT9WQD</v>
      </c>
      <c r="K515" s="14" t="s">
        <v>443</v>
      </c>
      <c r="L515" s="14" t="s">
        <v>667</v>
      </c>
      <c r="M515" s="14" t="s">
        <v>303</v>
      </c>
      <c r="N515" s="14" t="s">
        <v>446</v>
      </c>
      <c r="O515" s="14" t="s">
        <v>517</v>
      </c>
    </row>
    <row r="516" spans="1:15" ht="30" x14ac:dyDescent="0.2">
      <c r="A516" s="2" t="s">
        <v>1567</v>
      </c>
      <c r="B516" s="2" t="s">
        <v>1568</v>
      </c>
      <c r="C516" s="2" t="s">
        <v>133</v>
      </c>
      <c r="D516" s="2" t="s">
        <v>450</v>
      </c>
      <c r="E516" s="4">
        <v>39</v>
      </c>
      <c r="F516" s="4">
        <v>1417.42</v>
      </c>
      <c r="G516" s="3">
        <v>34</v>
      </c>
      <c r="H516" s="6">
        <v>4.4000000000000004</v>
      </c>
      <c r="I516" s="3">
        <v>3</v>
      </c>
      <c r="J516" s="13" t="str">
        <f>HYPERLINK("https://amazon.com/dp/B0F9KTCD56","Amazon - B0F9KTCD56")</f>
        <v>Amazon - B0F9KTCD56</v>
      </c>
      <c r="K516" s="14" t="s">
        <v>443</v>
      </c>
      <c r="L516" s="14" t="s">
        <v>451</v>
      </c>
      <c r="M516" s="14" t="s">
        <v>303</v>
      </c>
      <c r="N516" s="14" t="s">
        <v>446</v>
      </c>
      <c r="O516" s="14" t="s">
        <v>543</v>
      </c>
    </row>
    <row r="517" spans="1:15" ht="45" x14ac:dyDescent="0.2">
      <c r="A517" s="2" t="s">
        <v>1569</v>
      </c>
      <c r="B517" s="2" t="s">
        <v>1570</v>
      </c>
      <c r="C517" s="2" t="s">
        <v>84</v>
      </c>
      <c r="D517" s="2" t="s">
        <v>442</v>
      </c>
      <c r="E517" s="4">
        <v>145.99</v>
      </c>
      <c r="F517" s="4">
        <v>1413.73</v>
      </c>
      <c r="G517" s="3">
        <v>10</v>
      </c>
      <c r="H517" s="6">
        <v>4.5</v>
      </c>
      <c r="I517" s="3">
        <v>18</v>
      </c>
      <c r="J517" s="13" t="str">
        <f>HYPERLINK("https://amazon.com/dp/B0BTHFGGMW","Amazon - B0BTHFGGMW")</f>
        <v>Amazon - B0BTHFGGMW</v>
      </c>
      <c r="K517" s="14" t="s">
        <v>443</v>
      </c>
      <c r="L517" s="14" t="s">
        <v>461</v>
      </c>
      <c r="M517" s="14" t="s">
        <v>462</v>
      </c>
      <c r="N517" s="14" t="s">
        <v>446</v>
      </c>
      <c r="O517" s="14" t="s">
        <v>1302</v>
      </c>
    </row>
    <row r="518" spans="1:15" ht="45" x14ac:dyDescent="0.2">
      <c r="A518" s="2" t="s">
        <v>1571</v>
      </c>
      <c r="B518" s="2" t="s">
        <v>1572</v>
      </c>
      <c r="C518" s="2" t="s">
        <v>39</v>
      </c>
      <c r="D518" s="2" t="s">
        <v>442</v>
      </c>
      <c r="E518" s="4">
        <v>129.99</v>
      </c>
      <c r="F518" s="4">
        <v>1412.44</v>
      </c>
      <c r="G518" s="3">
        <v>11</v>
      </c>
      <c r="H518" s="6">
        <v>5</v>
      </c>
      <c r="I518" s="3">
        <v>20</v>
      </c>
      <c r="J518" s="13" t="str">
        <f>HYPERLINK("https://amazon.com/dp/B0FYLV8TND","Amazon - B0FYLV8TND")</f>
        <v>Amazon - B0FYLV8TND</v>
      </c>
      <c r="K518" s="14" t="s">
        <v>443</v>
      </c>
      <c r="L518" s="14" t="s">
        <v>461</v>
      </c>
      <c r="M518" s="14" t="s">
        <v>577</v>
      </c>
      <c r="N518" s="14" t="s">
        <v>446</v>
      </c>
      <c r="O518" s="14" t="s">
        <v>447</v>
      </c>
    </row>
    <row r="519" spans="1:15" ht="45" x14ac:dyDescent="0.2">
      <c r="A519" s="2" t="s">
        <v>1573</v>
      </c>
      <c r="B519" s="2" t="s">
        <v>1574</v>
      </c>
      <c r="C519" s="2" t="s">
        <v>134</v>
      </c>
      <c r="D519" s="2" t="s">
        <v>472</v>
      </c>
      <c r="E519" s="4">
        <v>633.70000000000005</v>
      </c>
      <c r="F519" s="4">
        <v>1406.33</v>
      </c>
      <c r="G519" s="3">
        <v>2</v>
      </c>
      <c r="H519" s="6">
        <v>5</v>
      </c>
      <c r="I519" s="3">
        <v>1</v>
      </c>
      <c r="J519" s="13" t="str">
        <f>HYPERLINK("https://amazon.com/dp/B0FYPQBWQV","Amazon - B0FYPQBWQV")</f>
        <v>Amazon - B0FYPQBWQV</v>
      </c>
      <c r="K519" s="14" t="s">
        <v>443</v>
      </c>
      <c r="L519" s="14" t="s">
        <v>502</v>
      </c>
      <c r="M519" s="14" t="s">
        <v>303</v>
      </c>
      <c r="N519" s="14" t="s">
        <v>446</v>
      </c>
      <c r="O519" s="14" t="s">
        <v>809</v>
      </c>
    </row>
    <row r="520" spans="1:15" ht="45" x14ac:dyDescent="0.2">
      <c r="A520" s="2" t="s">
        <v>1575</v>
      </c>
      <c r="B520" s="2" t="s">
        <v>1576</v>
      </c>
      <c r="C520" s="2" t="s">
        <v>109</v>
      </c>
      <c r="D520" s="2" t="s">
        <v>823</v>
      </c>
      <c r="E520" s="4">
        <v>30.99</v>
      </c>
      <c r="F520" s="4">
        <v>1396.77</v>
      </c>
      <c r="G520" s="3">
        <v>45</v>
      </c>
      <c r="H520" s="6">
        <v>4.0999999999999996</v>
      </c>
      <c r="I520" s="3">
        <v>48</v>
      </c>
      <c r="J520" s="13" t="str">
        <f>HYPERLINK("https://amazon.com/dp/B09LTXDJBP","Amazon - B09LTXDJBP")</f>
        <v>Amazon - B09LTXDJBP</v>
      </c>
      <c r="K520" s="14" t="s">
        <v>443</v>
      </c>
      <c r="L520" s="14" t="s">
        <v>451</v>
      </c>
      <c r="M520" s="14" t="s">
        <v>445</v>
      </c>
      <c r="N520" s="14" t="s">
        <v>452</v>
      </c>
      <c r="O520" s="14" t="s">
        <v>745</v>
      </c>
    </row>
    <row r="521" spans="1:15" ht="45" x14ac:dyDescent="0.2">
      <c r="A521" s="2" t="s">
        <v>1577</v>
      </c>
      <c r="B521" s="2" t="s">
        <v>1578</v>
      </c>
      <c r="C521" s="2" t="s">
        <v>34</v>
      </c>
      <c r="D521" s="2" t="s">
        <v>450</v>
      </c>
      <c r="E521" s="4">
        <v>23.99</v>
      </c>
      <c r="F521" s="4">
        <v>1386.94</v>
      </c>
      <c r="G521" s="3">
        <v>58</v>
      </c>
      <c r="H521" s="6">
        <v>4.3</v>
      </c>
      <c r="I521" s="3">
        <v>639</v>
      </c>
      <c r="J521" s="13" t="str">
        <f>HYPERLINK("https://amazon.com/dp/B0FC2J5LXT","Amazon - B0FC2J5LXT")</f>
        <v>Amazon - B0FC2J5LXT</v>
      </c>
      <c r="K521" s="14" t="s">
        <v>443</v>
      </c>
      <c r="L521" s="14" t="s">
        <v>451</v>
      </c>
      <c r="M521" s="14" t="s">
        <v>303</v>
      </c>
      <c r="N521" s="14" t="s">
        <v>452</v>
      </c>
      <c r="O521" s="14" t="s">
        <v>453</v>
      </c>
    </row>
    <row r="522" spans="1:15" ht="45" x14ac:dyDescent="0.2">
      <c r="A522" s="2" t="s">
        <v>1579</v>
      </c>
      <c r="B522" s="2" t="s">
        <v>1580</v>
      </c>
      <c r="C522" s="2" t="s">
        <v>58</v>
      </c>
      <c r="D522" s="2" t="s">
        <v>472</v>
      </c>
      <c r="E522" s="4">
        <v>251.99</v>
      </c>
      <c r="F522" s="4">
        <v>1385.87</v>
      </c>
      <c r="G522" s="3">
        <v>5</v>
      </c>
      <c r="H522" s="6">
        <v>4.7</v>
      </c>
      <c r="I522" s="3">
        <v>5</v>
      </c>
      <c r="J522" s="13" t="str">
        <f>HYPERLINK("https://amazon.com/dp/B0FD9X6PY8","Amazon - B0FD9X6PY8")</f>
        <v>Amazon - B0FD9X6PY8</v>
      </c>
      <c r="K522" s="14" t="s">
        <v>443</v>
      </c>
      <c r="L522" s="14" t="s">
        <v>456</v>
      </c>
      <c r="M522" s="14" t="s">
        <v>503</v>
      </c>
      <c r="N522" s="14" t="s">
        <v>446</v>
      </c>
      <c r="O522" s="14" t="s">
        <v>517</v>
      </c>
    </row>
    <row r="523" spans="1:15" ht="45" x14ac:dyDescent="0.2">
      <c r="A523" s="2" t="s">
        <v>1581</v>
      </c>
      <c r="B523" s="2" t="s">
        <v>1582</v>
      </c>
      <c r="C523" s="2" t="s">
        <v>64</v>
      </c>
      <c r="D523" s="2" t="s">
        <v>472</v>
      </c>
      <c r="E523" s="4">
        <v>599.99</v>
      </c>
      <c r="F523" s="4">
        <v>1370.64</v>
      </c>
      <c r="G523" s="3">
        <v>2</v>
      </c>
      <c r="H523" s="6">
        <v>0</v>
      </c>
      <c r="I523" s="3">
        <v>0</v>
      </c>
      <c r="J523" s="13" t="str">
        <f>HYPERLINK("https://amazon.com/dp/B0GK6QP48Y","Amazon - B0GK6QP48Y")</f>
        <v>Amazon - B0GK6QP48Y</v>
      </c>
      <c r="K523" s="14" t="s">
        <v>443</v>
      </c>
      <c r="L523" s="14" t="s">
        <v>502</v>
      </c>
      <c r="M523" s="14" t="s">
        <v>303</v>
      </c>
      <c r="N523" s="14" t="s">
        <v>446</v>
      </c>
      <c r="O523" s="14" t="s">
        <v>570</v>
      </c>
    </row>
    <row r="524" spans="1:15" ht="45" x14ac:dyDescent="0.2">
      <c r="A524" s="2" t="s">
        <v>1583</v>
      </c>
      <c r="B524" s="2" t="s">
        <v>1584</v>
      </c>
      <c r="C524" s="2" t="s">
        <v>8</v>
      </c>
      <c r="D524" s="2" t="s">
        <v>442</v>
      </c>
      <c r="E524" s="4">
        <v>309.99</v>
      </c>
      <c r="F524" s="4">
        <v>1369.47</v>
      </c>
      <c r="G524" s="3">
        <v>4</v>
      </c>
      <c r="H524" s="6">
        <v>4.2</v>
      </c>
      <c r="I524" s="3">
        <v>45</v>
      </c>
      <c r="J524" s="13" t="str">
        <f>HYPERLINK("https://amazon.com/dp/B0D97DVVN3","Amazon - B0D97DVVN3")</f>
        <v>Amazon - B0D97DVVN3</v>
      </c>
      <c r="K524" s="14" t="s">
        <v>443</v>
      </c>
      <c r="L524" s="14" t="s">
        <v>461</v>
      </c>
      <c r="M524" s="14" t="s">
        <v>484</v>
      </c>
      <c r="N524" s="14" t="s">
        <v>446</v>
      </c>
      <c r="O524" s="14" t="s">
        <v>447</v>
      </c>
    </row>
    <row r="525" spans="1:15" ht="30" x14ac:dyDescent="0.2">
      <c r="A525" s="2" t="s">
        <v>1585</v>
      </c>
      <c r="B525" s="2" t="s">
        <v>1586</v>
      </c>
      <c r="C525" s="2" t="s">
        <v>18</v>
      </c>
      <c r="D525" s="2" t="s">
        <v>472</v>
      </c>
      <c r="E525" s="4">
        <v>29.98</v>
      </c>
      <c r="F525" s="4">
        <v>1361.73</v>
      </c>
      <c r="G525" s="3">
        <v>43</v>
      </c>
      <c r="H525" s="6">
        <v>4.5999999999999996</v>
      </c>
      <c r="I525" s="3">
        <v>396</v>
      </c>
      <c r="J525" s="13" t="str">
        <f>HYPERLINK("https://amazon.com/dp/B0DRSCP6DN","Amazon - B0DRSCP6DN")</f>
        <v>Amazon - B0DRSCP6DN</v>
      </c>
      <c r="K525" s="14" t="s">
        <v>443</v>
      </c>
      <c r="L525" s="14" t="s">
        <v>461</v>
      </c>
      <c r="M525" s="14" t="s">
        <v>303</v>
      </c>
      <c r="N525" s="14" t="s">
        <v>452</v>
      </c>
      <c r="O525" s="14" t="s">
        <v>453</v>
      </c>
    </row>
    <row r="526" spans="1:15" ht="45" x14ac:dyDescent="0.2">
      <c r="A526" s="2" t="s">
        <v>1587</v>
      </c>
      <c r="B526" s="2" t="s">
        <v>1588</v>
      </c>
      <c r="C526" s="2" t="s">
        <v>23</v>
      </c>
      <c r="D526" s="2" t="s">
        <v>472</v>
      </c>
      <c r="E526" s="4">
        <v>199</v>
      </c>
      <c r="F526" s="4">
        <v>1355.26</v>
      </c>
      <c r="G526" s="3">
        <v>7</v>
      </c>
      <c r="H526" s="6">
        <v>4.3</v>
      </c>
      <c r="I526" s="3">
        <v>14</v>
      </c>
      <c r="J526" s="13" t="str">
        <f>HYPERLINK("https://amazon.com/dp/B0D9NVFZNM","Amazon - B0D9NVFZNM")</f>
        <v>Amazon - B0D9NVFZNM</v>
      </c>
      <c r="K526" s="14" t="s">
        <v>443</v>
      </c>
      <c r="L526" s="14" t="s">
        <v>461</v>
      </c>
      <c r="M526" s="14" t="s">
        <v>688</v>
      </c>
      <c r="N526" s="14" t="s">
        <v>446</v>
      </c>
      <c r="O526" s="14" t="s">
        <v>904</v>
      </c>
    </row>
    <row r="527" spans="1:15" ht="45" x14ac:dyDescent="0.2">
      <c r="A527" s="2" t="s">
        <v>1589</v>
      </c>
      <c r="B527" s="2" t="s">
        <v>1590</v>
      </c>
      <c r="C527" s="2" t="s">
        <v>13</v>
      </c>
      <c r="D527" s="2" t="s">
        <v>472</v>
      </c>
      <c r="E527" s="4">
        <v>999.99</v>
      </c>
      <c r="F527" s="4">
        <v>1352.24</v>
      </c>
      <c r="G527" s="3">
        <v>1</v>
      </c>
      <c r="H527" s="6">
        <v>4.5999999999999996</v>
      </c>
      <c r="I527" s="3">
        <v>3</v>
      </c>
      <c r="J527" s="13" t="str">
        <f>HYPERLINK("https://amazon.com/dp/B0DSG5V4KZ","Amazon - B0DSG5V4KZ")</f>
        <v>Amazon - B0DSG5V4KZ</v>
      </c>
      <c r="K527" s="14" t="s">
        <v>443</v>
      </c>
      <c r="L527" s="14" t="s">
        <v>502</v>
      </c>
      <c r="M527" s="14" t="s">
        <v>565</v>
      </c>
      <c r="N527" s="14" t="s">
        <v>446</v>
      </c>
      <c r="O527" s="14" t="s">
        <v>725</v>
      </c>
    </row>
    <row r="528" spans="1:15" ht="45" x14ac:dyDescent="0.2">
      <c r="A528" s="2" t="s">
        <v>1591</v>
      </c>
      <c r="B528" s="2" t="s">
        <v>1592</v>
      </c>
      <c r="C528" s="2" t="s">
        <v>39</v>
      </c>
      <c r="D528" s="2" t="s">
        <v>472</v>
      </c>
      <c r="E528" s="4">
        <v>349.99</v>
      </c>
      <c r="F528" s="4">
        <v>1338.43</v>
      </c>
      <c r="G528" s="3">
        <v>4</v>
      </c>
      <c r="H528" s="6">
        <v>5</v>
      </c>
      <c r="I528" s="3">
        <v>3</v>
      </c>
      <c r="J528" s="13" t="str">
        <f>HYPERLINK("https://amazon.com/dp/B0FPG6FHCW","Amazon - B0FPG6FHCW")</f>
        <v>Amazon - B0FPG6FHCW</v>
      </c>
      <c r="K528" s="14" t="s">
        <v>443</v>
      </c>
      <c r="L528" s="14" t="s">
        <v>303</v>
      </c>
      <c r="M528" s="14" t="s">
        <v>303</v>
      </c>
      <c r="N528" s="14" t="s">
        <v>452</v>
      </c>
      <c r="O528" s="14" t="s">
        <v>303</v>
      </c>
    </row>
    <row r="529" spans="1:15" ht="45" x14ac:dyDescent="0.2">
      <c r="A529" s="2" t="s">
        <v>1593</v>
      </c>
      <c r="B529" s="2" t="s">
        <v>1594</v>
      </c>
      <c r="C529" s="2" t="s">
        <v>11</v>
      </c>
      <c r="D529" s="2" t="s">
        <v>442</v>
      </c>
      <c r="E529" s="4">
        <v>51.34</v>
      </c>
      <c r="F529" s="4">
        <v>1324.39</v>
      </c>
      <c r="G529" s="3">
        <v>22</v>
      </c>
      <c r="H529" s="6">
        <v>4.3</v>
      </c>
      <c r="I529" s="3">
        <v>305</v>
      </c>
      <c r="J529" s="13" t="str">
        <f>HYPERLINK("https://amazon.com/dp/B0DGTFVHF3","Amazon - B0DGTFVHF3")</f>
        <v>Amazon - B0DGTFVHF3</v>
      </c>
      <c r="K529" s="14" t="s">
        <v>443</v>
      </c>
      <c r="L529" s="14" t="s">
        <v>461</v>
      </c>
      <c r="M529" s="14" t="s">
        <v>303</v>
      </c>
      <c r="N529" s="14" t="s">
        <v>473</v>
      </c>
      <c r="O529" s="14" t="s">
        <v>946</v>
      </c>
    </row>
    <row r="530" spans="1:15" ht="45" x14ac:dyDescent="0.2">
      <c r="A530" s="2" t="s">
        <v>1595</v>
      </c>
      <c r="B530" s="2" t="s">
        <v>1596</v>
      </c>
      <c r="C530" s="2" t="s">
        <v>8</v>
      </c>
      <c r="D530" s="2" t="s">
        <v>442</v>
      </c>
      <c r="E530" s="4">
        <v>329.99</v>
      </c>
      <c r="F530" s="4">
        <v>1321.35</v>
      </c>
      <c r="G530" s="3">
        <v>4</v>
      </c>
      <c r="H530" s="6">
        <v>4.5999999999999996</v>
      </c>
      <c r="I530" s="3">
        <v>19</v>
      </c>
      <c r="J530" s="13" t="str">
        <f>HYPERLINK("https://amazon.com/dp/B0DRNW1YY9","Amazon - B0DRNW1YY9")</f>
        <v>Amazon - B0DRNW1YY9</v>
      </c>
      <c r="K530" s="14" t="s">
        <v>443</v>
      </c>
      <c r="L530" s="14" t="s">
        <v>483</v>
      </c>
      <c r="M530" s="14" t="s">
        <v>511</v>
      </c>
      <c r="N530" s="14" t="s">
        <v>446</v>
      </c>
      <c r="O530" s="14" t="s">
        <v>447</v>
      </c>
    </row>
    <row r="531" spans="1:15" ht="45" x14ac:dyDescent="0.2">
      <c r="A531" s="2" t="s">
        <v>1597</v>
      </c>
      <c r="B531" s="2" t="s">
        <v>1598</v>
      </c>
      <c r="C531" s="2" t="s">
        <v>96</v>
      </c>
      <c r="D531" s="2" t="s">
        <v>442</v>
      </c>
      <c r="E531" s="4">
        <v>159.99</v>
      </c>
      <c r="F531" s="4">
        <v>1318.04</v>
      </c>
      <c r="G531" s="3">
        <v>8</v>
      </c>
      <c r="H531" s="6">
        <v>4</v>
      </c>
      <c r="I531" s="3">
        <v>35</v>
      </c>
      <c r="J531" s="13" t="str">
        <f>HYPERLINK("https://amazon.com/dp/B0FH6P1X48","Amazon - B0FH6P1X48")</f>
        <v>Amazon - B0FH6P1X48</v>
      </c>
      <c r="K531" s="14" t="s">
        <v>443</v>
      </c>
      <c r="L531" s="14" t="s">
        <v>461</v>
      </c>
      <c r="M531" s="14" t="s">
        <v>511</v>
      </c>
      <c r="N531" s="14" t="s">
        <v>446</v>
      </c>
      <c r="O531" s="14" t="s">
        <v>447</v>
      </c>
    </row>
    <row r="532" spans="1:15" ht="45" x14ac:dyDescent="0.2">
      <c r="A532" s="2" t="s">
        <v>1599</v>
      </c>
      <c r="B532" s="2" t="s">
        <v>1600</v>
      </c>
      <c r="C532" s="2" t="s">
        <v>28</v>
      </c>
      <c r="D532" s="2" t="s">
        <v>450</v>
      </c>
      <c r="E532" s="4">
        <v>22.99</v>
      </c>
      <c r="F532" s="4">
        <v>1317.56</v>
      </c>
      <c r="G532" s="3">
        <v>57</v>
      </c>
      <c r="H532" s="6">
        <v>4</v>
      </c>
      <c r="I532" s="3">
        <v>171</v>
      </c>
      <c r="J532" s="13" t="str">
        <f>HYPERLINK("https://amazon.com/dp/B0DMWHM8FP","Amazon - B0DMWHM8FP")</f>
        <v>Amazon - B0DMWHM8FP</v>
      </c>
      <c r="K532" s="14" t="s">
        <v>443</v>
      </c>
      <c r="L532" s="14" t="s">
        <v>451</v>
      </c>
      <c r="M532" s="14" t="s">
        <v>445</v>
      </c>
      <c r="N532" s="14" t="s">
        <v>452</v>
      </c>
      <c r="O532" s="14" t="s">
        <v>608</v>
      </c>
    </row>
    <row r="533" spans="1:15" ht="45" x14ac:dyDescent="0.2">
      <c r="A533" s="2" t="s">
        <v>1601</v>
      </c>
      <c r="B533" s="2" t="s">
        <v>1602</v>
      </c>
      <c r="C533" s="2" t="s">
        <v>13</v>
      </c>
      <c r="D533" s="2" t="s">
        <v>472</v>
      </c>
      <c r="E533" s="4">
        <v>649.99</v>
      </c>
      <c r="F533" s="4">
        <v>1292.06</v>
      </c>
      <c r="G533" s="3">
        <v>2</v>
      </c>
      <c r="H533" s="6">
        <v>0</v>
      </c>
      <c r="I533" s="3">
        <v>0</v>
      </c>
      <c r="J533" s="13" t="str">
        <f>HYPERLINK("https://amazon.com/dp/B0DSG3K2FS","Amazon - B0DSG3K2FS")</f>
        <v>Amazon - B0DSG3K2FS</v>
      </c>
      <c r="K533" s="14" t="s">
        <v>443</v>
      </c>
      <c r="L533" s="14" t="s">
        <v>502</v>
      </c>
      <c r="M533" s="14" t="s">
        <v>565</v>
      </c>
      <c r="N533" s="14" t="s">
        <v>446</v>
      </c>
      <c r="O533" s="14" t="s">
        <v>856</v>
      </c>
    </row>
    <row r="534" spans="1:15" ht="45" x14ac:dyDescent="0.2">
      <c r="A534" s="2" t="s">
        <v>1603</v>
      </c>
      <c r="B534" s="2" t="s">
        <v>1604</v>
      </c>
      <c r="C534" s="2" t="s">
        <v>13</v>
      </c>
      <c r="D534" s="2" t="s">
        <v>472</v>
      </c>
      <c r="E534" s="4">
        <v>999.99</v>
      </c>
      <c r="F534" s="4">
        <v>1290.3699999999999</v>
      </c>
      <c r="G534" s="3">
        <v>1</v>
      </c>
      <c r="H534" s="6">
        <v>5</v>
      </c>
      <c r="I534" s="3">
        <v>3</v>
      </c>
      <c r="J534" s="13" t="str">
        <f>HYPERLINK("https://amazon.com/dp/B0D736PNX1","Amazon - B0D736PNX1")</f>
        <v>Amazon - B0D736PNX1</v>
      </c>
      <c r="K534" s="14" t="s">
        <v>443</v>
      </c>
      <c r="L534" s="14" t="s">
        <v>461</v>
      </c>
      <c r="M534" s="14" t="s">
        <v>565</v>
      </c>
      <c r="N534" s="14" t="s">
        <v>446</v>
      </c>
      <c r="O534" s="14" t="s">
        <v>570</v>
      </c>
    </row>
    <row r="535" spans="1:15" ht="30" x14ac:dyDescent="0.2">
      <c r="A535" s="2" t="s">
        <v>1605</v>
      </c>
      <c r="B535" s="2" t="s">
        <v>1606</v>
      </c>
      <c r="C535" s="2" t="s">
        <v>68</v>
      </c>
      <c r="D535" s="2" t="s">
        <v>472</v>
      </c>
      <c r="E535" s="4">
        <v>43.85</v>
      </c>
      <c r="F535" s="4">
        <v>1289.06</v>
      </c>
      <c r="G535" s="3">
        <v>21</v>
      </c>
      <c r="H535" s="6">
        <v>3.9</v>
      </c>
      <c r="I535" s="3">
        <v>119</v>
      </c>
      <c r="J535" s="13" t="str">
        <f>HYPERLINK("https://amazon.com/dp/B0CS5R7THJ","Amazon - B0CS5R7THJ")</f>
        <v>Amazon - B0CS5R7THJ</v>
      </c>
      <c r="K535" s="14" t="s">
        <v>443</v>
      </c>
      <c r="L535" s="14" t="s">
        <v>461</v>
      </c>
      <c r="M535" s="14" t="s">
        <v>303</v>
      </c>
      <c r="N535" s="14" t="s">
        <v>473</v>
      </c>
      <c r="O535" s="14" t="s">
        <v>479</v>
      </c>
    </row>
    <row r="536" spans="1:15" ht="45" x14ac:dyDescent="0.2">
      <c r="A536" s="2" t="s">
        <v>1607</v>
      </c>
      <c r="B536" s="2" t="s">
        <v>1608</v>
      </c>
      <c r="C536" s="2" t="s">
        <v>24</v>
      </c>
      <c r="D536" s="2" t="s">
        <v>823</v>
      </c>
      <c r="E536" s="4">
        <v>55.98</v>
      </c>
      <c r="F536" s="4">
        <v>1272.24</v>
      </c>
      <c r="G536" s="3">
        <v>23</v>
      </c>
      <c r="H536" s="6">
        <v>4.3</v>
      </c>
      <c r="I536" s="3">
        <v>220</v>
      </c>
      <c r="J536" s="13" t="str">
        <f>HYPERLINK("https://amazon.com/dp/B08PP4P6WD","Amazon - B08PP4P6WD")</f>
        <v>Amazon - B08PP4P6WD</v>
      </c>
      <c r="K536" s="14" t="s">
        <v>443</v>
      </c>
      <c r="L536" s="14" t="s">
        <v>451</v>
      </c>
      <c r="M536" s="14" t="s">
        <v>715</v>
      </c>
      <c r="N536" s="14" t="s">
        <v>452</v>
      </c>
      <c r="O536" s="14" t="s">
        <v>447</v>
      </c>
    </row>
    <row r="537" spans="1:15" x14ac:dyDescent="0.2">
      <c r="A537" s="2" t="s">
        <v>1609</v>
      </c>
      <c r="B537" s="2" t="s">
        <v>1610</v>
      </c>
      <c r="C537" s="2" t="s">
        <v>140</v>
      </c>
      <c r="D537" s="2" t="s">
        <v>442</v>
      </c>
      <c r="E537" s="4">
        <v>599</v>
      </c>
      <c r="F537" s="4">
        <v>1272.1300000000001</v>
      </c>
      <c r="G537" s="3">
        <v>2</v>
      </c>
      <c r="H537" s="6">
        <v>0</v>
      </c>
      <c r="I537" s="3">
        <v>0</v>
      </c>
      <c r="J537" s="13" t="str">
        <f>HYPERLINK("https://amazon.com/dp/B0C8161FYD","Amazon - B0C8161FYD")</f>
        <v>Amazon - B0C8161FYD</v>
      </c>
      <c r="K537" s="14" t="s">
        <v>443</v>
      </c>
      <c r="L537" s="14" t="s">
        <v>303</v>
      </c>
      <c r="M537" s="14" t="s">
        <v>303</v>
      </c>
      <c r="N537" s="14" t="s">
        <v>446</v>
      </c>
      <c r="O537" s="14" t="s">
        <v>303</v>
      </c>
    </row>
    <row r="538" spans="1:15" ht="30" x14ac:dyDescent="0.2">
      <c r="A538" s="2" t="s">
        <v>1611</v>
      </c>
      <c r="B538" s="2" t="s">
        <v>1612</v>
      </c>
      <c r="C538" s="2" t="s">
        <v>53</v>
      </c>
      <c r="D538" s="2" t="s">
        <v>450</v>
      </c>
      <c r="E538" s="4">
        <v>14.99</v>
      </c>
      <c r="F538" s="4">
        <v>1270.6400000000001</v>
      </c>
      <c r="G538" s="3">
        <v>85</v>
      </c>
      <c r="H538" s="6">
        <v>4.3</v>
      </c>
      <c r="I538" s="3">
        <v>427</v>
      </c>
      <c r="J538" s="13" t="str">
        <f>HYPERLINK("https://amazon.com/dp/B0F9WJQ1WH","Amazon - B0F9WJQ1WH")</f>
        <v>Amazon - B0F9WJQ1WH</v>
      </c>
      <c r="K538" s="14" t="s">
        <v>443</v>
      </c>
      <c r="L538" s="14" t="s">
        <v>451</v>
      </c>
      <c r="M538" s="14" t="s">
        <v>445</v>
      </c>
      <c r="N538" s="14" t="s">
        <v>446</v>
      </c>
      <c r="O538" s="14" t="s">
        <v>453</v>
      </c>
    </row>
    <row r="539" spans="1:15" ht="30" x14ac:dyDescent="0.2">
      <c r="A539" s="2" t="s">
        <v>1613</v>
      </c>
      <c r="B539" s="2" t="s">
        <v>1614</v>
      </c>
      <c r="C539" s="2" t="s">
        <v>63</v>
      </c>
      <c r="D539" s="2" t="s">
        <v>442</v>
      </c>
      <c r="E539" s="4">
        <v>89.99</v>
      </c>
      <c r="F539" s="4">
        <v>1269.5899999999999</v>
      </c>
      <c r="G539" s="3">
        <v>13</v>
      </c>
      <c r="H539" s="6">
        <v>5</v>
      </c>
      <c r="I539" s="3">
        <v>8</v>
      </c>
      <c r="J539" s="13" t="str">
        <f>HYPERLINK("https://amazon.com/dp/B0FKG3KVM7","Amazon - B0FKG3KVM7")</f>
        <v>Amazon - B0FKG3KVM7</v>
      </c>
      <c r="K539" s="14" t="s">
        <v>443</v>
      </c>
      <c r="L539" s="14" t="s">
        <v>461</v>
      </c>
      <c r="M539" s="14" t="s">
        <v>484</v>
      </c>
      <c r="N539" s="14" t="s">
        <v>446</v>
      </c>
      <c r="O539" s="14" t="s">
        <v>303</v>
      </c>
    </row>
    <row r="540" spans="1:15" ht="30" x14ac:dyDescent="0.2">
      <c r="A540" s="2" t="s">
        <v>1615</v>
      </c>
      <c r="B540" s="2" t="s">
        <v>1616</v>
      </c>
      <c r="C540" s="2" t="s">
        <v>139</v>
      </c>
      <c r="D540" s="2" t="s">
        <v>472</v>
      </c>
      <c r="E540" s="4">
        <v>146.04</v>
      </c>
      <c r="F540" s="4">
        <v>1265.1300000000001</v>
      </c>
      <c r="G540" s="3">
        <v>8</v>
      </c>
      <c r="H540" s="6">
        <v>5</v>
      </c>
      <c r="I540" s="3">
        <v>1</v>
      </c>
      <c r="J540" s="13" t="str">
        <f>HYPERLINK("https://amazon.com/dp/B0CJFX7FMY","Amazon - B0CJFX7FMY")</f>
        <v>Amazon - B0CJFX7FMY</v>
      </c>
      <c r="K540" s="14" t="s">
        <v>443</v>
      </c>
      <c r="L540" s="14" t="s">
        <v>303</v>
      </c>
      <c r="M540" s="14" t="s">
        <v>503</v>
      </c>
      <c r="N540" s="14" t="s">
        <v>446</v>
      </c>
      <c r="O540" s="14" t="s">
        <v>303</v>
      </c>
    </row>
    <row r="541" spans="1:15" ht="45" x14ac:dyDescent="0.2">
      <c r="A541" s="2" t="s">
        <v>1617</v>
      </c>
      <c r="B541" s="2" t="s">
        <v>1618</v>
      </c>
      <c r="C541" s="2" t="s">
        <v>141</v>
      </c>
      <c r="D541" s="2" t="s">
        <v>472</v>
      </c>
      <c r="E541" s="4">
        <v>227.99</v>
      </c>
      <c r="F541" s="4">
        <v>1258.95</v>
      </c>
      <c r="G541" s="3">
        <v>5</v>
      </c>
      <c r="H541" s="6">
        <v>3.8</v>
      </c>
      <c r="I541" s="3">
        <v>30</v>
      </c>
      <c r="J541" s="13" t="str">
        <f>HYPERLINK("https://amazon.com/dp/B0CVXKQ5YB","Amazon - B0CVXKQ5YB")</f>
        <v>Amazon - B0CVXKQ5YB</v>
      </c>
      <c r="K541" s="14" t="s">
        <v>443</v>
      </c>
      <c r="L541" s="14" t="s">
        <v>456</v>
      </c>
      <c r="M541" s="14" t="s">
        <v>303</v>
      </c>
      <c r="N541" s="14" t="s">
        <v>446</v>
      </c>
      <c r="O541" s="14" t="s">
        <v>517</v>
      </c>
    </row>
    <row r="542" spans="1:15" ht="45" x14ac:dyDescent="0.2">
      <c r="A542" s="2" t="s">
        <v>1619</v>
      </c>
      <c r="B542" s="2" t="s">
        <v>1620</v>
      </c>
      <c r="C542" s="2" t="s">
        <v>33</v>
      </c>
      <c r="D542" s="2" t="s">
        <v>472</v>
      </c>
      <c r="E542" s="4">
        <v>299.99</v>
      </c>
      <c r="F542" s="4">
        <v>1257.1099999999999</v>
      </c>
      <c r="G542" s="3">
        <v>4</v>
      </c>
      <c r="H542" s="6">
        <v>4.3</v>
      </c>
      <c r="I542" s="3">
        <v>53</v>
      </c>
      <c r="J542" s="13" t="str">
        <f>HYPERLINK("https://amazon.com/dp/B0FGH213B8","Amazon - B0FGH213B8")</f>
        <v>Amazon - B0FGH213B8</v>
      </c>
      <c r="K542" s="14" t="s">
        <v>443</v>
      </c>
      <c r="L542" s="14" t="s">
        <v>667</v>
      </c>
      <c r="M542" s="14" t="s">
        <v>303</v>
      </c>
      <c r="N542" s="14" t="s">
        <v>446</v>
      </c>
      <c r="O542" s="14" t="s">
        <v>517</v>
      </c>
    </row>
    <row r="543" spans="1:15" ht="30" x14ac:dyDescent="0.2">
      <c r="A543" s="2" t="s">
        <v>1621</v>
      </c>
      <c r="B543" s="2" t="s">
        <v>1622</v>
      </c>
      <c r="C543" s="2" t="s">
        <v>8</v>
      </c>
      <c r="D543" s="2" t="s">
        <v>442</v>
      </c>
      <c r="E543" s="4">
        <v>69.989999999999995</v>
      </c>
      <c r="F543" s="4">
        <v>1256.29</v>
      </c>
      <c r="G543" s="3">
        <v>18</v>
      </c>
      <c r="H543" s="6">
        <v>5</v>
      </c>
      <c r="I543" s="3">
        <v>4</v>
      </c>
      <c r="J543" s="13" t="str">
        <f>HYPERLINK("https://amazon.com/dp/B0DBHT4HVX","Amazon - B0DBHT4HVX")</f>
        <v>Amazon - B0DBHT4HVX</v>
      </c>
      <c r="K543" s="14" t="s">
        <v>443</v>
      </c>
      <c r="L543" s="14" t="s">
        <v>303</v>
      </c>
      <c r="M543" s="14" t="s">
        <v>511</v>
      </c>
      <c r="N543" s="14" t="s">
        <v>446</v>
      </c>
      <c r="O543" s="14" t="s">
        <v>543</v>
      </c>
    </row>
    <row r="544" spans="1:15" ht="45" x14ac:dyDescent="0.2">
      <c r="A544" s="2" t="s">
        <v>1623</v>
      </c>
      <c r="B544" s="2" t="s">
        <v>1624</v>
      </c>
      <c r="C544" s="2" t="s">
        <v>9</v>
      </c>
      <c r="D544" s="2" t="s">
        <v>442</v>
      </c>
      <c r="E544" s="4">
        <v>49.99</v>
      </c>
      <c r="F544" s="4">
        <v>1255.24</v>
      </c>
      <c r="G544" s="3">
        <v>25</v>
      </c>
      <c r="H544" s="6">
        <v>4.4000000000000004</v>
      </c>
      <c r="I544" s="3">
        <v>4303</v>
      </c>
      <c r="J544" s="13" t="str">
        <f>HYPERLINK("https://amazon.com/dp/B095K8XHY2","Amazon - B095K8XHY2")</f>
        <v>Amazon - B095K8XHY2</v>
      </c>
      <c r="K544" s="14" t="s">
        <v>443</v>
      </c>
      <c r="L544" s="14" t="s">
        <v>456</v>
      </c>
      <c r="M544" s="14" t="s">
        <v>462</v>
      </c>
      <c r="N544" s="14" t="s">
        <v>446</v>
      </c>
      <c r="O544" s="14" t="s">
        <v>453</v>
      </c>
    </row>
    <row r="545" spans="1:15" ht="45" x14ac:dyDescent="0.2">
      <c r="A545" s="2" t="s">
        <v>1625</v>
      </c>
      <c r="B545" s="2" t="s">
        <v>1626</v>
      </c>
      <c r="C545" s="2" t="s">
        <v>72</v>
      </c>
      <c r="D545" s="2" t="s">
        <v>472</v>
      </c>
      <c r="E545" s="4">
        <v>258</v>
      </c>
      <c r="F545" s="4">
        <v>1253.5899999999999</v>
      </c>
      <c r="G545" s="3">
        <v>5</v>
      </c>
      <c r="H545" s="6">
        <v>5</v>
      </c>
      <c r="I545" s="3">
        <v>1</v>
      </c>
      <c r="J545" s="13" t="str">
        <f>HYPERLINK("https://amazon.com/dp/B0FS5XY5M3","Amazon - B0FS5XY5M3")</f>
        <v>Amazon - B0FS5XY5M3</v>
      </c>
      <c r="K545" s="14" t="s">
        <v>443</v>
      </c>
      <c r="L545" s="14" t="s">
        <v>667</v>
      </c>
      <c r="M545" s="14" t="s">
        <v>303</v>
      </c>
      <c r="N545" s="14" t="s">
        <v>446</v>
      </c>
      <c r="O545" s="14" t="s">
        <v>517</v>
      </c>
    </row>
    <row r="546" spans="1:15" ht="45" x14ac:dyDescent="0.2">
      <c r="A546" s="2" t="s">
        <v>1627</v>
      </c>
      <c r="B546" s="2" t="s">
        <v>1628</v>
      </c>
      <c r="C546" s="2" t="s">
        <v>81</v>
      </c>
      <c r="D546" s="2" t="s">
        <v>472</v>
      </c>
      <c r="E546" s="4">
        <v>429.99</v>
      </c>
      <c r="F546" s="4">
        <v>1233.96</v>
      </c>
      <c r="G546" s="3">
        <v>3</v>
      </c>
      <c r="H546" s="6">
        <v>4</v>
      </c>
      <c r="I546" s="3">
        <v>13</v>
      </c>
      <c r="J546" s="13" t="str">
        <f>HYPERLINK("https://amazon.com/dp/B0F2MLQ4F3","Amazon - B0F2MLQ4F3")</f>
        <v>Amazon - B0F2MLQ4F3</v>
      </c>
      <c r="K546" s="14" t="s">
        <v>443</v>
      </c>
      <c r="L546" s="14" t="s">
        <v>667</v>
      </c>
      <c r="M546" s="14" t="s">
        <v>565</v>
      </c>
      <c r="N546" s="14" t="s">
        <v>452</v>
      </c>
      <c r="O546" s="14" t="s">
        <v>742</v>
      </c>
    </row>
    <row r="547" spans="1:15" ht="45" x14ac:dyDescent="0.2">
      <c r="A547" s="2" t="s">
        <v>1629</v>
      </c>
      <c r="B547" s="2" t="s">
        <v>1630</v>
      </c>
      <c r="C547" s="2" t="s">
        <v>97</v>
      </c>
      <c r="D547" s="2" t="s">
        <v>442</v>
      </c>
      <c r="E547" s="4">
        <v>488</v>
      </c>
      <c r="F547" s="4">
        <v>1233.8800000000001</v>
      </c>
      <c r="G547" s="3">
        <v>3</v>
      </c>
      <c r="H547" s="6">
        <v>2</v>
      </c>
      <c r="I547" s="3">
        <v>1</v>
      </c>
      <c r="J547" s="13" t="str">
        <f>HYPERLINK("https://amazon.com/dp/B0F2F2X365","Amazon - B0F2F2X365")</f>
        <v>Amazon - B0F2F2X365</v>
      </c>
      <c r="K547" s="14" t="s">
        <v>443</v>
      </c>
      <c r="L547" s="14" t="s">
        <v>461</v>
      </c>
      <c r="M547" s="14" t="s">
        <v>303</v>
      </c>
      <c r="N547" s="14" t="s">
        <v>446</v>
      </c>
      <c r="O547" s="14" t="s">
        <v>303</v>
      </c>
    </row>
    <row r="548" spans="1:15" ht="45" x14ac:dyDescent="0.2">
      <c r="A548" s="2" t="s">
        <v>1631</v>
      </c>
      <c r="B548" s="2" t="s">
        <v>1632</v>
      </c>
      <c r="C548" s="2" t="s">
        <v>142</v>
      </c>
      <c r="D548" s="2" t="s">
        <v>450</v>
      </c>
      <c r="E548" s="4">
        <v>69.989999999999995</v>
      </c>
      <c r="F548" s="4">
        <v>1233.6500000000001</v>
      </c>
      <c r="G548" s="3">
        <v>18</v>
      </c>
      <c r="H548" s="6">
        <v>4.4000000000000004</v>
      </c>
      <c r="I548" s="3">
        <v>108</v>
      </c>
      <c r="J548" s="13" t="str">
        <f>HYPERLINK("https://amazon.com/dp/B09QWDF3SJ","Amazon - B09QWDF3SJ")</f>
        <v>Amazon - B09QWDF3SJ</v>
      </c>
      <c r="K548" s="14" t="s">
        <v>443</v>
      </c>
      <c r="L548" s="14" t="s">
        <v>303</v>
      </c>
      <c r="M548" s="14" t="s">
        <v>303</v>
      </c>
      <c r="N548" s="14" t="s">
        <v>446</v>
      </c>
      <c r="O548" s="14" t="s">
        <v>303</v>
      </c>
    </row>
    <row r="549" spans="1:15" ht="45" x14ac:dyDescent="0.2">
      <c r="A549" s="2" t="s">
        <v>1633</v>
      </c>
      <c r="B549" s="2" t="s">
        <v>1634</v>
      </c>
      <c r="C549" s="2" t="s">
        <v>15</v>
      </c>
      <c r="D549" s="2" t="s">
        <v>442</v>
      </c>
      <c r="E549" s="4">
        <v>145.99</v>
      </c>
      <c r="F549" s="4">
        <v>1233.5899999999999</v>
      </c>
      <c r="G549" s="3">
        <v>9</v>
      </c>
      <c r="H549" s="6">
        <v>4</v>
      </c>
      <c r="I549" s="3">
        <v>2</v>
      </c>
      <c r="J549" s="13" t="str">
        <f>HYPERLINK("https://amazon.com/dp/B0FHCQYXRP","Amazon - B0FHCQYXRP")</f>
        <v>Amazon - B0FHCQYXRP</v>
      </c>
      <c r="K549" s="14" t="s">
        <v>443</v>
      </c>
      <c r="L549" s="14" t="s">
        <v>303</v>
      </c>
      <c r="M549" s="14" t="s">
        <v>457</v>
      </c>
      <c r="N549" s="14" t="s">
        <v>446</v>
      </c>
      <c r="O549" s="14" t="s">
        <v>487</v>
      </c>
    </row>
    <row r="550" spans="1:15" ht="45" x14ac:dyDescent="0.2">
      <c r="A550" s="2" t="s">
        <v>1635</v>
      </c>
      <c r="B550" s="2" t="s">
        <v>974</v>
      </c>
      <c r="C550" s="2" t="s">
        <v>22</v>
      </c>
      <c r="D550" s="2" t="s">
        <v>450</v>
      </c>
      <c r="E550" s="4">
        <v>20.99</v>
      </c>
      <c r="F550" s="4">
        <v>1228.6300000000001</v>
      </c>
      <c r="G550" s="3">
        <v>48</v>
      </c>
      <c r="H550" s="6">
        <v>4.3</v>
      </c>
      <c r="I550" s="3">
        <v>889</v>
      </c>
      <c r="J550" s="13" t="str">
        <f>HYPERLINK("https://amazon.com/dp/B0CQT6TS2T","Amazon - B0CQT6TS2T")</f>
        <v>Amazon - B0CQT6TS2T</v>
      </c>
      <c r="K550" s="14" t="s">
        <v>443</v>
      </c>
      <c r="L550" s="14" t="s">
        <v>451</v>
      </c>
      <c r="M550" s="14" t="s">
        <v>303</v>
      </c>
      <c r="N550" s="14" t="s">
        <v>446</v>
      </c>
      <c r="O550" s="14" t="s">
        <v>453</v>
      </c>
    </row>
    <row r="551" spans="1:15" ht="45" x14ac:dyDescent="0.2">
      <c r="A551" s="2" t="s">
        <v>1636</v>
      </c>
      <c r="B551" s="2" t="s">
        <v>1637</v>
      </c>
      <c r="C551" s="2" t="s">
        <v>68</v>
      </c>
      <c r="D551" s="2" t="s">
        <v>472</v>
      </c>
      <c r="E551" s="4">
        <v>47.01</v>
      </c>
      <c r="F551" s="4">
        <v>1228</v>
      </c>
      <c r="G551" s="3">
        <v>20</v>
      </c>
      <c r="H551" s="6">
        <v>4.4000000000000004</v>
      </c>
      <c r="I551" s="3">
        <v>26</v>
      </c>
      <c r="J551" s="13" t="str">
        <f>HYPERLINK("https://amazon.com/dp/B0D69779K8","Amazon - B0D69779K8")</f>
        <v>Amazon - B0D69779K8</v>
      </c>
      <c r="K551" s="14" t="s">
        <v>443</v>
      </c>
      <c r="L551" s="14" t="s">
        <v>461</v>
      </c>
      <c r="M551" s="14" t="s">
        <v>303</v>
      </c>
      <c r="N551" s="14" t="s">
        <v>473</v>
      </c>
      <c r="O551" s="14" t="s">
        <v>453</v>
      </c>
    </row>
    <row r="552" spans="1:15" ht="45" x14ac:dyDescent="0.2">
      <c r="A552" s="2" t="s">
        <v>1638</v>
      </c>
      <c r="B552" s="2" t="s">
        <v>1639</v>
      </c>
      <c r="C552" s="2" t="s">
        <v>26</v>
      </c>
      <c r="D552" s="2" t="s">
        <v>442</v>
      </c>
      <c r="E552" s="4">
        <v>19.98</v>
      </c>
      <c r="F552" s="4">
        <v>1227.29</v>
      </c>
      <c r="G552" s="3">
        <v>60</v>
      </c>
      <c r="H552" s="6">
        <v>4.2</v>
      </c>
      <c r="I552" s="3">
        <v>54</v>
      </c>
      <c r="J552" s="13" t="str">
        <f>HYPERLINK("https://amazon.com/dp/B0DKHMFTVN","Amazon - B0DKHMFTVN")</f>
        <v>Amazon - B0DKHMFTVN</v>
      </c>
      <c r="K552" s="14" t="s">
        <v>443</v>
      </c>
      <c r="L552" s="14" t="s">
        <v>456</v>
      </c>
      <c r="M552" s="14" t="s">
        <v>462</v>
      </c>
      <c r="N552" s="14" t="s">
        <v>446</v>
      </c>
      <c r="O552" s="14" t="s">
        <v>453</v>
      </c>
    </row>
    <row r="553" spans="1:15" ht="45" x14ac:dyDescent="0.2">
      <c r="A553" s="2" t="s">
        <v>1640</v>
      </c>
      <c r="B553" s="2" t="s">
        <v>1641</v>
      </c>
      <c r="C553" s="2" t="s">
        <v>79</v>
      </c>
      <c r="D553" s="2" t="s">
        <v>472</v>
      </c>
      <c r="E553" s="4">
        <v>379.99</v>
      </c>
      <c r="F553" s="4">
        <v>1219.6099999999999</v>
      </c>
      <c r="G553" s="3">
        <v>3</v>
      </c>
      <c r="H553" s="6">
        <v>5</v>
      </c>
      <c r="I553" s="3">
        <v>1</v>
      </c>
      <c r="J553" s="13" t="str">
        <f>HYPERLINK("https://amazon.com/dp/B0FLK3ZTQX","Amazon - B0FLK3ZTQX")</f>
        <v>Amazon - B0FLK3ZTQX</v>
      </c>
      <c r="K553" s="14" t="s">
        <v>443</v>
      </c>
      <c r="L553" s="14" t="s">
        <v>461</v>
      </c>
      <c r="M553" s="14" t="s">
        <v>565</v>
      </c>
      <c r="N553" s="14" t="s">
        <v>446</v>
      </c>
      <c r="O553" s="14" t="s">
        <v>303</v>
      </c>
    </row>
    <row r="554" spans="1:15" ht="45" x14ac:dyDescent="0.2">
      <c r="A554" s="2" t="s">
        <v>1642</v>
      </c>
      <c r="B554" s="2" t="s">
        <v>1643</v>
      </c>
      <c r="C554" s="2" t="s">
        <v>129</v>
      </c>
      <c r="D554" s="2" t="s">
        <v>472</v>
      </c>
      <c r="E554" s="4">
        <v>509.99</v>
      </c>
      <c r="F554" s="4">
        <v>1219.29</v>
      </c>
      <c r="G554" s="3">
        <v>2</v>
      </c>
      <c r="H554" s="6">
        <v>0</v>
      </c>
      <c r="I554" s="3">
        <v>0</v>
      </c>
      <c r="J554" s="13" t="str">
        <f>HYPERLINK("https://amazon.com/dp/B0DBYQ2F4S","Amazon - B0DBYQ2F4S")</f>
        <v>Amazon - B0DBYQ2F4S</v>
      </c>
      <c r="K554" s="14" t="s">
        <v>443</v>
      </c>
      <c r="L554" s="14" t="s">
        <v>502</v>
      </c>
      <c r="M554" s="14" t="s">
        <v>303</v>
      </c>
      <c r="N554" s="14" t="s">
        <v>446</v>
      </c>
      <c r="O554" s="14" t="s">
        <v>809</v>
      </c>
    </row>
    <row r="555" spans="1:15" ht="45" x14ac:dyDescent="0.2">
      <c r="A555" s="2" t="s">
        <v>1644</v>
      </c>
      <c r="B555" s="2" t="s">
        <v>1645</v>
      </c>
      <c r="C555" s="2" t="s">
        <v>85</v>
      </c>
      <c r="D555" s="2" t="s">
        <v>450</v>
      </c>
      <c r="E555" s="4">
        <v>49.99</v>
      </c>
      <c r="F555" s="4">
        <v>1209.48</v>
      </c>
      <c r="G555" s="3">
        <v>23</v>
      </c>
      <c r="H555" s="6">
        <v>2.5</v>
      </c>
      <c r="I555" s="3">
        <v>2</v>
      </c>
      <c r="J555" s="13" t="str">
        <f>HYPERLINK("https://amazon.com/dp/B0FWQ9CYQ1","Amazon - B0FWQ9CYQ1")</f>
        <v>Amazon - B0FWQ9CYQ1</v>
      </c>
      <c r="K555" s="14" t="s">
        <v>443</v>
      </c>
      <c r="L555" s="14" t="s">
        <v>303</v>
      </c>
      <c r="M555" s="14" t="s">
        <v>462</v>
      </c>
      <c r="N555" s="14" t="s">
        <v>446</v>
      </c>
      <c r="O555" s="14" t="s">
        <v>303</v>
      </c>
    </row>
    <row r="556" spans="1:15" ht="45" x14ac:dyDescent="0.2">
      <c r="A556" s="2" t="s">
        <v>1646</v>
      </c>
      <c r="B556" s="2" t="s">
        <v>1647</v>
      </c>
      <c r="C556" s="2" t="s">
        <v>79</v>
      </c>
      <c r="D556" s="2" t="s">
        <v>472</v>
      </c>
      <c r="E556" s="4">
        <v>599.99</v>
      </c>
      <c r="F556" s="4">
        <v>1209.04</v>
      </c>
      <c r="G556" s="3">
        <v>2</v>
      </c>
      <c r="H556" s="6">
        <v>0</v>
      </c>
      <c r="I556" s="3">
        <v>0</v>
      </c>
      <c r="J556" s="13" t="str">
        <f>HYPERLINK("https://amazon.com/dp/B0FN3Y3BQ9","Amazon - B0FN3Y3BQ9")</f>
        <v>Amazon - B0FN3Y3BQ9</v>
      </c>
      <c r="K556" s="14" t="s">
        <v>443</v>
      </c>
      <c r="L556" s="14" t="s">
        <v>502</v>
      </c>
      <c r="M556" s="14" t="s">
        <v>565</v>
      </c>
      <c r="N556" s="14" t="s">
        <v>446</v>
      </c>
      <c r="O556" s="14" t="s">
        <v>517</v>
      </c>
    </row>
    <row r="557" spans="1:15" ht="45" x14ac:dyDescent="0.2">
      <c r="A557" s="2" t="s">
        <v>1648</v>
      </c>
      <c r="B557" s="2" t="s">
        <v>1649</v>
      </c>
      <c r="C557" s="2" t="s">
        <v>40</v>
      </c>
      <c r="D557" s="2" t="s">
        <v>472</v>
      </c>
      <c r="E557" s="4">
        <v>209.99</v>
      </c>
      <c r="F557" s="4">
        <v>1208.82</v>
      </c>
      <c r="G557" s="3">
        <v>6</v>
      </c>
      <c r="H557" s="6">
        <v>5</v>
      </c>
      <c r="I557" s="3">
        <v>1</v>
      </c>
      <c r="J557" s="13" t="str">
        <f>HYPERLINK("https://amazon.com/dp/B0GK5N8CSX","Amazon - B0GK5N8CSX")</f>
        <v>Amazon - B0GK5N8CSX</v>
      </c>
      <c r="K557" s="14" t="s">
        <v>443</v>
      </c>
      <c r="L557" s="14" t="s">
        <v>456</v>
      </c>
      <c r="M557" s="14" t="s">
        <v>688</v>
      </c>
      <c r="N557" s="14" t="s">
        <v>446</v>
      </c>
      <c r="O557" s="14" t="s">
        <v>742</v>
      </c>
    </row>
    <row r="558" spans="1:15" ht="45" x14ac:dyDescent="0.2">
      <c r="A558" s="2" t="s">
        <v>1650</v>
      </c>
      <c r="B558" s="2" t="s">
        <v>1651</v>
      </c>
      <c r="C558" s="2" t="s">
        <v>40</v>
      </c>
      <c r="D558" s="2" t="s">
        <v>472</v>
      </c>
      <c r="E558" s="4">
        <v>399.99</v>
      </c>
      <c r="F558" s="4">
        <v>1208.1400000000001</v>
      </c>
      <c r="G558" s="3">
        <v>3</v>
      </c>
      <c r="H558" s="6">
        <v>5</v>
      </c>
      <c r="I558" s="3">
        <v>1</v>
      </c>
      <c r="J558" s="13" t="str">
        <f>HYPERLINK("https://amazon.com/dp/B09L15Q1YW","Amazon - B09L15Q1YW")</f>
        <v>Amazon - B09L15Q1YW</v>
      </c>
      <c r="K558" s="14" t="s">
        <v>443</v>
      </c>
      <c r="L558" s="14" t="s">
        <v>303</v>
      </c>
      <c r="M558" s="14" t="s">
        <v>503</v>
      </c>
      <c r="N558" s="14" t="s">
        <v>446</v>
      </c>
      <c r="O558" s="14" t="s">
        <v>303</v>
      </c>
    </row>
    <row r="559" spans="1:15" ht="45" x14ac:dyDescent="0.2">
      <c r="A559" s="2" t="s">
        <v>1652</v>
      </c>
      <c r="B559" s="2" t="s">
        <v>1653</v>
      </c>
      <c r="C559" s="2" t="s">
        <v>16</v>
      </c>
      <c r="D559" s="2" t="s">
        <v>472</v>
      </c>
      <c r="E559" s="4">
        <v>14.99</v>
      </c>
      <c r="F559" s="4">
        <v>1205.44</v>
      </c>
      <c r="G559" s="3">
        <v>79</v>
      </c>
      <c r="H559" s="6">
        <v>4.5</v>
      </c>
      <c r="I559" s="3">
        <v>200</v>
      </c>
      <c r="J559" s="13" t="str">
        <f>HYPERLINK("https://amazon.com/dp/B0CKPG2P7F","Amazon - B0CKPG2P7F")</f>
        <v>Amazon - B0CKPG2P7F</v>
      </c>
      <c r="K559" s="14" t="s">
        <v>443</v>
      </c>
      <c r="L559" s="14" t="s">
        <v>303</v>
      </c>
      <c r="M559" s="14" t="s">
        <v>303</v>
      </c>
      <c r="N559" s="14" t="s">
        <v>452</v>
      </c>
      <c r="O559" s="14" t="s">
        <v>453</v>
      </c>
    </row>
    <row r="560" spans="1:15" ht="45" x14ac:dyDescent="0.2">
      <c r="A560" s="2" t="s">
        <v>1654</v>
      </c>
      <c r="B560" s="2" t="s">
        <v>1655</v>
      </c>
      <c r="C560" s="2" t="s">
        <v>68</v>
      </c>
      <c r="D560" s="2" t="s">
        <v>442</v>
      </c>
      <c r="E560" s="4">
        <v>33.99</v>
      </c>
      <c r="F560" s="4">
        <v>1190.3499999999999</v>
      </c>
      <c r="G560" s="3">
        <v>31</v>
      </c>
      <c r="H560" s="6">
        <v>4.5</v>
      </c>
      <c r="I560" s="3">
        <v>2</v>
      </c>
      <c r="J560" s="13" t="str">
        <f>HYPERLINK("https://amazon.com/dp/B0FMJD4CHD","Amazon - B0FMJD4CHD")</f>
        <v>Amazon - B0FMJD4CHD</v>
      </c>
      <c r="K560" s="14" t="s">
        <v>443</v>
      </c>
      <c r="L560" s="14" t="s">
        <v>456</v>
      </c>
      <c r="M560" s="14" t="s">
        <v>303</v>
      </c>
      <c r="N560" s="14" t="s">
        <v>446</v>
      </c>
      <c r="O560" s="14" t="s">
        <v>745</v>
      </c>
    </row>
    <row r="561" spans="1:15" ht="30" x14ac:dyDescent="0.2">
      <c r="A561" s="2" t="s">
        <v>1656</v>
      </c>
      <c r="B561" s="2" t="s">
        <v>1657</v>
      </c>
      <c r="C561" s="2" t="s">
        <v>51</v>
      </c>
      <c r="D561" s="2" t="s">
        <v>442</v>
      </c>
      <c r="E561" s="4">
        <v>399.99</v>
      </c>
      <c r="F561" s="4">
        <v>1179.69</v>
      </c>
      <c r="G561" s="3">
        <v>3</v>
      </c>
      <c r="H561" s="6">
        <v>5</v>
      </c>
      <c r="I561" s="3">
        <v>1</v>
      </c>
      <c r="J561" s="13" t="str">
        <f>HYPERLINK("https://amazon.com/dp/B09917WMZM","Amazon - B09917WMZM")</f>
        <v>Amazon - B09917WMZM</v>
      </c>
      <c r="K561" s="14" t="s">
        <v>443</v>
      </c>
      <c r="L561" s="14" t="s">
        <v>461</v>
      </c>
      <c r="M561" s="14" t="s">
        <v>303</v>
      </c>
      <c r="N561" s="14" t="s">
        <v>446</v>
      </c>
      <c r="O561" s="14" t="s">
        <v>303</v>
      </c>
    </row>
    <row r="562" spans="1:15" ht="45" x14ac:dyDescent="0.2">
      <c r="A562" s="2" t="s">
        <v>1658</v>
      </c>
      <c r="B562" s="2" t="s">
        <v>1659</v>
      </c>
      <c r="C562" s="2" t="s">
        <v>108</v>
      </c>
      <c r="D562" s="2" t="s">
        <v>472</v>
      </c>
      <c r="E562" s="4">
        <v>369.99</v>
      </c>
      <c r="F562" s="4">
        <v>1178.6500000000001</v>
      </c>
      <c r="G562" s="3">
        <v>3</v>
      </c>
      <c r="H562" s="6">
        <v>5</v>
      </c>
      <c r="I562" s="3">
        <v>1</v>
      </c>
      <c r="J562" s="13" t="str">
        <f>HYPERLINK("https://amazon.com/dp/B0DJ7N2XDC","Amazon - B0DJ7N2XDC")</f>
        <v>Amazon - B0DJ7N2XDC</v>
      </c>
      <c r="K562" s="14" t="s">
        <v>443</v>
      </c>
      <c r="L562" s="14" t="s">
        <v>303</v>
      </c>
      <c r="M562" s="14" t="s">
        <v>303</v>
      </c>
      <c r="N562" s="14" t="s">
        <v>446</v>
      </c>
      <c r="O562" s="14" t="s">
        <v>303</v>
      </c>
    </row>
    <row r="563" spans="1:15" ht="45" x14ac:dyDescent="0.2">
      <c r="A563" s="2" t="s">
        <v>1660</v>
      </c>
      <c r="B563" s="2" t="s">
        <v>1661</v>
      </c>
      <c r="C563" s="2" t="s">
        <v>23</v>
      </c>
      <c r="D563" s="2" t="s">
        <v>472</v>
      </c>
      <c r="E563" s="4">
        <v>173</v>
      </c>
      <c r="F563" s="4">
        <v>1173.81</v>
      </c>
      <c r="G563" s="3">
        <v>7</v>
      </c>
      <c r="H563" s="6">
        <v>4.2</v>
      </c>
      <c r="I563" s="3">
        <v>13</v>
      </c>
      <c r="J563" s="13" t="str">
        <f>HYPERLINK("https://amazon.com/dp/B0D8FWGM99","Amazon - B0D8FWGM99")</f>
        <v>Amazon - B0D8FWGM99</v>
      </c>
      <c r="K563" s="14" t="s">
        <v>443</v>
      </c>
      <c r="L563" s="14" t="s">
        <v>303</v>
      </c>
      <c r="M563" s="14" t="s">
        <v>715</v>
      </c>
      <c r="N563" s="14" t="s">
        <v>446</v>
      </c>
      <c r="O563" s="14" t="s">
        <v>917</v>
      </c>
    </row>
    <row r="564" spans="1:15" ht="45" x14ac:dyDescent="0.2">
      <c r="A564" s="2" t="s">
        <v>1662</v>
      </c>
      <c r="B564" s="2" t="s">
        <v>1663</v>
      </c>
      <c r="C564" s="2" t="s">
        <v>31</v>
      </c>
      <c r="D564" s="2" t="s">
        <v>442</v>
      </c>
      <c r="E564" s="4">
        <v>49.96</v>
      </c>
      <c r="F564" s="4">
        <v>1170.48</v>
      </c>
      <c r="G564" s="3">
        <v>25</v>
      </c>
      <c r="H564" s="6">
        <v>4.4000000000000004</v>
      </c>
      <c r="I564" s="3">
        <v>50</v>
      </c>
      <c r="J564" s="13" t="str">
        <f>HYPERLINK("https://amazon.com/dp/B0DXP6S228","Amazon - B0DXP6S228")</f>
        <v>Amazon - B0DXP6S228</v>
      </c>
      <c r="K564" s="14" t="s">
        <v>443</v>
      </c>
      <c r="L564" s="14" t="s">
        <v>461</v>
      </c>
      <c r="M564" s="14" t="s">
        <v>303</v>
      </c>
      <c r="N564" s="14" t="s">
        <v>452</v>
      </c>
      <c r="O564" s="14" t="s">
        <v>453</v>
      </c>
    </row>
    <row r="565" spans="1:15" ht="30" x14ac:dyDescent="0.2">
      <c r="A565" s="2" t="s">
        <v>1664</v>
      </c>
      <c r="B565" s="2" t="s">
        <v>1665</v>
      </c>
      <c r="C565" s="2" t="s">
        <v>8</v>
      </c>
      <c r="D565" s="2" t="s">
        <v>442</v>
      </c>
      <c r="E565" s="4">
        <v>89.99</v>
      </c>
      <c r="F565" s="4">
        <v>1168.73</v>
      </c>
      <c r="G565" s="3">
        <v>13</v>
      </c>
      <c r="H565" s="6">
        <v>4.8</v>
      </c>
      <c r="I565" s="3">
        <v>9</v>
      </c>
      <c r="J565" s="13" t="str">
        <f>HYPERLINK("https://amazon.com/dp/B09WMH43L3","Amazon - B09WMH43L3")</f>
        <v>Amazon - B09WMH43L3</v>
      </c>
      <c r="K565" s="14" t="s">
        <v>443</v>
      </c>
      <c r="L565" s="14" t="s">
        <v>303</v>
      </c>
      <c r="M565" s="14" t="s">
        <v>445</v>
      </c>
      <c r="N565" s="14" t="s">
        <v>473</v>
      </c>
      <c r="O565" s="14" t="s">
        <v>487</v>
      </c>
    </row>
    <row r="566" spans="1:15" ht="45" x14ac:dyDescent="0.2">
      <c r="A566" s="2" t="s">
        <v>1666</v>
      </c>
      <c r="B566" s="2" t="s">
        <v>1667</v>
      </c>
      <c r="C566" s="2" t="s">
        <v>119</v>
      </c>
      <c r="D566" s="2" t="s">
        <v>442</v>
      </c>
      <c r="E566" s="4">
        <v>99.99</v>
      </c>
      <c r="F566" s="4">
        <v>1166.24</v>
      </c>
      <c r="G566" s="3">
        <v>12</v>
      </c>
      <c r="H566" s="6">
        <v>4.4000000000000004</v>
      </c>
      <c r="I566" s="3">
        <v>122</v>
      </c>
      <c r="J566" s="13" t="str">
        <f>HYPERLINK("https://amazon.com/dp/B0FBX2NSHL","Amazon - B0FBX2NSHL")</f>
        <v>Amazon - B0FBX2NSHL</v>
      </c>
      <c r="K566" s="14" t="s">
        <v>443</v>
      </c>
      <c r="L566" s="14" t="s">
        <v>451</v>
      </c>
      <c r="M566" s="14" t="s">
        <v>577</v>
      </c>
      <c r="N566" s="14" t="s">
        <v>446</v>
      </c>
      <c r="O566" s="14" t="s">
        <v>1668</v>
      </c>
    </row>
    <row r="567" spans="1:15" ht="45" x14ac:dyDescent="0.2">
      <c r="A567" s="2" t="s">
        <v>1669</v>
      </c>
      <c r="B567" s="2" t="s">
        <v>1670</v>
      </c>
      <c r="C567" s="2" t="s">
        <v>65</v>
      </c>
      <c r="D567" s="2" t="s">
        <v>442</v>
      </c>
      <c r="E567" s="4">
        <v>43.99</v>
      </c>
      <c r="F567" s="4">
        <v>1158.92</v>
      </c>
      <c r="G567" s="3">
        <v>26</v>
      </c>
      <c r="H567" s="6">
        <v>4.2</v>
      </c>
      <c r="I567" s="3">
        <v>29</v>
      </c>
      <c r="J567" s="13" t="str">
        <f>HYPERLINK("https://amazon.com/dp/B0DDG3FMPV","Amazon - B0DDG3FMPV")</f>
        <v>Amazon - B0DDG3FMPV</v>
      </c>
      <c r="K567" s="14" t="s">
        <v>443</v>
      </c>
      <c r="L567" s="14" t="s">
        <v>461</v>
      </c>
      <c r="M567" s="14" t="s">
        <v>303</v>
      </c>
      <c r="N567" s="14" t="s">
        <v>452</v>
      </c>
      <c r="O567" s="14" t="s">
        <v>453</v>
      </c>
    </row>
    <row r="568" spans="1:15" x14ac:dyDescent="0.2">
      <c r="A568" s="2" t="s">
        <v>1671</v>
      </c>
      <c r="B568" s="2" t="s">
        <v>1672</v>
      </c>
      <c r="C568" s="2" t="s">
        <v>13</v>
      </c>
      <c r="D568" s="2" t="s">
        <v>472</v>
      </c>
      <c r="E568" s="4">
        <v>299.99</v>
      </c>
      <c r="F568" s="4">
        <v>1147.02</v>
      </c>
      <c r="G568" s="3">
        <v>4</v>
      </c>
      <c r="H568" s="6">
        <v>3.5</v>
      </c>
      <c r="I568" s="3">
        <v>6</v>
      </c>
      <c r="J568" s="13" t="str">
        <f>HYPERLINK("https://amazon.com/dp/B09HTJP92P","Amazon - B09HTJP92P")</f>
        <v>Amazon - B09HTJP92P</v>
      </c>
      <c r="K568" s="14" t="s">
        <v>443</v>
      </c>
      <c r="L568" s="14" t="s">
        <v>303</v>
      </c>
      <c r="M568" s="14" t="s">
        <v>303</v>
      </c>
      <c r="N568" s="14" t="s">
        <v>446</v>
      </c>
      <c r="O568" s="14" t="s">
        <v>303</v>
      </c>
    </row>
    <row r="569" spans="1:15" ht="30" x14ac:dyDescent="0.2">
      <c r="A569" s="2" t="s">
        <v>1673</v>
      </c>
      <c r="B569" s="2" t="s">
        <v>1674</v>
      </c>
      <c r="C569" s="2" t="s">
        <v>13</v>
      </c>
      <c r="D569" s="2" t="s">
        <v>472</v>
      </c>
      <c r="E569" s="4">
        <v>500</v>
      </c>
      <c r="F569" s="4">
        <v>1146.6300000000001</v>
      </c>
      <c r="G569" s="3">
        <v>2</v>
      </c>
      <c r="H569" s="6">
        <v>4.2</v>
      </c>
      <c r="I569" s="3">
        <v>100</v>
      </c>
      <c r="J569" s="13" t="str">
        <f>HYPERLINK("https://amazon.com/dp/B087RC1Z7P","Amazon - B087RC1Z7P")</f>
        <v>Amazon - B087RC1Z7P</v>
      </c>
      <c r="K569" s="14" t="s">
        <v>443</v>
      </c>
      <c r="L569" s="14" t="s">
        <v>303</v>
      </c>
      <c r="M569" s="14" t="s">
        <v>303</v>
      </c>
      <c r="N569" s="14" t="s">
        <v>446</v>
      </c>
      <c r="O569" s="14" t="s">
        <v>809</v>
      </c>
    </row>
    <row r="570" spans="1:15" ht="45" x14ac:dyDescent="0.2">
      <c r="A570" s="2" t="s">
        <v>1675</v>
      </c>
      <c r="B570" s="2" t="s">
        <v>1676</v>
      </c>
      <c r="C570" s="2" t="s">
        <v>45</v>
      </c>
      <c r="D570" s="2" t="s">
        <v>472</v>
      </c>
      <c r="E570" s="4">
        <v>25.49</v>
      </c>
      <c r="F570" s="4">
        <v>1143.3499999999999</v>
      </c>
      <c r="G570" s="3">
        <v>45</v>
      </c>
      <c r="H570" s="6">
        <v>4.2</v>
      </c>
      <c r="I570" s="3">
        <v>16</v>
      </c>
      <c r="J570" s="13" t="str">
        <f>HYPERLINK("https://amazon.com/dp/B0FRZYS8J4","Amazon - B0FRZYS8J4")</f>
        <v>Amazon - B0FRZYS8J4</v>
      </c>
      <c r="K570" s="14" t="s">
        <v>443</v>
      </c>
      <c r="L570" s="14" t="s">
        <v>456</v>
      </c>
      <c r="M570" s="14" t="s">
        <v>303</v>
      </c>
      <c r="N570" s="14" t="s">
        <v>452</v>
      </c>
      <c r="O570" s="14" t="s">
        <v>453</v>
      </c>
    </row>
    <row r="571" spans="1:15" ht="45" x14ac:dyDescent="0.2">
      <c r="A571" s="2" t="s">
        <v>1677</v>
      </c>
      <c r="B571" s="2" t="s">
        <v>1678</v>
      </c>
      <c r="C571" s="2" t="s">
        <v>74</v>
      </c>
      <c r="D571" s="2" t="s">
        <v>442</v>
      </c>
      <c r="E571" s="4">
        <v>41.99</v>
      </c>
      <c r="F571" s="4">
        <v>1134.69</v>
      </c>
      <c r="G571" s="3">
        <v>27</v>
      </c>
      <c r="H571" s="6">
        <v>4.2</v>
      </c>
      <c r="I571" s="3">
        <v>189</v>
      </c>
      <c r="J571" s="13" t="str">
        <f>HYPERLINK("https://amazon.com/dp/B0DHCQF22J","Amazon - B0DHCQF22J")</f>
        <v>Amazon - B0DHCQF22J</v>
      </c>
      <c r="K571" s="14" t="s">
        <v>443</v>
      </c>
      <c r="L571" s="14" t="s">
        <v>303</v>
      </c>
      <c r="M571" s="14" t="s">
        <v>303</v>
      </c>
      <c r="N571" s="14" t="s">
        <v>446</v>
      </c>
      <c r="O571" s="14" t="s">
        <v>479</v>
      </c>
    </row>
    <row r="572" spans="1:15" ht="45" x14ac:dyDescent="0.2">
      <c r="A572" s="2" t="s">
        <v>1679</v>
      </c>
      <c r="B572" s="2" t="s">
        <v>1680</v>
      </c>
      <c r="C572" s="2" t="s">
        <v>52</v>
      </c>
      <c r="D572" s="2" t="s">
        <v>442</v>
      </c>
      <c r="E572" s="4">
        <v>49.99</v>
      </c>
      <c r="F572" s="4">
        <v>1133.1199999999999</v>
      </c>
      <c r="G572" s="3">
        <v>30</v>
      </c>
      <c r="H572" s="6">
        <v>4.5999999999999996</v>
      </c>
      <c r="I572" s="3">
        <v>89</v>
      </c>
      <c r="J572" s="13" t="str">
        <f>HYPERLINK("https://amazon.com/dp/B0FF1WH9GJ","Amazon - B0FF1WH9GJ")</f>
        <v>Amazon - B0FF1WH9GJ</v>
      </c>
      <c r="K572" s="14" t="s">
        <v>443</v>
      </c>
      <c r="L572" s="14" t="s">
        <v>461</v>
      </c>
      <c r="M572" s="14" t="s">
        <v>445</v>
      </c>
      <c r="N572" s="14" t="s">
        <v>452</v>
      </c>
      <c r="O572" s="14" t="s">
        <v>453</v>
      </c>
    </row>
    <row r="573" spans="1:15" ht="30" x14ac:dyDescent="0.2">
      <c r="A573" s="2" t="s">
        <v>1681</v>
      </c>
      <c r="B573" s="2" t="s">
        <v>1682</v>
      </c>
      <c r="C573" s="2" t="s">
        <v>13</v>
      </c>
      <c r="D573" s="2" t="s">
        <v>472</v>
      </c>
      <c r="E573" s="4">
        <v>849.99</v>
      </c>
      <c r="F573" s="4">
        <v>1124.9000000000001</v>
      </c>
      <c r="G573" s="3">
        <v>1</v>
      </c>
      <c r="H573" s="6">
        <v>4.3</v>
      </c>
      <c r="I573" s="3">
        <v>89</v>
      </c>
      <c r="J573" s="13" t="str">
        <f>HYPERLINK("https://amazon.com/dp/B0G2L4ZXFW","Amazon - B0G2L4ZXFW")</f>
        <v>Amazon - B0G2L4ZXFW</v>
      </c>
      <c r="K573" s="14" t="s">
        <v>443</v>
      </c>
      <c r="L573" s="14" t="s">
        <v>502</v>
      </c>
      <c r="M573" s="14" t="s">
        <v>565</v>
      </c>
      <c r="N573" s="14" t="s">
        <v>446</v>
      </c>
      <c r="O573" s="14" t="s">
        <v>725</v>
      </c>
    </row>
    <row r="574" spans="1:15" ht="45" x14ac:dyDescent="0.2">
      <c r="A574" s="2" t="s">
        <v>1683</v>
      </c>
      <c r="B574" s="2" t="s">
        <v>1684</v>
      </c>
      <c r="C574" s="2" t="s">
        <v>68</v>
      </c>
      <c r="D574" s="2" t="s">
        <v>472</v>
      </c>
      <c r="E574" s="4">
        <v>71.989999999999995</v>
      </c>
      <c r="F574" s="4">
        <v>1118.6400000000001</v>
      </c>
      <c r="G574" s="3">
        <v>15</v>
      </c>
      <c r="H574" s="6">
        <v>4.2</v>
      </c>
      <c r="I574" s="3">
        <v>118</v>
      </c>
      <c r="J574" s="13" t="str">
        <f>HYPERLINK("https://amazon.com/dp/B0C5LY3YRL","Amazon - B0C5LY3YRL")</f>
        <v>Amazon - B0C5LY3YRL</v>
      </c>
      <c r="K574" s="14" t="s">
        <v>443</v>
      </c>
      <c r="L574" s="14" t="s">
        <v>461</v>
      </c>
      <c r="M574" s="14" t="s">
        <v>303</v>
      </c>
      <c r="N574" s="14" t="s">
        <v>473</v>
      </c>
      <c r="O574" s="14" t="s">
        <v>479</v>
      </c>
    </row>
    <row r="575" spans="1:15" ht="45" x14ac:dyDescent="0.2">
      <c r="A575" s="2" t="s">
        <v>1685</v>
      </c>
      <c r="B575" s="2" t="s">
        <v>1686</v>
      </c>
      <c r="C575" s="2" t="s">
        <v>75</v>
      </c>
      <c r="D575" s="2" t="s">
        <v>472</v>
      </c>
      <c r="E575" s="4">
        <v>59.99</v>
      </c>
      <c r="F575" s="4">
        <v>1114.6500000000001</v>
      </c>
      <c r="G575" s="3">
        <v>20</v>
      </c>
      <c r="H575" s="6">
        <v>5</v>
      </c>
      <c r="I575" s="3">
        <v>40</v>
      </c>
      <c r="J575" s="13" t="str">
        <f>HYPERLINK("https://amazon.com/dp/B0GJDJ9D3B","Amazon - B0GJDJ9D3B")</f>
        <v>Amazon - B0GJDJ9D3B</v>
      </c>
      <c r="K575" s="14" t="s">
        <v>443</v>
      </c>
      <c r="L575" s="14" t="s">
        <v>456</v>
      </c>
      <c r="M575" s="14" t="s">
        <v>303</v>
      </c>
      <c r="N575" s="14" t="s">
        <v>446</v>
      </c>
      <c r="O575" s="14" t="s">
        <v>479</v>
      </c>
    </row>
    <row r="576" spans="1:15" ht="30" x14ac:dyDescent="0.2">
      <c r="A576" s="2" t="s">
        <v>1687</v>
      </c>
      <c r="B576" s="2" t="s">
        <v>1688</v>
      </c>
      <c r="C576" s="2" t="s">
        <v>51</v>
      </c>
      <c r="D576" s="2" t="s">
        <v>450</v>
      </c>
      <c r="E576" s="4">
        <v>599.98</v>
      </c>
      <c r="F576" s="4">
        <v>1112.23</v>
      </c>
      <c r="G576" s="3">
        <v>2</v>
      </c>
      <c r="H576" s="6">
        <v>5</v>
      </c>
      <c r="I576" s="3">
        <v>1</v>
      </c>
      <c r="J576" s="13" t="str">
        <f>HYPERLINK("https://amazon.com/dp/B0C7631F4R","Amazon - B0C7631F4R")</f>
        <v>Amazon - B0C7631F4R</v>
      </c>
      <c r="K576" s="14" t="s">
        <v>482</v>
      </c>
      <c r="L576" s="14" t="s">
        <v>451</v>
      </c>
      <c r="M576" s="14" t="s">
        <v>484</v>
      </c>
      <c r="N576" s="14" t="s">
        <v>446</v>
      </c>
      <c r="O576" s="14" t="s">
        <v>447</v>
      </c>
    </row>
    <row r="577" spans="1:15" ht="45" x14ac:dyDescent="0.2">
      <c r="A577" s="2" t="s">
        <v>1689</v>
      </c>
      <c r="B577" s="2" t="s">
        <v>1690</v>
      </c>
      <c r="C577" s="2" t="s">
        <v>79</v>
      </c>
      <c r="D577" s="2" t="s">
        <v>472</v>
      </c>
      <c r="E577" s="4">
        <v>319.99</v>
      </c>
      <c r="F577" s="4">
        <v>1109.4100000000001</v>
      </c>
      <c r="G577" s="3">
        <v>3</v>
      </c>
      <c r="H577" s="6">
        <v>5</v>
      </c>
      <c r="I577" s="3">
        <v>1</v>
      </c>
      <c r="J577" s="13" t="str">
        <f>HYPERLINK("https://amazon.com/dp/B0DCC1FY72","Amazon - B0DCC1FY72")</f>
        <v>Amazon - B0DCC1FY72</v>
      </c>
      <c r="K577" s="14" t="s">
        <v>443</v>
      </c>
      <c r="L577" s="14" t="s">
        <v>303</v>
      </c>
      <c r="M577" s="14" t="s">
        <v>503</v>
      </c>
      <c r="N577" s="14" t="s">
        <v>446</v>
      </c>
      <c r="O577" s="14" t="s">
        <v>303</v>
      </c>
    </row>
    <row r="578" spans="1:15" ht="45" x14ac:dyDescent="0.2">
      <c r="A578" s="2" t="s">
        <v>1691</v>
      </c>
      <c r="B578" s="2" t="s">
        <v>1692</v>
      </c>
      <c r="C578" s="2" t="s">
        <v>68</v>
      </c>
      <c r="D578" s="2" t="s">
        <v>472</v>
      </c>
      <c r="E578" s="4">
        <v>38.47</v>
      </c>
      <c r="F578" s="4">
        <v>1107.79</v>
      </c>
      <c r="G578" s="3">
        <v>24</v>
      </c>
      <c r="H578" s="6">
        <v>4.4000000000000004</v>
      </c>
      <c r="I578" s="3">
        <v>77</v>
      </c>
      <c r="J578" s="13" t="str">
        <f>HYPERLINK("https://amazon.com/dp/B0DG8SMHX6","Amazon - B0DG8SMHX6")</f>
        <v>Amazon - B0DG8SMHX6</v>
      </c>
      <c r="K578" s="14" t="s">
        <v>443</v>
      </c>
      <c r="L578" s="14" t="s">
        <v>461</v>
      </c>
      <c r="M578" s="14" t="s">
        <v>303</v>
      </c>
      <c r="N578" s="14" t="s">
        <v>473</v>
      </c>
      <c r="O578" s="14" t="s">
        <v>453</v>
      </c>
    </row>
    <row r="579" spans="1:15" ht="30" x14ac:dyDescent="0.2">
      <c r="A579" s="2" t="s">
        <v>1693</v>
      </c>
      <c r="B579" s="2" t="s">
        <v>1694</v>
      </c>
      <c r="C579" s="2" t="s">
        <v>23</v>
      </c>
      <c r="D579" s="2" t="s">
        <v>472</v>
      </c>
      <c r="E579" s="4">
        <v>559</v>
      </c>
      <c r="F579" s="4">
        <v>1107.67</v>
      </c>
      <c r="G579" s="3">
        <v>2</v>
      </c>
      <c r="H579" s="6">
        <v>5</v>
      </c>
      <c r="I579" s="3">
        <v>3</v>
      </c>
      <c r="J579" s="13" t="str">
        <f>HYPERLINK("https://amazon.com/dp/B0DPG3263Z","Amazon - B0DPG3263Z")</f>
        <v>Amazon - B0DPG3263Z</v>
      </c>
      <c r="K579" s="14" t="s">
        <v>443</v>
      </c>
      <c r="L579" s="14" t="s">
        <v>502</v>
      </c>
      <c r="M579" s="14" t="s">
        <v>303</v>
      </c>
      <c r="N579" s="14" t="s">
        <v>446</v>
      </c>
      <c r="O579" s="14" t="s">
        <v>608</v>
      </c>
    </row>
    <row r="580" spans="1:15" ht="45" x14ac:dyDescent="0.2">
      <c r="A580" s="2" t="s">
        <v>1695</v>
      </c>
      <c r="B580" s="2" t="s">
        <v>1696</v>
      </c>
      <c r="C580" s="2" t="s">
        <v>14</v>
      </c>
      <c r="D580" s="2" t="s">
        <v>472</v>
      </c>
      <c r="E580" s="4">
        <v>269.99</v>
      </c>
      <c r="F580" s="4">
        <v>1106.5</v>
      </c>
      <c r="G580" s="3">
        <v>4</v>
      </c>
      <c r="H580" s="6">
        <v>5</v>
      </c>
      <c r="I580" s="3">
        <v>1</v>
      </c>
      <c r="J580" s="13" t="str">
        <f>HYPERLINK("https://amazon.com/dp/B0D2SP5BDK","Amazon - B0D2SP5BDK")</f>
        <v>Amazon - B0D2SP5BDK</v>
      </c>
      <c r="K580" s="14" t="s">
        <v>443</v>
      </c>
      <c r="L580" s="14" t="s">
        <v>303</v>
      </c>
      <c r="M580" s="14" t="s">
        <v>503</v>
      </c>
      <c r="N580" s="14" t="s">
        <v>446</v>
      </c>
      <c r="O580" s="14" t="s">
        <v>303</v>
      </c>
    </row>
    <row r="581" spans="1:15" ht="45" x14ac:dyDescent="0.2">
      <c r="A581" s="2" t="s">
        <v>1697</v>
      </c>
      <c r="B581" s="2" t="s">
        <v>1698</v>
      </c>
      <c r="C581" s="2" t="s">
        <v>28</v>
      </c>
      <c r="D581" s="2" t="s">
        <v>450</v>
      </c>
      <c r="E581" s="4">
        <v>25.59</v>
      </c>
      <c r="F581" s="4">
        <v>1099.75</v>
      </c>
      <c r="G581" s="3">
        <v>40</v>
      </c>
      <c r="H581" s="6">
        <v>4.5</v>
      </c>
      <c r="I581" s="3">
        <v>465</v>
      </c>
      <c r="J581" s="13" t="str">
        <f>HYPERLINK("https://amazon.com/dp/B0DMK6P7V5","Amazon - B0DMK6P7V5")</f>
        <v>Amazon - B0DMK6P7V5</v>
      </c>
      <c r="K581" s="14" t="s">
        <v>443</v>
      </c>
      <c r="L581" s="14" t="s">
        <v>451</v>
      </c>
      <c r="M581" s="14" t="s">
        <v>445</v>
      </c>
      <c r="N581" s="14" t="s">
        <v>452</v>
      </c>
      <c r="O581" s="14" t="s">
        <v>453</v>
      </c>
    </row>
    <row r="582" spans="1:15" ht="45" x14ac:dyDescent="0.2">
      <c r="A582" s="2" t="s">
        <v>1699</v>
      </c>
      <c r="B582" s="2" t="s">
        <v>1700</v>
      </c>
      <c r="C582" s="2" t="s">
        <v>95</v>
      </c>
      <c r="D582" s="2" t="s">
        <v>450</v>
      </c>
      <c r="E582" s="4">
        <v>77.989999999999995</v>
      </c>
      <c r="F582" s="4">
        <v>1097.6500000000001</v>
      </c>
      <c r="G582" s="3">
        <v>14</v>
      </c>
      <c r="H582" s="6">
        <v>5</v>
      </c>
      <c r="I582" s="3">
        <v>2</v>
      </c>
      <c r="J582" s="13" t="str">
        <f>HYPERLINK("https://amazon.com/dp/B0GL4F1PJ6","Amazon - B0GL4F1PJ6")</f>
        <v>Amazon - B0GL4F1PJ6</v>
      </c>
      <c r="K582" s="14" t="s">
        <v>443</v>
      </c>
      <c r="L582" s="14" t="s">
        <v>451</v>
      </c>
      <c r="M582" s="14" t="s">
        <v>484</v>
      </c>
      <c r="N582" s="14" t="s">
        <v>446</v>
      </c>
      <c r="O582" s="14" t="s">
        <v>543</v>
      </c>
    </row>
    <row r="583" spans="1:15" ht="45" x14ac:dyDescent="0.2">
      <c r="A583" s="2" t="s">
        <v>1701</v>
      </c>
      <c r="B583" s="2" t="s">
        <v>1702</v>
      </c>
      <c r="C583" s="2" t="s">
        <v>50</v>
      </c>
      <c r="D583" s="2" t="s">
        <v>472</v>
      </c>
      <c r="E583" s="4">
        <v>429.99</v>
      </c>
      <c r="F583" s="4">
        <v>1094.99</v>
      </c>
      <c r="G583" s="3">
        <v>3</v>
      </c>
      <c r="H583" s="6">
        <v>4.7</v>
      </c>
      <c r="I583" s="3">
        <v>5</v>
      </c>
      <c r="J583" s="13" t="str">
        <f>HYPERLINK("https://amazon.com/dp/B0F2HQK5HL","Amazon - B0F2HQK5HL")</f>
        <v>Amazon - B0F2HQK5HL</v>
      </c>
      <c r="K583" s="14" t="s">
        <v>443</v>
      </c>
      <c r="L583" s="14" t="s">
        <v>667</v>
      </c>
      <c r="M583" s="14" t="s">
        <v>303</v>
      </c>
      <c r="N583" s="14" t="s">
        <v>446</v>
      </c>
      <c r="O583" s="14" t="s">
        <v>517</v>
      </c>
    </row>
    <row r="584" spans="1:15" ht="30" x14ac:dyDescent="0.2">
      <c r="A584" s="2" t="s">
        <v>1703</v>
      </c>
      <c r="B584" s="2" t="s">
        <v>1704</v>
      </c>
      <c r="C584" s="2" t="s">
        <v>145</v>
      </c>
      <c r="D584" s="2" t="s">
        <v>450</v>
      </c>
      <c r="E584" s="4">
        <v>48.98</v>
      </c>
      <c r="F584" s="4">
        <v>1092.3399999999999</v>
      </c>
      <c r="G584" s="3">
        <v>22</v>
      </c>
      <c r="H584" s="6">
        <v>4.5999999999999996</v>
      </c>
      <c r="I584" s="3">
        <v>5</v>
      </c>
      <c r="J584" s="13" t="str">
        <f>HYPERLINK("https://amazon.com/dp/B0GK13BWW2","Amazon - B0GK13BWW2")</f>
        <v>Amazon - B0GK13BWW2</v>
      </c>
      <c r="K584" s="14" t="s">
        <v>443</v>
      </c>
      <c r="L584" s="14" t="s">
        <v>461</v>
      </c>
      <c r="M584" s="14" t="s">
        <v>303</v>
      </c>
      <c r="N584" s="14" t="s">
        <v>452</v>
      </c>
      <c r="O584" s="14" t="s">
        <v>543</v>
      </c>
    </row>
    <row r="585" spans="1:15" x14ac:dyDescent="0.2">
      <c r="A585" s="2" t="s">
        <v>1705</v>
      </c>
      <c r="B585" s="2" t="s">
        <v>1706</v>
      </c>
      <c r="C585" s="2" t="s">
        <v>111</v>
      </c>
      <c r="D585" s="2" t="s">
        <v>823</v>
      </c>
      <c r="E585" s="4">
        <v>70.64</v>
      </c>
      <c r="F585" s="4">
        <v>1091.5899999999999</v>
      </c>
      <c r="G585" s="3">
        <v>16</v>
      </c>
      <c r="H585" s="6">
        <v>4.5999999999999996</v>
      </c>
      <c r="I585" s="3">
        <v>79</v>
      </c>
      <c r="J585" s="13" t="str">
        <f>HYPERLINK("https://amazon.com/dp/B07VD9DDK4","Amazon - B07VD9DDK4")</f>
        <v>Amazon - B07VD9DDK4</v>
      </c>
      <c r="K585" s="14" t="s">
        <v>443</v>
      </c>
      <c r="L585" s="14" t="s">
        <v>451</v>
      </c>
      <c r="M585" s="14" t="s">
        <v>303</v>
      </c>
      <c r="N585" s="14" t="s">
        <v>446</v>
      </c>
      <c r="O585" s="14" t="s">
        <v>303</v>
      </c>
    </row>
    <row r="586" spans="1:15" ht="30" x14ac:dyDescent="0.2">
      <c r="A586" s="2" t="s">
        <v>1707</v>
      </c>
      <c r="B586" s="2" t="s">
        <v>1708</v>
      </c>
      <c r="C586" s="2" t="s">
        <v>40</v>
      </c>
      <c r="D586" s="2" t="s">
        <v>472</v>
      </c>
      <c r="E586" s="4">
        <v>169</v>
      </c>
      <c r="F586" s="4">
        <v>1085.8499999999999</v>
      </c>
      <c r="G586" s="3">
        <v>6</v>
      </c>
      <c r="H586" s="6">
        <v>3.7</v>
      </c>
      <c r="I586" s="3">
        <v>2</v>
      </c>
      <c r="J586" s="13" t="str">
        <f>HYPERLINK("https://amazon.com/dp/B0C6YFZJYF","Amazon - B0C6YFZJYF")</f>
        <v>Amazon - B0C6YFZJYF</v>
      </c>
      <c r="K586" s="14" t="s">
        <v>443</v>
      </c>
      <c r="L586" s="14" t="s">
        <v>303</v>
      </c>
      <c r="M586" s="14" t="s">
        <v>503</v>
      </c>
      <c r="N586" s="14" t="s">
        <v>446</v>
      </c>
      <c r="O586" s="14" t="s">
        <v>517</v>
      </c>
    </row>
    <row r="587" spans="1:15" ht="45" x14ac:dyDescent="0.2">
      <c r="A587" s="2" t="s">
        <v>1709</v>
      </c>
      <c r="B587" s="2" t="s">
        <v>1710</v>
      </c>
      <c r="C587" s="2" t="s">
        <v>147</v>
      </c>
      <c r="D587" s="2" t="s">
        <v>450</v>
      </c>
      <c r="E587" s="4">
        <v>27.99</v>
      </c>
      <c r="F587" s="4">
        <v>1082.32</v>
      </c>
      <c r="G587" s="3">
        <v>40</v>
      </c>
      <c r="H587" s="6">
        <v>5</v>
      </c>
      <c r="I587" s="3">
        <v>2</v>
      </c>
      <c r="J587" s="13" t="str">
        <f>HYPERLINK("https://amazon.com/dp/B0FXGJWK71","Amazon - B0FXGJWK71")</f>
        <v>Amazon - B0FXGJWK71</v>
      </c>
      <c r="K587" s="14" t="s">
        <v>443</v>
      </c>
      <c r="L587" s="14" t="s">
        <v>456</v>
      </c>
      <c r="M587" s="14" t="s">
        <v>303</v>
      </c>
      <c r="N587" s="14" t="s">
        <v>446</v>
      </c>
      <c r="O587" s="14" t="s">
        <v>453</v>
      </c>
    </row>
    <row r="588" spans="1:15" ht="45" x14ac:dyDescent="0.2">
      <c r="A588" s="2" t="s">
        <v>1711</v>
      </c>
      <c r="B588" s="2" t="s">
        <v>1712</v>
      </c>
      <c r="C588" s="2" t="s">
        <v>85</v>
      </c>
      <c r="D588" s="2" t="s">
        <v>450</v>
      </c>
      <c r="E588" s="4">
        <v>56.99</v>
      </c>
      <c r="F588" s="4">
        <v>1075.48</v>
      </c>
      <c r="G588" s="3">
        <v>19</v>
      </c>
      <c r="H588" s="6">
        <v>3.8</v>
      </c>
      <c r="I588" s="3">
        <v>29</v>
      </c>
      <c r="J588" s="13" t="str">
        <f>HYPERLINK("https://amazon.com/dp/B0D8Q5TF22","Amazon - B0D8Q5TF22")</f>
        <v>Amazon - B0D8Q5TF22</v>
      </c>
      <c r="K588" s="14" t="s">
        <v>443</v>
      </c>
      <c r="L588" s="14" t="s">
        <v>451</v>
      </c>
      <c r="M588" s="14" t="s">
        <v>565</v>
      </c>
      <c r="N588" s="14" t="s">
        <v>446</v>
      </c>
      <c r="O588" s="14" t="s">
        <v>303</v>
      </c>
    </row>
    <row r="589" spans="1:15" ht="45" x14ac:dyDescent="0.2">
      <c r="A589" s="2" t="s">
        <v>1713</v>
      </c>
      <c r="B589" s="2" t="s">
        <v>1714</v>
      </c>
      <c r="C589" s="2" t="s">
        <v>23</v>
      </c>
      <c r="D589" s="2" t="s">
        <v>472</v>
      </c>
      <c r="E589" s="4">
        <v>229.9</v>
      </c>
      <c r="F589" s="4">
        <v>1072.4100000000001</v>
      </c>
      <c r="G589" s="3">
        <v>5</v>
      </c>
      <c r="H589" s="6">
        <v>4.3</v>
      </c>
      <c r="I589" s="3">
        <v>14</v>
      </c>
      <c r="J589" s="13" t="str">
        <f>HYPERLINK("https://amazon.com/dp/B0D9NT1WPB","Amazon - B0D9NT1WPB")</f>
        <v>Amazon - B0D9NT1WPB</v>
      </c>
      <c r="K589" s="14" t="s">
        <v>443</v>
      </c>
      <c r="L589" s="14" t="s">
        <v>461</v>
      </c>
      <c r="M589" s="14" t="s">
        <v>688</v>
      </c>
      <c r="N589" s="14" t="s">
        <v>446</v>
      </c>
      <c r="O589" s="14" t="s">
        <v>479</v>
      </c>
    </row>
    <row r="590" spans="1:15" ht="45" x14ac:dyDescent="0.2">
      <c r="A590" s="2" t="s">
        <v>1715</v>
      </c>
      <c r="B590" s="2" t="s">
        <v>1716</v>
      </c>
      <c r="C590" s="2" t="s">
        <v>57</v>
      </c>
      <c r="D590" s="2" t="s">
        <v>472</v>
      </c>
      <c r="E590" s="4">
        <v>329.99</v>
      </c>
      <c r="F590" s="4">
        <v>1071.99</v>
      </c>
      <c r="G590" s="3">
        <v>3</v>
      </c>
      <c r="H590" s="6">
        <v>4.2</v>
      </c>
      <c r="I590" s="3">
        <v>20</v>
      </c>
      <c r="J590" s="13" t="str">
        <f>HYPERLINK("https://amazon.com/dp/B0DKJ8HHDT","Amazon - B0DKJ8HHDT")</f>
        <v>Amazon - B0DKJ8HHDT</v>
      </c>
      <c r="K590" s="14" t="s">
        <v>443</v>
      </c>
      <c r="L590" s="14" t="s">
        <v>667</v>
      </c>
      <c r="M590" s="14" t="s">
        <v>303</v>
      </c>
      <c r="N590" s="14" t="s">
        <v>446</v>
      </c>
      <c r="O590" s="14" t="s">
        <v>778</v>
      </c>
    </row>
    <row r="591" spans="1:15" ht="45" x14ac:dyDescent="0.2">
      <c r="A591" s="2" t="s">
        <v>1717</v>
      </c>
      <c r="B591" s="2" t="s">
        <v>1718</v>
      </c>
      <c r="C591" s="2" t="s">
        <v>13</v>
      </c>
      <c r="D591" s="2" t="s">
        <v>472</v>
      </c>
      <c r="E591" s="4">
        <v>899.99</v>
      </c>
      <c r="F591" s="4">
        <v>1070.8800000000001</v>
      </c>
      <c r="G591" s="3">
        <v>1</v>
      </c>
      <c r="H591" s="6">
        <v>5</v>
      </c>
      <c r="I591" s="3">
        <v>3</v>
      </c>
      <c r="J591" s="13" t="str">
        <f>HYPERLINK("https://amazon.com/dp/B0CQYQQ78G","Amazon - B0CQYQQ78G")</f>
        <v>Amazon - B0CQYQQ78G</v>
      </c>
      <c r="K591" s="14" t="s">
        <v>443</v>
      </c>
      <c r="L591" s="14" t="s">
        <v>502</v>
      </c>
      <c r="M591" s="14" t="s">
        <v>565</v>
      </c>
      <c r="N591" s="14" t="s">
        <v>446</v>
      </c>
      <c r="O591" s="14" t="s">
        <v>504</v>
      </c>
    </row>
    <row r="592" spans="1:15" ht="45" x14ac:dyDescent="0.2">
      <c r="A592" s="2" t="s">
        <v>1719</v>
      </c>
      <c r="B592" s="2" t="s">
        <v>1720</v>
      </c>
      <c r="C592" s="2" t="s">
        <v>9</v>
      </c>
      <c r="D592" s="2" t="s">
        <v>823</v>
      </c>
      <c r="E592" s="4">
        <v>16.989999999999998</v>
      </c>
      <c r="F592" s="4">
        <v>1066.3699999999999</v>
      </c>
      <c r="G592" s="3">
        <v>61</v>
      </c>
      <c r="H592" s="6">
        <v>4.5999999999999996</v>
      </c>
      <c r="I592" s="3">
        <v>2981</v>
      </c>
      <c r="J592" s="13" t="str">
        <f>HYPERLINK("https://amazon.com/dp/B076D86Z7S","Amazon - B076D86Z7S")</f>
        <v>Amazon - B076D86Z7S</v>
      </c>
      <c r="K592" s="14" t="s">
        <v>443</v>
      </c>
      <c r="L592" s="14" t="s">
        <v>456</v>
      </c>
      <c r="M592" s="14" t="s">
        <v>303</v>
      </c>
      <c r="N592" s="14" t="s">
        <v>446</v>
      </c>
      <c r="O592" s="14" t="s">
        <v>303</v>
      </c>
    </row>
    <row r="593" spans="1:15" x14ac:dyDescent="0.2">
      <c r="A593" s="2" t="s">
        <v>1721</v>
      </c>
      <c r="B593" s="2" t="s">
        <v>1722</v>
      </c>
      <c r="C593" s="2" t="s">
        <v>83</v>
      </c>
      <c r="D593" s="2" t="s">
        <v>442</v>
      </c>
      <c r="E593" s="4">
        <v>260.99</v>
      </c>
      <c r="F593" s="4">
        <v>1066.19</v>
      </c>
      <c r="G593" s="3">
        <v>4</v>
      </c>
      <c r="H593" s="6">
        <v>4.0999999999999996</v>
      </c>
      <c r="I593" s="3">
        <v>98</v>
      </c>
      <c r="J593" s="13" t="str">
        <f>HYPERLINK("https://amazon.com/dp/B06XKDL1YR","Amazon - B06XKDL1YR")</f>
        <v>Amazon - B06XKDL1YR</v>
      </c>
      <c r="K593" s="14" t="s">
        <v>443</v>
      </c>
      <c r="L593" s="14" t="s">
        <v>303</v>
      </c>
      <c r="M593" s="14" t="s">
        <v>303</v>
      </c>
      <c r="N593" s="14" t="s">
        <v>446</v>
      </c>
      <c r="O593" s="14" t="s">
        <v>1302</v>
      </c>
    </row>
    <row r="594" spans="1:15" ht="45" x14ac:dyDescent="0.2">
      <c r="A594" s="2" t="s">
        <v>1723</v>
      </c>
      <c r="B594" s="2" t="s">
        <v>1724</v>
      </c>
      <c r="C594" s="2" t="s">
        <v>126</v>
      </c>
      <c r="D594" s="2" t="s">
        <v>450</v>
      </c>
      <c r="E594" s="4">
        <v>8.6300000000000008</v>
      </c>
      <c r="F594" s="4">
        <v>1059.46</v>
      </c>
      <c r="G594" s="3">
        <v>131</v>
      </c>
      <c r="H594" s="6">
        <v>3.5</v>
      </c>
      <c r="I594" s="3">
        <v>59</v>
      </c>
      <c r="J594" s="13" t="str">
        <f>HYPERLINK("https://amazon.com/dp/B0BMVC1CCJ","Amazon - B0BMVC1CCJ")</f>
        <v>Amazon - B0BMVC1CCJ</v>
      </c>
      <c r="K594" s="14" t="s">
        <v>443</v>
      </c>
      <c r="L594" s="14" t="s">
        <v>1725</v>
      </c>
      <c r="M594" s="14" t="s">
        <v>303</v>
      </c>
      <c r="N594" s="14" t="s">
        <v>446</v>
      </c>
      <c r="O594" s="14" t="s">
        <v>578</v>
      </c>
    </row>
    <row r="595" spans="1:15" ht="30" x14ac:dyDescent="0.2">
      <c r="A595" s="2" t="s">
        <v>1726</v>
      </c>
      <c r="B595" s="2" t="s">
        <v>1727</v>
      </c>
      <c r="C595" s="2" t="s">
        <v>65</v>
      </c>
      <c r="D595" s="2" t="s">
        <v>442</v>
      </c>
      <c r="E595" s="4">
        <v>38.99</v>
      </c>
      <c r="F595" s="4">
        <v>1058.57</v>
      </c>
      <c r="G595" s="3">
        <v>30</v>
      </c>
      <c r="H595" s="6">
        <v>4</v>
      </c>
      <c r="I595" s="3">
        <v>58</v>
      </c>
      <c r="J595" s="13" t="str">
        <f>HYPERLINK("https://amazon.com/dp/B0D7RL6YN5","Amazon - B0D7RL6YN5")</f>
        <v>Amazon - B0D7RL6YN5</v>
      </c>
      <c r="K595" s="14" t="s">
        <v>443</v>
      </c>
      <c r="L595" s="14" t="s">
        <v>456</v>
      </c>
      <c r="M595" s="14" t="s">
        <v>303</v>
      </c>
      <c r="N595" s="14" t="s">
        <v>446</v>
      </c>
      <c r="O595" s="14" t="s">
        <v>453</v>
      </c>
    </row>
    <row r="596" spans="1:15" x14ac:dyDescent="0.2">
      <c r="A596" s="2" t="s">
        <v>1728</v>
      </c>
      <c r="B596" s="2" t="s">
        <v>1729</v>
      </c>
      <c r="C596" s="2" t="s">
        <v>13</v>
      </c>
      <c r="D596" s="2" t="s">
        <v>472</v>
      </c>
      <c r="E596" s="4">
        <v>129.99</v>
      </c>
      <c r="F596" s="4">
        <v>1052.01</v>
      </c>
      <c r="G596" s="3">
        <v>8</v>
      </c>
      <c r="H596" s="6">
        <v>5</v>
      </c>
      <c r="I596" s="3">
        <v>2</v>
      </c>
      <c r="J596" s="13" t="str">
        <f>HYPERLINK("https://amazon.com/dp/B0CNLB131J","Amazon - B0CNLB131J")</f>
        <v>Amazon - B0CNLB131J</v>
      </c>
      <c r="K596" s="14" t="s">
        <v>443</v>
      </c>
      <c r="L596" s="14" t="s">
        <v>461</v>
      </c>
      <c r="M596" s="14" t="s">
        <v>303</v>
      </c>
      <c r="N596" s="14" t="s">
        <v>446</v>
      </c>
      <c r="O596" s="14" t="s">
        <v>1730</v>
      </c>
    </row>
    <row r="597" spans="1:15" ht="45" x14ac:dyDescent="0.2">
      <c r="A597" s="2" t="s">
        <v>1731</v>
      </c>
      <c r="B597" s="2" t="s">
        <v>1732</v>
      </c>
      <c r="C597" s="2" t="s">
        <v>68</v>
      </c>
      <c r="D597" s="2" t="s">
        <v>472</v>
      </c>
      <c r="E597" s="4">
        <v>78.17</v>
      </c>
      <c r="F597" s="4">
        <v>1049.6600000000001</v>
      </c>
      <c r="G597" s="3">
        <v>11</v>
      </c>
      <c r="H597" s="6">
        <v>4.3</v>
      </c>
      <c r="I597" s="3">
        <v>131</v>
      </c>
      <c r="J597" s="13" t="str">
        <f>HYPERLINK("https://amazon.com/dp/B0CJHBNVVX","Amazon - B0CJHBNVVX")</f>
        <v>Amazon - B0CJHBNVVX</v>
      </c>
      <c r="K597" s="14" t="s">
        <v>443</v>
      </c>
      <c r="L597" s="14" t="s">
        <v>461</v>
      </c>
      <c r="M597" s="14" t="s">
        <v>303</v>
      </c>
      <c r="N597" s="14" t="s">
        <v>473</v>
      </c>
      <c r="O597" s="14" t="s">
        <v>479</v>
      </c>
    </row>
    <row r="598" spans="1:15" ht="45" x14ac:dyDescent="0.2">
      <c r="A598" s="2" t="s">
        <v>1733</v>
      </c>
      <c r="B598" s="2" t="s">
        <v>1734</v>
      </c>
      <c r="C598" s="2" t="s">
        <v>51</v>
      </c>
      <c r="D598" s="2" t="s">
        <v>450</v>
      </c>
      <c r="E598" s="4">
        <v>599.98</v>
      </c>
      <c r="F598" s="4">
        <v>1033.24</v>
      </c>
      <c r="G598" s="3">
        <v>2</v>
      </c>
      <c r="H598" s="6">
        <v>5</v>
      </c>
      <c r="I598" s="3">
        <v>1</v>
      </c>
      <c r="J598" s="13" t="str">
        <f>HYPERLINK("https://amazon.com/dp/B0C76FCT81","Amazon - B0C76FCT81")</f>
        <v>Amazon - B0C76FCT81</v>
      </c>
      <c r="K598" s="14" t="s">
        <v>482</v>
      </c>
      <c r="L598" s="14" t="s">
        <v>451</v>
      </c>
      <c r="M598" s="14" t="s">
        <v>484</v>
      </c>
      <c r="N598" s="14" t="s">
        <v>446</v>
      </c>
      <c r="O598" s="14" t="s">
        <v>447</v>
      </c>
    </row>
    <row r="599" spans="1:15" ht="45" x14ac:dyDescent="0.2">
      <c r="A599" s="2" t="s">
        <v>1735</v>
      </c>
      <c r="B599" s="2" t="s">
        <v>1736</v>
      </c>
      <c r="C599" s="2" t="s">
        <v>23</v>
      </c>
      <c r="D599" s="2" t="s">
        <v>472</v>
      </c>
      <c r="E599" s="4">
        <v>259.89999999999998</v>
      </c>
      <c r="F599" s="4">
        <v>1031.0899999999999</v>
      </c>
      <c r="G599" s="3">
        <v>4</v>
      </c>
      <c r="H599" s="6">
        <v>5</v>
      </c>
      <c r="I599" s="3">
        <v>4</v>
      </c>
      <c r="J599" s="13" t="str">
        <f>HYPERLINK("https://amazon.com/dp/B0CRDRNHHD","Amazon - B0CRDRNHHD")</f>
        <v>Amazon - B0CRDRNHHD</v>
      </c>
      <c r="K599" s="14" t="s">
        <v>443</v>
      </c>
      <c r="L599" s="14" t="s">
        <v>461</v>
      </c>
      <c r="M599" s="14" t="s">
        <v>503</v>
      </c>
      <c r="N599" s="14" t="s">
        <v>446</v>
      </c>
      <c r="O599" s="14" t="s">
        <v>517</v>
      </c>
    </row>
    <row r="600" spans="1:15" ht="30" x14ac:dyDescent="0.2">
      <c r="A600" s="2" t="s">
        <v>1737</v>
      </c>
      <c r="B600" s="2" t="s">
        <v>1738</v>
      </c>
      <c r="C600" s="2" t="s">
        <v>8</v>
      </c>
      <c r="D600" s="2" t="s">
        <v>442</v>
      </c>
      <c r="E600" s="4">
        <v>69.989999999999995</v>
      </c>
      <c r="F600" s="4">
        <v>1029.69</v>
      </c>
      <c r="G600" s="3">
        <v>15</v>
      </c>
      <c r="H600" s="6">
        <v>4.8</v>
      </c>
      <c r="I600" s="3">
        <v>6</v>
      </c>
      <c r="J600" s="13" t="str">
        <f>HYPERLINK("https://amazon.com/dp/B0DBHT7F23","Amazon - B0DBHT7F23")</f>
        <v>Amazon - B0DBHT7F23</v>
      </c>
      <c r="K600" s="14" t="s">
        <v>443</v>
      </c>
      <c r="L600" s="14" t="s">
        <v>303</v>
      </c>
      <c r="M600" s="14" t="s">
        <v>445</v>
      </c>
      <c r="N600" s="14" t="s">
        <v>452</v>
      </c>
      <c r="O600" s="14" t="s">
        <v>543</v>
      </c>
    </row>
    <row r="601" spans="1:15" ht="45" x14ac:dyDescent="0.2">
      <c r="A601" s="2" t="s">
        <v>1739</v>
      </c>
      <c r="B601" s="2" t="s">
        <v>1740</v>
      </c>
      <c r="C601" s="2" t="s">
        <v>55</v>
      </c>
      <c r="D601" s="2" t="s">
        <v>472</v>
      </c>
      <c r="E601" s="4">
        <v>549.99</v>
      </c>
      <c r="F601" s="4">
        <v>1029.28</v>
      </c>
      <c r="G601" s="3">
        <v>2</v>
      </c>
      <c r="H601" s="6">
        <v>4.0999999999999996</v>
      </c>
      <c r="I601" s="3">
        <v>153</v>
      </c>
      <c r="J601" s="13" t="str">
        <f>HYPERLINK("https://amazon.com/dp/B0FP26Y1ZQ","Amazon - B0FP26Y1ZQ")</f>
        <v>Amazon - B0FP26Y1ZQ</v>
      </c>
      <c r="K601" s="14" t="s">
        <v>443</v>
      </c>
      <c r="L601" s="14" t="s">
        <v>502</v>
      </c>
      <c r="M601" s="14" t="s">
        <v>565</v>
      </c>
      <c r="N601" s="14" t="s">
        <v>446</v>
      </c>
      <c r="O601" s="14" t="s">
        <v>725</v>
      </c>
    </row>
    <row r="602" spans="1:15" ht="45" x14ac:dyDescent="0.2">
      <c r="A602" s="2" t="s">
        <v>1741</v>
      </c>
      <c r="B602" s="2" t="s">
        <v>1742</v>
      </c>
      <c r="C602" s="2" t="s">
        <v>52</v>
      </c>
      <c r="D602" s="2" t="s">
        <v>442</v>
      </c>
      <c r="E602" s="4">
        <v>89.99</v>
      </c>
      <c r="F602" s="4">
        <v>1021.32</v>
      </c>
      <c r="G602" s="3">
        <v>11</v>
      </c>
      <c r="H602" s="6">
        <v>4.4000000000000004</v>
      </c>
      <c r="I602" s="3">
        <v>230</v>
      </c>
      <c r="J602" s="13" t="str">
        <f>HYPERLINK("https://amazon.com/dp/B0F5PNMVD9","Amazon - B0F5PNMVD9")</f>
        <v>Amazon - B0F5PNMVD9</v>
      </c>
      <c r="K602" s="14" t="s">
        <v>443</v>
      </c>
      <c r="L602" s="14" t="s">
        <v>461</v>
      </c>
      <c r="M602" s="14" t="s">
        <v>577</v>
      </c>
      <c r="N602" s="14" t="s">
        <v>446</v>
      </c>
      <c r="O602" s="14" t="s">
        <v>447</v>
      </c>
    </row>
    <row r="603" spans="1:15" ht="45" x14ac:dyDescent="0.2">
      <c r="A603" s="2" t="s">
        <v>1743</v>
      </c>
      <c r="B603" s="2" t="s">
        <v>1744</v>
      </c>
      <c r="C603" s="2" t="s">
        <v>23</v>
      </c>
      <c r="D603" s="2" t="s">
        <v>472</v>
      </c>
      <c r="E603" s="4">
        <v>658.35</v>
      </c>
      <c r="F603" s="4">
        <v>1017.98</v>
      </c>
      <c r="G603" s="3">
        <v>2</v>
      </c>
      <c r="H603" s="6">
        <v>3</v>
      </c>
      <c r="I603" s="3">
        <v>4</v>
      </c>
      <c r="J603" s="13" t="str">
        <f>HYPERLINK("https://amazon.com/dp/B0D2HW4WDH","Amazon - B0D2HW4WDH")</f>
        <v>Amazon - B0D2HW4WDH</v>
      </c>
      <c r="K603" s="14" t="s">
        <v>443</v>
      </c>
      <c r="L603" s="14" t="s">
        <v>461</v>
      </c>
      <c r="M603" s="14" t="s">
        <v>503</v>
      </c>
      <c r="N603" s="14" t="s">
        <v>446</v>
      </c>
      <c r="O603" s="14" t="s">
        <v>856</v>
      </c>
    </row>
    <row r="604" spans="1:15" ht="45" x14ac:dyDescent="0.2">
      <c r="A604" s="2" t="s">
        <v>1745</v>
      </c>
      <c r="B604" s="2" t="s">
        <v>1746</v>
      </c>
      <c r="C604" s="2" t="s">
        <v>65</v>
      </c>
      <c r="D604" s="2" t="s">
        <v>472</v>
      </c>
      <c r="E604" s="4">
        <v>19.989999999999998</v>
      </c>
      <c r="F604" s="4">
        <v>1016.28</v>
      </c>
      <c r="G604" s="3">
        <v>48</v>
      </c>
      <c r="H604" s="6">
        <v>4.4000000000000004</v>
      </c>
      <c r="I604" s="3">
        <v>54</v>
      </c>
      <c r="J604" s="13" t="str">
        <f>HYPERLINK("https://amazon.com/dp/B0DPF4RZNY","Amazon - B0DPF4RZNY")</f>
        <v>Amazon - B0DPF4RZNY</v>
      </c>
      <c r="K604" s="14" t="s">
        <v>443</v>
      </c>
      <c r="L604" s="14" t="s">
        <v>456</v>
      </c>
      <c r="M604" s="14" t="s">
        <v>303</v>
      </c>
      <c r="N604" s="14" t="s">
        <v>446</v>
      </c>
      <c r="O604" s="14" t="s">
        <v>453</v>
      </c>
    </row>
    <row r="605" spans="1:15" ht="45" x14ac:dyDescent="0.2">
      <c r="A605" s="2" t="s">
        <v>1747</v>
      </c>
      <c r="B605" s="2" t="s">
        <v>1748</v>
      </c>
      <c r="C605" s="2" t="s">
        <v>16</v>
      </c>
      <c r="D605" s="2" t="s">
        <v>442</v>
      </c>
      <c r="E605" s="4">
        <v>99.99</v>
      </c>
      <c r="F605" s="4">
        <v>1014.46</v>
      </c>
      <c r="G605" s="3">
        <v>10</v>
      </c>
      <c r="H605" s="6">
        <v>4.7</v>
      </c>
      <c r="I605" s="3">
        <v>22</v>
      </c>
      <c r="J605" s="13" t="str">
        <f>HYPERLINK("https://amazon.com/dp/B0CHH8NY8G","Amazon - B0CHH8NY8G")</f>
        <v>Amazon - B0CHH8NY8G</v>
      </c>
      <c r="K605" s="14" t="s">
        <v>443</v>
      </c>
      <c r="L605" s="14" t="s">
        <v>483</v>
      </c>
      <c r="M605" s="14" t="s">
        <v>303</v>
      </c>
      <c r="N605" s="14" t="s">
        <v>452</v>
      </c>
      <c r="O605" s="14" t="s">
        <v>453</v>
      </c>
    </row>
    <row r="606" spans="1:15" ht="45" x14ac:dyDescent="0.2">
      <c r="A606" s="2" t="s">
        <v>1749</v>
      </c>
      <c r="B606" s="2" t="s">
        <v>1750</v>
      </c>
      <c r="C606" s="2" t="s">
        <v>23</v>
      </c>
      <c r="D606" s="2" t="s">
        <v>472</v>
      </c>
      <c r="E606" s="4">
        <v>173</v>
      </c>
      <c r="F606" s="4">
        <v>1014.19</v>
      </c>
      <c r="G606" s="3">
        <v>6</v>
      </c>
      <c r="H606" s="6">
        <v>4.2</v>
      </c>
      <c r="I606" s="3">
        <v>13</v>
      </c>
      <c r="J606" s="13" t="str">
        <f>HYPERLINK("https://amazon.com/dp/B0D8FSWW5Z","Amazon - B0D8FSWW5Z")</f>
        <v>Amazon - B0D8FSWW5Z</v>
      </c>
      <c r="K606" s="14" t="s">
        <v>443</v>
      </c>
      <c r="L606" s="14" t="s">
        <v>303</v>
      </c>
      <c r="M606" s="14" t="s">
        <v>715</v>
      </c>
      <c r="N606" s="14" t="s">
        <v>446</v>
      </c>
      <c r="O606" s="14" t="s">
        <v>917</v>
      </c>
    </row>
    <row r="607" spans="1:15" ht="45" x14ac:dyDescent="0.2">
      <c r="A607" s="2" t="s">
        <v>1751</v>
      </c>
      <c r="B607" s="2" t="s">
        <v>1752</v>
      </c>
      <c r="C607" s="2" t="s">
        <v>138</v>
      </c>
      <c r="D607" s="2" t="s">
        <v>442</v>
      </c>
      <c r="E607" s="4">
        <v>91.59</v>
      </c>
      <c r="F607" s="4">
        <v>1013.69</v>
      </c>
      <c r="G607" s="3">
        <v>15</v>
      </c>
      <c r="H607" s="6">
        <v>3.9</v>
      </c>
      <c r="I607" s="3">
        <v>52</v>
      </c>
      <c r="J607" s="13" t="str">
        <f>HYPERLINK("https://amazon.com/dp/B0D4PP5W9S","Amazon - B0D4PP5W9S")</f>
        <v>Amazon - B0D4PP5W9S</v>
      </c>
      <c r="K607" s="14" t="s">
        <v>443</v>
      </c>
      <c r="L607" s="14" t="s">
        <v>461</v>
      </c>
      <c r="M607" s="14" t="s">
        <v>303</v>
      </c>
      <c r="N607" s="14" t="s">
        <v>473</v>
      </c>
      <c r="O607" s="14" t="s">
        <v>479</v>
      </c>
    </row>
    <row r="608" spans="1:15" ht="45" x14ac:dyDescent="0.2">
      <c r="A608" s="2" t="s">
        <v>1753</v>
      </c>
      <c r="B608" s="2" t="s">
        <v>1754</v>
      </c>
      <c r="C608" s="2" t="s">
        <v>85</v>
      </c>
      <c r="D608" s="2" t="s">
        <v>450</v>
      </c>
      <c r="E608" s="4">
        <v>59.99</v>
      </c>
      <c r="F608" s="4">
        <v>1012.25</v>
      </c>
      <c r="G608" s="3">
        <v>17</v>
      </c>
      <c r="H608" s="6">
        <v>4.7</v>
      </c>
      <c r="I608" s="3">
        <v>20</v>
      </c>
      <c r="J608" s="13" t="str">
        <f>HYPERLINK("https://amazon.com/dp/B0DCGG7X5L","Amazon - B0DCGG7X5L")</f>
        <v>Amazon - B0DCGG7X5L</v>
      </c>
      <c r="K608" s="14" t="s">
        <v>443</v>
      </c>
      <c r="L608" s="14" t="s">
        <v>303</v>
      </c>
      <c r="M608" s="14" t="s">
        <v>462</v>
      </c>
      <c r="N608" s="14" t="s">
        <v>446</v>
      </c>
      <c r="O608" s="14" t="s">
        <v>303</v>
      </c>
    </row>
    <row r="609" spans="1:15" ht="45" x14ac:dyDescent="0.2">
      <c r="A609" s="2" t="s">
        <v>1755</v>
      </c>
      <c r="B609" s="2" t="s">
        <v>1756</v>
      </c>
      <c r="C609" s="2" t="s">
        <v>24</v>
      </c>
      <c r="D609" s="2" t="s">
        <v>442</v>
      </c>
      <c r="E609" s="4">
        <v>89.99</v>
      </c>
      <c r="F609" s="4">
        <v>1010.43</v>
      </c>
      <c r="G609" s="3">
        <v>11</v>
      </c>
      <c r="H609" s="6">
        <v>4.4000000000000004</v>
      </c>
      <c r="I609" s="3">
        <v>35</v>
      </c>
      <c r="J609" s="13" t="str">
        <f>HYPERLINK("https://amazon.com/dp/B0FCF1CC7D","Amazon - B0FCF1CC7D")</f>
        <v>Amazon - B0FCF1CC7D</v>
      </c>
      <c r="K609" s="14" t="s">
        <v>443</v>
      </c>
      <c r="L609" s="14" t="s">
        <v>461</v>
      </c>
      <c r="M609" s="14" t="s">
        <v>535</v>
      </c>
      <c r="N609" s="14" t="s">
        <v>452</v>
      </c>
      <c r="O609" s="14" t="s">
        <v>536</v>
      </c>
    </row>
    <row r="610" spans="1:15" ht="30" x14ac:dyDescent="0.2">
      <c r="A610" s="2" t="s">
        <v>1757</v>
      </c>
      <c r="B610" s="2" t="s">
        <v>1758</v>
      </c>
      <c r="C610" s="2" t="s">
        <v>131</v>
      </c>
      <c r="D610" s="2" t="s">
        <v>450</v>
      </c>
      <c r="E610" s="4">
        <v>15.82</v>
      </c>
      <c r="F610" s="4">
        <v>1004.05</v>
      </c>
      <c r="G610" s="3">
        <v>63</v>
      </c>
      <c r="H610" s="6">
        <v>4.2</v>
      </c>
      <c r="I610" s="3">
        <v>399</v>
      </c>
      <c r="J610" s="13" t="str">
        <f>HYPERLINK("https://amazon.com/dp/B0CR4C4PM3","Amazon - B0CR4C4PM3")</f>
        <v>Amazon - B0CR4C4PM3</v>
      </c>
      <c r="K610" s="14" t="s">
        <v>443</v>
      </c>
      <c r="L610" s="14" t="s">
        <v>451</v>
      </c>
      <c r="M610" s="14" t="s">
        <v>303</v>
      </c>
      <c r="N610" s="14" t="s">
        <v>452</v>
      </c>
      <c r="O610" s="14" t="s">
        <v>303</v>
      </c>
    </row>
    <row r="611" spans="1:15" ht="45" x14ac:dyDescent="0.2">
      <c r="A611" s="2" t="s">
        <v>1759</v>
      </c>
      <c r="B611" s="2" t="s">
        <v>1760</v>
      </c>
      <c r="C611" s="2" t="s">
        <v>13</v>
      </c>
      <c r="D611" s="2" t="s">
        <v>472</v>
      </c>
      <c r="E611" s="4">
        <v>399.99</v>
      </c>
      <c r="F611" s="4">
        <v>1000.89</v>
      </c>
      <c r="G611" s="3">
        <v>2</v>
      </c>
      <c r="H611" s="6">
        <v>5</v>
      </c>
      <c r="I611" s="3">
        <v>1</v>
      </c>
      <c r="J611" s="13" t="str">
        <f>HYPERLINK("https://amazon.com/dp/B0FLQ1TFBW","Amazon - B0FLQ1TFBW")</f>
        <v>Amazon - B0FLQ1TFBW</v>
      </c>
      <c r="K611" s="14" t="s">
        <v>443</v>
      </c>
      <c r="L611" s="14" t="s">
        <v>461</v>
      </c>
      <c r="M611" s="14" t="s">
        <v>715</v>
      </c>
      <c r="N611" s="14" t="s">
        <v>446</v>
      </c>
      <c r="O611" s="14" t="s">
        <v>570</v>
      </c>
    </row>
    <row r="612" spans="1:15" ht="45" x14ac:dyDescent="0.2">
      <c r="A612" s="2" t="s">
        <v>1761</v>
      </c>
      <c r="B612" s="2" t="s">
        <v>1762</v>
      </c>
      <c r="C612" s="2" t="s">
        <v>143</v>
      </c>
      <c r="D612" s="2" t="s">
        <v>450</v>
      </c>
      <c r="E612" s="4">
        <v>19.8</v>
      </c>
      <c r="F612" s="4">
        <v>1000.61</v>
      </c>
      <c r="G612" s="3">
        <v>50</v>
      </c>
      <c r="H612" s="6">
        <v>4.3</v>
      </c>
      <c r="I612" s="3">
        <v>453</v>
      </c>
      <c r="J612" s="13" t="str">
        <f>HYPERLINK("https://amazon.com/dp/B0CFQG5YLX","Amazon - B0CFQG5YLX")</f>
        <v>Amazon - B0CFQG5YLX</v>
      </c>
      <c r="K612" s="14" t="s">
        <v>443</v>
      </c>
      <c r="L612" s="14" t="s">
        <v>451</v>
      </c>
      <c r="M612" s="14" t="s">
        <v>303</v>
      </c>
      <c r="N612" s="14" t="s">
        <v>446</v>
      </c>
      <c r="O612" s="14" t="s">
        <v>453</v>
      </c>
    </row>
    <row r="613" spans="1:15" ht="45" x14ac:dyDescent="0.2">
      <c r="A613" s="2" t="s">
        <v>1763</v>
      </c>
      <c r="B613" s="2" t="s">
        <v>1764</v>
      </c>
      <c r="C613" s="2" t="s">
        <v>50</v>
      </c>
      <c r="D613" s="2" t="s">
        <v>472</v>
      </c>
      <c r="E613" s="4">
        <v>499.99</v>
      </c>
      <c r="F613" s="4">
        <v>999.94</v>
      </c>
      <c r="G613" s="3">
        <v>2</v>
      </c>
      <c r="H613" s="6">
        <v>5</v>
      </c>
      <c r="I613" s="3">
        <v>2</v>
      </c>
      <c r="J613" s="13" t="str">
        <f>HYPERLINK("https://amazon.com/dp/B0GCJWGWT9","Amazon - B0GCJWGWT9")</f>
        <v>Amazon - B0GCJWGWT9</v>
      </c>
      <c r="K613" s="14" t="s">
        <v>443</v>
      </c>
      <c r="L613" s="14" t="s">
        <v>502</v>
      </c>
      <c r="M613" s="14" t="s">
        <v>565</v>
      </c>
      <c r="N613" s="14" t="s">
        <v>446</v>
      </c>
      <c r="O613" s="14" t="s">
        <v>517</v>
      </c>
    </row>
    <row r="614" spans="1:15" ht="45" x14ac:dyDescent="0.2">
      <c r="A614" s="2" t="s">
        <v>1765</v>
      </c>
      <c r="B614" s="2" t="s">
        <v>1766</v>
      </c>
      <c r="C614" s="2" t="s">
        <v>23</v>
      </c>
      <c r="D614" s="2" t="s">
        <v>472</v>
      </c>
      <c r="E614" s="4">
        <v>259.99</v>
      </c>
      <c r="F614" s="4">
        <v>999.88</v>
      </c>
      <c r="G614" s="3">
        <v>4</v>
      </c>
      <c r="H614" s="6">
        <v>4.3</v>
      </c>
      <c r="I614" s="3">
        <v>14</v>
      </c>
      <c r="J614" s="13" t="str">
        <f>HYPERLINK("https://amazon.com/dp/B0D9NT979V","Amazon - B0D9NT979V")</f>
        <v>Amazon - B0D9NT979V</v>
      </c>
      <c r="K614" s="14" t="s">
        <v>443</v>
      </c>
      <c r="L614" s="14" t="s">
        <v>461</v>
      </c>
      <c r="M614" s="14" t="s">
        <v>503</v>
      </c>
      <c r="N614" s="14" t="s">
        <v>446</v>
      </c>
      <c r="O614" s="14" t="s">
        <v>517</v>
      </c>
    </row>
    <row r="615" spans="1:15" ht="45" x14ac:dyDescent="0.2">
      <c r="A615" s="2" t="s">
        <v>1767</v>
      </c>
      <c r="B615" s="2" t="s">
        <v>1768</v>
      </c>
      <c r="C615" s="2" t="s">
        <v>33</v>
      </c>
      <c r="D615" s="2" t="s">
        <v>472</v>
      </c>
      <c r="E615" s="4">
        <v>439.99</v>
      </c>
      <c r="F615" s="4">
        <v>998.92</v>
      </c>
      <c r="G615" s="3">
        <v>2</v>
      </c>
      <c r="H615" s="6">
        <v>4.3</v>
      </c>
      <c r="I615" s="3">
        <v>3</v>
      </c>
      <c r="J615" s="13" t="str">
        <f>HYPERLINK("https://amazon.com/dp/B0BBV4TK4N","Amazon - B0BBV4TK4N")</f>
        <v>Amazon - B0BBV4TK4N</v>
      </c>
      <c r="K615" s="14" t="s">
        <v>443</v>
      </c>
      <c r="L615" s="14" t="s">
        <v>502</v>
      </c>
      <c r="M615" s="14" t="s">
        <v>303</v>
      </c>
      <c r="N615" s="14" t="s">
        <v>446</v>
      </c>
      <c r="O615" s="14" t="s">
        <v>517</v>
      </c>
    </row>
    <row r="616" spans="1:15" ht="45" x14ac:dyDescent="0.2">
      <c r="A616" s="2" t="s">
        <v>1769</v>
      </c>
      <c r="B616" s="2" t="s">
        <v>1770</v>
      </c>
      <c r="C616" s="2" t="s">
        <v>57</v>
      </c>
      <c r="D616" s="2" t="s">
        <v>472</v>
      </c>
      <c r="E616" s="4">
        <v>339.99</v>
      </c>
      <c r="F616" s="4">
        <v>997.11</v>
      </c>
      <c r="G616" s="3">
        <v>3</v>
      </c>
      <c r="H616" s="6">
        <v>4.2</v>
      </c>
      <c r="I616" s="3">
        <v>20</v>
      </c>
      <c r="J616" s="13" t="str">
        <f>HYPERLINK("https://amazon.com/dp/B0DKJ3N5C7","Amazon - B0DKJ3N5C7")</f>
        <v>Amazon - B0DKJ3N5C7</v>
      </c>
      <c r="K616" s="14" t="s">
        <v>443</v>
      </c>
      <c r="L616" s="14" t="s">
        <v>667</v>
      </c>
      <c r="M616" s="14" t="s">
        <v>303</v>
      </c>
      <c r="N616" s="14" t="s">
        <v>446</v>
      </c>
      <c r="O616" s="14" t="s">
        <v>809</v>
      </c>
    </row>
    <row r="617" spans="1:15" ht="30" x14ac:dyDescent="0.2">
      <c r="A617" s="2" t="s">
        <v>1771</v>
      </c>
      <c r="B617" s="2" t="s">
        <v>1772</v>
      </c>
      <c r="C617" s="2" t="s">
        <v>150</v>
      </c>
      <c r="D617" s="2" t="s">
        <v>450</v>
      </c>
      <c r="E617" s="4">
        <v>25.49</v>
      </c>
      <c r="F617" s="4">
        <v>988.81</v>
      </c>
      <c r="G617" s="3">
        <v>35</v>
      </c>
      <c r="H617" s="6">
        <v>4.2</v>
      </c>
      <c r="I617" s="3">
        <v>13</v>
      </c>
      <c r="J617" s="13" t="str">
        <f>HYPERLINK("https://amazon.com/dp/B0G4G1GPG8","Amazon - B0G4G1GPG8")</f>
        <v>Amazon - B0G4G1GPG8</v>
      </c>
      <c r="K617" s="14" t="s">
        <v>443</v>
      </c>
      <c r="L617" s="14" t="s">
        <v>451</v>
      </c>
      <c r="M617" s="14" t="s">
        <v>303</v>
      </c>
      <c r="N617" s="14" t="s">
        <v>446</v>
      </c>
      <c r="O617" s="14" t="s">
        <v>303</v>
      </c>
    </row>
    <row r="618" spans="1:15" ht="45" x14ac:dyDescent="0.2">
      <c r="A618" s="2" t="s">
        <v>1773</v>
      </c>
      <c r="B618" s="2" t="s">
        <v>1774</v>
      </c>
      <c r="C618" s="2" t="s">
        <v>24</v>
      </c>
      <c r="D618" s="2" t="s">
        <v>823</v>
      </c>
      <c r="E618" s="4">
        <v>52.99</v>
      </c>
      <c r="F618" s="4">
        <v>985.89</v>
      </c>
      <c r="G618" s="3">
        <v>19</v>
      </c>
      <c r="H618" s="6">
        <v>4.2</v>
      </c>
      <c r="I618" s="3">
        <v>73</v>
      </c>
      <c r="J618" s="13" t="str">
        <f>HYPERLINK("https://amazon.com/dp/B08R9VC1RB","Amazon - B08R9VC1RB")</f>
        <v>Amazon - B08R9VC1RB</v>
      </c>
      <c r="K618" s="14" t="s">
        <v>443</v>
      </c>
      <c r="L618" s="14" t="s">
        <v>451</v>
      </c>
      <c r="M618" s="14" t="s">
        <v>462</v>
      </c>
      <c r="N618" s="14" t="s">
        <v>446</v>
      </c>
      <c r="O618" s="14" t="s">
        <v>543</v>
      </c>
    </row>
    <row r="619" spans="1:15" ht="45" x14ac:dyDescent="0.2">
      <c r="A619" s="2" t="s">
        <v>1775</v>
      </c>
      <c r="B619" s="2" t="s">
        <v>1776</v>
      </c>
      <c r="C619" s="2" t="s">
        <v>51</v>
      </c>
      <c r="D619" s="2" t="s">
        <v>823</v>
      </c>
      <c r="E619" s="4">
        <v>899.98</v>
      </c>
      <c r="F619" s="4">
        <v>972.56</v>
      </c>
      <c r="G619" s="3">
        <v>1</v>
      </c>
      <c r="H619" s="6">
        <v>5</v>
      </c>
      <c r="I619" s="3">
        <v>8</v>
      </c>
      <c r="J619" s="13" t="str">
        <f>HYPERLINK("https://amazon.com/dp/B0885RH9PV","Amazon - B0885RH9PV")</f>
        <v>Amazon - B0885RH9PV</v>
      </c>
      <c r="K619" s="14" t="s">
        <v>443</v>
      </c>
      <c r="L619" s="14" t="s">
        <v>444</v>
      </c>
      <c r="M619" s="14" t="s">
        <v>462</v>
      </c>
      <c r="N619" s="14" t="s">
        <v>446</v>
      </c>
      <c r="O619" s="14" t="s">
        <v>543</v>
      </c>
    </row>
    <row r="620" spans="1:15" ht="45" x14ac:dyDescent="0.2">
      <c r="A620" s="2" t="s">
        <v>1777</v>
      </c>
      <c r="B620" s="2" t="s">
        <v>1778</v>
      </c>
      <c r="C620" s="2" t="s">
        <v>136</v>
      </c>
      <c r="D620" s="2" t="s">
        <v>450</v>
      </c>
      <c r="E620" s="4">
        <v>19.98</v>
      </c>
      <c r="F620" s="4">
        <v>967.52</v>
      </c>
      <c r="G620" s="3">
        <v>48</v>
      </c>
      <c r="H620" s="6">
        <v>4.2</v>
      </c>
      <c r="I620" s="3">
        <v>104</v>
      </c>
      <c r="J620" s="13" t="str">
        <f>HYPERLINK("https://amazon.com/dp/B0CZKMVL56","Amazon - B0CZKMVL56")</f>
        <v>Amazon - B0CZKMVL56</v>
      </c>
      <c r="K620" s="14" t="s">
        <v>443</v>
      </c>
      <c r="L620" s="14" t="s">
        <v>451</v>
      </c>
      <c r="M620" s="14" t="s">
        <v>303</v>
      </c>
      <c r="N620" s="14" t="s">
        <v>446</v>
      </c>
      <c r="O620" s="14" t="s">
        <v>453</v>
      </c>
    </row>
    <row r="621" spans="1:15" ht="45" x14ac:dyDescent="0.2">
      <c r="A621" s="2" t="s">
        <v>1779</v>
      </c>
      <c r="B621" s="2" t="s">
        <v>1780</v>
      </c>
      <c r="C621" s="2" t="s">
        <v>128</v>
      </c>
      <c r="D621" s="2" t="s">
        <v>442</v>
      </c>
      <c r="E621" s="4">
        <v>69.989999999999995</v>
      </c>
      <c r="F621" s="4">
        <v>966.95</v>
      </c>
      <c r="G621" s="3">
        <v>14</v>
      </c>
      <c r="H621" s="6">
        <v>4.2</v>
      </c>
      <c r="I621" s="3">
        <v>162</v>
      </c>
      <c r="J621" s="13" t="str">
        <f>HYPERLINK("https://amazon.com/dp/B08DV62166","Amazon - B08DV62166")</f>
        <v>Amazon - B08DV62166</v>
      </c>
      <c r="K621" s="14" t="s">
        <v>443</v>
      </c>
      <c r="L621" s="14" t="s">
        <v>303</v>
      </c>
      <c r="M621" s="14" t="s">
        <v>462</v>
      </c>
      <c r="N621" s="14" t="s">
        <v>446</v>
      </c>
      <c r="O621" s="14" t="s">
        <v>578</v>
      </c>
    </row>
    <row r="622" spans="1:15" ht="45" x14ac:dyDescent="0.2">
      <c r="A622" s="2" t="s">
        <v>1781</v>
      </c>
      <c r="B622" s="2" t="s">
        <v>1782</v>
      </c>
      <c r="C622" s="2" t="s">
        <v>14</v>
      </c>
      <c r="D622" s="2" t="s">
        <v>472</v>
      </c>
      <c r="E622" s="4">
        <v>449.88</v>
      </c>
      <c r="F622" s="4">
        <v>964.38</v>
      </c>
      <c r="G622" s="3">
        <v>2</v>
      </c>
      <c r="H622" s="6">
        <v>0</v>
      </c>
      <c r="I622" s="3">
        <v>0</v>
      </c>
      <c r="J622" s="13" t="str">
        <f>HYPERLINK("https://amazon.com/dp/B0FSXJJGV5","Amazon - B0FSXJJGV5")</f>
        <v>Amazon - B0FSXJJGV5</v>
      </c>
      <c r="K622" s="14" t="s">
        <v>443</v>
      </c>
      <c r="L622" s="14" t="s">
        <v>667</v>
      </c>
      <c r="M622" s="14" t="s">
        <v>303</v>
      </c>
      <c r="N622" s="14" t="s">
        <v>446</v>
      </c>
      <c r="O622" s="14" t="s">
        <v>570</v>
      </c>
    </row>
    <row r="623" spans="1:15" ht="45" x14ac:dyDescent="0.2">
      <c r="A623" s="2" t="s">
        <v>1783</v>
      </c>
      <c r="B623" s="2" t="s">
        <v>1784</v>
      </c>
      <c r="C623" s="2" t="s">
        <v>23</v>
      </c>
      <c r="D623" s="2" t="s">
        <v>472</v>
      </c>
      <c r="E623" s="4">
        <v>664.99</v>
      </c>
      <c r="F623" s="4">
        <v>961.35</v>
      </c>
      <c r="G623" s="3">
        <v>1</v>
      </c>
      <c r="H623" s="6">
        <v>4</v>
      </c>
      <c r="I623" s="3">
        <v>21</v>
      </c>
      <c r="J623" s="13" t="str">
        <f>HYPERLINK("https://amazon.com/dp/B0CY7SW9GD","Amazon - B0CY7SW9GD")</f>
        <v>Amazon - B0CY7SW9GD</v>
      </c>
      <c r="K623" s="14" t="s">
        <v>443</v>
      </c>
      <c r="L623" s="14" t="s">
        <v>461</v>
      </c>
      <c r="M623" s="14" t="s">
        <v>303</v>
      </c>
      <c r="N623" s="14" t="s">
        <v>446</v>
      </c>
      <c r="O623" s="14" t="s">
        <v>517</v>
      </c>
    </row>
    <row r="624" spans="1:15" ht="45" x14ac:dyDescent="0.2">
      <c r="A624" s="2" t="s">
        <v>1785</v>
      </c>
      <c r="B624" s="2" t="s">
        <v>1786</v>
      </c>
      <c r="C624" s="2" t="s">
        <v>23</v>
      </c>
      <c r="D624" s="2" t="s">
        <v>472</v>
      </c>
      <c r="E624" s="4">
        <v>131.5</v>
      </c>
      <c r="F624" s="4">
        <v>961.3</v>
      </c>
      <c r="G624" s="3">
        <v>7</v>
      </c>
      <c r="H624" s="6">
        <v>4.2</v>
      </c>
      <c r="I624" s="3">
        <v>13</v>
      </c>
      <c r="J624" s="13" t="str">
        <f>HYPERLINK("https://amazon.com/dp/B0D8FVZ6Z5","Amazon - B0D8FVZ6Z5")</f>
        <v>Amazon - B0D8FVZ6Z5</v>
      </c>
      <c r="K624" s="14" t="s">
        <v>443</v>
      </c>
      <c r="L624" s="14" t="s">
        <v>303</v>
      </c>
      <c r="M624" s="14" t="s">
        <v>715</v>
      </c>
      <c r="N624" s="14" t="s">
        <v>446</v>
      </c>
      <c r="O624" s="14" t="s">
        <v>608</v>
      </c>
    </row>
    <row r="625" spans="1:15" ht="30" x14ac:dyDescent="0.2">
      <c r="A625" s="2" t="s">
        <v>1787</v>
      </c>
      <c r="B625" s="2" t="s">
        <v>1788</v>
      </c>
      <c r="C625" s="2" t="s">
        <v>32</v>
      </c>
      <c r="D625" s="2" t="s">
        <v>442</v>
      </c>
      <c r="E625" s="4">
        <v>28</v>
      </c>
      <c r="F625" s="4">
        <v>947.83</v>
      </c>
      <c r="G625" s="3">
        <v>24</v>
      </c>
      <c r="H625" s="6">
        <v>4.5999999999999996</v>
      </c>
      <c r="I625" s="3">
        <v>524</v>
      </c>
      <c r="J625" s="13" t="str">
        <f>HYPERLINK("https://amazon.com/dp/B091L6L1GV","Amazon - B091L6L1GV")</f>
        <v>Amazon - B091L6L1GV</v>
      </c>
      <c r="K625" s="14" t="s">
        <v>443</v>
      </c>
      <c r="L625" s="14" t="s">
        <v>456</v>
      </c>
      <c r="M625" s="14" t="s">
        <v>303</v>
      </c>
      <c r="N625" s="14" t="s">
        <v>452</v>
      </c>
      <c r="O625" s="14" t="s">
        <v>453</v>
      </c>
    </row>
    <row r="626" spans="1:15" ht="45" x14ac:dyDescent="0.2">
      <c r="A626" s="2" t="s">
        <v>1789</v>
      </c>
      <c r="B626" s="2" t="s">
        <v>1269</v>
      </c>
      <c r="C626" s="2" t="s">
        <v>13</v>
      </c>
      <c r="D626" s="2" t="s">
        <v>472</v>
      </c>
      <c r="E626" s="4">
        <v>999.99</v>
      </c>
      <c r="F626" s="4">
        <v>944.45</v>
      </c>
      <c r="G626" s="3">
        <v>1</v>
      </c>
      <c r="H626" s="6">
        <v>5</v>
      </c>
      <c r="I626" s="3">
        <v>1</v>
      </c>
      <c r="J626" s="13" t="str">
        <f>HYPERLINK("https://amazon.com/dp/B0FLPWZMNV","Amazon - B0FLPWZMNV")</f>
        <v>Amazon - B0FLPWZMNV</v>
      </c>
      <c r="K626" s="14" t="s">
        <v>443</v>
      </c>
      <c r="L626" s="14" t="s">
        <v>461</v>
      </c>
      <c r="M626" s="14" t="s">
        <v>565</v>
      </c>
      <c r="N626" s="14" t="s">
        <v>446</v>
      </c>
      <c r="O626" s="14" t="s">
        <v>725</v>
      </c>
    </row>
    <row r="627" spans="1:15" ht="45" x14ac:dyDescent="0.2">
      <c r="A627" s="2" t="s">
        <v>1790</v>
      </c>
      <c r="B627" s="2" t="s">
        <v>1791</v>
      </c>
      <c r="C627" s="2" t="s">
        <v>23</v>
      </c>
      <c r="D627" s="2" t="s">
        <v>472</v>
      </c>
      <c r="E627" s="4">
        <v>329</v>
      </c>
      <c r="F627" s="4">
        <v>942.36</v>
      </c>
      <c r="G627" s="3">
        <v>3</v>
      </c>
      <c r="H627" s="6">
        <v>4</v>
      </c>
      <c r="I627" s="3">
        <v>10</v>
      </c>
      <c r="J627" s="13" t="str">
        <f>HYPERLINK("https://amazon.com/dp/B0CSF6W2LT","Amazon - B0CSF6W2LT")</f>
        <v>Amazon - B0CSF6W2LT</v>
      </c>
      <c r="K627" s="14" t="s">
        <v>443</v>
      </c>
      <c r="L627" s="14" t="s">
        <v>461</v>
      </c>
      <c r="M627" s="14" t="s">
        <v>303</v>
      </c>
      <c r="N627" s="14" t="s">
        <v>446</v>
      </c>
      <c r="O627" s="14" t="s">
        <v>517</v>
      </c>
    </row>
    <row r="628" spans="1:15" ht="45" x14ac:dyDescent="0.2">
      <c r="A628" s="2" t="s">
        <v>1792</v>
      </c>
      <c r="B628" s="2" t="s">
        <v>1793</v>
      </c>
      <c r="C628" s="2" t="s">
        <v>119</v>
      </c>
      <c r="D628" s="2" t="s">
        <v>442</v>
      </c>
      <c r="E628" s="4">
        <v>99.99</v>
      </c>
      <c r="F628" s="4">
        <v>932.63</v>
      </c>
      <c r="G628" s="3">
        <v>8</v>
      </c>
      <c r="H628" s="6">
        <v>4.5</v>
      </c>
      <c r="I628" s="3">
        <v>28</v>
      </c>
      <c r="J628" s="13" t="str">
        <f>HYPERLINK("https://amazon.com/dp/B0FNN7VV63","Amazon - B0FNN7VV63")</f>
        <v>Amazon - B0FNN7VV63</v>
      </c>
      <c r="K628" s="14" t="s">
        <v>443</v>
      </c>
      <c r="L628" s="14" t="s">
        <v>461</v>
      </c>
      <c r="M628" s="14" t="s">
        <v>462</v>
      </c>
      <c r="N628" s="14" t="s">
        <v>446</v>
      </c>
      <c r="O628" s="14" t="s">
        <v>458</v>
      </c>
    </row>
    <row r="629" spans="1:15" ht="45" x14ac:dyDescent="0.2">
      <c r="A629" s="2" t="s">
        <v>1794</v>
      </c>
      <c r="B629" s="2" t="s">
        <v>1795</v>
      </c>
      <c r="C629" s="2" t="s">
        <v>13</v>
      </c>
      <c r="D629" s="2" t="s">
        <v>472</v>
      </c>
      <c r="E629" s="4">
        <v>899.99</v>
      </c>
      <c r="F629" s="4">
        <v>922.27</v>
      </c>
      <c r="G629" s="3">
        <v>1</v>
      </c>
      <c r="H629" s="6">
        <v>5</v>
      </c>
      <c r="I629" s="3">
        <v>2</v>
      </c>
      <c r="J629" s="13" t="str">
        <f>HYPERLINK("https://amazon.com/dp/B0DNW997X5","Amazon - B0DNW997X5")</f>
        <v>Amazon - B0DNW997X5</v>
      </c>
      <c r="K629" s="14" t="s">
        <v>443</v>
      </c>
      <c r="L629" s="14" t="s">
        <v>502</v>
      </c>
      <c r="M629" s="14" t="s">
        <v>565</v>
      </c>
      <c r="N629" s="14" t="s">
        <v>446</v>
      </c>
      <c r="O629" s="14" t="s">
        <v>725</v>
      </c>
    </row>
    <row r="630" spans="1:15" ht="30" x14ac:dyDescent="0.2">
      <c r="A630" s="2" t="s">
        <v>1796</v>
      </c>
      <c r="B630" s="2" t="s">
        <v>1797</v>
      </c>
      <c r="C630" s="2" t="s">
        <v>51</v>
      </c>
      <c r="D630" s="2" t="s">
        <v>450</v>
      </c>
      <c r="E630" s="4">
        <v>399.95</v>
      </c>
      <c r="F630" s="4">
        <v>911.97</v>
      </c>
      <c r="G630" s="3">
        <v>2</v>
      </c>
      <c r="H630" s="6">
        <v>4</v>
      </c>
      <c r="I630" s="3">
        <v>26</v>
      </c>
      <c r="J630" s="13" t="str">
        <f>HYPERLINK("https://amazon.com/dp/B072DS7LQN","Amazon - B072DS7LQN")</f>
        <v>Amazon - B072DS7LQN</v>
      </c>
      <c r="K630" s="14" t="s">
        <v>443</v>
      </c>
      <c r="L630" s="14" t="s">
        <v>461</v>
      </c>
      <c r="M630" s="14" t="s">
        <v>457</v>
      </c>
      <c r="N630" s="14" t="s">
        <v>446</v>
      </c>
      <c r="O630" s="14" t="s">
        <v>447</v>
      </c>
    </row>
    <row r="631" spans="1:15" ht="45" x14ac:dyDescent="0.2">
      <c r="A631" s="2" t="s">
        <v>1798</v>
      </c>
      <c r="B631" s="2" t="s">
        <v>1799</v>
      </c>
      <c r="C631" s="2" t="s">
        <v>153</v>
      </c>
      <c r="D631" s="2" t="s">
        <v>472</v>
      </c>
      <c r="E631" s="4">
        <v>25.19</v>
      </c>
      <c r="F631" s="4">
        <v>908.35</v>
      </c>
      <c r="G631" s="3">
        <v>33</v>
      </c>
      <c r="H631" s="6">
        <v>4.2</v>
      </c>
      <c r="I631" s="3">
        <v>65</v>
      </c>
      <c r="J631" s="13" t="str">
        <f>HYPERLINK("https://amazon.com/dp/B0D14P2NKP","Amazon - B0D14P2NKP")</f>
        <v>Amazon - B0D14P2NKP</v>
      </c>
      <c r="K631" s="14" t="s">
        <v>443</v>
      </c>
      <c r="L631" s="14" t="s">
        <v>456</v>
      </c>
      <c r="M631" s="14" t="s">
        <v>303</v>
      </c>
      <c r="N631" s="14" t="s">
        <v>446</v>
      </c>
      <c r="O631" s="14" t="s">
        <v>453</v>
      </c>
    </row>
    <row r="632" spans="1:15" ht="45" x14ac:dyDescent="0.2">
      <c r="A632" s="2" t="s">
        <v>1800</v>
      </c>
      <c r="B632" s="2" t="s">
        <v>1801</v>
      </c>
      <c r="C632" s="2" t="s">
        <v>68</v>
      </c>
      <c r="D632" s="2" t="s">
        <v>472</v>
      </c>
      <c r="E632" s="4">
        <v>67.989999999999995</v>
      </c>
      <c r="F632" s="4">
        <v>906.32</v>
      </c>
      <c r="G632" s="3">
        <v>11</v>
      </c>
      <c r="H632" s="6">
        <v>4.3</v>
      </c>
      <c r="I632" s="3">
        <v>62</v>
      </c>
      <c r="J632" s="13" t="str">
        <f>HYPERLINK("https://amazon.com/dp/B0D7BJRPHX","Amazon - B0D7BJRPHX")</f>
        <v>Amazon - B0D7BJRPHX</v>
      </c>
      <c r="K632" s="14" t="s">
        <v>443</v>
      </c>
      <c r="L632" s="14" t="s">
        <v>667</v>
      </c>
      <c r="M632" s="14" t="s">
        <v>484</v>
      </c>
      <c r="N632" s="14" t="s">
        <v>446</v>
      </c>
      <c r="O632" s="14" t="s">
        <v>536</v>
      </c>
    </row>
    <row r="633" spans="1:15" ht="45" x14ac:dyDescent="0.2">
      <c r="A633" s="2" t="s">
        <v>1802</v>
      </c>
      <c r="B633" s="2" t="s">
        <v>1803</v>
      </c>
      <c r="C633" s="2" t="s">
        <v>154</v>
      </c>
      <c r="D633" s="2" t="s">
        <v>450</v>
      </c>
      <c r="E633" s="4">
        <v>18.989999999999998</v>
      </c>
      <c r="F633" s="4">
        <v>900.81</v>
      </c>
      <c r="G633" s="3">
        <v>47</v>
      </c>
      <c r="H633" s="6">
        <v>4.0999999999999996</v>
      </c>
      <c r="I633" s="3">
        <v>8264</v>
      </c>
      <c r="J633" s="13" t="str">
        <f>HYPERLINK("https://amazon.com/dp/B071HYRPND","Amazon - B071HYRPND")</f>
        <v>Amazon - B071HYRPND</v>
      </c>
      <c r="K633" s="14" t="s">
        <v>443</v>
      </c>
      <c r="L633" s="14" t="s">
        <v>451</v>
      </c>
      <c r="M633" s="14" t="s">
        <v>303</v>
      </c>
      <c r="N633" s="14" t="s">
        <v>446</v>
      </c>
      <c r="O633" s="14" t="s">
        <v>453</v>
      </c>
    </row>
    <row r="634" spans="1:15" ht="30" x14ac:dyDescent="0.2">
      <c r="A634" s="2" t="s">
        <v>1804</v>
      </c>
      <c r="B634" s="2" t="s">
        <v>1805</v>
      </c>
      <c r="C634" s="2" t="s">
        <v>40</v>
      </c>
      <c r="D634" s="2" t="s">
        <v>472</v>
      </c>
      <c r="E634" s="4">
        <v>391.25</v>
      </c>
      <c r="F634" s="4">
        <v>900.23</v>
      </c>
      <c r="G634" s="3">
        <v>2</v>
      </c>
      <c r="H634" s="6">
        <v>0</v>
      </c>
      <c r="I634" s="3">
        <v>0</v>
      </c>
      <c r="J634" s="13" t="str">
        <f>HYPERLINK("https://amazon.com/dp/B0CCPJGN71","Amazon - B0CCPJGN71")</f>
        <v>Amazon - B0CCPJGN71</v>
      </c>
      <c r="K634" s="14" t="s">
        <v>443</v>
      </c>
      <c r="L634" s="14" t="s">
        <v>303</v>
      </c>
      <c r="M634" s="14" t="s">
        <v>688</v>
      </c>
      <c r="N634" s="14" t="s">
        <v>446</v>
      </c>
      <c r="O634" s="14" t="s">
        <v>629</v>
      </c>
    </row>
    <row r="635" spans="1:15" ht="30" x14ac:dyDescent="0.2">
      <c r="A635" s="2" t="s">
        <v>1806</v>
      </c>
      <c r="B635" s="2" t="s">
        <v>1807</v>
      </c>
      <c r="C635" s="2" t="s">
        <v>51</v>
      </c>
      <c r="D635" s="2" t="s">
        <v>823</v>
      </c>
      <c r="E635" s="4">
        <v>799.98</v>
      </c>
      <c r="F635" s="4">
        <v>893.8</v>
      </c>
      <c r="G635" s="3">
        <v>1</v>
      </c>
      <c r="H635" s="6">
        <v>0</v>
      </c>
      <c r="I635" s="3">
        <v>0</v>
      </c>
      <c r="J635" s="13" t="str">
        <f>HYPERLINK("https://amazon.com/dp/B09QBTJB5Z","Amazon - B09QBTJB5Z")</f>
        <v>Amazon - B09QBTJB5Z</v>
      </c>
      <c r="K635" s="14" t="s">
        <v>443</v>
      </c>
      <c r="L635" s="14" t="s">
        <v>451</v>
      </c>
      <c r="M635" s="14" t="s">
        <v>484</v>
      </c>
      <c r="N635" s="14" t="s">
        <v>446</v>
      </c>
      <c r="O635" s="14" t="s">
        <v>543</v>
      </c>
    </row>
    <row r="636" spans="1:15" ht="30" x14ac:dyDescent="0.2">
      <c r="A636" s="2" t="s">
        <v>1808</v>
      </c>
      <c r="B636" s="2" t="s">
        <v>1809</v>
      </c>
      <c r="C636" s="2" t="s">
        <v>155</v>
      </c>
      <c r="D636" s="2" t="s">
        <v>442</v>
      </c>
      <c r="E636" s="4">
        <v>135</v>
      </c>
      <c r="F636" s="4">
        <v>893.79</v>
      </c>
      <c r="G636" s="3">
        <v>7</v>
      </c>
      <c r="H636" s="6">
        <v>3.5</v>
      </c>
      <c r="I636" s="3">
        <v>14</v>
      </c>
      <c r="J636" s="13" t="str">
        <f>HYPERLINK("https://amazon.com/dp/B08Z9THK1B","Amazon - B08Z9THK1B")</f>
        <v>Amazon - B08Z9THK1B</v>
      </c>
      <c r="K636" s="14" t="s">
        <v>443</v>
      </c>
      <c r="L636" s="14" t="s">
        <v>1725</v>
      </c>
      <c r="M636" s="14" t="s">
        <v>303</v>
      </c>
      <c r="N636" s="14" t="s">
        <v>446</v>
      </c>
      <c r="O636" s="14" t="s">
        <v>303</v>
      </c>
    </row>
    <row r="637" spans="1:15" ht="45" x14ac:dyDescent="0.2">
      <c r="A637" s="2" t="s">
        <v>1810</v>
      </c>
      <c r="B637" s="2" t="s">
        <v>1811</v>
      </c>
      <c r="C637" s="2" t="s">
        <v>55</v>
      </c>
      <c r="D637" s="2" t="s">
        <v>472</v>
      </c>
      <c r="E637" s="4">
        <v>699.99</v>
      </c>
      <c r="F637" s="4">
        <v>889.24</v>
      </c>
      <c r="G637" s="3">
        <v>1</v>
      </c>
      <c r="H637" s="6">
        <v>4.0999999999999996</v>
      </c>
      <c r="I637" s="3">
        <v>153</v>
      </c>
      <c r="J637" s="13" t="str">
        <f>HYPERLINK("https://amazon.com/dp/B0FY3BCW4L","Amazon - B0FY3BCW4L")</f>
        <v>Amazon - B0FY3BCW4L</v>
      </c>
      <c r="K637" s="14" t="s">
        <v>443</v>
      </c>
      <c r="L637" s="14" t="s">
        <v>502</v>
      </c>
      <c r="M637" s="14" t="s">
        <v>565</v>
      </c>
      <c r="N637" s="14" t="s">
        <v>446</v>
      </c>
      <c r="O637" s="14" t="s">
        <v>863</v>
      </c>
    </row>
    <row r="638" spans="1:15" ht="30" x14ac:dyDescent="0.2">
      <c r="A638" s="2" t="s">
        <v>1812</v>
      </c>
      <c r="B638" s="2" t="s">
        <v>1813</v>
      </c>
      <c r="C638" s="2" t="s">
        <v>55</v>
      </c>
      <c r="D638" s="2" t="s">
        <v>472</v>
      </c>
      <c r="E638" s="4">
        <v>199.99</v>
      </c>
      <c r="F638" s="4">
        <v>885.19</v>
      </c>
      <c r="G638" s="3">
        <v>4</v>
      </c>
      <c r="H638" s="6">
        <v>4.0999999999999996</v>
      </c>
      <c r="I638" s="3">
        <v>13</v>
      </c>
      <c r="J638" s="13" t="str">
        <f>HYPERLINK("https://amazon.com/dp/B07P2JPKW6","Amazon - B07P2JPKW6")</f>
        <v>Amazon - B07P2JPKW6</v>
      </c>
      <c r="K638" s="14" t="s">
        <v>443</v>
      </c>
      <c r="L638" s="14" t="s">
        <v>303</v>
      </c>
      <c r="M638" s="14" t="s">
        <v>303</v>
      </c>
      <c r="N638" s="14" t="s">
        <v>446</v>
      </c>
      <c r="O638" s="14" t="s">
        <v>1225</v>
      </c>
    </row>
    <row r="639" spans="1:15" ht="30" x14ac:dyDescent="0.2">
      <c r="A639" s="2" t="s">
        <v>1814</v>
      </c>
      <c r="B639" s="2" t="s">
        <v>1815</v>
      </c>
      <c r="C639" s="2" t="s">
        <v>29</v>
      </c>
      <c r="D639" s="2" t="s">
        <v>472</v>
      </c>
      <c r="E639" s="4">
        <v>215.32</v>
      </c>
      <c r="F639" s="4">
        <v>861.28</v>
      </c>
      <c r="G639" s="3">
        <v>4</v>
      </c>
      <c r="H639" s="6">
        <v>4.2</v>
      </c>
      <c r="I639" s="3">
        <v>64</v>
      </c>
      <c r="J639" s="13" t="str">
        <f>HYPERLINK("https://amazon.com/dp/B0GJ35SN5H","Amazon - B0GJ35SN5H")</f>
        <v>Amazon - B0GJ35SN5H</v>
      </c>
      <c r="K639" s="14" t="s">
        <v>443</v>
      </c>
      <c r="L639" s="14" t="s">
        <v>456</v>
      </c>
      <c r="M639" s="14" t="s">
        <v>677</v>
      </c>
      <c r="N639" s="14" t="s">
        <v>446</v>
      </c>
      <c r="O639" s="14" t="s">
        <v>517</v>
      </c>
    </row>
    <row r="640" spans="1:15" ht="45" x14ac:dyDescent="0.2">
      <c r="A640" s="2" t="s">
        <v>1816</v>
      </c>
      <c r="B640" s="2" t="s">
        <v>1817</v>
      </c>
      <c r="C640" s="2" t="s">
        <v>15</v>
      </c>
      <c r="D640" s="2" t="s">
        <v>450</v>
      </c>
      <c r="E640" s="4">
        <v>69.989999999999995</v>
      </c>
      <c r="F640" s="4">
        <v>850.15</v>
      </c>
      <c r="G640" s="3">
        <v>12</v>
      </c>
      <c r="H640" s="6">
        <v>4</v>
      </c>
      <c r="I640" s="3">
        <v>31</v>
      </c>
      <c r="J640" s="13" t="str">
        <f>HYPERLINK("https://amazon.com/dp/B0FN38759M","Amazon - B0FN38759M")</f>
        <v>Amazon - B0FN38759M</v>
      </c>
      <c r="K640" s="14" t="s">
        <v>443</v>
      </c>
      <c r="L640" s="14" t="s">
        <v>451</v>
      </c>
      <c r="M640" s="14" t="s">
        <v>577</v>
      </c>
      <c r="N640" s="14" t="s">
        <v>446</v>
      </c>
      <c r="O640" s="14" t="s">
        <v>447</v>
      </c>
    </row>
    <row r="641" spans="1:15" ht="45" x14ac:dyDescent="0.2">
      <c r="A641" s="2" t="s">
        <v>1818</v>
      </c>
      <c r="B641" s="2" t="s">
        <v>1659</v>
      </c>
      <c r="C641" s="2" t="s">
        <v>108</v>
      </c>
      <c r="D641" s="2" t="s">
        <v>472</v>
      </c>
      <c r="E641" s="4">
        <v>429.99</v>
      </c>
      <c r="F641" s="4">
        <v>847.31</v>
      </c>
      <c r="G641" s="3">
        <v>2</v>
      </c>
      <c r="H641" s="6">
        <v>5</v>
      </c>
      <c r="I641" s="3">
        <v>1</v>
      </c>
      <c r="J641" s="13" t="str">
        <f>HYPERLINK("https://amazon.com/dp/B0DJ7PB3TN","Amazon - B0DJ7PB3TN")</f>
        <v>Amazon - B0DJ7PB3TN</v>
      </c>
      <c r="K641" s="14" t="s">
        <v>443</v>
      </c>
      <c r="L641" s="14" t="s">
        <v>303</v>
      </c>
      <c r="M641" s="14" t="s">
        <v>303</v>
      </c>
      <c r="N641" s="14" t="s">
        <v>446</v>
      </c>
      <c r="O641" s="14" t="s">
        <v>303</v>
      </c>
    </row>
    <row r="642" spans="1:15" ht="30" x14ac:dyDescent="0.2">
      <c r="A642" s="2" t="s">
        <v>1819</v>
      </c>
      <c r="B642" s="2" t="s">
        <v>1820</v>
      </c>
      <c r="C642" s="2" t="s">
        <v>135</v>
      </c>
      <c r="D642" s="2" t="s">
        <v>450</v>
      </c>
      <c r="E642" s="4">
        <v>17.989999999999998</v>
      </c>
      <c r="F642" s="4">
        <v>846.76</v>
      </c>
      <c r="G642" s="3">
        <v>46</v>
      </c>
      <c r="H642" s="6">
        <v>4.5999999999999996</v>
      </c>
      <c r="I642" s="3">
        <v>3</v>
      </c>
      <c r="J642" s="13" t="str">
        <f>HYPERLINK("https://amazon.com/dp/B0G57ZTV6S","Amazon - B0G57ZTV6S")</f>
        <v>Amazon - B0G57ZTV6S</v>
      </c>
      <c r="K642" s="14" t="s">
        <v>443</v>
      </c>
      <c r="L642" s="14" t="s">
        <v>451</v>
      </c>
      <c r="M642" s="14" t="s">
        <v>462</v>
      </c>
      <c r="N642" s="14" t="s">
        <v>446</v>
      </c>
      <c r="O642" s="14" t="s">
        <v>453</v>
      </c>
    </row>
    <row r="643" spans="1:15" ht="45" x14ac:dyDescent="0.2">
      <c r="A643" s="2" t="s">
        <v>1821</v>
      </c>
      <c r="B643" s="2" t="s">
        <v>1822</v>
      </c>
      <c r="C643" s="2" t="s">
        <v>157</v>
      </c>
      <c r="D643" s="2" t="s">
        <v>472</v>
      </c>
      <c r="E643" s="4">
        <v>900</v>
      </c>
      <c r="F643" s="4">
        <v>844.16</v>
      </c>
      <c r="G643" s="3">
        <v>1</v>
      </c>
      <c r="H643" s="6">
        <v>5</v>
      </c>
      <c r="I643" s="3">
        <v>1</v>
      </c>
      <c r="J643" s="13" t="str">
        <f>HYPERLINK("https://amazon.com/dp/B0DG4X2Y18","Amazon - B0DG4X2Y18")</f>
        <v>Amazon - B0DG4X2Y18</v>
      </c>
      <c r="K643" s="14" t="s">
        <v>443</v>
      </c>
      <c r="L643" s="14" t="s">
        <v>461</v>
      </c>
      <c r="M643" s="14" t="s">
        <v>565</v>
      </c>
      <c r="N643" s="14" t="s">
        <v>446</v>
      </c>
      <c r="O643" s="14" t="s">
        <v>778</v>
      </c>
    </row>
    <row r="644" spans="1:15" ht="45" x14ac:dyDescent="0.2">
      <c r="A644" s="2" t="s">
        <v>1823</v>
      </c>
      <c r="B644" s="2" t="s">
        <v>1824</v>
      </c>
      <c r="C644" s="2" t="s">
        <v>68</v>
      </c>
      <c r="D644" s="2" t="s">
        <v>472</v>
      </c>
      <c r="E644" s="4">
        <v>132.97999999999999</v>
      </c>
      <c r="F644" s="4">
        <v>842.68</v>
      </c>
      <c r="G644" s="3">
        <v>7</v>
      </c>
      <c r="H644" s="6">
        <v>4.5</v>
      </c>
      <c r="I644" s="3">
        <v>10</v>
      </c>
      <c r="J644" s="13" t="str">
        <f>HYPERLINK("https://amazon.com/dp/B0FL6N12SQ","Amazon - B0FL6N12SQ")</f>
        <v>Amazon - B0FL6N12SQ</v>
      </c>
      <c r="K644" s="14" t="s">
        <v>443</v>
      </c>
      <c r="L644" s="14" t="s">
        <v>456</v>
      </c>
      <c r="M644" s="14" t="s">
        <v>303</v>
      </c>
      <c r="N644" s="14" t="s">
        <v>446</v>
      </c>
      <c r="O644" s="14" t="s">
        <v>536</v>
      </c>
    </row>
    <row r="645" spans="1:15" ht="30" x14ac:dyDescent="0.2">
      <c r="A645" s="2" t="s">
        <v>1825</v>
      </c>
      <c r="B645" s="2" t="s">
        <v>1826</v>
      </c>
      <c r="C645" s="2" t="s">
        <v>158</v>
      </c>
      <c r="D645" s="2" t="s">
        <v>442</v>
      </c>
      <c r="E645" s="4">
        <v>70.7</v>
      </c>
      <c r="F645" s="4">
        <v>842.1</v>
      </c>
      <c r="G645" s="3">
        <v>12</v>
      </c>
      <c r="H645" s="6">
        <v>4.5</v>
      </c>
      <c r="I645" s="3">
        <v>67</v>
      </c>
      <c r="J645" s="13" t="str">
        <f>HYPERLINK("https://amazon.com/dp/B0FC5K4J6L","Amazon - B0FC5K4J6L")</f>
        <v>Amazon - B0FC5K4J6L</v>
      </c>
      <c r="K645" s="14" t="s">
        <v>443</v>
      </c>
      <c r="L645" s="14" t="s">
        <v>461</v>
      </c>
      <c r="M645" s="14" t="s">
        <v>303</v>
      </c>
      <c r="N645" s="14" t="s">
        <v>446</v>
      </c>
      <c r="O645" s="14" t="s">
        <v>494</v>
      </c>
    </row>
    <row r="646" spans="1:15" ht="30" x14ac:dyDescent="0.2">
      <c r="A646" s="2" t="s">
        <v>1827</v>
      </c>
      <c r="B646" s="2" t="s">
        <v>1828</v>
      </c>
      <c r="C646" s="2" t="s">
        <v>8</v>
      </c>
      <c r="D646" s="2" t="s">
        <v>442</v>
      </c>
      <c r="E646" s="4">
        <v>79.989999999999995</v>
      </c>
      <c r="F646" s="4">
        <v>838.12</v>
      </c>
      <c r="G646" s="3">
        <v>10</v>
      </c>
      <c r="H646" s="6">
        <v>4.5</v>
      </c>
      <c r="I646" s="3">
        <v>6</v>
      </c>
      <c r="J646" s="13" t="str">
        <f>HYPERLINK("https://amazon.com/dp/B08QC2X5VL","Amazon - B08QC2X5VL")</f>
        <v>Amazon - B08QC2X5VL</v>
      </c>
      <c r="K646" s="14" t="s">
        <v>443</v>
      </c>
      <c r="L646" s="14" t="s">
        <v>303</v>
      </c>
      <c r="M646" s="14" t="s">
        <v>445</v>
      </c>
      <c r="N646" s="14" t="s">
        <v>452</v>
      </c>
      <c r="O646" s="14" t="s">
        <v>487</v>
      </c>
    </row>
    <row r="647" spans="1:15" ht="45" x14ac:dyDescent="0.2">
      <c r="A647" s="2" t="s">
        <v>1829</v>
      </c>
      <c r="B647" s="2" t="s">
        <v>1830</v>
      </c>
      <c r="C647" s="2" t="s">
        <v>84</v>
      </c>
      <c r="D647" s="2" t="s">
        <v>442</v>
      </c>
      <c r="E647" s="4">
        <v>169.99</v>
      </c>
      <c r="F647" s="4">
        <v>833.92</v>
      </c>
      <c r="G647" s="3">
        <v>5</v>
      </c>
      <c r="H647" s="6">
        <v>4.5</v>
      </c>
      <c r="I647" s="3">
        <v>18</v>
      </c>
      <c r="J647" s="13" t="str">
        <f>HYPERLINK("https://amazon.com/dp/B0FSS5Q37H","Amazon - B0FSS5Q37H")</f>
        <v>Amazon - B0FSS5Q37H</v>
      </c>
      <c r="K647" s="14" t="s">
        <v>443</v>
      </c>
      <c r="L647" s="14" t="s">
        <v>456</v>
      </c>
      <c r="M647" s="14" t="s">
        <v>535</v>
      </c>
      <c r="N647" s="14" t="s">
        <v>452</v>
      </c>
      <c r="O647" s="14" t="s">
        <v>1302</v>
      </c>
    </row>
    <row r="648" spans="1:15" ht="45" x14ac:dyDescent="0.2">
      <c r="A648" s="2" t="s">
        <v>1831</v>
      </c>
      <c r="B648" s="2" t="s">
        <v>1832</v>
      </c>
      <c r="C648" s="2" t="s">
        <v>8</v>
      </c>
      <c r="D648" s="2" t="s">
        <v>450</v>
      </c>
      <c r="E648" s="4">
        <v>39.99</v>
      </c>
      <c r="F648" s="4">
        <v>826.62</v>
      </c>
      <c r="G648" s="3">
        <v>21</v>
      </c>
      <c r="H648" s="6">
        <v>4.3</v>
      </c>
      <c r="I648" s="3">
        <v>328</v>
      </c>
      <c r="J648" s="13" t="str">
        <f>HYPERLINK("https://amazon.com/dp/B0CL4MJ6NK","Amazon - B0CL4MJ6NK")</f>
        <v>Amazon - B0CL4MJ6NK</v>
      </c>
      <c r="K648" s="14" t="s">
        <v>443</v>
      </c>
      <c r="L648" s="14" t="s">
        <v>451</v>
      </c>
      <c r="M648" s="14" t="s">
        <v>303</v>
      </c>
      <c r="N648" s="14" t="s">
        <v>452</v>
      </c>
      <c r="O648" s="14" t="s">
        <v>453</v>
      </c>
    </row>
    <row r="649" spans="1:15" ht="45" x14ac:dyDescent="0.2">
      <c r="A649" s="2" t="s">
        <v>1833</v>
      </c>
      <c r="B649" s="2" t="s">
        <v>1834</v>
      </c>
      <c r="C649" s="2" t="s">
        <v>160</v>
      </c>
      <c r="D649" s="2" t="s">
        <v>442</v>
      </c>
      <c r="E649" s="4">
        <v>478</v>
      </c>
      <c r="F649" s="4">
        <v>823.72</v>
      </c>
      <c r="G649" s="3">
        <v>2</v>
      </c>
      <c r="H649" s="6">
        <v>0</v>
      </c>
      <c r="I649" s="3">
        <v>0</v>
      </c>
      <c r="J649" s="13" t="str">
        <f>HYPERLINK("https://amazon.com/dp/B0F2H52LH5","Amazon - B0F2H52LH5")</f>
        <v>Amazon - B0F2H52LH5</v>
      </c>
      <c r="K649" s="14" t="s">
        <v>443</v>
      </c>
      <c r="L649" s="14" t="s">
        <v>461</v>
      </c>
      <c r="M649" s="14" t="s">
        <v>303</v>
      </c>
      <c r="N649" s="14" t="s">
        <v>446</v>
      </c>
      <c r="O649" s="14" t="s">
        <v>303</v>
      </c>
    </row>
    <row r="650" spans="1:15" ht="45" x14ac:dyDescent="0.2">
      <c r="A650" s="2" t="s">
        <v>1835</v>
      </c>
      <c r="B650" s="2" t="s">
        <v>1836</v>
      </c>
      <c r="C650" s="2" t="s">
        <v>148</v>
      </c>
      <c r="D650" s="2" t="s">
        <v>442</v>
      </c>
      <c r="E650" s="4">
        <v>29.99</v>
      </c>
      <c r="F650" s="4">
        <v>823.2</v>
      </c>
      <c r="G650" s="3">
        <v>24</v>
      </c>
      <c r="H650" s="6">
        <v>4.4000000000000004</v>
      </c>
      <c r="I650" s="3">
        <v>206</v>
      </c>
      <c r="J650" s="13" t="str">
        <f>HYPERLINK("https://amazon.com/dp/B0CR4CKCQ3","Amazon - B0CR4CKCQ3")</f>
        <v>Amazon - B0CR4CKCQ3</v>
      </c>
      <c r="K650" s="14" t="s">
        <v>443</v>
      </c>
      <c r="L650" s="14" t="s">
        <v>456</v>
      </c>
      <c r="M650" s="14" t="s">
        <v>303</v>
      </c>
      <c r="N650" s="14" t="s">
        <v>452</v>
      </c>
      <c r="O650" s="14" t="s">
        <v>453</v>
      </c>
    </row>
    <row r="651" spans="1:15" ht="45" x14ac:dyDescent="0.2">
      <c r="A651" s="2" t="s">
        <v>1837</v>
      </c>
      <c r="B651" s="2" t="s">
        <v>1838</v>
      </c>
      <c r="C651" s="2" t="s">
        <v>94</v>
      </c>
      <c r="D651" s="2" t="s">
        <v>442</v>
      </c>
      <c r="E651" s="4">
        <v>535</v>
      </c>
      <c r="F651" s="4">
        <v>823</v>
      </c>
      <c r="G651" s="3">
        <v>2</v>
      </c>
      <c r="H651" s="6">
        <v>5</v>
      </c>
      <c r="I651" s="3">
        <v>3</v>
      </c>
      <c r="J651" s="13" t="str">
        <f>HYPERLINK("https://amazon.com/dp/B071ZHXRZZ","Amazon - B071ZHXRZZ")</f>
        <v>Amazon - B071ZHXRZZ</v>
      </c>
      <c r="K651" s="14" t="s">
        <v>443</v>
      </c>
      <c r="L651" s="14" t="s">
        <v>1299</v>
      </c>
      <c r="M651" s="14" t="s">
        <v>303</v>
      </c>
      <c r="N651" s="14" t="s">
        <v>446</v>
      </c>
      <c r="O651" s="14" t="s">
        <v>303</v>
      </c>
    </row>
    <row r="652" spans="1:15" ht="45" x14ac:dyDescent="0.2">
      <c r="A652" s="2" t="s">
        <v>1839</v>
      </c>
      <c r="B652" s="2" t="s">
        <v>1840</v>
      </c>
      <c r="C652" s="2" t="s">
        <v>50</v>
      </c>
      <c r="D652" s="2" t="s">
        <v>472</v>
      </c>
      <c r="E652" s="4">
        <v>699.99</v>
      </c>
      <c r="F652" s="4">
        <v>816.59</v>
      </c>
      <c r="G652" s="3">
        <v>1</v>
      </c>
      <c r="H652" s="6">
        <v>4.4000000000000004</v>
      </c>
      <c r="I652" s="3">
        <v>10</v>
      </c>
      <c r="J652" s="13" t="str">
        <f>HYPERLINK("https://amazon.com/dp/B0FC2LZ7N9","Amazon - B0FC2LZ7N9")</f>
        <v>Amazon - B0FC2LZ7N9</v>
      </c>
      <c r="K652" s="14" t="s">
        <v>443</v>
      </c>
      <c r="L652" s="14" t="s">
        <v>502</v>
      </c>
      <c r="M652" s="14" t="s">
        <v>565</v>
      </c>
      <c r="N652" s="14" t="s">
        <v>446</v>
      </c>
      <c r="O652" s="14" t="s">
        <v>725</v>
      </c>
    </row>
    <row r="653" spans="1:15" ht="30" x14ac:dyDescent="0.2">
      <c r="A653" s="2" t="s">
        <v>1841</v>
      </c>
      <c r="B653" s="2" t="s">
        <v>1842</v>
      </c>
      <c r="C653" s="2" t="s">
        <v>14</v>
      </c>
      <c r="D653" s="2" t="s">
        <v>472</v>
      </c>
      <c r="E653" s="4">
        <v>139.99</v>
      </c>
      <c r="F653" s="4">
        <v>812.35</v>
      </c>
      <c r="G653" s="3">
        <v>6</v>
      </c>
      <c r="H653" s="6">
        <v>5</v>
      </c>
      <c r="I653" s="3">
        <v>1</v>
      </c>
      <c r="J653" s="13" t="str">
        <f>HYPERLINK("https://amazon.com/dp/B0CST61RTM","Amazon - B0CST61RTM")</f>
        <v>Amazon - B0CST61RTM</v>
      </c>
      <c r="K653" s="14" t="s">
        <v>443</v>
      </c>
      <c r="L653" s="14" t="s">
        <v>303</v>
      </c>
      <c r="M653" s="14" t="s">
        <v>688</v>
      </c>
      <c r="N653" s="14" t="s">
        <v>446</v>
      </c>
      <c r="O653" s="14" t="s">
        <v>303</v>
      </c>
    </row>
    <row r="654" spans="1:15" ht="45" x14ac:dyDescent="0.2">
      <c r="A654" s="2" t="s">
        <v>1843</v>
      </c>
      <c r="B654" s="2" t="s">
        <v>1844</v>
      </c>
      <c r="C654" s="2" t="s">
        <v>53</v>
      </c>
      <c r="D654" s="2" t="s">
        <v>472</v>
      </c>
      <c r="E654" s="4">
        <v>29.99</v>
      </c>
      <c r="F654" s="4">
        <v>803.39</v>
      </c>
      <c r="G654" s="3">
        <v>27</v>
      </c>
      <c r="H654" s="6">
        <v>4.4000000000000004</v>
      </c>
      <c r="I654" s="3">
        <v>154</v>
      </c>
      <c r="J654" s="13" t="str">
        <f>HYPERLINK("https://amazon.com/dp/B0FBGHY3H6","Amazon - B0FBGHY3H6")</f>
        <v>Amazon - B0FBGHY3H6</v>
      </c>
      <c r="K654" s="14" t="s">
        <v>443</v>
      </c>
      <c r="L654" s="14" t="s">
        <v>456</v>
      </c>
      <c r="M654" s="14" t="s">
        <v>445</v>
      </c>
      <c r="N654" s="14" t="s">
        <v>452</v>
      </c>
      <c r="O654" s="14" t="s">
        <v>453</v>
      </c>
    </row>
    <row r="655" spans="1:15" ht="45" x14ac:dyDescent="0.2">
      <c r="A655" s="2" t="s">
        <v>1845</v>
      </c>
      <c r="B655" s="2" t="s">
        <v>1846</v>
      </c>
      <c r="C655" s="2" t="s">
        <v>77</v>
      </c>
      <c r="D655" s="2" t="s">
        <v>472</v>
      </c>
      <c r="E655" s="4">
        <v>239.99</v>
      </c>
      <c r="F655" s="4">
        <v>801.08</v>
      </c>
      <c r="G655" s="3">
        <v>3</v>
      </c>
      <c r="H655" s="6">
        <v>4.2</v>
      </c>
      <c r="I655" s="3">
        <v>13</v>
      </c>
      <c r="J655" s="13" t="str">
        <f>HYPERLINK("https://amazon.com/dp/B0F28YDS26","Amazon - B0F28YDS26")</f>
        <v>Amazon - B0F28YDS26</v>
      </c>
      <c r="K655" s="14" t="s">
        <v>443</v>
      </c>
      <c r="L655" s="14" t="s">
        <v>456</v>
      </c>
      <c r="M655" s="14" t="s">
        <v>688</v>
      </c>
      <c r="N655" s="14" t="s">
        <v>446</v>
      </c>
      <c r="O655" s="14" t="s">
        <v>1225</v>
      </c>
    </row>
    <row r="656" spans="1:15" ht="45" x14ac:dyDescent="0.2">
      <c r="A656" s="2" t="s">
        <v>1847</v>
      </c>
      <c r="B656" s="2" t="s">
        <v>1848</v>
      </c>
      <c r="C656" s="2" t="s">
        <v>162</v>
      </c>
      <c r="D656" s="2" t="s">
        <v>442</v>
      </c>
      <c r="E656" s="4">
        <v>43.99</v>
      </c>
      <c r="F656" s="4">
        <v>793.51</v>
      </c>
      <c r="G656" s="3">
        <v>12</v>
      </c>
      <c r="H656" s="6">
        <v>3.7</v>
      </c>
      <c r="I656" s="3">
        <v>66</v>
      </c>
      <c r="J656" s="13" t="str">
        <f>HYPERLINK("https://amazon.com/dp/B0CRGX2SGZ","Amazon - B0CRGX2SGZ")</f>
        <v>Amazon - B0CRGX2SGZ</v>
      </c>
      <c r="K656" s="14" t="s">
        <v>443</v>
      </c>
      <c r="L656" s="14" t="s">
        <v>461</v>
      </c>
      <c r="M656" s="14" t="s">
        <v>457</v>
      </c>
      <c r="N656" s="14" t="s">
        <v>446</v>
      </c>
      <c r="O656" s="14" t="s">
        <v>453</v>
      </c>
    </row>
    <row r="657" spans="1:15" ht="45" x14ac:dyDescent="0.2">
      <c r="A657" s="2" t="s">
        <v>1849</v>
      </c>
      <c r="B657" s="2" t="s">
        <v>1850</v>
      </c>
      <c r="C657" s="2" t="s">
        <v>23</v>
      </c>
      <c r="D657" s="2" t="s">
        <v>472</v>
      </c>
      <c r="E657" s="4">
        <v>283.38</v>
      </c>
      <c r="F657" s="4">
        <v>788.79</v>
      </c>
      <c r="G657" s="3">
        <v>3</v>
      </c>
      <c r="H657" s="6">
        <v>4.3</v>
      </c>
      <c r="I657" s="3">
        <v>14</v>
      </c>
      <c r="J657" s="13" t="str">
        <f>HYPERLINK("https://amazon.com/dp/B0D9NTBJGX","Amazon - B0D9NTBJGX")</f>
        <v>Amazon - B0D9NTBJGX</v>
      </c>
      <c r="K657" s="14" t="s">
        <v>443</v>
      </c>
      <c r="L657" s="14" t="s">
        <v>461</v>
      </c>
      <c r="M657" s="14" t="s">
        <v>503</v>
      </c>
      <c r="N657" s="14" t="s">
        <v>446</v>
      </c>
      <c r="O657" s="14" t="s">
        <v>1350</v>
      </c>
    </row>
    <row r="658" spans="1:15" ht="45" x14ac:dyDescent="0.2">
      <c r="A658" s="2" t="s">
        <v>1851</v>
      </c>
      <c r="B658" s="2" t="s">
        <v>1852</v>
      </c>
      <c r="C658" s="2" t="s">
        <v>146</v>
      </c>
      <c r="D658" s="2" t="s">
        <v>450</v>
      </c>
      <c r="E658" s="4">
        <v>21.95</v>
      </c>
      <c r="F658" s="4">
        <v>784.19</v>
      </c>
      <c r="G658" s="3">
        <v>36</v>
      </c>
      <c r="H658" s="6">
        <v>4.2</v>
      </c>
      <c r="I658" s="3">
        <v>22</v>
      </c>
      <c r="J658" s="13" t="str">
        <f>HYPERLINK("https://amazon.com/dp/B0CR3JKML1","Amazon - B0CR3JKML1")</f>
        <v>Amazon - B0CR3JKML1</v>
      </c>
      <c r="K658" s="14" t="s">
        <v>443</v>
      </c>
      <c r="L658" s="14" t="s">
        <v>451</v>
      </c>
      <c r="M658" s="14" t="s">
        <v>303</v>
      </c>
      <c r="N658" s="14" t="s">
        <v>446</v>
      </c>
      <c r="O658" s="14" t="s">
        <v>453</v>
      </c>
    </row>
    <row r="659" spans="1:15" ht="45" x14ac:dyDescent="0.2">
      <c r="A659" s="2" t="s">
        <v>1853</v>
      </c>
      <c r="B659" s="2" t="s">
        <v>1854</v>
      </c>
      <c r="C659" s="2" t="s">
        <v>163</v>
      </c>
      <c r="D659" s="2" t="s">
        <v>442</v>
      </c>
      <c r="E659" s="4">
        <v>129</v>
      </c>
      <c r="F659" s="4">
        <v>782.76</v>
      </c>
      <c r="G659" s="3">
        <v>8</v>
      </c>
      <c r="H659" s="6">
        <v>4.7</v>
      </c>
      <c r="I659" s="3">
        <v>9</v>
      </c>
      <c r="J659" s="13" t="str">
        <f>HYPERLINK("https://amazon.com/dp/B0FL7HMLTG","Amazon - B0FL7HMLTG")</f>
        <v>Amazon - B0FL7HMLTG</v>
      </c>
      <c r="K659" s="14" t="s">
        <v>443</v>
      </c>
      <c r="L659" s="14" t="s">
        <v>461</v>
      </c>
      <c r="M659" s="14" t="s">
        <v>484</v>
      </c>
      <c r="N659" s="14" t="s">
        <v>446</v>
      </c>
      <c r="O659" s="14" t="s">
        <v>578</v>
      </c>
    </row>
    <row r="660" spans="1:15" ht="30" x14ac:dyDescent="0.2">
      <c r="A660" s="2" t="s">
        <v>1855</v>
      </c>
      <c r="B660" s="2" t="s">
        <v>1856</v>
      </c>
      <c r="C660" s="2" t="s">
        <v>26</v>
      </c>
      <c r="D660" s="2" t="s">
        <v>442</v>
      </c>
      <c r="E660" s="4">
        <v>24.99</v>
      </c>
      <c r="F660" s="4">
        <v>779.58</v>
      </c>
      <c r="G660" s="3">
        <v>29</v>
      </c>
      <c r="H660" s="6">
        <v>4.2</v>
      </c>
      <c r="I660" s="3">
        <v>55</v>
      </c>
      <c r="J660" s="13" t="str">
        <f>HYPERLINK("https://amazon.com/dp/B0DK91NK8Q","Amazon - B0DK91NK8Q")</f>
        <v>Amazon - B0DK91NK8Q</v>
      </c>
      <c r="K660" s="14" t="s">
        <v>443</v>
      </c>
      <c r="L660" s="14" t="s">
        <v>444</v>
      </c>
      <c r="M660" s="14" t="s">
        <v>462</v>
      </c>
      <c r="N660" s="14" t="s">
        <v>452</v>
      </c>
      <c r="O660" s="14" t="s">
        <v>453</v>
      </c>
    </row>
    <row r="661" spans="1:15" ht="30" x14ac:dyDescent="0.2">
      <c r="A661" s="2" t="s">
        <v>1857</v>
      </c>
      <c r="B661" s="2" t="s">
        <v>1858</v>
      </c>
      <c r="C661" s="2" t="s">
        <v>132</v>
      </c>
      <c r="D661" s="2" t="s">
        <v>442</v>
      </c>
      <c r="E661" s="4">
        <v>223.12</v>
      </c>
      <c r="F661" s="4">
        <v>775.66</v>
      </c>
      <c r="G661" s="3">
        <v>3</v>
      </c>
      <c r="H661" s="6">
        <v>4.2</v>
      </c>
      <c r="I661" s="3">
        <v>50</v>
      </c>
      <c r="J661" s="13" t="str">
        <f>HYPERLINK("https://amazon.com/dp/B076CNDVFL","Amazon - B076CNDVFL")</f>
        <v>Amazon - B076CNDVFL</v>
      </c>
      <c r="K661" s="14" t="s">
        <v>443</v>
      </c>
      <c r="L661" s="14" t="s">
        <v>303</v>
      </c>
      <c r="M661" s="14" t="s">
        <v>303</v>
      </c>
      <c r="N661" s="14" t="s">
        <v>446</v>
      </c>
      <c r="O661" s="14" t="s">
        <v>303</v>
      </c>
    </row>
    <row r="662" spans="1:15" ht="30" x14ac:dyDescent="0.2">
      <c r="A662" s="2" t="s">
        <v>1859</v>
      </c>
      <c r="B662" s="2" t="s">
        <v>1860</v>
      </c>
      <c r="C662" s="2" t="s">
        <v>151</v>
      </c>
      <c r="D662" s="2" t="s">
        <v>472</v>
      </c>
      <c r="E662" s="4">
        <v>166.69</v>
      </c>
      <c r="F662" s="4">
        <v>769.08</v>
      </c>
      <c r="G662" s="3">
        <v>4</v>
      </c>
      <c r="H662" s="6">
        <v>3.2</v>
      </c>
      <c r="I662" s="3">
        <v>10</v>
      </c>
      <c r="J662" s="13" t="str">
        <f>HYPERLINK("https://amazon.com/dp/B0CB1XV6SJ","Amazon - B0CB1XV6SJ")</f>
        <v>Amazon - B0CB1XV6SJ</v>
      </c>
      <c r="K662" s="14" t="s">
        <v>443</v>
      </c>
      <c r="L662" s="14" t="s">
        <v>303</v>
      </c>
      <c r="M662" s="14" t="s">
        <v>303</v>
      </c>
      <c r="N662" s="14" t="s">
        <v>446</v>
      </c>
      <c r="O662" s="14" t="s">
        <v>303</v>
      </c>
    </row>
    <row r="663" spans="1:15" ht="45" x14ac:dyDescent="0.2">
      <c r="A663" s="2" t="s">
        <v>1861</v>
      </c>
      <c r="B663" s="2" t="s">
        <v>1862</v>
      </c>
      <c r="C663" s="2" t="s">
        <v>68</v>
      </c>
      <c r="D663" s="2" t="s">
        <v>472</v>
      </c>
      <c r="E663" s="4">
        <v>85.99</v>
      </c>
      <c r="F663" s="4">
        <v>766.58</v>
      </c>
      <c r="G663" s="3">
        <v>7</v>
      </c>
      <c r="H663" s="6">
        <v>4.4000000000000004</v>
      </c>
      <c r="I663" s="3">
        <v>43</v>
      </c>
      <c r="J663" s="13" t="str">
        <f>HYPERLINK("https://amazon.com/dp/B0D7BYFDX2","Amazon - B0D7BYFDX2")</f>
        <v>Amazon - B0D7BYFDX2</v>
      </c>
      <c r="K663" s="14" t="s">
        <v>443</v>
      </c>
      <c r="L663" s="14" t="s">
        <v>667</v>
      </c>
      <c r="M663" s="14" t="s">
        <v>535</v>
      </c>
      <c r="N663" s="14" t="s">
        <v>452</v>
      </c>
      <c r="O663" s="14" t="s">
        <v>536</v>
      </c>
    </row>
    <row r="664" spans="1:15" ht="45" x14ac:dyDescent="0.2">
      <c r="A664" s="2" t="s">
        <v>1863</v>
      </c>
      <c r="B664" s="2" t="s">
        <v>1864</v>
      </c>
      <c r="C664" s="2" t="s">
        <v>165</v>
      </c>
      <c r="D664" s="2" t="s">
        <v>442</v>
      </c>
      <c r="E664" s="4">
        <v>103.9</v>
      </c>
      <c r="F664" s="4">
        <v>760.32</v>
      </c>
      <c r="G664" s="3">
        <v>7</v>
      </c>
      <c r="H664" s="6">
        <v>4.2</v>
      </c>
      <c r="I664" s="3">
        <v>7</v>
      </c>
      <c r="J664" s="13" t="str">
        <f>HYPERLINK("https://amazon.com/dp/B0DJSSV6X9","Amazon - B0DJSSV6X9")</f>
        <v>Amazon - B0DJSSV6X9</v>
      </c>
      <c r="K664" s="14" t="s">
        <v>443</v>
      </c>
      <c r="L664" s="14" t="s">
        <v>461</v>
      </c>
      <c r="M664" s="14" t="s">
        <v>535</v>
      </c>
      <c r="N664" s="14" t="s">
        <v>446</v>
      </c>
      <c r="O664" s="14" t="s">
        <v>487</v>
      </c>
    </row>
    <row r="665" spans="1:15" ht="45" x14ac:dyDescent="0.2">
      <c r="A665" s="2" t="s">
        <v>1865</v>
      </c>
      <c r="B665" s="2" t="s">
        <v>1866</v>
      </c>
      <c r="C665" s="2" t="s">
        <v>50</v>
      </c>
      <c r="D665" s="2" t="s">
        <v>472</v>
      </c>
      <c r="E665" s="4">
        <v>499</v>
      </c>
      <c r="F665" s="4">
        <v>757.83</v>
      </c>
      <c r="G665" s="3">
        <v>2</v>
      </c>
      <c r="H665" s="6">
        <v>4.4000000000000004</v>
      </c>
      <c r="I665" s="3">
        <v>10</v>
      </c>
      <c r="J665" s="13" t="str">
        <f>HYPERLINK("https://amazon.com/dp/B0FG34XWLP","Amazon - B0FG34XWLP")</f>
        <v>Amazon - B0FG34XWLP</v>
      </c>
      <c r="K665" s="14" t="s">
        <v>443</v>
      </c>
      <c r="L665" s="14" t="s">
        <v>502</v>
      </c>
      <c r="M665" s="14" t="s">
        <v>565</v>
      </c>
      <c r="N665" s="14" t="s">
        <v>446</v>
      </c>
      <c r="O665" s="14" t="s">
        <v>517</v>
      </c>
    </row>
    <row r="666" spans="1:15" ht="30" x14ac:dyDescent="0.2">
      <c r="A666" s="2" t="s">
        <v>1867</v>
      </c>
      <c r="B666" s="2" t="s">
        <v>1868</v>
      </c>
      <c r="C666" s="2" t="s">
        <v>13</v>
      </c>
      <c r="D666" s="2" t="s">
        <v>442</v>
      </c>
      <c r="E666" s="4">
        <v>179.99</v>
      </c>
      <c r="F666" s="4">
        <v>751.88</v>
      </c>
      <c r="G666" s="3">
        <v>4</v>
      </c>
      <c r="H666" s="6">
        <v>4</v>
      </c>
      <c r="I666" s="3">
        <v>21</v>
      </c>
      <c r="J666" s="13" t="str">
        <f>HYPERLINK("https://amazon.com/dp/B08HH9899J","Amazon - B08HH9899J")</f>
        <v>Amazon - B08HH9899J</v>
      </c>
      <c r="K666" s="14" t="s">
        <v>443</v>
      </c>
      <c r="L666" s="14" t="s">
        <v>303</v>
      </c>
      <c r="M666" s="14" t="s">
        <v>303</v>
      </c>
      <c r="N666" s="14" t="s">
        <v>446</v>
      </c>
      <c r="O666" s="14" t="s">
        <v>303</v>
      </c>
    </row>
    <row r="667" spans="1:15" ht="45" x14ac:dyDescent="0.2">
      <c r="A667" s="2" t="s">
        <v>1869</v>
      </c>
      <c r="B667" s="2" t="s">
        <v>1870</v>
      </c>
      <c r="C667" s="2" t="s">
        <v>16</v>
      </c>
      <c r="D667" s="2" t="s">
        <v>472</v>
      </c>
      <c r="E667" s="4">
        <v>39.99</v>
      </c>
      <c r="F667" s="4">
        <v>750.72</v>
      </c>
      <c r="G667" s="3">
        <v>13</v>
      </c>
      <c r="H667" s="6">
        <v>4.5999999999999996</v>
      </c>
      <c r="I667" s="3">
        <v>148</v>
      </c>
      <c r="J667" s="13" t="str">
        <f>HYPERLINK("https://amazon.com/dp/B0C9L5V3J9","Amazon - B0C9L5V3J9")</f>
        <v>Amazon - B0C9L5V3J9</v>
      </c>
      <c r="K667" s="14" t="s">
        <v>443</v>
      </c>
      <c r="L667" s="14" t="s">
        <v>456</v>
      </c>
      <c r="M667" s="14" t="s">
        <v>303</v>
      </c>
      <c r="N667" s="14" t="s">
        <v>452</v>
      </c>
      <c r="O667" s="14" t="s">
        <v>453</v>
      </c>
    </row>
    <row r="668" spans="1:15" ht="45" x14ac:dyDescent="0.2">
      <c r="A668" s="2" t="s">
        <v>1871</v>
      </c>
      <c r="B668" s="2" t="s">
        <v>1872</v>
      </c>
      <c r="C668" s="2" t="s">
        <v>50</v>
      </c>
      <c r="D668" s="2" t="s">
        <v>472</v>
      </c>
      <c r="E668" s="4">
        <v>519.99</v>
      </c>
      <c r="F668" s="4">
        <v>749.68</v>
      </c>
      <c r="G668" s="3">
        <v>1</v>
      </c>
      <c r="H668" s="6">
        <v>5</v>
      </c>
      <c r="I668" s="3">
        <v>1</v>
      </c>
      <c r="J668" s="13" t="str">
        <f>HYPERLINK("https://amazon.com/dp/B0DKNMQQF9","Amazon - B0DKNMQQF9")</f>
        <v>Amazon - B0DKNMQQF9</v>
      </c>
      <c r="K668" s="14" t="s">
        <v>443</v>
      </c>
      <c r="L668" s="14" t="s">
        <v>667</v>
      </c>
      <c r="M668" s="14" t="s">
        <v>303</v>
      </c>
      <c r="N668" s="14" t="s">
        <v>446</v>
      </c>
      <c r="O668" s="14" t="s">
        <v>517</v>
      </c>
    </row>
    <row r="669" spans="1:15" ht="45" x14ac:dyDescent="0.2">
      <c r="A669" s="2" t="s">
        <v>1873</v>
      </c>
      <c r="B669" s="2" t="s">
        <v>1874</v>
      </c>
      <c r="C669" s="2" t="s">
        <v>69</v>
      </c>
      <c r="D669" s="2" t="s">
        <v>472</v>
      </c>
      <c r="E669" s="4">
        <v>234.99</v>
      </c>
      <c r="F669" s="4">
        <v>729.17</v>
      </c>
      <c r="G669" s="3">
        <v>3</v>
      </c>
      <c r="H669" s="6">
        <v>3.1</v>
      </c>
      <c r="I669" s="3">
        <v>3</v>
      </c>
      <c r="J669" s="13" t="str">
        <f>HYPERLINK("https://amazon.com/dp/B0F9KZ44WV","Amazon - B0F9KZ44WV")</f>
        <v>Amazon - B0F9KZ44WV</v>
      </c>
      <c r="K669" s="14" t="s">
        <v>443</v>
      </c>
      <c r="L669" s="14" t="s">
        <v>461</v>
      </c>
      <c r="M669" s="14" t="s">
        <v>1875</v>
      </c>
      <c r="N669" s="14" t="s">
        <v>446</v>
      </c>
      <c r="O669" s="14" t="s">
        <v>517</v>
      </c>
    </row>
    <row r="670" spans="1:15" ht="45" x14ac:dyDescent="0.2">
      <c r="A670" s="2" t="s">
        <v>1876</v>
      </c>
      <c r="B670" s="2" t="s">
        <v>1877</v>
      </c>
      <c r="C670" s="2" t="s">
        <v>166</v>
      </c>
      <c r="D670" s="2" t="s">
        <v>450</v>
      </c>
      <c r="E670" s="4">
        <v>13.99</v>
      </c>
      <c r="F670" s="4">
        <v>726.29</v>
      </c>
      <c r="G670" s="3">
        <v>47</v>
      </c>
      <c r="H670" s="6">
        <v>4.5</v>
      </c>
      <c r="I670" s="3">
        <v>59</v>
      </c>
      <c r="J670" s="13" t="str">
        <f>HYPERLINK("https://amazon.com/dp/B0DBXZBFRL","Amazon - B0DBXZBFRL")</f>
        <v>Amazon - B0DBXZBFRL</v>
      </c>
      <c r="K670" s="14" t="s">
        <v>443</v>
      </c>
      <c r="L670" s="14" t="s">
        <v>451</v>
      </c>
      <c r="M670" s="14" t="s">
        <v>445</v>
      </c>
      <c r="N670" s="14" t="s">
        <v>446</v>
      </c>
      <c r="O670" s="14" t="s">
        <v>453</v>
      </c>
    </row>
    <row r="671" spans="1:15" ht="45" x14ac:dyDescent="0.2">
      <c r="A671" s="2" t="s">
        <v>1878</v>
      </c>
      <c r="B671" s="2" t="s">
        <v>1879</v>
      </c>
      <c r="C671" s="2" t="s">
        <v>108</v>
      </c>
      <c r="D671" s="2" t="s">
        <v>472</v>
      </c>
      <c r="E671" s="4">
        <v>459.99</v>
      </c>
      <c r="F671" s="4">
        <v>721.82</v>
      </c>
      <c r="G671" s="3">
        <v>2</v>
      </c>
      <c r="H671" s="6">
        <v>5</v>
      </c>
      <c r="I671" s="3">
        <v>1</v>
      </c>
      <c r="J671" s="13" t="str">
        <f>HYPERLINK("https://amazon.com/dp/B0DJ7P9SMN","Amazon - B0DJ7P9SMN")</f>
        <v>Amazon - B0DJ7P9SMN</v>
      </c>
      <c r="K671" s="14" t="s">
        <v>443</v>
      </c>
      <c r="L671" s="14" t="s">
        <v>303</v>
      </c>
      <c r="M671" s="14" t="s">
        <v>303</v>
      </c>
      <c r="N671" s="14" t="s">
        <v>446</v>
      </c>
      <c r="O671" s="14" t="s">
        <v>303</v>
      </c>
    </row>
    <row r="672" spans="1:15" ht="45" x14ac:dyDescent="0.2">
      <c r="A672" s="2" t="s">
        <v>1880</v>
      </c>
      <c r="B672" s="2" t="s">
        <v>1881</v>
      </c>
      <c r="C672" s="2" t="s">
        <v>16</v>
      </c>
      <c r="D672" s="2" t="s">
        <v>450</v>
      </c>
      <c r="E672" s="4">
        <v>39.99</v>
      </c>
      <c r="F672" s="4">
        <v>719.79</v>
      </c>
      <c r="G672" s="3">
        <v>18</v>
      </c>
      <c r="H672" s="6">
        <v>4.4000000000000004</v>
      </c>
      <c r="I672" s="3">
        <v>692</v>
      </c>
      <c r="J672" s="13" t="str">
        <f>HYPERLINK("https://amazon.com/dp/B0C9C4H2ZH","Amazon - B0C9C4H2ZH")</f>
        <v>Amazon - B0C9C4H2ZH</v>
      </c>
      <c r="K672" s="14" t="s">
        <v>443</v>
      </c>
      <c r="L672" s="14" t="s">
        <v>451</v>
      </c>
      <c r="M672" s="14" t="s">
        <v>303</v>
      </c>
      <c r="N672" s="14" t="s">
        <v>452</v>
      </c>
      <c r="O672" s="14" t="s">
        <v>453</v>
      </c>
    </row>
    <row r="673" spans="1:15" ht="45" x14ac:dyDescent="0.2">
      <c r="A673" s="2" t="s">
        <v>1882</v>
      </c>
      <c r="B673" s="2" t="s">
        <v>1883</v>
      </c>
      <c r="C673" s="2" t="s">
        <v>167</v>
      </c>
      <c r="D673" s="2" t="s">
        <v>472</v>
      </c>
      <c r="E673" s="4">
        <v>22.99</v>
      </c>
      <c r="F673" s="4">
        <v>714.88</v>
      </c>
      <c r="G673" s="3">
        <v>31</v>
      </c>
      <c r="H673" s="6">
        <v>4.4000000000000004</v>
      </c>
      <c r="I673" s="3">
        <v>583</v>
      </c>
      <c r="J673" s="13" t="str">
        <f>HYPERLINK("https://amazon.com/dp/B0CB6JML8N","Amazon - B0CB6JML8N")</f>
        <v>Amazon - B0CB6JML8N</v>
      </c>
      <c r="K673" s="14" t="s">
        <v>443</v>
      </c>
      <c r="L673" s="14" t="s">
        <v>303</v>
      </c>
      <c r="M673" s="14" t="s">
        <v>303</v>
      </c>
      <c r="N673" s="14" t="s">
        <v>446</v>
      </c>
      <c r="O673" s="14" t="s">
        <v>453</v>
      </c>
    </row>
    <row r="674" spans="1:15" ht="45" x14ac:dyDescent="0.2">
      <c r="A674" s="2" t="s">
        <v>1884</v>
      </c>
      <c r="B674" s="2" t="s">
        <v>1885</v>
      </c>
      <c r="C674" s="2" t="s">
        <v>23</v>
      </c>
      <c r="D674" s="2" t="s">
        <v>472</v>
      </c>
      <c r="E674" s="4">
        <v>179.9</v>
      </c>
      <c r="F674" s="4">
        <v>711.08</v>
      </c>
      <c r="G674" s="3">
        <v>4</v>
      </c>
      <c r="H674" s="6">
        <v>4.2</v>
      </c>
      <c r="I674" s="3">
        <v>13</v>
      </c>
      <c r="J674" s="13" t="str">
        <f>HYPERLINK("https://amazon.com/dp/B0D7HSCM1G","Amazon - B0D7HSCM1G")</f>
        <v>Amazon - B0D7HSCM1G</v>
      </c>
      <c r="K674" s="14" t="s">
        <v>443</v>
      </c>
      <c r="L674" s="14" t="s">
        <v>303</v>
      </c>
      <c r="M674" s="14" t="s">
        <v>715</v>
      </c>
      <c r="N674" s="14" t="s">
        <v>446</v>
      </c>
      <c r="O674" s="14" t="s">
        <v>809</v>
      </c>
    </row>
    <row r="675" spans="1:15" ht="45" x14ac:dyDescent="0.2">
      <c r="A675" s="2" t="s">
        <v>1886</v>
      </c>
      <c r="B675" s="2" t="s">
        <v>1887</v>
      </c>
      <c r="C675" s="2" t="s">
        <v>104</v>
      </c>
      <c r="D675" s="2" t="s">
        <v>472</v>
      </c>
      <c r="E675" s="4">
        <v>289.99</v>
      </c>
      <c r="F675" s="4">
        <v>706.7</v>
      </c>
      <c r="G675" s="3">
        <v>2</v>
      </c>
      <c r="H675" s="6">
        <v>5</v>
      </c>
      <c r="I675" s="3">
        <v>2</v>
      </c>
      <c r="J675" s="13" t="str">
        <f>HYPERLINK("https://amazon.com/dp/B0DWDXPYQ1","Amazon - B0DWDXPYQ1")</f>
        <v>Amazon - B0DWDXPYQ1</v>
      </c>
      <c r="K675" s="14" t="s">
        <v>443</v>
      </c>
      <c r="L675" s="14" t="s">
        <v>456</v>
      </c>
      <c r="M675" s="14" t="s">
        <v>303</v>
      </c>
      <c r="N675" s="14" t="s">
        <v>446</v>
      </c>
      <c r="O675" s="14" t="s">
        <v>570</v>
      </c>
    </row>
    <row r="676" spans="1:15" ht="45" x14ac:dyDescent="0.2">
      <c r="A676" s="2" t="s">
        <v>1888</v>
      </c>
      <c r="B676" s="2" t="s">
        <v>1889</v>
      </c>
      <c r="C676" s="2" t="s">
        <v>168</v>
      </c>
      <c r="D676" s="2" t="s">
        <v>442</v>
      </c>
      <c r="E676" s="4">
        <v>95.88</v>
      </c>
      <c r="F676" s="4">
        <v>706.11</v>
      </c>
      <c r="G676" s="3">
        <v>7</v>
      </c>
      <c r="H676" s="6">
        <v>5</v>
      </c>
      <c r="I676" s="3">
        <v>5</v>
      </c>
      <c r="J676" s="13" t="str">
        <f>HYPERLINK("https://amazon.com/dp/B0FPF369GV","Amazon - B0FPF369GV")</f>
        <v>Amazon - B0FPF369GV</v>
      </c>
      <c r="K676" s="14" t="s">
        <v>443</v>
      </c>
      <c r="L676" s="14" t="s">
        <v>461</v>
      </c>
      <c r="M676" s="14" t="s">
        <v>484</v>
      </c>
      <c r="N676" s="14" t="s">
        <v>446</v>
      </c>
      <c r="O676" s="14" t="s">
        <v>447</v>
      </c>
    </row>
    <row r="677" spans="1:15" ht="30" x14ac:dyDescent="0.2">
      <c r="A677" s="2" t="s">
        <v>1890</v>
      </c>
      <c r="B677" s="2" t="s">
        <v>1891</v>
      </c>
      <c r="C677" s="2" t="s">
        <v>169</v>
      </c>
      <c r="D677" s="2" t="s">
        <v>450</v>
      </c>
      <c r="E677" s="4">
        <v>39.99</v>
      </c>
      <c r="F677" s="4">
        <v>705.01</v>
      </c>
      <c r="G677" s="3">
        <v>18</v>
      </c>
      <c r="H677" s="6">
        <v>3</v>
      </c>
      <c r="I677" s="3">
        <v>1</v>
      </c>
      <c r="J677" s="13" t="str">
        <f>HYPERLINK("https://amazon.com/dp/B0GFM2VQJ5","Amazon - B0GFM2VQJ5")</f>
        <v>Amazon - B0GFM2VQJ5</v>
      </c>
      <c r="K677" s="14" t="s">
        <v>443</v>
      </c>
      <c r="L677" s="14" t="s">
        <v>451</v>
      </c>
      <c r="M677" s="14" t="s">
        <v>303</v>
      </c>
      <c r="N677" s="14" t="s">
        <v>446</v>
      </c>
      <c r="O677" s="14" t="s">
        <v>303</v>
      </c>
    </row>
    <row r="678" spans="1:15" ht="45" x14ac:dyDescent="0.2">
      <c r="A678" s="2" t="s">
        <v>1892</v>
      </c>
      <c r="B678" s="2" t="s">
        <v>1893</v>
      </c>
      <c r="C678" s="2" t="s">
        <v>23</v>
      </c>
      <c r="D678" s="2" t="s">
        <v>472</v>
      </c>
      <c r="E678" s="4">
        <v>262</v>
      </c>
      <c r="F678" s="4">
        <v>702.76</v>
      </c>
      <c r="G678" s="3">
        <v>3</v>
      </c>
      <c r="H678" s="6">
        <v>4.2</v>
      </c>
      <c r="I678" s="3">
        <v>13</v>
      </c>
      <c r="J678" s="13" t="str">
        <f>HYPERLINK("https://amazon.com/dp/B0D7644ZYV","Amazon - B0D7644ZYV")</f>
        <v>Amazon - B0D7644ZYV</v>
      </c>
      <c r="K678" s="14" t="s">
        <v>443</v>
      </c>
      <c r="L678" s="14" t="s">
        <v>303</v>
      </c>
      <c r="M678" s="14" t="s">
        <v>715</v>
      </c>
      <c r="N678" s="14" t="s">
        <v>446</v>
      </c>
      <c r="O678" s="14" t="s">
        <v>778</v>
      </c>
    </row>
    <row r="679" spans="1:15" ht="30" x14ac:dyDescent="0.2">
      <c r="A679" s="2" t="s">
        <v>1894</v>
      </c>
      <c r="B679" s="2" t="s">
        <v>1895</v>
      </c>
      <c r="C679" s="2" t="s">
        <v>23</v>
      </c>
      <c r="D679" s="2" t="s">
        <v>472</v>
      </c>
      <c r="E679" s="4">
        <v>302</v>
      </c>
      <c r="F679" s="4">
        <v>680.26</v>
      </c>
      <c r="G679" s="3">
        <v>2</v>
      </c>
      <c r="H679" s="6">
        <v>4.3</v>
      </c>
      <c r="I679" s="3">
        <v>14</v>
      </c>
      <c r="J679" s="13" t="str">
        <f>HYPERLINK("https://amazon.com/dp/B0CRKG9Y8G","Amazon - B0CRKG9Y8G")</f>
        <v>Amazon - B0CRKG9Y8G</v>
      </c>
      <c r="K679" s="14" t="s">
        <v>443</v>
      </c>
      <c r="L679" s="14" t="s">
        <v>303</v>
      </c>
      <c r="M679" s="14" t="s">
        <v>688</v>
      </c>
      <c r="N679" s="14" t="s">
        <v>446</v>
      </c>
      <c r="O679" s="14" t="s">
        <v>517</v>
      </c>
    </row>
    <row r="680" spans="1:15" ht="45" x14ac:dyDescent="0.2">
      <c r="A680" s="2" t="s">
        <v>1896</v>
      </c>
      <c r="B680" s="2" t="s">
        <v>1897</v>
      </c>
      <c r="C680" s="2" t="s">
        <v>23</v>
      </c>
      <c r="D680" s="2" t="s">
        <v>472</v>
      </c>
      <c r="E680" s="4">
        <v>262</v>
      </c>
      <c r="F680" s="4">
        <v>677.72</v>
      </c>
      <c r="G680" s="3">
        <v>3</v>
      </c>
      <c r="H680" s="6">
        <v>4.2</v>
      </c>
      <c r="I680" s="3">
        <v>13</v>
      </c>
      <c r="J680" s="13" t="str">
        <f>HYPERLINK("https://amazon.com/dp/B0D75VF79S","Amazon - B0D75VF79S")</f>
        <v>Amazon - B0D75VF79S</v>
      </c>
      <c r="K680" s="14" t="s">
        <v>443</v>
      </c>
      <c r="L680" s="14" t="s">
        <v>303</v>
      </c>
      <c r="M680" s="14" t="s">
        <v>715</v>
      </c>
      <c r="N680" s="14" t="s">
        <v>446</v>
      </c>
      <c r="O680" s="14" t="s">
        <v>778</v>
      </c>
    </row>
    <row r="681" spans="1:15" ht="30" x14ac:dyDescent="0.2">
      <c r="A681" s="2" t="s">
        <v>1898</v>
      </c>
      <c r="B681" s="2" t="s">
        <v>1899</v>
      </c>
      <c r="C681" s="2" t="s">
        <v>144</v>
      </c>
      <c r="D681" s="2" t="s">
        <v>442</v>
      </c>
      <c r="E681" s="4">
        <v>28.99</v>
      </c>
      <c r="F681" s="4">
        <v>677.19</v>
      </c>
      <c r="G681" s="3">
        <v>23</v>
      </c>
      <c r="H681" s="6">
        <v>4.7</v>
      </c>
      <c r="I681" s="3">
        <v>35</v>
      </c>
      <c r="J681" s="13" t="str">
        <f>HYPERLINK("https://amazon.com/dp/B0FR9KWW83","Amazon - B0FR9KWW83")</f>
        <v>Amazon - B0FR9KWW83</v>
      </c>
      <c r="K681" s="14" t="s">
        <v>443</v>
      </c>
      <c r="L681" s="14" t="s">
        <v>456</v>
      </c>
      <c r="M681" s="14" t="s">
        <v>462</v>
      </c>
      <c r="N681" s="14" t="s">
        <v>446</v>
      </c>
      <c r="O681" s="14" t="s">
        <v>578</v>
      </c>
    </row>
    <row r="682" spans="1:15" ht="30" x14ac:dyDescent="0.2">
      <c r="A682" s="2" t="s">
        <v>1900</v>
      </c>
      <c r="B682" s="2" t="s">
        <v>1901</v>
      </c>
      <c r="C682" s="2" t="s">
        <v>29</v>
      </c>
      <c r="D682" s="2" t="s">
        <v>472</v>
      </c>
      <c r="E682" s="4">
        <v>359.99</v>
      </c>
      <c r="F682" s="4">
        <v>677.01</v>
      </c>
      <c r="G682" s="3">
        <v>2</v>
      </c>
      <c r="H682" s="6">
        <v>5</v>
      </c>
      <c r="I682" s="3">
        <v>5</v>
      </c>
      <c r="J682" s="13" t="str">
        <f>HYPERLINK("https://amazon.com/dp/B0DP2199Z8","Amazon - B0DP2199Z8")</f>
        <v>Amazon - B0DP2199Z8</v>
      </c>
      <c r="K682" s="14" t="s">
        <v>443</v>
      </c>
      <c r="L682" s="14" t="s">
        <v>502</v>
      </c>
      <c r="M682" s="14" t="s">
        <v>303</v>
      </c>
      <c r="N682" s="14" t="s">
        <v>446</v>
      </c>
      <c r="O682" s="14" t="s">
        <v>517</v>
      </c>
    </row>
    <row r="683" spans="1:15" ht="45" x14ac:dyDescent="0.2">
      <c r="A683" s="2" t="s">
        <v>1902</v>
      </c>
      <c r="B683" s="2" t="s">
        <v>1903</v>
      </c>
      <c r="C683" s="2" t="s">
        <v>171</v>
      </c>
      <c r="D683" s="2" t="s">
        <v>472</v>
      </c>
      <c r="E683" s="4">
        <v>75.989999999999995</v>
      </c>
      <c r="F683" s="4">
        <v>675.4</v>
      </c>
      <c r="G683" s="3">
        <v>10</v>
      </c>
      <c r="H683" s="6">
        <v>3.9</v>
      </c>
      <c r="I683" s="3">
        <v>9</v>
      </c>
      <c r="J683" s="13" t="str">
        <f>HYPERLINK("https://amazon.com/dp/B0G6RFHSQT","Amazon - B0G6RFHSQT")</f>
        <v>Amazon - B0G6RFHSQT</v>
      </c>
      <c r="K683" s="14" t="s">
        <v>443</v>
      </c>
      <c r="L683" s="14" t="s">
        <v>461</v>
      </c>
      <c r="M683" s="14" t="s">
        <v>445</v>
      </c>
      <c r="N683" s="14" t="s">
        <v>452</v>
      </c>
      <c r="O683" s="14" t="s">
        <v>303</v>
      </c>
    </row>
    <row r="684" spans="1:15" ht="45" x14ac:dyDescent="0.2">
      <c r="A684" s="2" t="s">
        <v>1904</v>
      </c>
      <c r="B684" s="2" t="s">
        <v>1905</v>
      </c>
      <c r="C684" s="2" t="s">
        <v>58</v>
      </c>
      <c r="D684" s="2" t="s">
        <v>472</v>
      </c>
      <c r="E684" s="4">
        <v>247.99</v>
      </c>
      <c r="F684" s="4">
        <v>672.78</v>
      </c>
      <c r="G684" s="3">
        <v>3</v>
      </c>
      <c r="H684" s="6">
        <v>5</v>
      </c>
      <c r="I684" s="3">
        <v>1</v>
      </c>
      <c r="J684" s="13" t="str">
        <f>HYPERLINK("https://amazon.com/dp/B0F23DSMV8","Amazon - B0F23DSMV8")</f>
        <v>Amazon - B0F23DSMV8</v>
      </c>
      <c r="K684" s="14" t="s">
        <v>443</v>
      </c>
      <c r="L684" s="14" t="s">
        <v>667</v>
      </c>
      <c r="M684" s="14" t="s">
        <v>503</v>
      </c>
      <c r="N684" s="14" t="s">
        <v>446</v>
      </c>
      <c r="O684" s="14" t="s">
        <v>742</v>
      </c>
    </row>
    <row r="685" spans="1:15" ht="45" x14ac:dyDescent="0.2">
      <c r="A685" s="2" t="s">
        <v>1906</v>
      </c>
      <c r="B685" s="2" t="s">
        <v>1907</v>
      </c>
      <c r="C685" s="2" t="s">
        <v>172</v>
      </c>
      <c r="D685" s="2" t="s">
        <v>450</v>
      </c>
      <c r="E685" s="4">
        <v>25.99</v>
      </c>
      <c r="F685" s="4">
        <v>670.28</v>
      </c>
      <c r="G685" s="3">
        <v>26</v>
      </c>
      <c r="H685" s="6">
        <v>3.9</v>
      </c>
      <c r="I685" s="3">
        <v>79</v>
      </c>
      <c r="J685" s="13" t="str">
        <f>HYPERLINK("https://amazon.com/dp/B0DDGXHPYT","Amazon - B0DDGXHPYT")</f>
        <v>Amazon - B0DDGXHPYT</v>
      </c>
      <c r="K685" s="14" t="s">
        <v>443</v>
      </c>
      <c r="L685" s="14" t="s">
        <v>451</v>
      </c>
      <c r="M685" s="14" t="s">
        <v>303</v>
      </c>
      <c r="N685" s="14" t="s">
        <v>452</v>
      </c>
      <c r="O685" s="14" t="s">
        <v>453</v>
      </c>
    </row>
    <row r="686" spans="1:15" ht="45" x14ac:dyDescent="0.2">
      <c r="A686" s="2" t="s">
        <v>1908</v>
      </c>
      <c r="B686" s="2" t="s">
        <v>1909</v>
      </c>
      <c r="C686" s="2" t="s">
        <v>88</v>
      </c>
      <c r="D686" s="2" t="s">
        <v>442</v>
      </c>
      <c r="E686" s="4">
        <v>69.98</v>
      </c>
      <c r="F686" s="4">
        <v>669.6</v>
      </c>
      <c r="G686" s="3">
        <v>10</v>
      </c>
      <c r="H686" s="6">
        <v>4.4000000000000004</v>
      </c>
      <c r="I686" s="3">
        <v>117</v>
      </c>
      <c r="J686" s="13" t="str">
        <f>HYPERLINK("https://amazon.com/dp/B0D2H6N6KD","Amazon - B0D2H6N6KD")</f>
        <v>Amazon - B0D2H6N6KD</v>
      </c>
      <c r="K686" s="14" t="s">
        <v>443</v>
      </c>
      <c r="L686" s="14" t="s">
        <v>461</v>
      </c>
      <c r="M686" s="14" t="s">
        <v>577</v>
      </c>
      <c r="N686" s="14" t="s">
        <v>446</v>
      </c>
      <c r="O686" s="14" t="s">
        <v>447</v>
      </c>
    </row>
    <row r="687" spans="1:15" ht="30" x14ac:dyDescent="0.2">
      <c r="A687" s="2" t="s">
        <v>1910</v>
      </c>
      <c r="B687" s="2" t="s">
        <v>1911</v>
      </c>
      <c r="C687" s="2" t="s">
        <v>79</v>
      </c>
      <c r="D687" s="2" t="s">
        <v>472</v>
      </c>
      <c r="E687" s="4">
        <v>399.99</v>
      </c>
      <c r="F687" s="4">
        <v>659.46</v>
      </c>
      <c r="G687" s="3">
        <v>2</v>
      </c>
      <c r="H687" s="6">
        <v>5</v>
      </c>
      <c r="I687" s="3">
        <v>1</v>
      </c>
      <c r="J687" s="13" t="str">
        <f>HYPERLINK("https://amazon.com/dp/B0DD7BC489","Amazon - B0DD7BC489")</f>
        <v>Amazon - B0DD7BC489</v>
      </c>
      <c r="K687" s="14" t="s">
        <v>443</v>
      </c>
      <c r="L687" s="14" t="s">
        <v>667</v>
      </c>
      <c r="M687" s="14" t="s">
        <v>303</v>
      </c>
      <c r="N687" s="14" t="s">
        <v>446</v>
      </c>
      <c r="O687" s="14" t="s">
        <v>303</v>
      </c>
    </row>
    <row r="688" spans="1:15" ht="45" x14ac:dyDescent="0.2">
      <c r="A688" s="2" t="s">
        <v>1912</v>
      </c>
      <c r="B688" s="2" t="s">
        <v>1913</v>
      </c>
      <c r="C688" s="2" t="s">
        <v>15</v>
      </c>
      <c r="D688" s="2" t="s">
        <v>442</v>
      </c>
      <c r="E688" s="4">
        <v>139.99</v>
      </c>
      <c r="F688" s="4">
        <v>656.49</v>
      </c>
      <c r="G688" s="3">
        <v>5</v>
      </c>
      <c r="H688" s="6">
        <v>4.7</v>
      </c>
      <c r="I688" s="3">
        <v>107</v>
      </c>
      <c r="J688" s="13" t="str">
        <f>HYPERLINK("https://amazon.com/dp/B0FJLQJ18V","Amazon - B0FJLQJ18V")</f>
        <v>Amazon - B0FJLQJ18V</v>
      </c>
      <c r="K688" s="14" t="s">
        <v>443</v>
      </c>
      <c r="L688" s="14" t="s">
        <v>461</v>
      </c>
      <c r="M688" s="14" t="s">
        <v>499</v>
      </c>
      <c r="N688" s="14" t="s">
        <v>452</v>
      </c>
      <c r="O688" s="14" t="s">
        <v>447</v>
      </c>
    </row>
    <row r="689" spans="1:15" ht="30" x14ac:dyDescent="0.2">
      <c r="A689" s="2" t="s">
        <v>1914</v>
      </c>
      <c r="B689" s="2" t="s">
        <v>1915</v>
      </c>
      <c r="C689" s="2" t="s">
        <v>164</v>
      </c>
      <c r="D689" s="2" t="s">
        <v>472</v>
      </c>
      <c r="E689" s="4">
        <v>158.71</v>
      </c>
      <c r="F689" s="4">
        <v>655.32000000000005</v>
      </c>
      <c r="G689" s="3">
        <v>4</v>
      </c>
      <c r="H689" s="6">
        <v>0</v>
      </c>
      <c r="I689" s="3">
        <v>0</v>
      </c>
      <c r="J689" s="13" t="str">
        <f>HYPERLINK("https://amazon.com/dp/B0C37GBVZZ","Amazon - B0C37GBVZZ")</f>
        <v>Amazon - B0C37GBVZZ</v>
      </c>
      <c r="K689" s="14" t="s">
        <v>443</v>
      </c>
      <c r="L689" s="14" t="s">
        <v>303</v>
      </c>
      <c r="M689" s="14" t="s">
        <v>503</v>
      </c>
      <c r="N689" s="14" t="s">
        <v>446</v>
      </c>
      <c r="O689" s="14" t="s">
        <v>303</v>
      </c>
    </row>
    <row r="690" spans="1:15" ht="30" x14ac:dyDescent="0.2">
      <c r="A690" s="2" t="s">
        <v>1916</v>
      </c>
      <c r="B690" s="2" t="s">
        <v>1917</v>
      </c>
      <c r="C690" s="2" t="s">
        <v>122</v>
      </c>
      <c r="D690" s="2" t="s">
        <v>472</v>
      </c>
      <c r="E690" s="4">
        <v>144.5</v>
      </c>
      <c r="F690" s="4">
        <v>641.54</v>
      </c>
      <c r="G690" s="3">
        <v>4</v>
      </c>
      <c r="H690" s="6">
        <v>5</v>
      </c>
      <c r="I690" s="3">
        <v>1</v>
      </c>
      <c r="J690" s="13" t="str">
        <f>HYPERLINK("https://amazon.com/dp/B0D1ZFZ7JL","Amazon - B0D1ZFZ7JL")</f>
        <v>Amazon - B0D1ZFZ7JL</v>
      </c>
      <c r="K690" s="14" t="s">
        <v>443</v>
      </c>
      <c r="L690" s="14" t="s">
        <v>303</v>
      </c>
      <c r="M690" s="14" t="s">
        <v>303</v>
      </c>
      <c r="N690" s="14" t="s">
        <v>446</v>
      </c>
      <c r="O690" s="14" t="s">
        <v>303</v>
      </c>
    </row>
    <row r="691" spans="1:15" ht="30" x14ac:dyDescent="0.2">
      <c r="A691" s="2" t="s">
        <v>1918</v>
      </c>
      <c r="B691" s="2" t="s">
        <v>1919</v>
      </c>
      <c r="C691" s="2" t="s">
        <v>14</v>
      </c>
      <c r="D691" s="2" t="s">
        <v>472</v>
      </c>
      <c r="E691" s="4">
        <v>129.99</v>
      </c>
      <c r="F691" s="4">
        <v>635.04999999999995</v>
      </c>
      <c r="G691" s="3">
        <v>3</v>
      </c>
      <c r="H691" s="6">
        <v>4</v>
      </c>
      <c r="I691" s="3">
        <v>34</v>
      </c>
      <c r="J691" s="13" t="str">
        <f>HYPERLINK("https://amazon.com/dp/B0B3D9MBS9","Amazon - B0B3D9MBS9")</f>
        <v>Amazon - B0B3D9MBS9</v>
      </c>
      <c r="K691" s="14" t="s">
        <v>443</v>
      </c>
      <c r="L691" s="14" t="s">
        <v>667</v>
      </c>
      <c r="M691" s="14" t="s">
        <v>303</v>
      </c>
      <c r="N691" s="14" t="s">
        <v>446</v>
      </c>
      <c r="O691" s="14" t="s">
        <v>303</v>
      </c>
    </row>
    <row r="692" spans="1:15" ht="30" x14ac:dyDescent="0.2">
      <c r="A692" s="2" t="s">
        <v>1920</v>
      </c>
      <c r="B692" s="2" t="s">
        <v>1921</v>
      </c>
      <c r="C692" s="2" t="s">
        <v>128</v>
      </c>
      <c r="D692" s="2" t="s">
        <v>442</v>
      </c>
      <c r="E692" s="4">
        <v>79.989999999999995</v>
      </c>
      <c r="F692" s="4">
        <v>634.12</v>
      </c>
      <c r="G692" s="3">
        <v>8</v>
      </c>
      <c r="H692" s="6">
        <v>4.2</v>
      </c>
      <c r="I692" s="3">
        <v>162</v>
      </c>
      <c r="J692" s="13" t="str">
        <f>HYPERLINK("https://amazon.com/dp/B0CPDLCW1B","Amazon - B0CPDLCW1B")</f>
        <v>Amazon - B0CPDLCW1B</v>
      </c>
      <c r="K692" s="14" t="s">
        <v>443</v>
      </c>
      <c r="L692" s="14" t="s">
        <v>303</v>
      </c>
      <c r="M692" s="14" t="s">
        <v>462</v>
      </c>
      <c r="N692" s="14" t="s">
        <v>452</v>
      </c>
      <c r="O692" s="14" t="s">
        <v>578</v>
      </c>
    </row>
    <row r="693" spans="1:15" ht="45" x14ac:dyDescent="0.2">
      <c r="A693" s="2" t="s">
        <v>1922</v>
      </c>
      <c r="B693" s="2" t="s">
        <v>1923</v>
      </c>
      <c r="C693" s="2" t="s">
        <v>55</v>
      </c>
      <c r="D693" s="2" t="s">
        <v>472</v>
      </c>
      <c r="E693" s="4">
        <v>349.99</v>
      </c>
      <c r="F693" s="4">
        <v>621.05999999999995</v>
      </c>
      <c r="G693" s="3">
        <v>2</v>
      </c>
      <c r="H693" s="6">
        <v>4.7</v>
      </c>
      <c r="I693" s="3">
        <v>4</v>
      </c>
      <c r="J693" s="13" t="str">
        <f>HYPERLINK("https://amazon.com/dp/B0C45QGF4G","Amazon - B0C45QGF4G")</f>
        <v>Amazon - B0C45QGF4G</v>
      </c>
      <c r="K693" s="14" t="s">
        <v>443</v>
      </c>
      <c r="L693" s="14" t="s">
        <v>456</v>
      </c>
      <c r="M693" s="14" t="s">
        <v>688</v>
      </c>
      <c r="N693" s="14" t="s">
        <v>446</v>
      </c>
      <c r="O693" s="14" t="s">
        <v>517</v>
      </c>
    </row>
    <row r="694" spans="1:15" ht="45" x14ac:dyDescent="0.2">
      <c r="A694" s="2" t="s">
        <v>1924</v>
      </c>
      <c r="B694" s="2" t="s">
        <v>1925</v>
      </c>
      <c r="C694" s="2" t="s">
        <v>81</v>
      </c>
      <c r="D694" s="2" t="s">
        <v>472</v>
      </c>
      <c r="E694" s="4">
        <v>770.99</v>
      </c>
      <c r="F694" s="4">
        <v>612.76</v>
      </c>
      <c r="G694" s="3">
        <v>1</v>
      </c>
      <c r="H694" s="6">
        <v>4.2</v>
      </c>
      <c r="I694" s="3">
        <v>16</v>
      </c>
      <c r="J694" s="13" t="str">
        <f>HYPERLINK("https://amazon.com/dp/B0CSDPRBWN","Amazon - B0CSDPRBWN")</f>
        <v>Amazon - B0CSDPRBWN</v>
      </c>
      <c r="K694" s="14" t="s">
        <v>443</v>
      </c>
      <c r="L694" s="14" t="s">
        <v>564</v>
      </c>
      <c r="M694" s="14" t="s">
        <v>565</v>
      </c>
      <c r="N694" s="14" t="s">
        <v>446</v>
      </c>
      <c r="O694" s="14" t="s">
        <v>570</v>
      </c>
    </row>
    <row r="695" spans="1:15" ht="45" x14ac:dyDescent="0.2">
      <c r="A695" s="2" t="s">
        <v>1926</v>
      </c>
      <c r="B695" s="2" t="s">
        <v>1927</v>
      </c>
      <c r="C695" s="2" t="s">
        <v>71</v>
      </c>
      <c r="D695" s="2" t="s">
        <v>442</v>
      </c>
      <c r="E695" s="4">
        <v>29.99</v>
      </c>
      <c r="F695" s="4">
        <v>611.01</v>
      </c>
      <c r="G695" s="3">
        <v>20</v>
      </c>
      <c r="H695" s="6">
        <v>4.5999999999999996</v>
      </c>
      <c r="I695" s="3">
        <v>20</v>
      </c>
      <c r="J695" s="13" t="str">
        <f>HYPERLINK("https://amazon.com/dp/B0G6XZS5YP","Amazon - B0G6XZS5YP")</f>
        <v>Amazon - B0G6XZS5YP</v>
      </c>
      <c r="K695" s="14" t="s">
        <v>443</v>
      </c>
      <c r="L695" s="14" t="s">
        <v>456</v>
      </c>
      <c r="M695" s="14" t="s">
        <v>303</v>
      </c>
      <c r="N695" s="14" t="s">
        <v>452</v>
      </c>
      <c r="O695" s="14" t="s">
        <v>453</v>
      </c>
    </row>
    <row r="696" spans="1:15" ht="45" x14ac:dyDescent="0.2">
      <c r="A696" s="2" t="s">
        <v>1928</v>
      </c>
      <c r="B696" s="2" t="s">
        <v>1929</v>
      </c>
      <c r="C696" s="2" t="s">
        <v>64</v>
      </c>
      <c r="D696" s="2" t="s">
        <v>472</v>
      </c>
      <c r="E696" s="4">
        <v>299.99</v>
      </c>
      <c r="F696" s="4">
        <v>610.19000000000005</v>
      </c>
      <c r="G696" s="3">
        <v>2</v>
      </c>
      <c r="H696" s="6">
        <v>0</v>
      </c>
      <c r="I696" s="3">
        <v>0</v>
      </c>
      <c r="J696" s="13" t="str">
        <f>HYPERLINK("https://amazon.com/dp/B0GK72PFS9","Amazon - B0GK72PFS9")</f>
        <v>Amazon - B0GK72PFS9</v>
      </c>
      <c r="K696" s="14" t="s">
        <v>443</v>
      </c>
      <c r="L696" s="14" t="s">
        <v>456</v>
      </c>
      <c r="M696" s="14" t="s">
        <v>303</v>
      </c>
      <c r="N696" s="14" t="s">
        <v>446</v>
      </c>
      <c r="O696" s="14" t="s">
        <v>570</v>
      </c>
    </row>
    <row r="697" spans="1:15" ht="45" x14ac:dyDescent="0.2">
      <c r="A697" s="2" t="s">
        <v>1930</v>
      </c>
      <c r="B697" s="2" t="s">
        <v>1931</v>
      </c>
      <c r="C697" s="2" t="s">
        <v>57</v>
      </c>
      <c r="D697" s="2" t="s">
        <v>472</v>
      </c>
      <c r="E697" s="4">
        <v>369.99</v>
      </c>
      <c r="F697" s="4">
        <v>607.97</v>
      </c>
      <c r="G697" s="3">
        <v>2</v>
      </c>
      <c r="H697" s="6">
        <v>4.2</v>
      </c>
      <c r="I697" s="3">
        <v>20</v>
      </c>
      <c r="J697" s="13" t="str">
        <f>HYPERLINK("https://amazon.com/dp/B0DKJ61PW6","Amazon - B0DKJ61PW6")</f>
        <v>Amazon - B0DKJ61PW6</v>
      </c>
      <c r="K697" s="14" t="s">
        <v>443</v>
      </c>
      <c r="L697" s="14" t="s">
        <v>667</v>
      </c>
      <c r="M697" s="14" t="s">
        <v>303</v>
      </c>
      <c r="N697" s="14" t="s">
        <v>446</v>
      </c>
      <c r="O697" s="14" t="s">
        <v>778</v>
      </c>
    </row>
    <row r="698" spans="1:15" ht="45" x14ac:dyDescent="0.2">
      <c r="A698" s="2" t="s">
        <v>1932</v>
      </c>
      <c r="B698" s="2" t="s">
        <v>1933</v>
      </c>
      <c r="C698" s="2" t="s">
        <v>174</v>
      </c>
      <c r="D698" s="2" t="s">
        <v>472</v>
      </c>
      <c r="E698" s="4">
        <v>399.99</v>
      </c>
      <c r="F698" s="4">
        <v>606.47</v>
      </c>
      <c r="G698" s="3">
        <v>2</v>
      </c>
      <c r="H698" s="6">
        <v>4.4000000000000004</v>
      </c>
      <c r="I698" s="3">
        <v>5</v>
      </c>
      <c r="J698" s="13" t="str">
        <f>HYPERLINK("https://amazon.com/dp/B0D7HS5BWL","Amazon - B0D7HS5BWL")</f>
        <v>Amazon - B0D7HS5BWL</v>
      </c>
      <c r="K698" s="14" t="s">
        <v>443</v>
      </c>
      <c r="L698" s="14" t="s">
        <v>456</v>
      </c>
      <c r="M698" s="14" t="s">
        <v>303</v>
      </c>
      <c r="N698" s="14" t="s">
        <v>446</v>
      </c>
      <c r="O698" s="14" t="s">
        <v>517</v>
      </c>
    </row>
    <row r="699" spans="1:15" x14ac:dyDescent="0.2">
      <c r="A699" s="2" t="s">
        <v>1934</v>
      </c>
      <c r="B699" s="2" t="s">
        <v>1935</v>
      </c>
      <c r="C699" s="2" t="s">
        <v>175</v>
      </c>
      <c r="D699" s="2" t="s">
        <v>450</v>
      </c>
      <c r="E699" s="4">
        <v>55</v>
      </c>
      <c r="F699" s="4">
        <v>598.41</v>
      </c>
      <c r="G699" s="3">
        <v>11</v>
      </c>
      <c r="H699" s="6">
        <v>5</v>
      </c>
      <c r="I699" s="3">
        <v>1</v>
      </c>
      <c r="J699" s="13" t="str">
        <f>HYPERLINK("https://amazon.com/dp/B0B6VSJ8PJ","Amazon - B0B6VSJ8PJ")</f>
        <v>Amazon - B0B6VSJ8PJ</v>
      </c>
      <c r="K699" s="14" t="s">
        <v>443</v>
      </c>
      <c r="L699" s="14" t="s">
        <v>303</v>
      </c>
      <c r="M699" s="14" t="s">
        <v>303</v>
      </c>
      <c r="N699" s="14" t="s">
        <v>446</v>
      </c>
      <c r="O699" s="14" t="s">
        <v>303</v>
      </c>
    </row>
    <row r="700" spans="1:15" ht="30" x14ac:dyDescent="0.2">
      <c r="A700" s="2" t="s">
        <v>1936</v>
      </c>
      <c r="B700" s="2" t="s">
        <v>1937</v>
      </c>
      <c r="C700" s="2" t="s">
        <v>176</v>
      </c>
      <c r="D700" s="2" t="s">
        <v>472</v>
      </c>
      <c r="E700" s="4">
        <v>225.3</v>
      </c>
      <c r="F700" s="4">
        <v>586.9</v>
      </c>
      <c r="G700" s="3">
        <v>3</v>
      </c>
      <c r="H700" s="6">
        <v>0</v>
      </c>
      <c r="I700" s="3">
        <v>0</v>
      </c>
      <c r="J700" s="13" t="str">
        <f>HYPERLINK("https://amazon.com/dp/B0CQT8KY6P","Amazon - B0CQT8KY6P")</f>
        <v>Amazon - B0CQT8KY6P</v>
      </c>
      <c r="K700" s="14" t="s">
        <v>443</v>
      </c>
      <c r="L700" s="14" t="s">
        <v>303</v>
      </c>
      <c r="M700" s="14" t="s">
        <v>503</v>
      </c>
      <c r="N700" s="14" t="s">
        <v>446</v>
      </c>
      <c r="O700" s="14" t="s">
        <v>303</v>
      </c>
    </row>
    <row r="701" spans="1:15" ht="30" x14ac:dyDescent="0.2">
      <c r="A701" s="2" t="s">
        <v>1938</v>
      </c>
      <c r="B701" s="2" t="s">
        <v>1939</v>
      </c>
      <c r="C701" s="2" t="s">
        <v>51</v>
      </c>
      <c r="D701" s="2" t="s">
        <v>823</v>
      </c>
      <c r="E701" s="4">
        <v>299.98</v>
      </c>
      <c r="F701" s="4">
        <v>582.95000000000005</v>
      </c>
      <c r="G701" s="3">
        <v>2</v>
      </c>
      <c r="H701" s="6">
        <v>0</v>
      </c>
      <c r="I701" s="3">
        <v>0</v>
      </c>
      <c r="J701" s="13" t="str">
        <f>HYPERLINK("https://amazon.com/dp/B0C7S32LYT","Amazon - B0C7S32LYT")</f>
        <v>Amazon - B0C7S32LYT</v>
      </c>
      <c r="K701" s="14" t="s">
        <v>443</v>
      </c>
      <c r="L701" s="14" t="s">
        <v>461</v>
      </c>
      <c r="M701" s="14" t="s">
        <v>535</v>
      </c>
      <c r="N701" s="14" t="s">
        <v>446</v>
      </c>
      <c r="O701" s="14" t="s">
        <v>543</v>
      </c>
    </row>
    <row r="702" spans="1:15" ht="30" x14ac:dyDescent="0.2">
      <c r="A702" s="2" t="s">
        <v>1940</v>
      </c>
      <c r="B702" s="2" t="s">
        <v>1941</v>
      </c>
      <c r="C702" s="2" t="s">
        <v>13</v>
      </c>
      <c r="D702" s="2" t="s">
        <v>472</v>
      </c>
      <c r="E702" s="4">
        <v>21.99</v>
      </c>
      <c r="F702" s="4">
        <v>579.04999999999995</v>
      </c>
      <c r="G702" s="3">
        <v>26</v>
      </c>
      <c r="H702" s="6">
        <v>5</v>
      </c>
      <c r="I702" s="3">
        <v>1</v>
      </c>
      <c r="J702" s="13" t="str">
        <f>HYPERLINK("https://amazon.com/dp/B0D2ZPKZ3G","Amazon - B0D2ZPKZ3G")</f>
        <v>Amazon - B0D2ZPKZ3G</v>
      </c>
      <c r="K702" s="14" t="s">
        <v>443</v>
      </c>
      <c r="L702" s="14" t="s">
        <v>303</v>
      </c>
      <c r="M702" s="14" t="s">
        <v>677</v>
      </c>
      <c r="N702" s="14" t="s">
        <v>446</v>
      </c>
      <c r="O702" s="14" t="s">
        <v>303</v>
      </c>
    </row>
    <row r="703" spans="1:15" ht="45" x14ac:dyDescent="0.2">
      <c r="A703" s="2" t="s">
        <v>1942</v>
      </c>
      <c r="B703" s="2" t="s">
        <v>1943</v>
      </c>
      <c r="C703" s="2" t="s">
        <v>23</v>
      </c>
      <c r="D703" s="2" t="s">
        <v>472</v>
      </c>
      <c r="E703" s="4">
        <v>244.32</v>
      </c>
      <c r="F703" s="4">
        <v>578.30999999999995</v>
      </c>
      <c r="G703" s="3">
        <v>2</v>
      </c>
      <c r="H703" s="6">
        <v>5</v>
      </c>
      <c r="I703" s="3">
        <v>4</v>
      </c>
      <c r="J703" s="13" t="str">
        <f>HYPERLINK("https://amazon.com/dp/B0D9NV4JPY","Amazon - B0D9NV4JPY")</f>
        <v>Amazon - B0D9NV4JPY</v>
      </c>
      <c r="K703" s="14" t="s">
        <v>443</v>
      </c>
      <c r="L703" s="14" t="s">
        <v>461</v>
      </c>
      <c r="M703" s="14" t="s">
        <v>688</v>
      </c>
      <c r="N703" s="14" t="s">
        <v>446</v>
      </c>
      <c r="O703" s="14" t="s">
        <v>517</v>
      </c>
    </row>
    <row r="704" spans="1:15" ht="45" x14ac:dyDescent="0.2">
      <c r="A704" s="2" t="s">
        <v>1944</v>
      </c>
      <c r="B704" s="2" t="s">
        <v>1945</v>
      </c>
      <c r="C704" s="2" t="s">
        <v>126</v>
      </c>
      <c r="D704" s="2" t="s">
        <v>450</v>
      </c>
      <c r="E704" s="4">
        <v>9.26</v>
      </c>
      <c r="F704" s="4">
        <v>578.25</v>
      </c>
      <c r="G704" s="3">
        <v>73</v>
      </c>
      <c r="H704" s="6">
        <v>3.2</v>
      </c>
      <c r="I704" s="3">
        <v>74</v>
      </c>
      <c r="J704" s="13" t="str">
        <f>HYPERLINK("https://amazon.com/dp/B0BMV9MMSX","Amazon - B0BMV9MMSX")</f>
        <v>Amazon - B0BMV9MMSX</v>
      </c>
      <c r="K704" s="14" t="s">
        <v>443</v>
      </c>
      <c r="L704" s="14" t="s">
        <v>1725</v>
      </c>
      <c r="M704" s="14" t="s">
        <v>303</v>
      </c>
      <c r="N704" s="14" t="s">
        <v>446</v>
      </c>
      <c r="O704" s="14" t="s">
        <v>543</v>
      </c>
    </row>
    <row r="705" spans="1:15" ht="30" x14ac:dyDescent="0.2">
      <c r="A705" s="2" t="s">
        <v>1946</v>
      </c>
      <c r="B705" s="2" t="s">
        <v>1947</v>
      </c>
      <c r="C705" s="2" t="s">
        <v>23</v>
      </c>
      <c r="D705" s="2" t="s">
        <v>472</v>
      </c>
      <c r="E705" s="4">
        <v>315</v>
      </c>
      <c r="F705" s="4">
        <v>576.84</v>
      </c>
      <c r="G705" s="3">
        <v>2</v>
      </c>
      <c r="H705" s="6">
        <v>4.3</v>
      </c>
      <c r="I705" s="3">
        <v>14</v>
      </c>
      <c r="J705" s="13" t="str">
        <f>HYPERLINK("https://amazon.com/dp/B0CRKGM7L8","Amazon - B0CRKGM7L8")</f>
        <v>Amazon - B0CRKGM7L8</v>
      </c>
      <c r="K705" s="14" t="s">
        <v>443</v>
      </c>
      <c r="L705" s="14" t="s">
        <v>303</v>
      </c>
      <c r="M705" s="14" t="s">
        <v>503</v>
      </c>
      <c r="N705" s="14" t="s">
        <v>446</v>
      </c>
      <c r="O705" s="14" t="s">
        <v>517</v>
      </c>
    </row>
    <row r="706" spans="1:15" ht="30" x14ac:dyDescent="0.2">
      <c r="A706" s="2" t="s">
        <v>1948</v>
      </c>
      <c r="B706" s="2" t="s">
        <v>1949</v>
      </c>
      <c r="C706" s="2" t="s">
        <v>51</v>
      </c>
      <c r="D706" s="2" t="s">
        <v>450</v>
      </c>
      <c r="E706" s="4">
        <v>399.98</v>
      </c>
      <c r="F706" s="4">
        <v>575.22</v>
      </c>
      <c r="G706" s="3">
        <v>1</v>
      </c>
      <c r="H706" s="6">
        <v>4</v>
      </c>
      <c r="I706" s="3">
        <v>6</v>
      </c>
      <c r="J706" s="13" t="str">
        <f>HYPERLINK("https://amazon.com/dp/B0GJ6YM2NJ","Amazon - B0GJ6YM2NJ")</f>
        <v>Amazon - B0GJ6YM2NJ</v>
      </c>
      <c r="K706" s="14" t="s">
        <v>482</v>
      </c>
      <c r="L706" s="14" t="s">
        <v>451</v>
      </c>
      <c r="M706" s="14" t="s">
        <v>511</v>
      </c>
      <c r="N706" s="14" t="s">
        <v>446</v>
      </c>
      <c r="O706" s="14" t="s">
        <v>543</v>
      </c>
    </row>
    <row r="707" spans="1:15" ht="45" x14ac:dyDescent="0.2">
      <c r="A707" s="2" t="s">
        <v>1950</v>
      </c>
      <c r="B707" s="2" t="s">
        <v>1951</v>
      </c>
      <c r="C707" s="2" t="s">
        <v>29</v>
      </c>
      <c r="D707" s="2" t="s">
        <v>472</v>
      </c>
      <c r="E707" s="4">
        <v>329.99</v>
      </c>
      <c r="F707" s="4">
        <v>573.87</v>
      </c>
      <c r="G707" s="3">
        <v>2</v>
      </c>
      <c r="H707" s="6">
        <v>4.5999999999999996</v>
      </c>
      <c r="I707" s="3">
        <v>5</v>
      </c>
      <c r="J707" s="13" t="str">
        <f>HYPERLINK("https://amazon.com/dp/B0DP1Z4V17","Amazon - B0DP1Z4V17")</f>
        <v>Amazon - B0DP1Z4V17</v>
      </c>
      <c r="K707" s="14" t="s">
        <v>443</v>
      </c>
      <c r="L707" s="14" t="s">
        <v>303</v>
      </c>
      <c r="M707" s="14" t="s">
        <v>503</v>
      </c>
      <c r="N707" s="14" t="s">
        <v>446</v>
      </c>
      <c r="O707" s="14" t="s">
        <v>517</v>
      </c>
    </row>
    <row r="708" spans="1:15" ht="45" x14ac:dyDescent="0.2">
      <c r="A708" s="2" t="s">
        <v>1952</v>
      </c>
      <c r="B708" s="2" t="s">
        <v>1953</v>
      </c>
      <c r="C708" s="2" t="s">
        <v>25</v>
      </c>
      <c r="D708" s="2" t="s">
        <v>450</v>
      </c>
      <c r="E708" s="4">
        <v>69.989999999999995</v>
      </c>
      <c r="F708" s="4">
        <v>573.49</v>
      </c>
      <c r="G708" s="3">
        <v>8</v>
      </c>
      <c r="H708" s="6">
        <v>4.0999999999999996</v>
      </c>
      <c r="I708" s="3">
        <v>31</v>
      </c>
      <c r="J708" s="13" t="str">
        <f>HYPERLINK("https://amazon.com/dp/B0DGD1YS48","Amazon - B0DGD1YS48")</f>
        <v>Amazon - B0DGD1YS48</v>
      </c>
      <c r="K708" s="14" t="s">
        <v>443</v>
      </c>
      <c r="L708" s="14" t="s">
        <v>451</v>
      </c>
      <c r="M708" s="14" t="s">
        <v>462</v>
      </c>
      <c r="N708" s="14" t="s">
        <v>446</v>
      </c>
      <c r="O708" s="14" t="s">
        <v>303</v>
      </c>
    </row>
    <row r="709" spans="1:15" ht="45" x14ac:dyDescent="0.2">
      <c r="A709" s="2" t="s">
        <v>1954</v>
      </c>
      <c r="B709" s="2" t="s">
        <v>1955</v>
      </c>
      <c r="C709" s="2" t="s">
        <v>177</v>
      </c>
      <c r="D709" s="2" t="s">
        <v>472</v>
      </c>
      <c r="E709" s="4">
        <v>499.99</v>
      </c>
      <c r="F709" s="4">
        <v>572.33000000000004</v>
      </c>
      <c r="G709" s="3">
        <v>1</v>
      </c>
      <c r="H709" s="6">
        <v>1</v>
      </c>
      <c r="I709" s="3">
        <v>1</v>
      </c>
      <c r="J709" s="13" t="str">
        <f>HYPERLINK("https://amazon.com/dp/B0CCTFJBWW","Amazon - B0CCTFJBWW")</f>
        <v>Amazon - B0CCTFJBWW</v>
      </c>
      <c r="K709" s="14" t="s">
        <v>443</v>
      </c>
      <c r="L709" s="14" t="s">
        <v>502</v>
      </c>
      <c r="M709" s="14" t="s">
        <v>303</v>
      </c>
      <c r="N709" s="14" t="s">
        <v>446</v>
      </c>
      <c r="O709" s="14" t="s">
        <v>725</v>
      </c>
    </row>
    <row r="710" spans="1:15" ht="30" x14ac:dyDescent="0.2">
      <c r="A710" s="2" t="s">
        <v>1956</v>
      </c>
      <c r="B710" s="2" t="s">
        <v>1957</v>
      </c>
      <c r="C710" s="2" t="s">
        <v>8</v>
      </c>
      <c r="D710" s="2" t="s">
        <v>442</v>
      </c>
      <c r="E710" s="4">
        <v>54.99</v>
      </c>
      <c r="F710" s="4">
        <v>572.17999999999995</v>
      </c>
      <c r="G710" s="3">
        <v>10</v>
      </c>
      <c r="H710" s="6">
        <v>5</v>
      </c>
      <c r="I710" s="3">
        <v>1</v>
      </c>
      <c r="J710" s="13" t="str">
        <f>HYPERLINK("https://amazon.com/dp/B0DBHXHWVG","Amazon - B0DBHXHWVG")</f>
        <v>Amazon - B0DBHXHWVG</v>
      </c>
      <c r="K710" s="14" t="s">
        <v>443</v>
      </c>
      <c r="L710" s="14" t="s">
        <v>303</v>
      </c>
      <c r="M710" s="14" t="s">
        <v>445</v>
      </c>
      <c r="N710" s="14" t="s">
        <v>452</v>
      </c>
      <c r="O710" s="14" t="s">
        <v>487</v>
      </c>
    </row>
    <row r="711" spans="1:15" ht="45" x14ac:dyDescent="0.2">
      <c r="A711" s="2" t="s">
        <v>1958</v>
      </c>
      <c r="B711" s="2" t="s">
        <v>1959</v>
      </c>
      <c r="C711" s="2" t="s">
        <v>62</v>
      </c>
      <c r="D711" s="2" t="s">
        <v>442</v>
      </c>
      <c r="E711" s="4">
        <v>49</v>
      </c>
      <c r="F711" s="4">
        <v>572.17999999999995</v>
      </c>
      <c r="G711" s="3">
        <v>12</v>
      </c>
      <c r="H711" s="6">
        <v>4.7</v>
      </c>
      <c r="I711" s="3">
        <v>51</v>
      </c>
      <c r="J711" s="13" t="str">
        <f>HYPERLINK("https://amazon.com/dp/B0B31HCHNB","Amazon - B0B31HCHNB")</f>
        <v>Amazon - B0B31HCHNB</v>
      </c>
      <c r="K711" s="14" t="s">
        <v>443</v>
      </c>
      <c r="L711" s="14" t="s">
        <v>303</v>
      </c>
      <c r="M711" s="14" t="s">
        <v>303</v>
      </c>
      <c r="N711" s="14" t="s">
        <v>446</v>
      </c>
      <c r="O711" s="14" t="s">
        <v>303</v>
      </c>
    </row>
    <row r="712" spans="1:15" ht="45" x14ac:dyDescent="0.2">
      <c r="A712" s="2" t="s">
        <v>1960</v>
      </c>
      <c r="B712" s="2" t="s">
        <v>1961</v>
      </c>
      <c r="C712" s="2" t="s">
        <v>23</v>
      </c>
      <c r="D712" s="2" t="s">
        <v>472</v>
      </c>
      <c r="E712" s="4">
        <v>249</v>
      </c>
      <c r="F712" s="4">
        <v>571.05999999999995</v>
      </c>
      <c r="G712" s="3">
        <v>2</v>
      </c>
      <c r="H712" s="6">
        <v>3.3</v>
      </c>
      <c r="I712" s="3">
        <v>8</v>
      </c>
      <c r="J712" s="13" t="str">
        <f>HYPERLINK("https://amazon.com/dp/B0F3DKNDY2","Amazon - B0F3DKNDY2")</f>
        <v>Amazon - B0F3DKNDY2</v>
      </c>
      <c r="K712" s="14" t="s">
        <v>443</v>
      </c>
      <c r="L712" s="14" t="s">
        <v>461</v>
      </c>
      <c r="M712" s="14" t="s">
        <v>688</v>
      </c>
      <c r="N712" s="14" t="s">
        <v>446</v>
      </c>
      <c r="O712" s="14" t="s">
        <v>904</v>
      </c>
    </row>
    <row r="713" spans="1:15" ht="45" x14ac:dyDescent="0.2">
      <c r="A713" s="2" t="s">
        <v>1962</v>
      </c>
      <c r="B713" s="2" t="s">
        <v>1963</v>
      </c>
      <c r="C713" s="2" t="s">
        <v>104</v>
      </c>
      <c r="D713" s="2" t="s">
        <v>472</v>
      </c>
      <c r="E713" s="4">
        <v>329.99</v>
      </c>
      <c r="F713" s="4">
        <v>564.78</v>
      </c>
      <c r="G713" s="3">
        <v>2</v>
      </c>
      <c r="H713" s="6">
        <v>0</v>
      </c>
      <c r="I713" s="3">
        <v>0</v>
      </c>
      <c r="J713" s="13" t="str">
        <f>HYPERLINK("https://amazon.com/dp/B0FM1V5N8N","Amazon - B0FM1V5N8N")</f>
        <v>Amazon - B0FM1V5N8N</v>
      </c>
      <c r="K713" s="14" t="s">
        <v>443</v>
      </c>
      <c r="L713" s="14" t="s">
        <v>667</v>
      </c>
      <c r="M713" s="14" t="s">
        <v>303</v>
      </c>
      <c r="N713" s="14" t="s">
        <v>446</v>
      </c>
      <c r="O713" s="14" t="s">
        <v>303</v>
      </c>
    </row>
    <row r="714" spans="1:15" ht="45" x14ac:dyDescent="0.2">
      <c r="A714" s="2" t="s">
        <v>1964</v>
      </c>
      <c r="B714" s="2" t="s">
        <v>1965</v>
      </c>
      <c r="C714" s="2" t="s">
        <v>79</v>
      </c>
      <c r="D714" s="2" t="s">
        <v>472</v>
      </c>
      <c r="E714" s="4">
        <v>659.99</v>
      </c>
      <c r="F714" s="4">
        <v>563.91</v>
      </c>
      <c r="G714" s="3">
        <v>1</v>
      </c>
      <c r="H714" s="6">
        <v>4.4000000000000004</v>
      </c>
      <c r="I714" s="3">
        <v>17</v>
      </c>
      <c r="J714" s="13" t="str">
        <f>HYPERLINK("https://amazon.com/dp/B0DD44JGJZ","Amazon - B0DD44JGJZ")</f>
        <v>Amazon - B0DD44JGJZ</v>
      </c>
      <c r="K714" s="14" t="s">
        <v>443</v>
      </c>
      <c r="L714" s="14" t="s">
        <v>303</v>
      </c>
      <c r="M714" s="14" t="s">
        <v>303</v>
      </c>
      <c r="N714" s="14" t="s">
        <v>446</v>
      </c>
      <c r="O714" s="14" t="s">
        <v>517</v>
      </c>
    </row>
    <row r="715" spans="1:15" ht="30" x14ac:dyDescent="0.2">
      <c r="A715" s="2" t="s">
        <v>1966</v>
      </c>
      <c r="B715" s="2" t="s">
        <v>1967</v>
      </c>
      <c r="C715" s="2" t="s">
        <v>33</v>
      </c>
      <c r="D715" s="2" t="s">
        <v>472</v>
      </c>
      <c r="E715" s="4">
        <v>273.49</v>
      </c>
      <c r="F715" s="4">
        <v>563.76</v>
      </c>
      <c r="G715" s="3">
        <v>2</v>
      </c>
      <c r="H715" s="6">
        <v>5</v>
      </c>
      <c r="I715" s="3">
        <v>3</v>
      </c>
      <c r="J715" s="13" t="str">
        <f>HYPERLINK("https://amazon.com/dp/B0FJLV7ZB1","Amazon - B0FJLV7ZB1")</f>
        <v>Amazon - B0FJLV7ZB1</v>
      </c>
      <c r="K715" s="14" t="s">
        <v>443</v>
      </c>
      <c r="L715" s="14" t="s">
        <v>667</v>
      </c>
      <c r="M715" s="14" t="s">
        <v>866</v>
      </c>
      <c r="N715" s="14" t="s">
        <v>446</v>
      </c>
      <c r="O715" s="14" t="s">
        <v>517</v>
      </c>
    </row>
    <row r="716" spans="1:15" ht="45" x14ac:dyDescent="0.2">
      <c r="A716" s="2" t="s">
        <v>1968</v>
      </c>
      <c r="B716" s="2" t="s">
        <v>1969</v>
      </c>
      <c r="C716" s="2" t="s">
        <v>11</v>
      </c>
      <c r="D716" s="2" t="s">
        <v>450</v>
      </c>
      <c r="E716" s="4">
        <v>23.99</v>
      </c>
      <c r="F716" s="4">
        <v>563.57000000000005</v>
      </c>
      <c r="G716" s="3">
        <v>24</v>
      </c>
      <c r="H716" s="6">
        <v>4.0999999999999996</v>
      </c>
      <c r="I716" s="3">
        <v>32</v>
      </c>
      <c r="J716" s="13" t="str">
        <f>HYPERLINK("https://amazon.com/dp/B0F6CP46VD","Amazon - B0F6CP46VD")</f>
        <v>Amazon - B0F6CP46VD</v>
      </c>
      <c r="K716" s="14" t="s">
        <v>443</v>
      </c>
      <c r="L716" s="14" t="s">
        <v>451</v>
      </c>
      <c r="M716" s="14" t="s">
        <v>303</v>
      </c>
      <c r="N716" s="14" t="s">
        <v>452</v>
      </c>
      <c r="O716" s="14" t="s">
        <v>453</v>
      </c>
    </row>
    <row r="717" spans="1:15" ht="30" x14ac:dyDescent="0.2">
      <c r="A717" s="2" t="s">
        <v>1970</v>
      </c>
      <c r="B717" s="2" t="s">
        <v>1971</v>
      </c>
      <c r="C717" s="2" t="s">
        <v>116</v>
      </c>
      <c r="D717" s="2" t="s">
        <v>450</v>
      </c>
      <c r="E717" s="4">
        <v>248.88</v>
      </c>
      <c r="F717" s="4">
        <v>558.47</v>
      </c>
      <c r="G717" s="3">
        <v>2</v>
      </c>
      <c r="H717" s="6">
        <v>2.2000000000000002</v>
      </c>
      <c r="I717" s="3">
        <v>2</v>
      </c>
      <c r="J717" s="13" t="str">
        <f>HYPERLINK("https://amazon.com/dp/B07V2CZBKY","Amazon - B07V2CZBKY")</f>
        <v>Amazon - B07V2CZBKY</v>
      </c>
      <c r="K717" s="14" t="s">
        <v>443</v>
      </c>
      <c r="L717" s="14" t="s">
        <v>303</v>
      </c>
      <c r="M717" s="14" t="s">
        <v>303</v>
      </c>
      <c r="N717" s="14" t="s">
        <v>446</v>
      </c>
      <c r="O717" s="14" t="s">
        <v>303</v>
      </c>
    </row>
    <row r="718" spans="1:15" ht="30" x14ac:dyDescent="0.2">
      <c r="A718" s="2" t="s">
        <v>1972</v>
      </c>
      <c r="B718" s="2" t="s">
        <v>1973</v>
      </c>
      <c r="C718" s="2" t="s">
        <v>13</v>
      </c>
      <c r="D718" s="2" t="s">
        <v>472</v>
      </c>
      <c r="E718" s="4">
        <v>699.99</v>
      </c>
      <c r="F718" s="4">
        <v>558.22</v>
      </c>
      <c r="G718" s="3">
        <v>1</v>
      </c>
      <c r="H718" s="6">
        <v>5</v>
      </c>
      <c r="I718" s="3">
        <v>1</v>
      </c>
      <c r="J718" s="13" t="str">
        <f>HYPERLINK("https://amazon.com/dp/B0DDT5FW1B","Amazon - B0DDT5FW1B")</f>
        <v>Amazon - B0DDT5FW1B</v>
      </c>
      <c r="K718" s="14" t="s">
        <v>443</v>
      </c>
      <c r="L718" s="14" t="s">
        <v>502</v>
      </c>
      <c r="M718" s="14" t="s">
        <v>565</v>
      </c>
      <c r="N718" s="14" t="s">
        <v>446</v>
      </c>
      <c r="O718" s="14" t="s">
        <v>570</v>
      </c>
    </row>
    <row r="719" spans="1:15" ht="45" x14ac:dyDescent="0.2">
      <c r="A719" s="2" t="s">
        <v>1974</v>
      </c>
      <c r="B719" s="2" t="s">
        <v>1975</v>
      </c>
      <c r="C719" s="2" t="s">
        <v>23</v>
      </c>
      <c r="D719" s="2" t="s">
        <v>472</v>
      </c>
      <c r="E719" s="4">
        <v>23.9</v>
      </c>
      <c r="F719" s="4">
        <v>555.74</v>
      </c>
      <c r="G719" s="3">
        <v>23</v>
      </c>
      <c r="H719" s="6">
        <v>4.5</v>
      </c>
      <c r="I719" s="3">
        <v>12</v>
      </c>
      <c r="J719" s="13" t="str">
        <f>HYPERLINK("https://amazon.com/dp/B0CVZS9V8V","Amazon - B0CVZS9V8V")</f>
        <v>Amazon - B0CVZS9V8V</v>
      </c>
      <c r="K719" s="14" t="s">
        <v>443</v>
      </c>
      <c r="L719" s="14" t="s">
        <v>303</v>
      </c>
      <c r="M719" s="14" t="s">
        <v>503</v>
      </c>
      <c r="N719" s="14" t="s">
        <v>446</v>
      </c>
      <c r="O719" s="14" t="s">
        <v>303</v>
      </c>
    </row>
    <row r="720" spans="1:15" ht="30" x14ac:dyDescent="0.2">
      <c r="A720" s="2" t="s">
        <v>1976</v>
      </c>
      <c r="B720" s="2" t="s">
        <v>1977</v>
      </c>
      <c r="C720" s="2" t="s">
        <v>179</v>
      </c>
      <c r="D720" s="2" t="s">
        <v>450</v>
      </c>
      <c r="E720" s="4">
        <v>15.99</v>
      </c>
      <c r="F720" s="4">
        <v>555.66</v>
      </c>
      <c r="G720" s="3">
        <v>31</v>
      </c>
      <c r="H720" s="6">
        <v>4.4000000000000004</v>
      </c>
      <c r="I720" s="3">
        <v>35</v>
      </c>
      <c r="J720" s="13" t="str">
        <f>HYPERLINK("https://amazon.com/dp/B0FDB5C1T6","Amazon - B0FDB5C1T6")</f>
        <v>Amazon - B0FDB5C1T6</v>
      </c>
      <c r="K720" s="14" t="s">
        <v>443</v>
      </c>
      <c r="L720" s="14" t="s">
        <v>451</v>
      </c>
      <c r="M720" s="14" t="s">
        <v>303</v>
      </c>
      <c r="N720" s="14" t="s">
        <v>452</v>
      </c>
      <c r="O720" s="14" t="s">
        <v>453</v>
      </c>
    </row>
    <row r="721" spans="1:15" ht="45" x14ac:dyDescent="0.2">
      <c r="A721" s="2" t="s">
        <v>1978</v>
      </c>
      <c r="B721" s="2" t="s">
        <v>1979</v>
      </c>
      <c r="C721" s="2" t="s">
        <v>180</v>
      </c>
      <c r="D721" s="2" t="s">
        <v>450</v>
      </c>
      <c r="E721" s="4">
        <v>35.99</v>
      </c>
      <c r="F721" s="4">
        <v>544.02</v>
      </c>
      <c r="G721" s="3">
        <v>15</v>
      </c>
      <c r="H721" s="6">
        <v>3.7</v>
      </c>
      <c r="I721" s="3">
        <v>30</v>
      </c>
      <c r="J721" s="13" t="str">
        <f>HYPERLINK("https://amazon.com/dp/B0FQPK66F7","Amazon - B0FQPK66F7")</f>
        <v>Amazon - B0FQPK66F7</v>
      </c>
      <c r="K721" s="14" t="s">
        <v>443</v>
      </c>
      <c r="L721" s="14" t="s">
        <v>451</v>
      </c>
      <c r="M721" s="14" t="s">
        <v>511</v>
      </c>
      <c r="N721" s="14" t="s">
        <v>446</v>
      </c>
      <c r="O721" s="14" t="s">
        <v>303</v>
      </c>
    </row>
    <row r="722" spans="1:15" ht="45" x14ac:dyDescent="0.2">
      <c r="A722" s="2" t="s">
        <v>1980</v>
      </c>
      <c r="B722" s="2" t="s">
        <v>1981</v>
      </c>
      <c r="C722" s="2" t="s">
        <v>58</v>
      </c>
      <c r="D722" s="2" t="s">
        <v>472</v>
      </c>
      <c r="E722" s="4">
        <v>259.99</v>
      </c>
      <c r="F722" s="4">
        <v>543.61</v>
      </c>
      <c r="G722" s="3">
        <v>2</v>
      </c>
      <c r="H722" s="6">
        <v>3.4</v>
      </c>
      <c r="I722" s="3">
        <v>7</v>
      </c>
      <c r="J722" s="13" t="str">
        <f>HYPERLINK("https://amazon.com/dp/B0F23DPKBV","Amazon - B0F23DPKBV")</f>
        <v>Amazon - B0F23DPKBV</v>
      </c>
      <c r="K722" s="14" t="s">
        <v>443</v>
      </c>
      <c r="L722" s="14" t="s">
        <v>667</v>
      </c>
      <c r="M722" s="14" t="s">
        <v>688</v>
      </c>
      <c r="N722" s="14" t="s">
        <v>446</v>
      </c>
      <c r="O722" s="14" t="s">
        <v>517</v>
      </c>
    </row>
    <row r="723" spans="1:15" ht="30" x14ac:dyDescent="0.2">
      <c r="A723" s="2" t="s">
        <v>1982</v>
      </c>
      <c r="B723" s="2" t="s">
        <v>1983</v>
      </c>
      <c r="C723" s="2" t="s">
        <v>51</v>
      </c>
      <c r="D723" s="2" t="s">
        <v>450</v>
      </c>
      <c r="E723" s="4">
        <v>99.98</v>
      </c>
      <c r="F723" s="4">
        <v>536.45000000000005</v>
      </c>
      <c r="G723" s="3">
        <v>5</v>
      </c>
      <c r="H723" s="6">
        <v>0</v>
      </c>
      <c r="I723" s="3">
        <v>0</v>
      </c>
      <c r="J723" s="13" t="str">
        <f>HYPERLINK("https://amazon.com/dp/B0FTMXTZ1P","Amazon - B0FTMXTZ1P")</f>
        <v>Amazon - B0FTMXTZ1P</v>
      </c>
      <c r="K723" s="14" t="s">
        <v>443</v>
      </c>
      <c r="L723" s="14" t="s">
        <v>303</v>
      </c>
      <c r="M723" s="14" t="s">
        <v>445</v>
      </c>
      <c r="N723" s="14" t="s">
        <v>446</v>
      </c>
      <c r="O723" s="14" t="s">
        <v>303</v>
      </c>
    </row>
    <row r="724" spans="1:15" ht="45" x14ac:dyDescent="0.2">
      <c r="A724" s="2" t="s">
        <v>1984</v>
      </c>
      <c r="B724" s="2" t="s">
        <v>1985</v>
      </c>
      <c r="C724" s="2" t="s">
        <v>51</v>
      </c>
      <c r="D724" s="2" t="s">
        <v>823</v>
      </c>
      <c r="E724" s="4">
        <v>199.98</v>
      </c>
      <c r="F724" s="4">
        <v>533.38</v>
      </c>
      <c r="G724" s="3">
        <v>3</v>
      </c>
      <c r="H724" s="6">
        <v>4.4000000000000004</v>
      </c>
      <c r="I724" s="3">
        <v>8</v>
      </c>
      <c r="J724" s="13" t="str">
        <f>HYPERLINK("https://amazon.com/dp/B07SLVFB8Z","Amazon - B07SLVFB8Z")</f>
        <v>Amazon - B07SLVFB8Z</v>
      </c>
      <c r="K724" s="14" t="s">
        <v>443</v>
      </c>
      <c r="L724" s="14" t="s">
        <v>451</v>
      </c>
      <c r="M724" s="14" t="s">
        <v>511</v>
      </c>
      <c r="N724" s="14" t="s">
        <v>446</v>
      </c>
      <c r="O724" s="14" t="s">
        <v>303</v>
      </c>
    </row>
    <row r="725" spans="1:15" ht="45" x14ac:dyDescent="0.2">
      <c r="A725" s="2" t="s">
        <v>1986</v>
      </c>
      <c r="B725" s="2" t="s">
        <v>1987</v>
      </c>
      <c r="C725" s="2" t="s">
        <v>135</v>
      </c>
      <c r="D725" s="2" t="s">
        <v>450</v>
      </c>
      <c r="E725" s="4">
        <v>26.99</v>
      </c>
      <c r="F725" s="4">
        <v>532.29999999999995</v>
      </c>
      <c r="G725" s="3">
        <v>20</v>
      </c>
      <c r="H725" s="6">
        <v>5</v>
      </c>
      <c r="I725" s="3">
        <v>1</v>
      </c>
      <c r="J725" s="13" t="str">
        <f>HYPERLINK("https://amazon.com/dp/B0G584RGRQ","Amazon - B0G584RGRQ")</f>
        <v>Amazon - B0G584RGRQ</v>
      </c>
      <c r="K725" s="14" t="s">
        <v>443</v>
      </c>
      <c r="L725" s="14" t="s">
        <v>451</v>
      </c>
      <c r="M725" s="14" t="s">
        <v>445</v>
      </c>
      <c r="N725" s="14" t="s">
        <v>452</v>
      </c>
      <c r="O725" s="14" t="s">
        <v>453</v>
      </c>
    </row>
    <row r="726" spans="1:15" ht="45" x14ac:dyDescent="0.2">
      <c r="A726" s="2" t="s">
        <v>1988</v>
      </c>
      <c r="B726" s="2" t="s">
        <v>1989</v>
      </c>
      <c r="C726" s="2" t="s">
        <v>23</v>
      </c>
      <c r="D726" s="2" t="s">
        <v>472</v>
      </c>
      <c r="E726" s="4">
        <v>456</v>
      </c>
      <c r="F726" s="4">
        <v>529.04</v>
      </c>
      <c r="G726" s="3">
        <v>1</v>
      </c>
      <c r="H726" s="6">
        <v>4.2</v>
      </c>
      <c r="I726" s="3">
        <v>13</v>
      </c>
      <c r="J726" s="13" t="str">
        <f>HYPERLINK("https://amazon.com/dp/B0D75S1YZ3","Amazon - B0D75S1YZ3")</f>
        <v>Amazon - B0D75S1YZ3</v>
      </c>
      <c r="K726" s="14" t="s">
        <v>443</v>
      </c>
      <c r="L726" s="14" t="s">
        <v>303</v>
      </c>
      <c r="M726" s="14" t="s">
        <v>715</v>
      </c>
      <c r="N726" s="14" t="s">
        <v>446</v>
      </c>
      <c r="O726" s="14" t="s">
        <v>504</v>
      </c>
    </row>
    <row r="727" spans="1:15" ht="45" x14ac:dyDescent="0.2">
      <c r="A727" s="2" t="s">
        <v>1990</v>
      </c>
      <c r="B727" s="2" t="s">
        <v>1991</v>
      </c>
      <c r="C727" s="2" t="s">
        <v>101</v>
      </c>
      <c r="D727" s="2" t="s">
        <v>442</v>
      </c>
      <c r="E727" s="4">
        <v>84.99</v>
      </c>
      <c r="F727" s="4">
        <v>528.09</v>
      </c>
      <c r="G727" s="3">
        <v>6</v>
      </c>
      <c r="H727" s="6">
        <v>5</v>
      </c>
      <c r="I727" s="3">
        <v>1</v>
      </c>
      <c r="J727" s="13" t="str">
        <f>HYPERLINK("https://amazon.com/dp/B0FQ4ZS2ZK","Amazon - B0FQ4ZS2ZK")</f>
        <v>Amazon - B0FQ4ZS2ZK</v>
      </c>
      <c r="K727" s="14" t="s">
        <v>443</v>
      </c>
      <c r="L727" s="14" t="s">
        <v>456</v>
      </c>
      <c r="M727" s="14" t="s">
        <v>303</v>
      </c>
      <c r="N727" s="14" t="s">
        <v>446</v>
      </c>
      <c r="O727" s="14" t="s">
        <v>543</v>
      </c>
    </row>
    <row r="728" spans="1:15" ht="45" x14ac:dyDescent="0.2">
      <c r="A728" s="2" t="s">
        <v>1992</v>
      </c>
      <c r="B728" s="2" t="s">
        <v>1993</v>
      </c>
      <c r="C728" s="2" t="s">
        <v>161</v>
      </c>
      <c r="D728" s="2" t="s">
        <v>442</v>
      </c>
      <c r="E728" s="4">
        <v>75.89</v>
      </c>
      <c r="F728" s="4">
        <v>524.25</v>
      </c>
      <c r="G728" s="3">
        <v>9</v>
      </c>
      <c r="H728" s="6">
        <v>3.7</v>
      </c>
      <c r="I728" s="3">
        <v>5</v>
      </c>
      <c r="J728" s="13" t="str">
        <f>HYPERLINK("https://amazon.com/dp/B0F8V51XJ7","Amazon - B0F8V51XJ7")</f>
        <v>Amazon - B0F8V51XJ7</v>
      </c>
      <c r="K728" s="14" t="s">
        <v>443</v>
      </c>
      <c r="L728" s="14" t="s">
        <v>461</v>
      </c>
      <c r="M728" s="14" t="s">
        <v>577</v>
      </c>
      <c r="N728" s="14" t="s">
        <v>446</v>
      </c>
      <c r="O728" s="14" t="s">
        <v>447</v>
      </c>
    </row>
    <row r="729" spans="1:15" ht="45" x14ac:dyDescent="0.2">
      <c r="A729" s="2" t="s">
        <v>1994</v>
      </c>
      <c r="B729" s="2" t="s">
        <v>1995</v>
      </c>
      <c r="C729" s="2" t="s">
        <v>29</v>
      </c>
      <c r="D729" s="2" t="s">
        <v>472</v>
      </c>
      <c r="E729" s="4">
        <v>459.99</v>
      </c>
      <c r="F729" s="4">
        <v>523.78</v>
      </c>
      <c r="G729" s="3">
        <v>1</v>
      </c>
      <c r="H729" s="6">
        <v>2.8</v>
      </c>
      <c r="I729" s="3">
        <v>5</v>
      </c>
      <c r="J729" s="13" t="str">
        <f>HYPERLINK("https://amazon.com/dp/B0CYLK8H3Q","Amazon - B0CYLK8H3Q")</f>
        <v>Amazon - B0CYLK8H3Q</v>
      </c>
      <c r="K729" s="14" t="s">
        <v>443</v>
      </c>
      <c r="L729" s="14" t="s">
        <v>502</v>
      </c>
      <c r="M729" s="14" t="s">
        <v>303</v>
      </c>
      <c r="N729" s="14" t="s">
        <v>446</v>
      </c>
      <c r="O729" s="14" t="s">
        <v>778</v>
      </c>
    </row>
    <row r="730" spans="1:15" ht="45" x14ac:dyDescent="0.2">
      <c r="A730" s="2" t="s">
        <v>1996</v>
      </c>
      <c r="B730" s="2" t="s">
        <v>1997</v>
      </c>
      <c r="C730" s="2" t="s">
        <v>23</v>
      </c>
      <c r="D730" s="2" t="s">
        <v>472</v>
      </c>
      <c r="E730" s="4">
        <v>192</v>
      </c>
      <c r="F730" s="4">
        <v>522.04</v>
      </c>
      <c r="G730" s="3">
        <v>3</v>
      </c>
      <c r="H730" s="6">
        <v>4.2</v>
      </c>
      <c r="I730" s="3">
        <v>13</v>
      </c>
      <c r="J730" s="13" t="str">
        <f>HYPERLINK("https://amazon.com/dp/B0D7HMTYPH","Amazon - B0D7HMTYPH")</f>
        <v>Amazon - B0D7HMTYPH</v>
      </c>
      <c r="K730" s="14" t="s">
        <v>443</v>
      </c>
      <c r="L730" s="14" t="s">
        <v>303</v>
      </c>
      <c r="M730" s="14" t="s">
        <v>715</v>
      </c>
      <c r="N730" s="14" t="s">
        <v>446</v>
      </c>
      <c r="O730" s="14" t="s">
        <v>809</v>
      </c>
    </row>
    <row r="731" spans="1:15" ht="45" x14ac:dyDescent="0.2">
      <c r="A731" s="2" t="s">
        <v>1998</v>
      </c>
      <c r="B731" s="2" t="s">
        <v>1999</v>
      </c>
      <c r="C731" s="2" t="s">
        <v>62</v>
      </c>
      <c r="D731" s="2" t="s">
        <v>442</v>
      </c>
      <c r="E731" s="4">
        <v>49</v>
      </c>
      <c r="F731" s="4">
        <v>519.30999999999995</v>
      </c>
      <c r="G731" s="3">
        <v>11</v>
      </c>
      <c r="H731" s="6">
        <v>4.8</v>
      </c>
      <c r="I731" s="3">
        <v>15</v>
      </c>
      <c r="J731" s="13" t="str">
        <f>HYPERLINK("https://amazon.com/dp/B0BLTX4VFJ","Amazon - B0BLTX4VFJ")</f>
        <v>Amazon - B0BLTX4VFJ</v>
      </c>
      <c r="K731" s="14" t="s">
        <v>443</v>
      </c>
      <c r="L731" s="14" t="s">
        <v>303</v>
      </c>
      <c r="M731" s="14" t="s">
        <v>303</v>
      </c>
      <c r="N731" s="14" t="s">
        <v>446</v>
      </c>
      <c r="O731" s="14" t="s">
        <v>303</v>
      </c>
    </row>
    <row r="732" spans="1:15" x14ac:dyDescent="0.2">
      <c r="A732" s="2" t="s">
        <v>2000</v>
      </c>
      <c r="B732" s="2" t="s">
        <v>2001</v>
      </c>
      <c r="C732" s="2" t="s">
        <v>181</v>
      </c>
      <c r="D732" s="2" t="s">
        <v>823</v>
      </c>
      <c r="E732" s="4">
        <v>140.77000000000001</v>
      </c>
      <c r="F732" s="4">
        <v>518.03</v>
      </c>
      <c r="G732" s="3">
        <v>4</v>
      </c>
      <c r="H732" s="6">
        <v>3.3</v>
      </c>
      <c r="I732" s="3">
        <v>39</v>
      </c>
      <c r="J732" s="13" t="str">
        <f>HYPERLINK("https://amazon.com/dp/B003A7YNRG","Amazon - B003A7YNRG")</f>
        <v>Amazon - B003A7YNRG</v>
      </c>
      <c r="K732" s="14" t="s">
        <v>443</v>
      </c>
      <c r="L732" s="14" t="s">
        <v>451</v>
      </c>
      <c r="M732" s="14" t="s">
        <v>303</v>
      </c>
      <c r="N732" s="14" t="s">
        <v>446</v>
      </c>
      <c r="O732" s="14" t="s">
        <v>303</v>
      </c>
    </row>
    <row r="733" spans="1:15" ht="45" x14ac:dyDescent="0.2">
      <c r="A733" s="2" t="s">
        <v>2002</v>
      </c>
      <c r="B733" s="2" t="s">
        <v>2003</v>
      </c>
      <c r="C733" s="2" t="s">
        <v>33</v>
      </c>
      <c r="D733" s="2" t="s">
        <v>472</v>
      </c>
      <c r="E733" s="4">
        <v>228.04</v>
      </c>
      <c r="F733" s="4">
        <v>516</v>
      </c>
      <c r="G733" s="3">
        <v>2</v>
      </c>
      <c r="H733" s="6">
        <v>3.6</v>
      </c>
      <c r="I733" s="3">
        <v>4</v>
      </c>
      <c r="J733" s="13" t="str">
        <f>HYPERLINK("https://amazon.com/dp/B0FJXR9R62","Amazon - B0FJXR9R62")</f>
        <v>Amazon - B0FJXR9R62</v>
      </c>
      <c r="K733" s="14" t="s">
        <v>443</v>
      </c>
      <c r="L733" s="14" t="s">
        <v>456</v>
      </c>
      <c r="M733" s="14" t="s">
        <v>866</v>
      </c>
      <c r="N733" s="14" t="s">
        <v>446</v>
      </c>
      <c r="O733" s="14" t="s">
        <v>517</v>
      </c>
    </row>
    <row r="734" spans="1:15" ht="45" x14ac:dyDescent="0.2">
      <c r="A734" s="2" t="s">
        <v>2004</v>
      </c>
      <c r="B734" s="2" t="s">
        <v>2005</v>
      </c>
      <c r="C734" s="2" t="s">
        <v>170</v>
      </c>
      <c r="D734" s="2" t="s">
        <v>472</v>
      </c>
      <c r="E734" s="4">
        <v>189.99</v>
      </c>
      <c r="F734" s="4">
        <v>510.6</v>
      </c>
      <c r="G734" s="3">
        <v>3</v>
      </c>
      <c r="H734" s="6">
        <v>3.8</v>
      </c>
      <c r="I734" s="3">
        <v>3</v>
      </c>
      <c r="J734" s="13" t="str">
        <f>HYPERLINK("https://amazon.com/dp/B0BYNSX26K","Amazon - B0BYNSX26K")</f>
        <v>Amazon - B0BYNSX26K</v>
      </c>
      <c r="K734" s="14" t="s">
        <v>443</v>
      </c>
      <c r="L734" s="14" t="s">
        <v>461</v>
      </c>
      <c r="M734" s="14" t="s">
        <v>303</v>
      </c>
      <c r="N734" s="14" t="s">
        <v>446</v>
      </c>
      <c r="O734" s="14" t="s">
        <v>303</v>
      </c>
    </row>
    <row r="735" spans="1:15" ht="30" x14ac:dyDescent="0.2">
      <c r="A735" s="2" t="s">
        <v>2006</v>
      </c>
      <c r="B735" s="2" t="s">
        <v>2007</v>
      </c>
      <c r="C735" s="2" t="s">
        <v>23</v>
      </c>
      <c r="D735" s="2" t="s">
        <v>472</v>
      </c>
      <c r="E735" s="4">
        <v>359.19</v>
      </c>
      <c r="F735" s="4">
        <v>509.77</v>
      </c>
      <c r="G735" s="3">
        <v>1</v>
      </c>
      <c r="H735" s="6">
        <v>4</v>
      </c>
      <c r="I735" s="3">
        <v>10</v>
      </c>
      <c r="J735" s="13" t="str">
        <f>HYPERLINK("https://amazon.com/dp/B0CSF5LRG4","Amazon - B0CSF5LRG4")</f>
        <v>Amazon - B0CSF5LRG4</v>
      </c>
      <c r="K735" s="14" t="s">
        <v>443</v>
      </c>
      <c r="L735" s="14" t="s">
        <v>502</v>
      </c>
      <c r="M735" s="14" t="s">
        <v>303</v>
      </c>
      <c r="N735" s="14" t="s">
        <v>446</v>
      </c>
      <c r="O735" s="14" t="s">
        <v>856</v>
      </c>
    </row>
    <row r="736" spans="1:15" ht="30" x14ac:dyDescent="0.2">
      <c r="A736" s="2" t="s">
        <v>2008</v>
      </c>
      <c r="B736" s="2" t="s">
        <v>2009</v>
      </c>
      <c r="C736" s="2" t="s">
        <v>14</v>
      </c>
      <c r="D736" s="2" t="s">
        <v>472</v>
      </c>
      <c r="E736" s="4">
        <v>169.99</v>
      </c>
      <c r="F736" s="4">
        <v>506.57</v>
      </c>
      <c r="G736" s="3">
        <v>3</v>
      </c>
      <c r="H736" s="6">
        <v>4.7</v>
      </c>
      <c r="I736" s="3">
        <v>3</v>
      </c>
      <c r="J736" s="13" t="str">
        <f>HYPERLINK("https://amazon.com/dp/B09XDVLN1X","Amazon - B09XDVLN1X")</f>
        <v>Amazon - B09XDVLN1X</v>
      </c>
      <c r="K736" s="14" t="s">
        <v>443</v>
      </c>
      <c r="L736" s="14" t="s">
        <v>303</v>
      </c>
      <c r="M736" s="14" t="s">
        <v>303</v>
      </c>
      <c r="N736" s="14" t="s">
        <v>446</v>
      </c>
      <c r="O736" s="14" t="s">
        <v>303</v>
      </c>
    </row>
    <row r="737" spans="1:15" ht="45" x14ac:dyDescent="0.2">
      <c r="A737" s="2" t="s">
        <v>2010</v>
      </c>
      <c r="B737" s="2" t="s">
        <v>2011</v>
      </c>
      <c r="C737" s="2" t="s">
        <v>183</v>
      </c>
      <c r="D737" s="2" t="s">
        <v>442</v>
      </c>
      <c r="E737" s="4">
        <v>234.15</v>
      </c>
      <c r="F737" s="4">
        <v>505.42</v>
      </c>
      <c r="G737" s="3">
        <v>2</v>
      </c>
      <c r="H737" s="6">
        <v>1</v>
      </c>
      <c r="I737" s="3">
        <v>1</v>
      </c>
      <c r="J737" s="13" t="str">
        <f>HYPERLINK("https://amazon.com/dp/B0CG6RLXW6","Amazon - B0CG6RLXW6")</f>
        <v>Amazon - B0CG6RLXW6</v>
      </c>
      <c r="K737" s="14" t="s">
        <v>443</v>
      </c>
      <c r="L737" s="14" t="s">
        <v>303</v>
      </c>
      <c r="M737" s="14" t="s">
        <v>303</v>
      </c>
      <c r="N737" s="14" t="s">
        <v>446</v>
      </c>
      <c r="O737" s="14" t="s">
        <v>303</v>
      </c>
    </row>
    <row r="738" spans="1:15" ht="45" x14ac:dyDescent="0.2">
      <c r="A738" s="2" t="s">
        <v>2012</v>
      </c>
      <c r="B738" s="2" t="s">
        <v>2013</v>
      </c>
      <c r="C738" s="2" t="s">
        <v>61</v>
      </c>
      <c r="D738" s="2" t="s">
        <v>442</v>
      </c>
      <c r="E738" s="4">
        <v>63.99</v>
      </c>
      <c r="F738" s="4">
        <v>503.63</v>
      </c>
      <c r="G738" s="3">
        <v>7</v>
      </c>
      <c r="H738" s="6">
        <v>4.3</v>
      </c>
      <c r="I738" s="3">
        <v>3838</v>
      </c>
      <c r="J738" s="13" t="str">
        <f>HYPERLINK("https://amazon.com/dp/B07SXR6TF6","Amazon - B07SXR6TF6")</f>
        <v>Amazon - B07SXR6TF6</v>
      </c>
      <c r="K738" s="14" t="s">
        <v>443</v>
      </c>
      <c r="L738" s="14" t="s">
        <v>456</v>
      </c>
      <c r="M738" s="14" t="s">
        <v>511</v>
      </c>
      <c r="N738" s="14" t="s">
        <v>446</v>
      </c>
      <c r="O738" s="14" t="s">
        <v>447</v>
      </c>
    </row>
    <row r="739" spans="1:15" ht="45" x14ac:dyDescent="0.2">
      <c r="A739" s="2" t="s">
        <v>2014</v>
      </c>
      <c r="B739" s="2" t="s">
        <v>2015</v>
      </c>
      <c r="C739" s="2" t="s">
        <v>62</v>
      </c>
      <c r="D739" s="2" t="s">
        <v>450</v>
      </c>
      <c r="E739" s="4">
        <v>49</v>
      </c>
      <c r="F739" s="4">
        <v>502.98</v>
      </c>
      <c r="G739" s="3">
        <v>10</v>
      </c>
      <c r="H739" s="6">
        <v>4.7</v>
      </c>
      <c r="I739" s="3">
        <v>25</v>
      </c>
      <c r="J739" s="13" t="str">
        <f>HYPERLINK("https://amazon.com/dp/B09YTHSDYY","Amazon - B09YTHSDYY")</f>
        <v>Amazon - B09YTHSDYY</v>
      </c>
      <c r="K739" s="14" t="s">
        <v>443</v>
      </c>
      <c r="L739" s="14" t="s">
        <v>303</v>
      </c>
      <c r="M739" s="14" t="s">
        <v>457</v>
      </c>
      <c r="N739" s="14" t="s">
        <v>446</v>
      </c>
      <c r="O739" s="14" t="s">
        <v>543</v>
      </c>
    </row>
    <row r="740" spans="1:15" ht="45" x14ac:dyDescent="0.2">
      <c r="A740" s="2" t="s">
        <v>2016</v>
      </c>
      <c r="B740" s="2" t="s">
        <v>2017</v>
      </c>
      <c r="C740" s="2" t="s">
        <v>184</v>
      </c>
      <c r="D740" s="2" t="s">
        <v>442</v>
      </c>
      <c r="E740" s="4">
        <v>19.989999999999998</v>
      </c>
      <c r="F740" s="4">
        <v>500.65</v>
      </c>
      <c r="G740" s="3">
        <v>25</v>
      </c>
      <c r="H740" s="6">
        <v>4.4000000000000004</v>
      </c>
      <c r="I740" s="3">
        <v>31</v>
      </c>
      <c r="J740" s="13" t="str">
        <f>HYPERLINK("https://amazon.com/dp/B0D2Z14P81","Amazon - B0D2Z14P81")</f>
        <v>Amazon - B0D2Z14P81</v>
      </c>
      <c r="K740" s="14" t="s">
        <v>443</v>
      </c>
      <c r="L740" s="14" t="s">
        <v>303</v>
      </c>
      <c r="M740" s="14" t="s">
        <v>303</v>
      </c>
      <c r="N740" s="14" t="s">
        <v>446</v>
      </c>
      <c r="O740" s="14" t="s">
        <v>453</v>
      </c>
    </row>
    <row r="741" spans="1:15" ht="30" x14ac:dyDescent="0.2">
      <c r="A741" s="2" t="s">
        <v>2018</v>
      </c>
      <c r="B741" s="2" t="s">
        <v>2019</v>
      </c>
      <c r="C741" s="2" t="s">
        <v>26</v>
      </c>
      <c r="D741" s="2" t="s">
        <v>442</v>
      </c>
      <c r="E741" s="4">
        <v>29.99</v>
      </c>
      <c r="F741" s="4">
        <v>500.64</v>
      </c>
      <c r="G741" s="3">
        <v>16</v>
      </c>
      <c r="H741" s="6">
        <v>4.2</v>
      </c>
      <c r="I741" s="3">
        <v>55</v>
      </c>
      <c r="J741" s="13" t="str">
        <f>HYPERLINK("https://amazon.com/dp/B0G8HPL9XB","Amazon - B0G8HPL9XB")</f>
        <v>Amazon - B0G8HPL9XB</v>
      </c>
      <c r="K741" s="14" t="s">
        <v>443</v>
      </c>
      <c r="L741" s="14" t="s">
        <v>461</v>
      </c>
      <c r="M741" s="14" t="s">
        <v>303</v>
      </c>
      <c r="N741" s="14" t="s">
        <v>452</v>
      </c>
      <c r="O741" s="14" t="s">
        <v>453</v>
      </c>
    </row>
    <row r="742" spans="1:15" ht="45" x14ac:dyDescent="0.2">
      <c r="A742" s="2" t="s">
        <v>2020</v>
      </c>
      <c r="B742" s="2" t="s">
        <v>2021</v>
      </c>
      <c r="C742" s="2" t="s">
        <v>156</v>
      </c>
      <c r="D742" s="2" t="s">
        <v>442</v>
      </c>
      <c r="E742" s="4">
        <v>75.989999999999995</v>
      </c>
      <c r="F742" s="4">
        <v>500.63</v>
      </c>
      <c r="G742" s="3">
        <v>7</v>
      </c>
      <c r="H742" s="6">
        <v>4.3</v>
      </c>
      <c r="I742" s="3">
        <v>67</v>
      </c>
      <c r="J742" s="13" t="str">
        <f>HYPERLINK("https://amazon.com/dp/B0D2R7QG47","Amazon - B0D2R7QG47")</f>
        <v>Amazon - B0D2R7QG47</v>
      </c>
      <c r="K742" s="14" t="s">
        <v>443</v>
      </c>
      <c r="L742" s="14" t="s">
        <v>461</v>
      </c>
      <c r="M742" s="14" t="s">
        <v>303</v>
      </c>
      <c r="N742" s="14" t="s">
        <v>446</v>
      </c>
      <c r="O742" s="14" t="s">
        <v>543</v>
      </c>
    </row>
    <row r="743" spans="1:15" ht="30" x14ac:dyDescent="0.2">
      <c r="A743" s="2" t="s">
        <v>2022</v>
      </c>
      <c r="B743" s="2" t="s">
        <v>2023</v>
      </c>
      <c r="C743" s="2" t="s">
        <v>50</v>
      </c>
      <c r="D743" s="2" t="s">
        <v>472</v>
      </c>
      <c r="E743" s="4">
        <v>499.99</v>
      </c>
      <c r="F743" s="4">
        <v>499.96</v>
      </c>
      <c r="G743" s="3">
        <v>1</v>
      </c>
      <c r="H743" s="6">
        <v>5</v>
      </c>
      <c r="I743" s="3">
        <v>2</v>
      </c>
      <c r="J743" s="13" t="str">
        <f>HYPERLINK("https://amazon.com/dp/B0FYQ5N8DM","Amazon - B0FYQ5N8DM")</f>
        <v>Amazon - B0FYQ5N8DM</v>
      </c>
      <c r="K743" s="14" t="s">
        <v>443</v>
      </c>
      <c r="L743" s="14" t="s">
        <v>667</v>
      </c>
      <c r="M743" s="14" t="s">
        <v>303</v>
      </c>
      <c r="N743" s="14" t="s">
        <v>452</v>
      </c>
      <c r="O743" s="14" t="s">
        <v>2024</v>
      </c>
    </row>
    <row r="744" spans="1:15" ht="30" x14ac:dyDescent="0.2">
      <c r="A744" s="2" t="s">
        <v>2025</v>
      </c>
      <c r="B744" s="2" t="s">
        <v>2026</v>
      </c>
      <c r="C744" s="2" t="s">
        <v>14</v>
      </c>
      <c r="D744" s="2" t="s">
        <v>472</v>
      </c>
      <c r="E744" s="4">
        <v>169.99</v>
      </c>
      <c r="F744" s="4">
        <v>498.97</v>
      </c>
      <c r="G744" s="3">
        <v>3</v>
      </c>
      <c r="H744" s="6">
        <v>4.7</v>
      </c>
      <c r="I744" s="3">
        <v>3</v>
      </c>
      <c r="J744" s="13" t="str">
        <f>HYPERLINK("https://amazon.com/dp/B0BVZD1XBM","Amazon - B0BVZD1XBM")</f>
        <v>Amazon - B0BVZD1XBM</v>
      </c>
      <c r="K744" s="14" t="s">
        <v>443</v>
      </c>
      <c r="L744" s="14" t="s">
        <v>303</v>
      </c>
      <c r="M744" s="14" t="s">
        <v>303</v>
      </c>
      <c r="N744" s="14" t="s">
        <v>446</v>
      </c>
      <c r="O744" s="14" t="s">
        <v>303</v>
      </c>
    </row>
    <row r="745" spans="1:15" ht="45" x14ac:dyDescent="0.2">
      <c r="A745" s="2" t="s">
        <v>2027</v>
      </c>
      <c r="B745" s="2" t="s">
        <v>2028</v>
      </c>
      <c r="C745" s="2" t="s">
        <v>14</v>
      </c>
      <c r="D745" s="2" t="s">
        <v>472</v>
      </c>
      <c r="E745" s="4">
        <v>289.99</v>
      </c>
      <c r="F745" s="4">
        <v>497.89</v>
      </c>
      <c r="G745" s="3">
        <v>2</v>
      </c>
      <c r="H745" s="6">
        <v>5</v>
      </c>
      <c r="I745" s="3">
        <v>1</v>
      </c>
      <c r="J745" s="13" t="str">
        <f>HYPERLINK("https://amazon.com/dp/B0CZDGRGNZ","Amazon - B0CZDGRGNZ")</f>
        <v>Amazon - B0CZDGRGNZ</v>
      </c>
      <c r="K745" s="14" t="s">
        <v>443</v>
      </c>
      <c r="L745" s="14" t="s">
        <v>303</v>
      </c>
      <c r="M745" s="14" t="s">
        <v>303</v>
      </c>
      <c r="N745" s="14" t="s">
        <v>446</v>
      </c>
      <c r="O745" s="14" t="s">
        <v>303</v>
      </c>
    </row>
    <row r="746" spans="1:15" ht="30" x14ac:dyDescent="0.2">
      <c r="A746" s="2" t="s">
        <v>2029</v>
      </c>
      <c r="B746" s="2" t="s">
        <v>2030</v>
      </c>
      <c r="C746" s="2" t="s">
        <v>122</v>
      </c>
      <c r="D746" s="2" t="s">
        <v>472</v>
      </c>
      <c r="E746" s="4">
        <v>144.49</v>
      </c>
      <c r="F746" s="4">
        <v>497.62</v>
      </c>
      <c r="G746" s="3">
        <v>3</v>
      </c>
      <c r="H746" s="6">
        <v>0</v>
      </c>
      <c r="I746" s="3">
        <v>0</v>
      </c>
      <c r="J746" s="13" t="str">
        <f>HYPERLINK("https://amazon.com/dp/B0CW3HP3KV","Amazon - B0CW3HP3KV")</f>
        <v>Amazon - B0CW3HP3KV</v>
      </c>
      <c r="K746" s="14" t="s">
        <v>443</v>
      </c>
      <c r="L746" s="14" t="s">
        <v>303</v>
      </c>
      <c r="M746" s="14" t="s">
        <v>503</v>
      </c>
      <c r="N746" s="14" t="s">
        <v>446</v>
      </c>
      <c r="O746" s="14" t="s">
        <v>303</v>
      </c>
    </row>
    <row r="747" spans="1:15" ht="45" x14ac:dyDescent="0.2">
      <c r="A747" s="2" t="s">
        <v>2031</v>
      </c>
      <c r="B747" s="2" t="s">
        <v>2032</v>
      </c>
      <c r="C747" s="2" t="s">
        <v>23</v>
      </c>
      <c r="D747" s="2" t="s">
        <v>472</v>
      </c>
      <c r="E747" s="4">
        <v>158</v>
      </c>
      <c r="F747" s="4">
        <v>489.8</v>
      </c>
      <c r="G747" s="3">
        <v>3</v>
      </c>
      <c r="H747" s="6">
        <v>5</v>
      </c>
      <c r="I747" s="3">
        <v>2</v>
      </c>
      <c r="J747" s="13" t="str">
        <f>HYPERLINK("https://amazon.com/dp/B0CTMW2TW9","Amazon - B0CTMW2TW9")</f>
        <v>Amazon - B0CTMW2TW9</v>
      </c>
      <c r="K747" s="14" t="s">
        <v>443</v>
      </c>
      <c r="L747" s="14" t="s">
        <v>303</v>
      </c>
      <c r="M747" s="14" t="s">
        <v>503</v>
      </c>
      <c r="N747" s="14" t="s">
        <v>446</v>
      </c>
      <c r="O747" s="14" t="s">
        <v>303</v>
      </c>
    </row>
    <row r="748" spans="1:15" ht="45" x14ac:dyDescent="0.2">
      <c r="A748" s="2" t="s">
        <v>2033</v>
      </c>
      <c r="B748" s="2" t="s">
        <v>2034</v>
      </c>
      <c r="C748" s="2" t="s">
        <v>61</v>
      </c>
      <c r="D748" s="2" t="s">
        <v>472</v>
      </c>
      <c r="E748" s="4">
        <v>499.99</v>
      </c>
      <c r="F748" s="4">
        <v>489.48</v>
      </c>
      <c r="G748" s="3">
        <v>1</v>
      </c>
      <c r="H748" s="6">
        <v>4.2</v>
      </c>
      <c r="I748" s="3">
        <v>4</v>
      </c>
      <c r="J748" s="13" t="str">
        <f>HYPERLINK("https://amazon.com/dp/B0B9R8GCW8","Amazon - B0B9R8GCW8")</f>
        <v>Amazon - B0B9R8GCW8</v>
      </c>
      <c r="K748" s="14" t="s">
        <v>443</v>
      </c>
      <c r="L748" s="14" t="s">
        <v>461</v>
      </c>
      <c r="M748" s="14" t="s">
        <v>503</v>
      </c>
      <c r="N748" s="14" t="s">
        <v>446</v>
      </c>
      <c r="O748" s="14" t="s">
        <v>517</v>
      </c>
    </row>
    <row r="749" spans="1:15" ht="30" x14ac:dyDescent="0.2">
      <c r="A749" s="2" t="s">
        <v>2035</v>
      </c>
      <c r="B749" s="2" t="s">
        <v>2036</v>
      </c>
      <c r="C749" s="2" t="s">
        <v>11</v>
      </c>
      <c r="D749" s="2" t="s">
        <v>450</v>
      </c>
      <c r="E749" s="4">
        <v>24.9</v>
      </c>
      <c r="F749" s="4">
        <v>486.88</v>
      </c>
      <c r="G749" s="3">
        <v>20</v>
      </c>
      <c r="H749" s="6">
        <v>4.0999999999999996</v>
      </c>
      <c r="I749" s="3">
        <v>32</v>
      </c>
      <c r="J749" s="13" t="str">
        <f>HYPERLINK("https://amazon.com/dp/B0F6CS8QNY","Amazon - B0F6CS8QNY")</f>
        <v>Amazon - B0F6CS8QNY</v>
      </c>
      <c r="K749" s="14" t="s">
        <v>443</v>
      </c>
      <c r="L749" s="14" t="s">
        <v>451</v>
      </c>
      <c r="M749" s="14" t="s">
        <v>303</v>
      </c>
      <c r="N749" s="14" t="s">
        <v>452</v>
      </c>
      <c r="O749" s="14" t="s">
        <v>487</v>
      </c>
    </row>
    <row r="750" spans="1:15" ht="45" x14ac:dyDescent="0.2">
      <c r="A750" s="2" t="s">
        <v>2037</v>
      </c>
      <c r="B750" s="2" t="s">
        <v>2038</v>
      </c>
      <c r="C750" s="2" t="s">
        <v>185</v>
      </c>
      <c r="D750" s="2" t="s">
        <v>472</v>
      </c>
      <c r="E750" s="4">
        <v>28.99</v>
      </c>
      <c r="F750" s="4">
        <v>482.13</v>
      </c>
      <c r="G750" s="3">
        <v>22</v>
      </c>
      <c r="H750" s="6">
        <v>3.4</v>
      </c>
      <c r="I750" s="3">
        <v>4</v>
      </c>
      <c r="J750" s="13" t="str">
        <f>HYPERLINK("https://amazon.com/dp/B0FVXM6M2B","Amazon - B0FVXM6M2B")</f>
        <v>Amazon - B0FVXM6M2B</v>
      </c>
      <c r="K750" s="14" t="s">
        <v>443</v>
      </c>
      <c r="L750" s="14" t="s">
        <v>456</v>
      </c>
      <c r="M750" s="14" t="s">
        <v>303</v>
      </c>
      <c r="N750" s="14" t="s">
        <v>446</v>
      </c>
      <c r="O750" s="14" t="s">
        <v>453</v>
      </c>
    </row>
    <row r="751" spans="1:15" ht="45" x14ac:dyDescent="0.2">
      <c r="A751" s="2" t="s">
        <v>2039</v>
      </c>
      <c r="B751" s="2" t="s">
        <v>2040</v>
      </c>
      <c r="C751" s="2" t="s">
        <v>77</v>
      </c>
      <c r="D751" s="2" t="s">
        <v>472</v>
      </c>
      <c r="E751" s="4">
        <v>258.99</v>
      </c>
      <c r="F751" s="4">
        <v>478.4</v>
      </c>
      <c r="G751" s="3">
        <v>2</v>
      </c>
      <c r="H751" s="6">
        <v>4.2</v>
      </c>
      <c r="I751" s="3">
        <v>13</v>
      </c>
      <c r="J751" s="13" t="str">
        <f>HYPERLINK("https://amazon.com/dp/B0F28ZLLZL","Amazon - B0F28ZLLZL")</f>
        <v>Amazon - B0F28ZLLZL</v>
      </c>
      <c r="K751" s="14" t="s">
        <v>443</v>
      </c>
      <c r="L751" s="14" t="s">
        <v>456</v>
      </c>
      <c r="M751" s="14" t="s">
        <v>688</v>
      </c>
      <c r="N751" s="14" t="s">
        <v>446</v>
      </c>
      <c r="O751" s="14" t="s">
        <v>517</v>
      </c>
    </row>
    <row r="752" spans="1:15" ht="45" x14ac:dyDescent="0.2">
      <c r="A752" s="2" t="s">
        <v>2041</v>
      </c>
      <c r="B752" s="2" t="s">
        <v>2042</v>
      </c>
      <c r="C752" s="2" t="s">
        <v>129</v>
      </c>
      <c r="D752" s="2" t="s">
        <v>472</v>
      </c>
      <c r="E752" s="4">
        <v>569.99</v>
      </c>
      <c r="F752" s="4">
        <v>475.37</v>
      </c>
      <c r="G752" s="3">
        <v>1</v>
      </c>
      <c r="H752" s="6">
        <v>0</v>
      </c>
      <c r="I752" s="3">
        <v>0</v>
      </c>
      <c r="J752" s="13" t="str">
        <f>HYPERLINK("https://amazon.com/dp/B0DBYX15CV","Amazon - B0DBYX15CV")</f>
        <v>Amazon - B0DBYX15CV</v>
      </c>
      <c r="K752" s="14" t="s">
        <v>443</v>
      </c>
      <c r="L752" s="14" t="s">
        <v>502</v>
      </c>
      <c r="M752" s="14" t="s">
        <v>303</v>
      </c>
      <c r="N752" s="14" t="s">
        <v>446</v>
      </c>
      <c r="O752" s="14" t="s">
        <v>718</v>
      </c>
    </row>
    <row r="753" spans="1:15" ht="45" x14ac:dyDescent="0.2">
      <c r="A753" s="2" t="s">
        <v>2043</v>
      </c>
      <c r="B753" s="2" t="s">
        <v>2044</v>
      </c>
      <c r="C753" s="2" t="s">
        <v>131</v>
      </c>
      <c r="D753" s="2" t="s">
        <v>450</v>
      </c>
      <c r="E753" s="4">
        <v>21.88</v>
      </c>
      <c r="F753" s="4">
        <v>475.26</v>
      </c>
      <c r="G753" s="3">
        <v>22</v>
      </c>
      <c r="H753" s="6">
        <v>4.2</v>
      </c>
      <c r="I753" s="3">
        <v>399</v>
      </c>
      <c r="J753" s="13" t="str">
        <f>HYPERLINK("https://amazon.com/dp/B0CTBJK31P","Amazon - B0CTBJK31P")</f>
        <v>Amazon - B0CTBJK31P</v>
      </c>
      <c r="K753" s="14" t="s">
        <v>443</v>
      </c>
      <c r="L753" s="14" t="s">
        <v>451</v>
      </c>
      <c r="M753" s="14" t="s">
        <v>303</v>
      </c>
      <c r="N753" s="14" t="s">
        <v>452</v>
      </c>
      <c r="O753" s="14" t="s">
        <v>629</v>
      </c>
    </row>
    <row r="754" spans="1:15" ht="30" x14ac:dyDescent="0.2">
      <c r="A754" s="2" t="s">
        <v>2045</v>
      </c>
      <c r="B754" s="2" t="s">
        <v>2046</v>
      </c>
      <c r="C754" s="2" t="s">
        <v>13</v>
      </c>
      <c r="D754" s="2" t="s">
        <v>472</v>
      </c>
      <c r="E754" s="4">
        <v>199.99</v>
      </c>
      <c r="F754" s="4">
        <v>472.74</v>
      </c>
      <c r="G754" s="3">
        <v>2</v>
      </c>
      <c r="H754" s="6">
        <v>5</v>
      </c>
      <c r="I754" s="3">
        <v>1</v>
      </c>
      <c r="J754" s="13" t="str">
        <f>HYPERLINK("https://amazon.com/dp/B0DL9J7SQ5","Amazon - B0DL9J7SQ5")</f>
        <v>Amazon - B0DL9J7SQ5</v>
      </c>
      <c r="K754" s="14" t="s">
        <v>443</v>
      </c>
      <c r="L754" s="14" t="s">
        <v>461</v>
      </c>
      <c r="M754" s="14" t="s">
        <v>303</v>
      </c>
      <c r="N754" s="14" t="s">
        <v>446</v>
      </c>
      <c r="O754" s="14" t="s">
        <v>303</v>
      </c>
    </row>
    <row r="755" spans="1:15" ht="30" x14ac:dyDescent="0.2">
      <c r="A755" s="2" t="s">
        <v>2047</v>
      </c>
      <c r="B755" s="2" t="s">
        <v>2048</v>
      </c>
      <c r="C755" s="2" t="s">
        <v>89</v>
      </c>
      <c r="D755" s="2" t="s">
        <v>450</v>
      </c>
      <c r="E755" s="4">
        <v>25.99</v>
      </c>
      <c r="F755" s="4">
        <v>463.96</v>
      </c>
      <c r="G755" s="3">
        <v>18</v>
      </c>
      <c r="H755" s="6">
        <v>3.5</v>
      </c>
      <c r="I755" s="3">
        <v>49</v>
      </c>
      <c r="J755" s="13" t="str">
        <f>HYPERLINK("https://amazon.com/dp/B0DJQMW9CJ","Amazon - B0DJQMW9CJ")</f>
        <v>Amazon - B0DJQMW9CJ</v>
      </c>
      <c r="K755" s="14" t="s">
        <v>443</v>
      </c>
      <c r="L755" s="14" t="s">
        <v>451</v>
      </c>
      <c r="M755" s="14" t="s">
        <v>445</v>
      </c>
      <c r="N755" s="14" t="s">
        <v>446</v>
      </c>
      <c r="O755" s="14" t="s">
        <v>2049</v>
      </c>
    </row>
    <row r="756" spans="1:15" ht="45" x14ac:dyDescent="0.2">
      <c r="A756" s="2" t="s">
        <v>2050</v>
      </c>
      <c r="B756" s="2" t="s">
        <v>2051</v>
      </c>
      <c r="C756" s="2" t="s">
        <v>152</v>
      </c>
      <c r="D756" s="2" t="s">
        <v>472</v>
      </c>
      <c r="E756" s="4">
        <v>49.99</v>
      </c>
      <c r="F756" s="4">
        <v>463.9</v>
      </c>
      <c r="G756" s="3">
        <v>9</v>
      </c>
      <c r="H756" s="6">
        <v>5</v>
      </c>
      <c r="I756" s="3">
        <v>3</v>
      </c>
      <c r="J756" s="13" t="str">
        <f>HYPERLINK("https://amazon.com/dp/B0DR8WQ1Y8","Amazon - B0DR8WQ1Y8")</f>
        <v>Amazon - B0DR8WQ1Y8</v>
      </c>
      <c r="K756" s="14" t="s">
        <v>443</v>
      </c>
      <c r="L756" s="14" t="s">
        <v>444</v>
      </c>
      <c r="M756" s="14" t="s">
        <v>303</v>
      </c>
      <c r="N756" s="14" t="s">
        <v>452</v>
      </c>
      <c r="O756" s="14" t="s">
        <v>453</v>
      </c>
    </row>
    <row r="757" spans="1:15" ht="45" x14ac:dyDescent="0.2">
      <c r="A757" s="2" t="s">
        <v>2052</v>
      </c>
      <c r="B757" s="2" t="s">
        <v>2053</v>
      </c>
      <c r="C757" s="2" t="s">
        <v>23</v>
      </c>
      <c r="D757" s="2" t="s">
        <v>472</v>
      </c>
      <c r="E757" s="4">
        <v>315.39999999999998</v>
      </c>
      <c r="F757" s="4">
        <v>460.59</v>
      </c>
      <c r="G757" s="3">
        <v>1</v>
      </c>
      <c r="H757" s="6">
        <v>4.3</v>
      </c>
      <c r="I757" s="3">
        <v>14</v>
      </c>
      <c r="J757" s="13" t="str">
        <f>HYPERLINK("https://amazon.com/dp/B0D9NXWB82","Amazon - B0D9NXWB82")</f>
        <v>Amazon - B0D9NXWB82</v>
      </c>
      <c r="K757" s="14" t="s">
        <v>443</v>
      </c>
      <c r="L757" s="14" t="s">
        <v>461</v>
      </c>
      <c r="M757" s="14" t="s">
        <v>503</v>
      </c>
      <c r="N757" s="14" t="s">
        <v>446</v>
      </c>
      <c r="O757" s="14" t="s">
        <v>856</v>
      </c>
    </row>
    <row r="758" spans="1:15" ht="45" x14ac:dyDescent="0.2">
      <c r="A758" s="2" t="s">
        <v>2054</v>
      </c>
      <c r="B758" s="2" t="s">
        <v>2055</v>
      </c>
      <c r="C758" s="2" t="s">
        <v>15</v>
      </c>
      <c r="D758" s="2" t="s">
        <v>442</v>
      </c>
      <c r="E758" s="4">
        <v>299.99</v>
      </c>
      <c r="F758" s="4">
        <v>460.44</v>
      </c>
      <c r="G758" s="3">
        <v>2</v>
      </c>
      <c r="H758" s="6">
        <v>4.4000000000000004</v>
      </c>
      <c r="I758" s="3">
        <v>41</v>
      </c>
      <c r="J758" s="13" t="str">
        <f>HYPERLINK("https://amazon.com/dp/B0F8BN91TL","Amazon - B0F8BN91TL")</f>
        <v>Amazon - B0F8BN91TL</v>
      </c>
      <c r="K758" s="14" t="s">
        <v>482</v>
      </c>
      <c r="L758" s="14" t="s">
        <v>461</v>
      </c>
      <c r="M758" s="14" t="s">
        <v>577</v>
      </c>
      <c r="N758" s="14" t="s">
        <v>446</v>
      </c>
      <c r="O758" s="14" t="s">
        <v>447</v>
      </c>
    </row>
    <row r="759" spans="1:15" ht="30" x14ac:dyDescent="0.2">
      <c r="A759" s="2" t="s">
        <v>2056</v>
      </c>
      <c r="B759" s="2" t="s">
        <v>2057</v>
      </c>
      <c r="C759" s="2" t="s">
        <v>187</v>
      </c>
      <c r="D759" s="2" t="s">
        <v>472</v>
      </c>
      <c r="E759" s="4">
        <v>304.69</v>
      </c>
      <c r="F759" s="4">
        <v>457.72</v>
      </c>
      <c r="G759" s="3">
        <v>2</v>
      </c>
      <c r="H759" s="6">
        <v>0</v>
      </c>
      <c r="I759" s="3">
        <v>0</v>
      </c>
      <c r="J759" s="13" t="str">
        <f>HYPERLINK("https://amazon.com/dp/B0GDMDKXSN","Amazon - B0GDMDKXSN")</f>
        <v>Amazon - B0GDMDKXSN</v>
      </c>
      <c r="K759" s="14" t="s">
        <v>443</v>
      </c>
      <c r="L759" s="14" t="s">
        <v>303</v>
      </c>
      <c r="M759" s="14" t="s">
        <v>503</v>
      </c>
      <c r="N759" s="14" t="s">
        <v>446</v>
      </c>
      <c r="O759" s="14" t="s">
        <v>303</v>
      </c>
    </row>
    <row r="760" spans="1:15" ht="45" x14ac:dyDescent="0.2">
      <c r="A760" s="2" t="s">
        <v>2058</v>
      </c>
      <c r="B760" s="2" t="s">
        <v>2059</v>
      </c>
      <c r="C760" s="2" t="s">
        <v>50</v>
      </c>
      <c r="D760" s="2" t="s">
        <v>472</v>
      </c>
      <c r="E760" s="4">
        <v>549.99</v>
      </c>
      <c r="F760" s="4">
        <v>457.39</v>
      </c>
      <c r="G760" s="3">
        <v>1</v>
      </c>
      <c r="H760" s="6">
        <v>4.7</v>
      </c>
      <c r="I760" s="3">
        <v>5</v>
      </c>
      <c r="J760" s="13" t="str">
        <f>HYPERLINK("https://amazon.com/dp/B0DL5LQ7RQ","Amazon - B0DL5LQ7RQ")</f>
        <v>Amazon - B0DL5LQ7RQ</v>
      </c>
      <c r="K760" s="14" t="s">
        <v>443</v>
      </c>
      <c r="L760" s="14" t="s">
        <v>667</v>
      </c>
      <c r="M760" s="14" t="s">
        <v>303</v>
      </c>
      <c r="N760" s="14" t="s">
        <v>446</v>
      </c>
      <c r="O760" s="14" t="s">
        <v>570</v>
      </c>
    </row>
    <row r="761" spans="1:15" ht="45" x14ac:dyDescent="0.2">
      <c r="A761" s="2" t="s">
        <v>2060</v>
      </c>
      <c r="B761" s="2" t="s">
        <v>2061</v>
      </c>
      <c r="C761" s="2" t="s">
        <v>74</v>
      </c>
      <c r="D761" s="2" t="s">
        <v>442</v>
      </c>
      <c r="E761" s="4">
        <v>39.99</v>
      </c>
      <c r="F761" s="4">
        <v>455.83</v>
      </c>
      <c r="G761" s="3">
        <v>10</v>
      </c>
      <c r="H761" s="6">
        <v>4.3</v>
      </c>
      <c r="I761" s="3">
        <v>16</v>
      </c>
      <c r="J761" s="13" t="str">
        <f>HYPERLINK("https://amazon.com/dp/B0F9F5ZNK2","Amazon - B0F9F5ZNK2")</f>
        <v>Amazon - B0F9F5ZNK2</v>
      </c>
      <c r="K761" s="14" t="s">
        <v>443</v>
      </c>
      <c r="L761" s="14" t="s">
        <v>456</v>
      </c>
      <c r="M761" s="14" t="s">
        <v>303</v>
      </c>
      <c r="N761" s="14" t="s">
        <v>452</v>
      </c>
      <c r="O761" s="14" t="s">
        <v>453</v>
      </c>
    </row>
    <row r="762" spans="1:15" ht="30" x14ac:dyDescent="0.2">
      <c r="A762" s="2" t="s">
        <v>2062</v>
      </c>
      <c r="B762" s="2" t="s">
        <v>2063</v>
      </c>
      <c r="C762" s="2" t="s">
        <v>51</v>
      </c>
      <c r="D762" s="2" t="s">
        <v>823</v>
      </c>
      <c r="E762" s="4">
        <v>108</v>
      </c>
      <c r="F762" s="4">
        <v>447.25</v>
      </c>
      <c r="G762" s="3">
        <v>4</v>
      </c>
      <c r="H762" s="6">
        <v>3.6</v>
      </c>
      <c r="I762" s="3">
        <v>48</v>
      </c>
      <c r="J762" s="13" t="str">
        <f>HYPERLINK("https://amazon.com/dp/B01N4QY6B2","Amazon - B01N4QY6B2")</f>
        <v>Amazon - B01N4QY6B2</v>
      </c>
      <c r="K762" s="14" t="s">
        <v>443</v>
      </c>
      <c r="L762" s="14" t="s">
        <v>451</v>
      </c>
      <c r="M762" s="14" t="s">
        <v>303</v>
      </c>
      <c r="N762" s="14" t="s">
        <v>446</v>
      </c>
      <c r="O762" s="14" t="s">
        <v>303</v>
      </c>
    </row>
    <row r="763" spans="1:15" ht="30" x14ac:dyDescent="0.2">
      <c r="A763" s="2" t="s">
        <v>2064</v>
      </c>
      <c r="B763" s="2" t="s">
        <v>2065</v>
      </c>
      <c r="C763" s="2" t="s">
        <v>55</v>
      </c>
      <c r="D763" s="2" t="s">
        <v>472</v>
      </c>
      <c r="E763" s="4">
        <v>219.99</v>
      </c>
      <c r="F763" s="4">
        <v>446.03</v>
      </c>
      <c r="G763" s="3">
        <v>2</v>
      </c>
      <c r="H763" s="6">
        <v>4.0999999999999996</v>
      </c>
      <c r="I763" s="3">
        <v>13</v>
      </c>
      <c r="J763" s="13" t="str">
        <f>HYPERLINK("https://amazon.com/dp/B07P2JLJNN","Amazon - B07P2JLJNN")</f>
        <v>Amazon - B07P2JLJNN</v>
      </c>
      <c r="K763" s="14" t="s">
        <v>443</v>
      </c>
      <c r="L763" s="14" t="s">
        <v>303</v>
      </c>
      <c r="M763" s="14" t="s">
        <v>303</v>
      </c>
      <c r="N763" s="14" t="s">
        <v>446</v>
      </c>
      <c r="O763" s="14" t="s">
        <v>809</v>
      </c>
    </row>
    <row r="764" spans="1:15" ht="45" x14ac:dyDescent="0.2">
      <c r="A764" s="2" t="s">
        <v>2066</v>
      </c>
      <c r="B764" s="2" t="s">
        <v>2067</v>
      </c>
      <c r="C764" s="2" t="s">
        <v>159</v>
      </c>
      <c r="D764" s="2" t="s">
        <v>442</v>
      </c>
      <c r="E764" s="4">
        <v>29.9</v>
      </c>
      <c r="F764" s="4">
        <v>442.11</v>
      </c>
      <c r="G764" s="3">
        <v>15</v>
      </c>
      <c r="H764" s="6">
        <v>4.4000000000000004</v>
      </c>
      <c r="I764" s="3">
        <v>56</v>
      </c>
      <c r="J764" s="13" t="str">
        <f>HYPERLINK("https://amazon.com/dp/B0D17T3N3P","Amazon - B0D17T3N3P")</f>
        <v>Amazon - B0D17T3N3P</v>
      </c>
      <c r="K764" s="14" t="s">
        <v>443</v>
      </c>
      <c r="L764" s="14" t="s">
        <v>456</v>
      </c>
      <c r="M764" s="14" t="s">
        <v>303</v>
      </c>
      <c r="N764" s="14" t="s">
        <v>446</v>
      </c>
      <c r="O764" s="14" t="s">
        <v>453</v>
      </c>
    </row>
    <row r="765" spans="1:15" ht="45" x14ac:dyDescent="0.2">
      <c r="A765" s="2" t="s">
        <v>2068</v>
      </c>
      <c r="B765" s="2" t="s">
        <v>2069</v>
      </c>
      <c r="C765" s="2" t="s">
        <v>29</v>
      </c>
      <c r="D765" s="2" t="s">
        <v>472</v>
      </c>
      <c r="E765" s="4">
        <v>459.99</v>
      </c>
      <c r="F765" s="4">
        <v>438.46</v>
      </c>
      <c r="G765" s="3">
        <v>1</v>
      </c>
      <c r="H765" s="6">
        <v>5</v>
      </c>
      <c r="I765" s="3">
        <v>5</v>
      </c>
      <c r="J765" s="13" t="str">
        <f>HYPERLINK("https://amazon.com/dp/B0DP2284K1","Amazon - B0DP2284K1")</f>
        <v>Amazon - B0DP2284K1</v>
      </c>
      <c r="K765" s="14" t="s">
        <v>443</v>
      </c>
      <c r="L765" s="14" t="s">
        <v>502</v>
      </c>
      <c r="M765" s="14" t="s">
        <v>303</v>
      </c>
      <c r="N765" s="14" t="s">
        <v>446</v>
      </c>
      <c r="O765" s="14" t="s">
        <v>809</v>
      </c>
    </row>
    <row r="766" spans="1:15" ht="45" x14ac:dyDescent="0.2">
      <c r="A766" s="2" t="s">
        <v>2070</v>
      </c>
      <c r="B766" s="2" t="s">
        <v>2071</v>
      </c>
      <c r="C766" s="2" t="s">
        <v>26</v>
      </c>
      <c r="D766" s="2" t="s">
        <v>442</v>
      </c>
      <c r="E766" s="4">
        <v>29.99</v>
      </c>
      <c r="F766" s="4">
        <v>438.05</v>
      </c>
      <c r="G766" s="3">
        <v>15</v>
      </c>
      <c r="H766" s="6">
        <v>4.4000000000000004</v>
      </c>
      <c r="I766" s="3">
        <v>115</v>
      </c>
      <c r="J766" s="13" t="str">
        <f>HYPERLINK("https://amazon.com/dp/B0FGK4X6X2","Amazon - B0FGK4X6X2")</f>
        <v>Amazon - B0FGK4X6X2</v>
      </c>
      <c r="K766" s="14" t="s">
        <v>443</v>
      </c>
      <c r="L766" s="14" t="s">
        <v>456</v>
      </c>
      <c r="M766" s="14" t="s">
        <v>303</v>
      </c>
      <c r="N766" s="14" t="s">
        <v>446</v>
      </c>
      <c r="O766" s="14" t="s">
        <v>453</v>
      </c>
    </row>
    <row r="767" spans="1:15" ht="45" x14ac:dyDescent="0.2">
      <c r="A767" s="2" t="s">
        <v>2072</v>
      </c>
      <c r="B767" s="2" t="s">
        <v>2073</v>
      </c>
      <c r="C767" s="2" t="s">
        <v>74</v>
      </c>
      <c r="D767" s="2" t="s">
        <v>472</v>
      </c>
      <c r="E767" s="4">
        <v>79.989999999999995</v>
      </c>
      <c r="F767" s="4">
        <v>435.73</v>
      </c>
      <c r="G767" s="3">
        <v>9</v>
      </c>
      <c r="H767" s="6">
        <v>4</v>
      </c>
      <c r="I767" s="3">
        <v>29</v>
      </c>
      <c r="J767" s="13" t="str">
        <f>HYPERLINK("https://amazon.com/dp/B0F4JKZWBZ","Amazon - B0F4JKZWBZ")</f>
        <v>Amazon - B0F4JKZWBZ</v>
      </c>
      <c r="K767" s="14" t="s">
        <v>443</v>
      </c>
      <c r="L767" s="14" t="s">
        <v>303</v>
      </c>
      <c r="M767" s="14" t="s">
        <v>445</v>
      </c>
      <c r="N767" s="14" t="s">
        <v>452</v>
      </c>
      <c r="O767" s="14" t="s">
        <v>453</v>
      </c>
    </row>
    <row r="768" spans="1:15" ht="45" x14ac:dyDescent="0.2">
      <c r="A768" s="2" t="s">
        <v>2074</v>
      </c>
      <c r="B768" s="2" t="s">
        <v>2075</v>
      </c>
      <c r="C768" s="2" t="s">
        <v>23</v>
      </c>
      <c r="D768" s="2" t="s">
        <v>472</v>
      </c>
      <c r="E768" s="4">
        <v>465.02</v>
      </c>
      <c r="F768" s="4">
        <v>433.49</v>
      </c>
      <c r="G768" s="3">
        <v>1</v>
      </c>
      <c r="H768" s="6">
        <v>5</v>
      </c>
      <c r="I768" s="3">
        <v>2</v>
      </c>
      <c r="J768" s="13" t="str">
        <f>HYPERLINK("https://amazon.com/dp/B0CSMV9Q1L","Amazon - B0CSMV9Q1L")</f>
        <v>Amazon - B0CSMV9Q1L</v>
      </c>
      <c r="K768" s="14" t="s">
        <v>443</v>
      </c>
      <c r="L768" s="14" t="s">
        <v>461</v>
      </c>
      <c r="M768" s="14" t="s">
        <v>688</v>
      </c>
      <c r="N768" s="14" t="s">
        <v>446</v>
      </c>
      <c r="O768" s="14" t="s">
        <v>856</v>
      </c>
    </row>
    <row r="769" spans="1:15" ht="30" x14ac:dyDescent="0.2">
      <c r="A769" s="2" t="s">
        <v>2076</v>
      </c>
      <c r="B769" s="2" t="s">
        <v>2077</v>
      </c>
      <c r="C769" s="2" t="s">
        <v>40</v>
      </c>
      <c r="D769" s="2" t="s">
        <v>442</v>
      </c>
      <c r="E769" s="4">
        <v>119.99</v>
      </c>
      <c r="F769" s="4">
        <v>431.98</v>
      </c>
      <c r="G769" s="3">
        <v>4</v>
      </c>
      <c r="H769" s="6">
        <v>0</v>
      </c>
      <c r="I769" s="3">
        <v>0</v>
      </c>
      <c r="J769" s="13" t="str">
        <f>HYPERLINK("https://amazon.com/dp/B0CZNQKW3L","Amazon - B0CZNQKW3L")</f>
        <v>Amazon - B0CZNQKW3L</v>
      </c>
      <c r="K769" s="14" t="s">
        <v>443</v>
      </c>
      <c r="L769" s="14" t="s">
        <v>444</v>
      </c>
      <c r="M769" s="14" t="s">
        <v>457</v>
      </c>
      <c r="N769" s="14" t="s">
        <v>446</v>
      </c>
      <c r="O769" s="14" t="s">
        <v>303</v>
      </c>
    </row>
    <row r="770" spans="1:15" ht="30" x14ac:dyDescent="0.2">
      <c r="A770" s="2" t="s">
        <v>2078</v>
      </c>
      <c r="B770" s="2" t="s">
        <v>2079</v>
      </c>
      <c r="C770" s="2" t="s">
        <v>29</v>
      </c>
      <c r="D770" s="2" t="s">
        <v>472</v>
      </c>
      <c r="E770" s="4">
        <v>399.99</v>
      </c>
      <c r="F770" s="4">
        <v>427.18</v>
      </c>
      <c r="G770" s="3">
        <v>1</v>
      </c>
      <c r="H770" s="6">
        <v>3</v>
      </c>
      <c r="I770" s="3">
        <v>15</v>
      </c>
      <c r="J770" s="13" t="str">
        <f>HYPERLINK("https://amazon.com/dp/B0CPDH2CWJ","Amazon - B0CPDH2CWJ")</f>
        <v>Amazon - B0CPDH2CWJ</v>
      </c>
      <c r="K770" s="14" t="s">
        <v>443</v>
      </c>
      <c r="L770" s="14" t="s">
        <v>303</v>
      </c>
      <c r="M770" s="14" t="s">
        <v>303</v>
      </c>
      <c r="N770" s="14" t="s">
        <v>446</v>
      </c>
      <c r="O770" s="14" t="s">
        <v>517</v>
      </c>
    </row>
    <row r="771" spans="1:15" ht="45" x14ac:dyDescent="0.2">
      <c r="A771" s="2" t="s">
        <v>2080</v>
      </c>
      <c r="B771" s="2" t="s">
        <v>2081</v>
      </c>
      <c r="C771" s="2" t="s">
        <v>23</v>
      </c>
      <c r="D771" s="2" t="s">
        <v>472</v>
      </c>
      <c r="E771" s="4">
        <v>304.2</v>
      </c>
      <c r="F771" s="4">
        <v>422.85</v>
      </c>
      <c r="G771" s="3">
        <v>1</v>
      </c>
      <c r="H771" s="6">
        <v>4</v>
      </c>
      <c r="I771" s="3">
        <v>10</v>
      </c>
      <c r="J771" s="13" t="str">
        <f>HYPERLINK("https://amazon.com/dp/B0D1XK5K26","Amazon - B0D1XK5K26")</f>
        <v>Amazon - B0D1XK5K26</v>
      </c>
      <c r="K771" s="14" t="s">
        <v>443</v>
      </c>
      <c r="L771" s="14" t="s">
        <v>502</v>
      </c>
      <c r="M771" s="14" t="s">
        <v>303</v>
      </c>
      <c r="N771" s="14" t="s">
        <v>446</v>
      </c>
      <c r="O771" s="14" t="s">
        <v>904</v>
      </c>
    </row>
    <row r="772" spans="1:15" ht="30" x14ac:dyDescent="0.2">
      <c r="A772" s="2" t="s">
        <v>2082</v>
      </c>
      <c r="B772" s="2" t="s">
        <v>2083</v>
      </c>
      <c r="C772" s="2" t="s">
        <v>149</v>
      </c>
      <c r="D772" s="2" t="s">
        <v>472</v>
      </c>
      <c r="E772" s="4">
        <v>179.99</v>
      </c>
      <c r="F772" s="4">
        <v>422.8</v>
      </c>
      <c r="G772" s="3">
        <v>2</v>
      </c>
      <c r="H772" s="6">
        <v>5</v>
      </c>
      <c r="I772" s="3">
        <v>1</v>
      </c>
      <c r="J772" s="13" t="str">
        <f>HYPERLINK("https://amazon.com/dp/B0DKJXPTZ9","Amazon - B0DKJXPTZ9")</f>
        <v>Amazon - B0DKJXPTZ9</v>
      </c>
      <c r="K772" s="14" t="s">
        <v>443</v>
      </c>
      <c r="L772" s="14" t="s">
        <v>303</v>
      </c>
      <c r="M772" s="14" t="s">
        <v>303</v>
      </c>
      <c r="N772" s="14" t="s">
        <v>446</v>
      </c>
      <c r="O772" s="14" t="s">
        <v>303</v>
      </c>
    </row>
    <row r="773" spans="1:15" ht="30" x14ac:dyDescent="0.2">
      <c r="A773" s="2" t="s">
        <v>2084</v>
      </c>
      <c r="B773" s="2" t="s">
        <v>2085</v>
      </c>
      <c r="C773" s="2" t="s">
        <v>95</v>
      </c>
      <c r="D773" s="2" t="s">
        <v>442</v>
      </c>
      <c r="E773" s="4">
        <v>130.99</v>
      </c>
      <c r="F773" s="4">
        <v>421.64</v>
      </c>
      <c r="G773" s="3">
        <v>4</v>
      </c>
      <c r="H773" s="6">
        <v>5</v>
      </c>
      <c r="I773" s="3">
        <v>4</v>
      </c>
      <c r="J773" s="13" t="str">
        <f>HYPERLINK("https://amazon.com/dp/B0GMTRXT21","Amazon - B0GMTRXT21")</f>
        <v>Amazon - B0GMTRXT21</v>
      </c>
      <c r="K773" s="14" t="s">
        <v>443</v>
      </c>
      <c r="L773" s="14" t="s">
        <v>461</v>
      </c>
      <c r="M773" s="14" t="s">
        <v>303</v>
      </c>
      <c r="N773" s="14" t="s">
        <v>452</v>
      </c>
      <c r="O773" s="14" t="s">
        <v>303</v>
      </c>
    </row>
    <row r="774" spans="1:15" ht="30" x14ac:dyDescent="0.2">
      <c r="A774" s="2" t="s">
        <v>2086</v>
      </c>
      <c r="B774" s="2" t="s">
        <v>2087</v>
      </c>
      <c r="C774" s="2" t="s">
        <v>114</v>
      </c>
      <c r="D774" s="2" t="s">
        <v>450</v>
      </c>
      <c r="E774" s="4">
        <v>19.989999999999998</v>
      </c>
      <c r="F774" s="4">
        <v>420.68</v>
      </c>
      <c r="G774" s="3">
        <v>21</v>
      </c>
      <c r="H774" s="6">
        <v>4.7</v>
      </c>
      <c r="I774" s="3">
        <v>5</v>
      </c>
      <c r="J774" s="13" t="str">
        <f>HYPERLINK("https://amazon.com/dp/B0FY1F412M","Amazon - B0FY1F412M")</f>
        <v>Amazon - B0FY1F412M</v>
      </c>
      <c r="K774" s="14" t="s">
        <v>443</v>
      </c>
      <c r="L774" s="14" t="s">
        <v>451</v>
      </c>
      <c r="M774" s="14" t="s">
        <v>303</v>
      </c>
      <c r="N774" s="14" t="s">
        <v>452</v>
      </c>
      <c r="O774" s="14" t="s">
        <v>453</v>
      </c>
    </row>
    <row r="775" spans="1:15" ht="45" x14ac:dyDescent="0.2">
      <c r="A775" s="2" t="s">
        <v>2088</v>
      </c>
      <c r="B775" s="2" t="s">
        <v>2089</v>
      </c>
      <c r="C775" s="2" t="s">
        <v>23</v>
      </c>
      <c r="D775" s="2" t="s">
        <v>472</v>
      </c>
      <c r="E775" s="4">
        <v>332</v>
      </c>
      <c r="F775" s="4">
        <v>416.24</v>
      </c>
      <c r="G775" s="3">
        <v>1</v>
      </c>
      <c r="H775" s="6">
        <v>0</v>
      </c>
      <c r="I775" s="3">
        <v>0</v>
      </c>
      <c r="J775" s="13" t="str">
        <f>HYPERLINK("https://amazon.com/dp/B0FX26D4SD","Amazon - B0FX26D4SD")</f>
        <v>Amazon - B0FX26D4SD</v>
      </c>
      <c r="K775" s="14" t="s">
        <v>443</v>
      </c>
      <c r="L775" s="14" t="s">
        <v>303</v>
      </c>
      <c r="M775" s="14" t="s">
        <v>565</v>
      </c>
      <c r="N775" s="14" t="s">
        <v>446</v>
      </c>
      <c r="O775" s="14" t="s">
        <v>778</v>
      </c>
    </row>
    <row r="776" spans="1:15" x14ac:dyDescent="0.2">
      <c r="A776" s="2" t="s">
        <v>2090</v>
      </c>
      <c r="B776" s="2" t="s">
        <v>2091</v>
      </c>
      <c r="C776" s="2" t="s">
        <v>13</v>
      </c>
      <c r="D776" s="2" t="s">
        <v>472</v>
      </c>
      <c r="E776" s="4">
        <v>129.99</v>
      </c>
      <c r="F776" s="4">
        <v>410.38</v>
      </c>
      <c r="G776" s="3">
        <v>3</v>
      </c>
      <c r="H776" s="6">
        <v>0</v>
      </c>
      <c r="I776" s="3">
        <v>0</v>
      </c>
      <c r="J776" s="13" t="str">
        <f>HYPERLINK("https://amazon.com/dp/B0CP638V8G","Amazon - B0CP638V8G")</f>
        <v>Amazon - B0CP638V8G</v>
      </c>
      <c r="K776" s="14" t="s">
        <v>443</v>
      </c>
      <c r="L776" s="14" t="s">
        <v>461</v>
      </c>
      <c r="M776" s="14" t="s">
        <v>303</v>
      </c>
      <c r="N776" s="14" t="s">
        <v>446</v>
      </c>
      <c r="O776" s="14" t="s">
        <v>303</v>
      </c>
    </row>
    <row r="777" spans="1:15" ht="45" x14ac:dyDescent="0.2">
      <c r="A777" s="2" t="s">
        <v>2092</v>
      </c>
      <c r="B777" s="2" t="s">
        <v>2093</v>
      </c>
      <c r="C777" s="2" t="s">
        <v>43</v>
      </c>
      <c r="D777" s="2" t="s">
        <v>472</v>
      </c>
      <c r="E777" s="4">
        <v>243.66</v>
      </c>
      <c r="F777" s="4">
        <v>402.2</v>
      </c>
      <c r="G777" s="3">
        <v>2</v>
      </c>
      <c r="H777" s="6">
        <v>4.5</v>
      </c>
      <c r="I777" s="3">
        <v>2</v>
      </c>
      <c r="J777" s="13" t="str">
        <f>HYPERLINK("https://amazon.com/dp/B0FDVH213N","Amazon - B0FDVH213N")</f>
        <v>Amazon - B0FDVH213N</v>
      </c>
      <c r="K777" s="14" t="s">
        <v>443</v>
      </c>
      <c r="L777" s="14" t="s">
        <v>456</v>
      </c>
      <c r="M777" s="14" t="s">
        <v>688</v>
      </c>
      <c r="N777" s="14" t="s">
        <v>446</v>
      </c>
      <c r="O777" s="14" t="s">
        <v>742</v>
      </c>
    </row>
    <row r="778" spans="1:15" ht="45" x14ac:dyDescent="0.2">
      <c r="A778" s="2" t="s">
        <v>2094</v>
      </c>
      <c r="B778" s="2" t="s">
        <v>2095</v>
      </c>
      <c r="C778" s="2" t="s">
        <v>188</v>
      </c>
      <c r="D778" s="2" t="s">
        <v>450</v>
      </c>
      <c r="E778" s="4">
        <v>19.989999999999998</v>
      </c>
      <c r="F778" s="4">
        <v>400.32</v>
      </c>
      <c r="G778" s="3">
        <v>20</v>
      </c>
      <c r="H778" s="6">
        <v>4.3</v>
      </c>
      <c r="I778" s="3">
        <v>202</v>
      </c>
      <c r="J778" s="13" t="str">
        <f>HYPERLINK("https://amazon.com/dp/B0CRNQK3SF","Amazon - B0CRNQK3SF")</f>
        <v>Amazon - B0CRNQK3SF</v>
      </c>
      <c r="K778" s="14" t="s">
        <v>443</v>
      </c>
      <c r="L778" s="14" t="s">
        <v>451</v>
      </c>
      <c r="M778" s="14" t="s">
        <v>303</v>
      </c>
      <c r="N778" s="14" t="s">
        <v>452</v>
      </c>
      <c r="O778" s="14" t="s">
        <v>453</v>
      </c>
    </row>
    <row r="779" spans="1:15" ht="45" x14ac:dyDescent="0.2">
      <c r="A779" s="2" t="s">
        <v>2096</v>
      </c>
      <c r="B779" s="2" t="s">
        <v>2097</v>
      </c>
      <c r="C779" s="2" t="s">
        <v>159</v>
      </c>
      <c r="D779" s="2" t="s">
        <v>472</v>
      </c>
      <c r="E779" s="4">
        <v>26.9</v>
      </c>
      <c r="F779" s="4">
        <v>397.84</v>
      </c>
      <c r="G779" s="3">
        <v>15</v>
      </c>
      <c r="H779" s="6">
        <v>4.4000000000000004</v>
      </c>
      <c r="I779" s="3">
        <v>42</v>
      </c>
      <c r="J779" s="13" t="str">
        <f>HYPERLINK("https://amazon.com/dp/B0D7VDMM6J","Amazon - B0D7VDMM6J")</f>
        <v>Amazon - B0D7VDMM6J</v>
      </c>
      <c r="K779" s="14" t="s">
        <v>443</v>
      </c>
      <c r="L779" s="14" t="s">
        <v>456</v>
      </c>
      <c r="M779" s="14" t="s">
        <v>303</v>
      </c>
      <c r="N779" s="14" t="s">
        <v>446</v>
      </c>
      <c r="O779" s="14" t="s">
        <v>453</v>
      </c>
    </row>
    <row r="780" spans="1:15" ht="45" x14ac:dyDescent="0.2">
      <c r="A780" s="2" t="s">
        <v>2098</v>
      </c>
      <c r="B780" s="2" t="s">
        <v>2099</v>
      </c>
      <c r="C780" s="2" t="s">
        <v>79</v>
      </c>
      <c r="D780" s="2" t="s">
        <v>472</v>
      </c>
      <c r="E780" s="4">
        <v>469.99</v>
      </c>
      <c r="F780" s="4">
        <v>396.13</v>
      </c>
      <c r="G780" s="3">
        <v>1</v>
      </c>
      <c r="H780" s="6">
        <v>5</v>
      </c>
      <c r="I780" s="3">
        <v>1</v>
      </c>
      <c r="J780" s="13" t="str">
        <f>HYPERLINK("https://amazon.com/dp/B0DD7FSGGK","Amazon - B0DD7FSGGK")</f>
        <v>Amazon - B0DD7FSGGK</v>
      </c>
      <c r="K780" s="14" t="s">
        <v>443</v>
      </c>
      <c r="L780" s="14" t="s">
        <v>461</v>
      </c>
      <c r="M780" s="14" t="s">
        <v>303</v>
      </c>
      <c r="N780" s="14" t="s">
        <v>446</v>
      </c>
      <c r="O780" s="14" t="s">
        <v>778</v>
      </c>
    </row>
    <row r="781" spans="1:15" ht="45" x14ac:dyDescent="0.2">
      <c r="A781" s="2" t="s">
        <v>2100</v>
      </c>
      <c r="B781" s="2" t="s">
        <v>2101</v>
      </c>
      <c r="C781" s="2" t="s">
        <v>62</v>
      </c>
      <c r="D781" s="2" t="s">
        <v>450</v>
      </c>
      <c r="E781" s="4">
        <v>49</v>
      </c>
      <c r="F781" s="4">
        <v>390.75</v>
      </c>
      <c r="G781" s="3">
        <v>8</v>
      </c>
      <c r="H781" s="6">
        <v>4.5999999999999996</v>
      </c>
      <c r="I781" s="3">
        <v>57</v>
      </c>
      <c r="J781" s="13" t="str">
        <f>HYPERLINK("https://amazon.com/dp/B0B2ZPN8RH","Amazon - B0B2ZPN8RH")</f>
        <v>Amazon - B0B2ZPN8RH</v>
      </c>
      <c r="K781" s="14" t="s">
        <v>443</v>
      </c>
      <c r="L781" s="14" t="s">
        <v>303</v>
      </c>
      <c r="M781" s="14" t="s">
        <v>457</v>
      </c>
      <c r="N781" s="14" t="s">
        <v>446</v>
      </c>
      <c r="O781" s="14" t="s">
        <v>303</v>
      </c>
    </row>
    <row r="782" spans="1:15" ht="30" x14ac:dyDescent="0.2">
      <c r="A782" s="2" t="s">
        <v>2102</v>
      </c>
      <c r="B782" s="2" t="s">
        <v>2103</v>
      </c>
      <c r="C782" s="2" t="s">
        <v>144</v>
      </c>
      <c r="D782" s="2" t="s">
        <v>442</v>
      </c>
      <c r="E782" s="4">
        <v>43.99</v>
      </c>
      <c r="F782" s="4">
        <v>385.3</v>
      </c>
      <c r="G782" s="3">
        <v>8</v>
      </c>
      <c r="H782" s="6">
        <v>4.4000000000000004</v>
      </c>
      <c r="I782" s="3">
        <v>104</v>
      </c>
      <c r="J782" s="13" t="str">
        <f>HYPERLINK("https://amazon.com/dp/B0DSZNLHLW","Amazon - B0DSZNLHLW")</f>
        <v>Amazon - B0DSZNLHLW</v>
      </c>
      <c r="K782" s="14" t="s">
        <v>443</v>
      </c>
      <c r="L782" s="14" t="s">
        <v>456</v>
      </c>
      <c r="M782" s="14" t="s">
        <v>462</v>
      </c>
      <c r="N782" s="14" t="s">
        <v>446</v>
      </c>
      <c r="O782" s="14" t="s">
        <v>453</v>
      </c>
    </row>
    <row r="783" spans="1:15" ht="45" x14ac:dyDescent="0.2">
      <c r="A783" s="2" t="s">
        <v>2104</v>
      </c>
      <c r="B783" s="2" t="s">
        <v>2105</v>
      </c>
      <c r="C783" s="2" t="s">
        <v>136</v>
      </c>
      <c r="D783" s="2" t="s">
        <v>450</v>
      </c>
      <c r="E783" s="4">
        <v>22.98</v>
      </c>
      <c r="F783" s="4">
        <v>385.23</v>
      </c>
      <c r="G783" s="3">
        <v>17</v>
      </c>
      <c r="H783" s="6">
        <v>4.4000000000000004</v>
      </c>
      <c r="I783" s="3">
        <v>69</v>
      </c>
      <c r="J783" s="13" t="str">
        <f>HYPERLINK("https://amazon.com/dp/B0CZL3XTYQ","Amazon - B0CZL3XTYQ")</f>
        <v>Amazon - B0CZL3XTYQ</v>
      </c>
      <c r="K783" s="14" t="s">
        <v>443</v>
      </c>
      <c r="L783" s="14" t="s">
        <v>451</v>
      </c>
      <c r="M783" s="14" t="s">
        <v>303</v>
      </c>
      <c r="N783" s="14" t="s">
        <v>452</v>
      </c>
      <c r="O783" s="14" t="s">
        <v>453</v>
      </c>
    </row>
    <row r="784" spans="1:15" ht="45" x14ac:dyDescent="0.2">
      <c r="A784" s="2" t="s">
        <v>2106</v>
      </c>
      <c r="B784" s="2" t="s">
        <v>2107</v>
      </c>
      <c r="C784" s="2" t="s">
        <v>182</v>
      </c>
      <c r="D784" s="2" t="s">
        <v>450</v>
      </c>
      <c r="E784" s="4">
        <v>17.98</v>
      </c>
      <c r="F784" s="4">
        <v>379.35</v>
      </c>
      <c r="G784" s="3">
        <v>21</v>
      </c>
      <c r="H784" s="6">
        <v>3.9</v>
      </c>
      <c r="I784" s="3">
        <v>21</v>
      </c>
      <c r="J784" s="13" t="str">
        <f>HYPERLINK("https://amazon.com/dp/B0FWJGCBZR","Amazon - B0FWJGCBZR")</f>
        <v>Amazon - B0FWJGCBZR</v>
      </c>
      <c r="K784" s="14" t="s">
        <v>443</v>
      </c>
      <c r="L784" s="14" t="s">
        <v>451</v>
      </c>
      <c r="M784" s="14" t="s">
        <v>303</v>
      </c>
      <c r="N784" s="14" t="s">
        <v>446</v>
      </c>
      <c r="O784" s="14" t="s">
        <v>453</v>
      </c>
    </row>
    <row r="785" spans="1:15" ht="45" x14ac:dyDescent="0.2">
      <c r="A785" s="2" t="s">
        <v>2108</v>
      </c>
      <c r="B785" s="2" t="s">
        <v>2109</v>
      </c>
      <c r="C785" s="2" t="s">
        <v>109</v>
      </c>
      <c r="D785" s="2" t="s">
        <v>823</v>
      </c>
      <c r="E785" s="4">
        <v>40.99</v>
      </c>
      <c r="F785" s="4">
        <v>377.81</v>
      </c>
      <c r="G785" s="3">
        <v>9</v>
      </c>
      <c r="H785" s="6">
        <v>3.9</v>
      </c>
      <c r="I785" s="3">
        <v>204</v>
      </c>
      <c r="J785" s="13" t="str">
        <f>HYPERLINK("https://amazon.com/dp/B07KM4J3DL","Amazon - B07KM4J3DL")</f>
        <v>Amazon - B07KM4J3DL</v>
      </c>
      <c r="K785" s="14" t="s">
        <v>443</v>
      </c>
      <c r="L785" s="14" t="s">
        <v>451</v>
      </c>
      <c r="M785" s="14" t="s">
        <v>303</v>
      </c>
      <c r="N785" s="14" t="s">
        <v>446</v>
      </c>
      <c r="O785" s="14" t="s">
        <v>946</v>
      </c>
    </row>
    <row r="786" spans="1:15" ht="45" x14ac:dyDescent="0.2">
      <c r="A786" s="2" t="s">
        <v>2110</v>
      </c>
      <c r="B786" s="2" t="s">
        <v>2111</v>
      </c>
      <c r="C786" s="2" t="s">
        <v>191</v>
      </c>
      <c r="D786" s="2" t="s">
        <v>472</v>
      </c>
      <c r="E786" s="4">
        <v>24.99</v>
      </c>
      <c r="F786" s="4">
        <v>374.34</v>
      </c>
      <c r="G786" s="3">
        <v>15</v>
      </c>
      <c r="H786" s="6">
        <v>3.8</v>
      </c>
      <c r="I786" s="3">
        <v>13</v>
      </c>
      <c r="J786" s="13" t="str">
        <f>HYPERLINK("https://amazon.com/dp/B0CQ55VS2B","Amazon - B0CQ55VS2B")</f>
        <v>Amazon - B0CQ55VS2B</v>
      </c>
      <c r="K786" s="14" t="s">
        <v>443</v>
      </c>
      <c r="L786" s="14" t="s">
        <v>303</v>
      </c>
      <c r="M786" s="14" t="s">
        <v>503</v>
      </c>
      <c r="N786" s="14" t="s">
        <v>446</v>
      </c>
      <c r="O786" s="14" t="s">
        <v>303</v>
      </c>
    </row>
    <row r="787" spans="1:15" ht="30" x14ac:dyDescent="0.2">
      <c r="A787" s="2" t="s">
        <v>2112</v>
      </c>
      <c r="B787" s="2" t="s">
        <v>2113</v>
      </c>
      <c r="C787" s="2" t="s">
        <v>29</v>
      </c>
      <c r="D787" s="2" t="s">
        <v>472</v>
      </c>
      <c r="E787" s="4">
        <v>659.99</v>
      </c>
      <c r="F787" s="4">
        <v>373.01</v>
      </c>
      <c r="G787" s="3">
        <v>1</v>
      </c>
      <c r="H787" s="6">
        <v>4.5999999999999996</v>
      </c>
      <c r="I787" s="3">
        <v>5</v>
      </c>
      <c r="J787" s="13" t="str">
        <f>HYPERLINK("https://amazon.com/dp/B0DP1XJSKS","Amazon - B0DP1XJSKS")</f>
        <v>Amazon - B0DP1XJSKS</v>
      </c>
      <c r="K787" s="14" t="s">
        <v>443</v>
      </c>
      <c r="L787" s="14" t="s">
        <v>303</v>
      </c>
      <c r="M787" s="14" t="s">
        <v>503</v>
      </c>
      <c r="N787" s="14" t="s">
        <v>446</v>
      </c>
      <c r="O787" s="14" t="s">
        <v>517</v>
      </c>
    </row>
    <row r="788" spans="1:15" ht="30" x14ac:dyDescent="0.2">
      <c r="A788" s="2" t="s">
        <v>2114</v>
      </c>
      <c r="B788" s="2" t="s">
        <v>2115</v>
      </c>
      <c r="C788" s="2" t="s">
        <v>192</v>
      </c>
      <c r="D788" s="2" t="s">
        <v>450</v>
      </c>
      <c r="E788" s="4">
        <v>45.99</v>
      </c>
      <c r="F788" s="4">
        <v>371.39</v>
      </c>
      <c r="G788" s="3">
        <v>10</v>
      </c>
      <c r="H788" s="6">
        <v>4.2</v>
      </c>
      <c r="I788" s="3">
        <v>20</v>
      </c>
      <c r="J788" s="13" t="str">
        <f>HYPERLINK("https://amazon.com/dp/B0D2WGHKZQ","Amazon - B0D2WGHKZQ")</f>
        <v>Amazon - B0D2WGHKZQ</v>
      </c>
      <c r="K788" s="14" t="s">
        <v>443</v>
      </c>
      <c r="L788" s="14" t="s">
        <v>451</v>
      </c>
      <c r="M788" s="14" t="s">
        <v>303</v>
      </c>
      <c r="N788" s="14" t="s">
        <v>446</v>
      </c>
      <c r="O788" s="14" t="s">
        <v>453</v>
      </c>
    </row>
    <row r="789" spans="1:15" ht="45" x14ac:dyDescent="0.2">
      <c r="A789" s="2" t="s">
        <v>2116</v>
      </c>
      <c r="B789" s="2" t="s">
        <v>2117</v>
      </c>
      <c r="C789" s="2" t="s">
        <v>13</v>
      </c>
      <c r="D789" s="2" t="s">
        <v>472</v>
      </c>
      <c r="E789" s="4">
        <v>399.99</v>
      </c>
      <c r="F789" s="4">
        <v>370.61</v>
      </c>
      <c r="G789" s="3">
        <v>1</v>
      </c>
      <c r="H789" s="6">
        <v>4.3</v>
      </c>
      <c r="I789" s="3">
        <v>83</v>
      </c>
      <c r="J789" s="13" t="str">
        <f>HYPERLINK("https://amazon.com/dp/B07T7G66P8","Amazon - B07T7G66P8")</f>
        <v>Amazon - B07T7G66P8</v>
      </c>
      <c r="K789" s="14" t="s">
        <v>443</v>
      </c>
      <c r="L789" s="14" t="s">
        <v>667</v>
      </c>
      <c r="M789" s="14" t="s">
        <v>303</v>
      </c>
      <c r="N789" s="14" t="s">
        <v>446</v>
      </c>
      <c r="O789" s="14" t="s">
        <v>517</v>
      </c>
    </row>
    <row r="790" spans="1:15" ht="45" x14ac:dyDescent="0.2">
      <c r="A790" s="2" t="s">
        <v>2118</v>
      </c>
      <c r="B790" s="2" t="s">
        <v>2119</v>
      </c>
      <c r="C790" s="2" t="s">
        <v>40</v>
      </c>
      <c r="D790" s="2" t="s">
        <v>472</v>
      </c>
      <c r="E790" s="4">
        <v>320</v>
      </c>
      <c r="F790" s="4">
        <v>370.04</v>
      </c>
      <c r="G790" s="3">
        <v>1</v>
      </c>
      <c r="H790" s="6">
        <v>5</v>
      </c>
      <c r="I790" s="3">
        <v>4</v>
      </c>
      <c r="J790" s="13" t="str">
        <f>HYPERLINK("https://amazon.com/dp/B0F3VYBY11","Amazon - B0F3VYBY11")</f>
        <v>Amazon - B0F3VYBY11</v>
      </c>
      <c r="K790" s="14" t="s">
        <v>443</v>
      </c>
      <c r="L790" s="14" t="s">
        <v>502</v>
      </c>
      <c r="M790" s="14" t="s">
        <v>503</v>
      </c>
      <c r="N790" s="14" t="s">
        <v>446</v>
      </c>
      <c r="O790" s="14" t="s">
        <v>527</v>
      </c>
    </row>
    <row r="791" spans="1:15" ht="30" x14ac:dyDescent="0.2">
      <c r="A791" s="2" t="s">
        <v>2120</v>
      </c>
      <c r="B791" s="2" t="s">
        <v>2121</v>
      </c>
      <c r="C791" s="2" t="s">
        <v>40</v>
      </c>
      <c r="D791" s="2" t="s">
        <v>472</v>
      </c>
      <c r="E791" s="4">
        <v>111.99</v>
      </c>
      <c r="F791" s="4">
        <v>367.59</v>
      </c>
      <c r="G791" s="3">
        <v>3</v>
      </c>
      <c r="H791" s="6">
        <v>3.6</v>
      </c>
      <c r="I791" s="3">
        <v>4</v>
      </c>
      <c r="J791" s="13" t="str">
        <f>HYPERLINK("https://amazon.com/dp/B0C2ZNYCLG","Amazon - B0C2ZNYCLG")</f>
        <v>Amazon - B0C2ZNYCLG</v>
      </c>
      <c r="K791" s="14" t="s">
        <v>443</v>
      </c>
      <c r="L791" s="14" t="s">
        <v>303</v>
      </c>
      <c r="M791" s="14" t="s">
        <v>688</v>
      </c>
      <c r="N791" s="14" t="s">
        <v>446</v>
      </c>
      <c r="O791" s="14" t="s">
        <v>303</v>
      </c>
    </row>
    <row r="792" spans="1:15" ht="45" x14ac:dyDescent="0.2">
      <c r="A792" s="2" t="s">
        <v>2122</v>
      </c>
      <c r="B792" s="2" t="s">
        <v>2123</v>
      </c>
      <c r="C792" s="2" t="s">
        <v>33</v>
      </c>
      <c r="D792" s="2" t="s">
        <v>472</v>
      </c>
      <c r="E792" s="4">
        <v>265.04000000000002</v>
      </c>
      <c r="F792" s="4">
        <v>367.45</v>
      </c>
      <c r="G792" s="3">
        <v>1</v>
      </c>
      <c r="H792" s="6">
        <v>4.0999999999999996</v>
      </c>
      <c r="I792" s="3">
        <v>9</v>
      </c>
      <c r="J792" s="13" t="str">
        <f>HYPERLINK("https://amazon.com/dp/B0F2HHW8MQ","Amazon - B0F2HHW8MQ")</f>
        <v>Amazon - B0F2HHW8MQ</v>
      </c>
      <c r="K792" s="14" t="s">
        <v>443</v>
      </c>
      <c r="L792" s="14" t="s">
        <v>667</v>
      </c>
      <c r="M792" s="14" t="s">
        <v>688</v>
      </c>
      <c r="N792" s="14" t="s">
        <v>446</v>
      </c>
      <c r="O792" s="14" t="s">
        <v>303</v>
      </c>
    </row>
    <row r="793" spans="1:15" ht="30" x14ac:dyDescent="0.2">
      <c r="A793" s="2" t="s">
        <v>2124</v>
      </c>
      <c r="B793" s="2" t="s">
        <v>2125</v>
      </c>
      <c r="C793" s="2" t="s">
        <v>13</v>
      </c>
      <c r="D793" s="2" t="s">
        <v>472</v>
      </c>
      <c r="E793" s="4">
        <v>499.92</v>
      </c>
      <c r="F793" s="4">
        <v>365.9</v>
      </c>
      <c r="G793" s="3">
        <v>1</v>
      </c>
      <c r="H793" s="6">
        <v>4.3</v>
      </c>
      <c r="I793" s="3">
        <v>138</v>
      </c>
      <c r="J793" s="13" t="str">
        <f>HYPERLINK("https://amazon.com/dp/B0FP4TT49F","Amazon - B0FP4TT49F")</f>
        <v>Amazon - B0FP4TT49F</v>
      </c>
      <c r="K793" s="14" t="s">
        <v>443</v>
      </c>
      <c r="L793" s="14" t="s">
        <v>667</v>
      </c>
      <c r="M793" s="14" t="s">
        <v>303</v>
      </c>
      <c r="N793" s="14" t="s">
        <v>446</v>
      </c>
      <c r="O793" s="14" t="s">
        <v>517</v>
      </c>
    </row>
    <row r="794" spans="1:15" ht="30" x14ac:dyDescent="0.2">
      <c r="A794" s="2" t="s">
        <v>2126</v>
      </c>
      <c r="B794" s="2" t="s">
        <v>2127</v>
      </c>
      <c r="C794" s="2" t="s">
        <v>193</v>
      </c>
      <c r="D794" s="2" t="s">
        <v>472</v>
      </c>
      <c r="E794" s="4">
        <v>16.82</v>
      </c>
      <c r="F794" s="4">
        <v>365.67</v>
      </c>
      <c r="G794" s="3">
        <v>22</v>
      </c>
      <c r="H794" s="6">
        <v>4</v>
      </c>
      <c r="I794" s="3">
        <v>4</v>
      </c>
      <c r="J794" s="13" t="str">
        <f>HYPERLINK("https://amazon.com/dp/B0DGMZ92CH","Amazon - B0DGMZ92CH")</f>
        <v>Amazon - B0DGMZ92CH</v>
      </c>
      <c r="K794" s="14" t="s">
        <v>443</v>
      </c>
      <c r="L794" s="14" t="s">
        <v>303</v>
      </c>
      <c r="M794" s="14" t="s">
        <v>866</v>
      </c>
      <c r="N794" s="14" t="s">
        <v>446</v>
      </c>
      <c r="O794" s="14" t="s">
        <v>303</v>
      </c>
    </row>
    <row r="795" spans="1:15" ht="45" x14ac:dyDescent="0.2">
      <c r="A795" s="2" t="s">
        <v>2128</v>
      </c>
      <c r="B795" s="2" t="s">
        <v>2129</v>
      </c>
      <c r="C795" s="2" t="s">
        <v>149</v>
      </c>
      <c r="D795" s="2" t="s">
        <v>472</v>
      </c>
      <c r="E795" s="4">
        <v>259.99</v>
      </c>
      <c r="F795" s="4">
        <v>363.1</v>
      </c>
      <c r="G795" s="3">
        <v>1</v>
      </c>
      <c r="H795" s="6">
        <v>5</v>
      </c>
      <c r="I795" s="3">
        <v>2</v>
      </c>
      <c r="J795" s="13" t="str">
        <f>HYPERLINK("https://amazon.com/dp/B0DKJYWXFH","Amazon - B0DKJYWXFH")</f>
        <v>Amazon - B0DKJYWXFH</v>
      </c>
      <c r="K795" s="14" t="s">
        <v>443</v>
      </c>
      <c r="L795" s="14" t="s">
        <v>303</v>
      </c>
      <c r="M795" s="14" t="s">
        <v>303</v>
      </c>
      <c r="N795" s="14" t="s">
        <v>446</v>
      </c>
      <c r="O795" s="14" t="s">
        <v>303</v>
      </c>
    </row>
    <row r="796" spans="1:15" ht="45" x14ac:dyDescent="0.2">
      <c r="A796" s="2" t="s">
        <v>2130</v>
      </c>
      <c r="B796" s="2" t="s">
        <v>2131</v>
      </c>
      <c r="C796" s="2" t="s">
        <v>109</v>
      </c>
      <c r="D796" s="2" t="s">
        <v>823</v>
      </c>
      <c r="E796" s="4">
        <v>23.99</v>
      </c>
      <c r="F796" s="4">
        <v>359.08</v>
      </c>
      <c r="G796" s="3">
        <v>15</v>
      </c>
      <c r="H796" s="6">
        <v>3.9</v>
      </c>
      <c r="I796" s="3">
        <v>811</v>
      </c>
      <c r="J796" s="13" t="str">
        <f>HYPERLINK("https://amazon.com/dp/B09J4FLG34","Amazon - B09J4FLG34")</f>
        <v>Amazon - B09J4FLG34</v>
      </c>
      <c r="K796" s="14" t="s">
        <v>443</v>
      </c>
      <c r="L796" s="14" t="s">
        <v>451</v>
      </c>
      <c r="M796" s="14" t="s">
        <v>462</v>
      </c>
      <c r="N796" s="14" t="s">
        <v>446</v>
      </c>
      <c r="O796" s="14" t="s">
        <v>447</v>
      </c>
    </row>
    <row r="797" spans="1:15" x14ac:dyDescent="0.2">
      <c r="A797" s="2" t="s">
        <v>2132</v>
      </c>
      <c r="B797" s="2" t="s">
        <v>2133</v>
      </c>
      <c r="C797" s="2" t="s">
        <v>195</v>
      </c>
      <c r="D797" s="2" t="s">
        <v>442</v>
      </c>
      <c r="E797" s="4">
        <v>259.99</v>
      </c>
      <c r="F797" s="4">
        <v>358.46</v>
      </c>
      <c r="G797" s="3">
        <v>1</v>
      </c>
      <c r="H797" s="6">
        <v>3.4</v>
      </c>
      <c r="I797" s="3">
        <v>3</v>
      </c>
      <c r="J797" s="13" t="str">
        <f>HYPERLINK("https://amazon.com/dp/B0CRB2C49G","Amazon - B0CRB2C49G")</f>
        <v>Amazon - B0CRB2C49G</v>
      </c>
      <c r="K797" s="14" t="s">
        <v>443</v>
      </c>
      <c r="L797" s="14" t="s">
        <v>303</v>
      </c>
      <c r="M797" s="14" t="s">
        <v>303</v>
      </c>
      <c r="N797" s="14" t="s">
        <v>446</v>
      </c>
      <c r="O797" s="14" t="s">
        <v>494</v>
      </c>
    </row>
    <row r="798" spans="1:15" ht="30" x14ac:dyDescent="0.2">
      <c r="A798" s="2" t="s">
        <v>2134</v>
      </c>
      <c r="B798" s="2" t="s">
        <v>2135</v>
      </c>
      <c r="C798" s="2" t="s">
        <v>121</v>
      </c>
      <c r="D798" s="2" t="s">
        <v>450</v>
      </c>
      <c r="E798" s="4">
        <v>29.99</v>
      </c>
      <c r="F798" s="4">
        <v>356.96</v>
      </c>
      <c r="G798" s="3">
        <v>12</v>
      </c>
      <c r="H798" s="6">
        <v>4.5</v>
      </c>
      <c r="I798" s="3">
        <v>449</v>
      </c>
      <c r="J798" s="13" t="str">
        <f>HYPERLINK("https://amazon.com/dp/B0FHH166CS","Amazon - B0FHH166CS")</f>
        <v>Amazon - B0FHH166CS</v>
      </c>
      <c r="K798" s="14" t="s">
        <v>443</v>
      </c>
      <c r="L798" s="14" t="s">
        <v>456</v>
      </c>
      <c r="M798" s="14" t="s">
        <v>445</v>
      </c>
      <c r="N798" s="14" t="s">
        <v>446</v>
      </c>
      <c r="O798" s="14" t="s">
        <v>453</v>
      </c>
    </row>
    <row r="799" spans="1:15" ht="45" x14ac:dyDescent="0.2">
      <c r="A799" s="2" t="s">
        <v>2136</v>
      </c>
      <c r="B799" s="2" t="s">
        <v>2137</v>
      </c>
      <c r="C799" s="2" t="s">
        <v>13</v>
      </c>
      <c r="D799" s="2" t="s">
        <v>472</v>
      </c>
      <c r="E799" s="4">
        <v>299.99</v>
      </c>
      <c r="F799" s="4">
        <v>356.83</v>
      </c>
      <c r="G799" s="3">
        <v>1</v>
      </c>
      <c r="H799" s="6">
        <v>3.3</v>
      </c>
      <c r="I799" s="3">
        <v>2</v>
      </c>
      <c r="J799" s="13" t="str">
        <f>HYPERLINK("https://amazon.com/dp/B0CQ28WJT1","Amazon - B0CQ28WJT1")</f>
        <v>Amazon - B0CQ28WJT1</v>
      </c>
      <c r="K799" s="14" t="s">
        <v>443</v>
      </c>
      <c r="L799" s="14" t="s">
        <v>303</v>
      </c>
      <c r="M799" s="14" t="s">
        <v>503</v>
      </c>
      <c r="N799" s="14" t="s">
        <v>446</v>
      </c>
      <c r="O799" s="14" t="s">
        <v>303</v>
      </c>
    </row>
    <row r="800" spans="1:15" ht="45" x14ac:dyDescent="0.2">
      <c r="A800" s="2" t="s">
        <v>2138</v>
      </c>
      <c r="B800" s="2" t="s">
        <v>2139</v>
      </c>
      <c r="C800" s="2" t="s">
        <v>23</v>
      </c>
      <c r="D800" s="2" t="s">
        <v>472</v>
      </c>
      <c r="E800" s="4">
        <v>366.5</v>
      </c>
      <c r="F800" s="4">
        <v>354.37</v>
      </c>
      <c r="G800" s="3">
        <v>1</v>
      </c>
      <c r="H800" s="6">
        <v>4</v>
      </c>
      <c r="I800" s="3">
        <v>10</v>
      </c>
      <c r="J800" s="13" t="str">
        <f>HYPERLINK("https://amazon.com/dp/B0CSF5YNCV","Amazon - B0CSF5YNCV")</f>
        <v>Amazon - B0CSF5YNCV</v>
      </c>
      <c r="K800" s="14" t="s">
        <v>443</v>
      </c>
      <c r="L800" s="14" t="s">
        <v>502</v>
      </c>
      <c r="M800" s="14" t="s">
        <v>503</v>
      </c>
      <c r="N800" s="14" t="s">
        <v>446</v>
      </c>
      <c r="O800" s="14" t="s">
        <v>856</v>
      </c>
    </row>
    <row r="801" spans="1:15" ht="45" x14ac:dyDescent="0.2">
      <c r="A801" s="2" t="s">
        <v>2140</v>
      </c>
      <c r="B801" s="2" t="s">
        <v>2141</v>
      </c>
      <c r="C801" s="2" t="s">
        <v>156</v>
      </c>
      <c r="D801" s="2" t="s">
        <v>442</v>
      </c>
      <c r="E801" s="4">
        <v>85.99</v>
      </c>
      <c r="F801" s="4">
        <v>352.82</v>
      </c>
      <c r="G801" s="3">
        <v>4</v>
      </c>
      <c r="H801" s="6">
        <v>4.3</v>
      </c>
      <c r="I801" s="3">
        <v>67</v>
      </c>
      <c r="J801" s="13" t="str">
        <f>HYPERLINK("https://amazon.com/dp/B0DSHGG8VW","Amazon - B0DSHGG8VW")</f>
        <v>Amazon - B0DSHGG8VW</v>
      </c>
      <c r="K801" s="14" t="s">
        <v>443</v>
      </c>
      <c r="L801" s="14" t="s">
        <v>461</v>
      </c>
      <c r="M801" s="14" t="s">
        <v>457</v>
      </c>
      <c r="N801" s="14" t="s">
        <v>446</v>
      </c>
      <c r="O801" s="14" t="s">
        <v>458</v>
      </c>
    </row>
    <row r="802" spans="1:15" ht="45" x14ac:dyDescent="0.2">
      <c r="A802" s="2" t="s">
        <v>2142</v>
      </c>
      <c r="B802" s="2" t="s">
        <v>2143</v>
      </c>
      <c r="C802" s="2" t="s">
        <v>51</v>
      </c>
      <c r="D802" s="2" t="s">
        <v>450</v>
      </c>
      <c r="E802" s="4">
        <v>299.98</v>
      </c>
      <c r="F802" s="4">
        <v>351.69</v>
      </c>
      <c r="G802" s="3">
        <v>1</v>
      </c>
      <c r="H802" s="6">
        <v>0</v>
      </c>
      <c r="I802" s="3">
        <v>0</v>
      </c>
      <c r="J802" s="13" t="str">
        <f>HYPERLINK("https://amazon.com/dp/B09WGRSRFQ","Amazon - B09WGRSRFQ")</f>
        <v>Amazon - B09WGRSRFQ</v>
      </c>
      <c r="K802" s="14" t="s">
        <v>443</v>
      </c>
      <c r="L802" s="14" t="s">
        <v>451</v>
      </c>
      <c r="M802" s="14" t="s">
        <v>484</v>
      </c>
      <c r="N802" s="14" t="s">
        <v>446</v>
      </c>
      <c r="O802" s="14" t="s">
        <v>1302</v>
      </c>
    </row>
    <row r="803" spans="1:15" ht="30" x14ac:dyDescent="0.2">
      <c r="A803" s="2" t="s">
        <v>2144</v>
      </c>
      <c r="B803" s="2" t="s">
        <v>2145</v>
      </c>
      <c r="C803" s="2" t="s">
        <v>29</v>
      </c>
      <c r="D803" s="2" t="s">
        <v>472</v>
      </c>
      <c r="E803" s="4">
        <v>359.99</v>
      </c>
      <c r="F803" s="4">
        <v>350.13</v>
      </c>
      <c r="G803" s="3">
        <v>1</v>
      </c>
      <c r="H803" s="6">
        <v>4.5999999999999996</v>
      </c>
      <c r="I803" s="3">
        <v>5</v>
      </c>
      <c r="J803" s="13" t="str">
        <f>HYPERLINK("https://amazon.com/dp/B0DP1ZV47C","Amazon - B0DP1ZV47C")</f>
        <v>Amazon - B0DP1ZV47C</v>
      </c>
      <c r="K803" s="14" t="s">
        <v>443</v>
      </c>
      <c r="L803" s="14" t="s">
        <v>303</v>
      </c>
      <c r="M803" s="14" t="s">
        <v>503</v>
      </c>
      <c r="N803" s="14" t="s">
        <v>446</v>
      </c>
      <c r="O803" s="14" t="s">
        <v>517</v>
      </c>
    </row>
    <row r="804" spans="1:15" ht="30" x14ac:dyDescent="0.2">
      <c r="A804" s="2" t="s">
        <v>2146</v>
      </c>
      <c r="B804" s="2" t="s">
        <v>2147</v>
      </c>
      <c r="C804" s="2" t="s">
        <v>10</v>
      </c>
      <c r="D804" s="2" t="s">
        <v>442</v>
      </c>
      <c r="E804" s="4">
        <v>9.99</v>
      </c>
      <c r="F804" s="4">
        <v>347.1</v>
      </c>
      <c r="G804" s="3">
        <v>35</v>
      </c>
      <c r="H804" s="6">
        <v>4.4000000000000004</v>
      </c>
      <c r="I804" s="3">
        <v>27</v>
      </c>
      <c r="J804" s="13" t="str">
        <f>HYPERLINK("https://amazon.com/dp/B0DBDJ3FK2","Amazon - B0DBDJ3FK2")</f>
        <v>Amazon - B0DBDJ3FK2</v>
      </c>
      <c r="K804" s="14" t="s">
        <v>443</v>
      </c>
      <c r="L804" s="14" t="s">
        <v>303</v>
      </c>
      <c r="M804" s="14" t="s">
        <v>303</v>
      </c>
      <c r="N804" s="14" t="s">
        <v>446</v>
      </c>
      <c r="O804" s="14" t="s">
        <v>303</v>
      </c>
    </row>
    <row r="805" spans="1:15" ht="30" x14ac:dyDescent="0.2">
      <c r="A805" s="2" t="s">
        <v>2148</v>
      </c>
      <c r="B805" s="2" t="s">
        <v>2149</v>
      </c>
      <c r="C805" s="2" t="s">
        <v>51</v>
      </c>
      <c r="D805" s="2" t="s">
        <v>450</v>
      </c>
      <c r="E805" s="4">
        <v>149.97999999999999</v>
      </c>
      <c r="F805" s="4">
        <v>341</v>
      </c>
      <c r="G805" s="3">
        <v>2</v>
      </c>
      <c r="H805" s="6">
        <v>4.3</v>
      </c>
      <c r="I805" s="3">
        <v>12</v>
      </c>
      <c r="J805" s="13" t="str">
        <f>HYPERLINK("https://amazon.com/dp/B09WGXKK9J","Amazon - B09WGXKK9J")</f>
        <v>Amazon - B09WGXKK9J</v>
      </c>
      <c r="K805" s="14" t="s">
        <v>443</v>
      </c>
      <c r="L805" s="14" t="s">
        <v>451</v>
      </c>
      <c r="M805" s="14" t="s">
        <v>2150</v>
      </c>
      <c r="N805" s="14" t="s">
        <v>452</v>
      </c>
      <c r="O805" s="14" t="s">
        <v>2151</v>
      </c>
    </row>
    <row r="806" spans="1:15" ht="45" x14ac:dyDescent="0.2">
      <c r="A806" s="2" t="s">
        <v>2152</v>
      </c>
      <c r="B806" s="2" t="s">
        <v>2153</v>
      </c>
      <c r="C806" s="2" t="s">
        <v>21</v>
      </c>
      <c r="D806" s="2" t="s">
        <v>472</v>
      </c>
      <c r="E806" s="4">
        <v>259.99</v>
      </c>
      <c r="F806" s="4">
        <v>340.83</v>
      </c>
      <c r="G806" s="3">
        <v>1</v>
      </c>
      <c r="H806" s="6">
        <v>3.7</v>
      </c>
      <c r="I806" s="3">
        <v>11</v>
      </c>
      <c r="J806" s="13" t="str">
        <f>HYPERLINK("https://amazon.com/dp/B0FFGFYVK9","Amazon - B0FFGFYVK9")</f>
        <v>Amazon - B0FFGFYVK9</v>
      </c>
      <c r="K806" s="14" t="s">
        <v>443</v>
      </c>
      <c r="L806" s="14" t="s">
        <v>456</v>
      </c>
      <c r="M806" s="14" t="s">
        <v>303</v>
      </c>
      <c r="N806" s="14" t="s">
        <v>446</v>
      </c>
      <c r="O806" s="14" t="s">
        <v>517</v>
      </c>
    </row>
    <row r="807" spans="1:15" ht="45" x14ac:dyDescent="0.2">
      <c r="A807" s="2" t="s">
        <v>2154</v>
      </c>
      <c r="B807" s="2" t="s">
        <v>593</v>
      </c>
      <c r="C807" s="2" t="s">
        <v>28</v>
      </c>
      <c r="D807" s="2" t="s">
        <v>442</v>
      </c>
      <c r="E807" s="4">
        <v>34.99</v>
      </c>
      <c r="F807" s="4">
        <v>338.28</v>
      </c>
      <c r="G807" s="3">
        <v>10</v>
      </c>
      <c r="H807" s="6">
        <v>4.5999999999999996</v>
      </c>
      <c r="I807" s="3">
        <v>83</v>
      </c>
      <c r="J807" s="13" t="str">
        <f>HYPERLINK("https://amazon.com/dp/B0GGQM678V","Amazon - B0GGQM678V")</f>
        <v>Amazon - B0GGQM678V</v>
      </c>
      <c r="K807" s="14" t="s">
        <v>443</v>
      </c>
      <c r="L807" s="14" t="s">
        <v>456</v>
      </c>
      <c r="M807" s="14" t="s">
        <v>303</v>
      </c>
      <c r="N807" s="14" t="s">
        <v>452</v>
      </c>
      <c r="O807" s="14" t="s">
        <v>453</v>
      </c>
    </row>
    <row r="808" spans="1:15" ht="45" x14ac:dyDescent="0.2">
      <c r="A808" s="2" t="s">
        <v>2155</v>
      </c>
      <c r="B808" s="2" t="s">
        <v>2156</v>
      </c>
      <c r="C808" s="2" t="s">
        <v>196</v>
      </c>
      <c r="D808" s="2" t="s">
        <v>472</v>
      </c>
      <c r="E808" s="4">
        <v>121.62</v>
      </c>
      <c r="F808" s="4">
        <v>332.86</v>
      </c>
      <c r="G808" s="3">
        <v>4</v>
      </c>
      <c r="H808" s="6">
        <v>1</v>
      </c>
      <c r="I808" s="3">
        <v>1</v>
      </c>
      <c r="J808" s="13" t="str">
        <f>HYPERLINK("https://amazon.com/dp/B0C5F2VF9C","Amazon - B0C5F2VF9C")</f>
        <v>Amazon - B0C5F2VF9C</v>
      </c>
      <c r="K808" s="14" t="s">
        <v>443</v>
      </c>
      <c r="L808" s="14" t="s">
        <v>303</v>
      </c>
      <c r="M808" s="14" t="s">
        <v>503</v>
      </c>
      <c r="N808" s="14" t="s">
        <v>446</v>
      </c>
      <c r="O808" s="14" t="s">
        <v>303</v>
      </c>
    </row>
    <row r="809" spans="1:15" ht="30" x14ac:dyDescent="0.2">
      <c r="A809" s="2" t="s">
        <v>2157</v>
      </c>
      <c r="B809" s="2" t="s">
        <v>2158</v>
      </c>
      <c r="C809" s="2" t="s">
        <v>21</v>
      </c>
      <c r="D809" s="2" t="s">
        <v>472</v>
      </c>
      <c r="E809" s="4">
        <v>119.99</v>
      </c>
      <c r="F809" s="4">
        <v>331.69</v>
      </c>
      <c r="G809" s="3">
        <v>3</v>
      </c>
      <c r="H809" s="6">
        <v>0</v>
      </c>
      <c r="I809" s="3">
        <v>0</v>
      </c>
      <c r="J809" s="13" t="str">
        <f>HYPERLINK("https://amazon.com/dp/B0FZK5ZFHF","Amazon - B0FZK5ZFHF")</f>
        <v>Amazon - B0FZK5ZFHF</v>
      </c>
      <c r="K809" s="14" t="s">
        <v>443</v>
      </c>
      <c r="L809" s="14" t="s">
        <v>303</v>
      </c>
      <c r="M809" s="14" t="s">
        <v>503</v>
      </c>
      <c r="N809" s="14" t="s">
        <v>446</v>
      </c>
      <c r="O809" s="14" t="s">
        <v>303</v>
      </c>
    </row>
    <row r="810" spans="1:15" ht="45" x14ac:dyDescent="0.2">
      <c r="A810" s="2" t="s">
        <v>2159</v>
      </c>
      <c r="B810" s="2" t="s">
        <v>2160</v>
      </c>
      <c r="C810" s="2" t="s">
        <v>23</v>
      </c>
      <c r="D810" s="2" t="s">
        <v>472</v>
      </c>
      <c r="E810" s="4">
        <v>332.6</v>
      </c>
      <c r="F810" s="4">
        <v>329.56</v>
      </c>
      <c r="G810" s="3">
        <v>1</v>
      </c>
      <c r="H810" s="6">
        <v>4.3</v>
      </c>
      <c r="I810" s="3">
        <v>14</v>
      </c>
      <c r="J810" s="13" t="str">
        <f>HYPERLINK("https://amazon.com/dp/B0D9NVPM2Q","Amazon - B0D9NVPM2Q")</f>
        <v>Amazon - B0D9NVPM2Q</v>
      </c>
      <c r="K810" s="14" t="s">
        <v>443</v>
      </c>
      <c r="L810" s="14" t="s">
        <v>461</v>
      </c>
      <c r="M810" s="14" t="s">
        <v>688</v>
      </c>
      <c r="N810" s="14" t="s">
        <v>446</v>
      </c>
      <c r="O810" s="14" t="s">
        <v>856</v>
      </c>
    </row>
    <row r="811" spans="1:15" ht="45" x14ac:dyDescent="0.2">
      <c r="A811" s="2" t="s">
        <v>2161</v>
      </c>
      <c r="B811" s="2" t="s">
        <v>2162</v>
      </c>
      <c r="C811" s="2" t="s">
        <v>197</v>
      </c>
      <c r="D811" s="2" t="s">
        <v>472</v>
      </c>
      <c r="E811" s="4">
        <v>30.99</v>
      </c>
      <c r="F811" s="4">
        <v>329.32</v>
      </c>
      <c r="G811" s="3">
        <v>10</v>
      </c>
      <c r="H811" s="6">
        <v>4.0999999999999996</v>
      </c>
      <c r="I811" s="3">
        <v>251</v>
      </c>
      <c r="J811" s="13" t="str">
        <f>HYPERLINK("https://amazon.com/dp/B0DD2S2MXB","Amazon - B0DD2S2MXB")</f>
        <v>Amazon - B0DD2S2MXB</v>
      </c>
      <c r="K811" s="14" t="s">
        <v>443</v>
      </c>
      <c r="L811" s="14" t="s">
        <v>456</v>
      </c>
      <c r="M811" s="14" t="s">
        <v>462</v>
      </c>
      <c r="N811" s="14" t="s">
        <v>446</v>
      </c>
      <c r="O811" s="14" t="s">
        <v>303</v>
      </c>
    </row>
    <row r="812" spans="1:15" ht="45" x14ac:dyDescent="0.2">
      <c r="A812" s="2" t="s">
        <v>2163</v>
      </c>
      <c r="B812" s="2" t="s">
        <v>2164</v>
      </c>
      <c r="C812" s="2" t="s">
        <v>62</v>
      </c>
      <c r="D812" s="2" t="s">
        <v>450</v>
      </c>
      <c r="E812" s="4">
        <v>49</v>
      </c>
      <c r="F812" s="4">
        <v>329.22</v>
      </c>
      <c r="G812" s="3">
        <v>7</v>
      </c>
      <c r="H812" s="6">
        <v>4.3</v>
      </c>
      <c r="I812" s="3">
        <v>21</v>
      </c>
      <c r="J812" s="13" t="str">
        <f>HYPERLINK("https://amazon.com/dp/B0B316VKXM","Amazon - B0B316VKXM")</f>
        <v>Amazon - B0B316VKXM</v>
      </c>
      <c r="K812" s="14" t="s">
        <v>443</v>
      </c>
      <c r="L812" s="14" t="s">
        <v>303</v>
      </c>
      <c r="M812" s="14" t="s">
        <v>457</v>
      </c>
      <c r="N812" s="14" t="s">
        <v>446</v>
      </c>
      <c r="O812" s="14" t="s">
        <v>303</v>
      </c>
    </row>
    <row r="813" spans="1:15" ht="30" x14ac:dyDescent="0.2">
      <c r="A813" s="2" t="s">
        <v>2165</v>
      </c>
      <c r="B813" s="2" t="s">
        <v>2166</v>
      </c>
      <c r="C813" s="2" t="s">
        <v>51</v>
      </c>
      <c r="D813" s="2" t="s">
        <v>450</v>
      </c>
      <c r="E813" s="4">
        <v>299.98</v>
      </c>
      <c r="F813" s="4">
        <v>328.26</v>
      </c>
      <c r="G813" s="3">
        <v>1</v>
      </c>
      <c r="H813" s="6">
        <v>0</v>
      </c>
      <c r="I813" s="3">
        <v>0</v>
      </c>
      <c r="J813" s="13" t="str">
        <f>HYPERLINK("https://amazon.com/dp/B0DJWQD2QZ","Amazon - B0DJWQD2QZ")</f>
        <v>Amazon - B0DJWQD2QZ</v>
      </c>
      <c r="K813" s="14" t="s">
        <v>443</v>
      </c>
      <c r="L813" s="14" t="s">
        <v>451</v>
      </c>
      <c r="M813" s="14" t="s">
        <v>484</v>
      </c>
      <c r="N813" s="14" t="s">
        <v>446</v>
      </c>
      <c r="O813" s="14" t="s">
        <v>2167</v>
      </c>
    </row>
    <row r="814" spans="1:15" ht="30" x14ac:dyDescent="0.2">
      <c r="A814" s="2" t="s">
        <v>2168</v>
      </c>
      <c r="B814" s="2" t="s">
        <v>2169</v>
      </c>
      <c r="C814" s="2" t="s">
        <v>132</v>
      </c>
      <c r="D814" s="2" t="s">
        <v>442</v>
      </c>
      <c r="E814" s="4">
        <v>237.95</v>
      </c>
      <c r="F814" s="4">
        <v>328.26</v>
      </c>
      <c r="G814" s="3">
        <v>1</v>
      </c>
      <c r="H814" s="6">
        <v>4.3</v>
      </c>
      <c r="I814" s="3">
        <v>7</v>
      </c>
      <c r="J814" s="13" t="str">
        <f>HYPERLINK("https://amazon.com/dp/B076CH47TD","Amazon - B076CH47TD")</f>
        <v>Amazon - B076CH47TD</v>
      </c>
      <c r="K814" s="14" t="s">
        <v>443</v>
      </c>
      <c r="L814" s="14" t="s">
        <v>303</v>
      </c>
      <c r="M814" s="14" t="s">
        <v>303</v>
      </c>
      <c r="N814" s="14" t="s">
        <v>446</v>
      </c>
      <c r="O814" s="14" t="s">
        <v>303</v>
      </c>
    </row>
    <row r="815" spans="1:15" ht="30" x14ac:dyDescent="0.2">
      <c r="A815" s="2" t="s">
        <v>2170</v>
      </c>
      <c r="B815" s="2" t="s">
        <v>2171</v>
      </c>
      <c r="C815" s="2" t="s">
        <v>132</v>
      </c>
      <c r="D815" s="2" t="s">
        <v>823</v>
      </c>
      <c r="E815" s="4">
        <v>198.42</v>
      </c>
      <c r="F815" s="4">
        <v>326.51</v>
      </c>
      <c r="G815" s="3">
        <v>2</v>
      </c>
      <c r="H815" s="6">
        <v>3.9</v>
      </c>
      <c r="I815" s="3">
        <v>49</v>
      </c>
      <c r="J815" s="13" t="str">
        <f>HYPERLINK("https://amazon.com/dp/B08P2BY32L","Amazon - B08P2BY32L")</f>
        <v>Amazon - B08P2BY32L</v>
      </c>
      <c r="K815" s="14" t="s">
        <v>443</v>
      </c>
      <c r="L815" s="14" t="s">
        <v>451</v>
      </c>
      <c r="M815" s="14" t="s">
        <v>303</v>
      </c>
      <c r="N815" s="14" t="s">
        <v>446</v>
      </c>
      <c r="O815" s="14" t="s">
        <v>303</v>
      </c>
    </row>
    <row r="816" spans="1:15" ht="30" x14ac:dyDescent="0.2">
      <c r="A816" s="2" t="s">
        <v>2172</v>
      </c>
      <c r="B816" s="2" t="s">
        <v>2173</v>
      </c>
      <c r="C816" s="2" t="s">
        <v>8</v>
      </c>
      <c r="D816" s="2" t="s">
        <v>442</v>
      </c>
      <c r="E816" s="4">
        <v>69.989999999999995</v>
      </c>
      <c r="F816" s="4">
        <v>318.74</v>
      </c>
      <c r="G816" s="3">
        <v>5</v>
      </c>
      <c r="H816" s="6">
        <v>4.5</v>
      </c>
      <c r="I816" s="3">
        <v>4</v>
      </c>
      <c r="J816" s="13" t="str">
        <f>HYPERLINK("https://amazon.com/dp/B08QCZQMJ4","Amazon - B08QCZQMJ4")</f>
        <v>Amazon - B08QCZQMJ4</v>
      </c>
      <c r="K816" s="14" t="s">
        <v>443</v>
      </c>
      <c r="L816" s="14" t="s">
        <v>303</v>
      </c>
      <c r="M816" s="14" t="s">
        <v>462</v>
      </c>
      <c r="N816" s="14" t="s">
        <v>446</v>
      </c>
      <c r="O816" s="14" t="s">
        <v>487</v>
      </c>
    </row>
    <row r="817" spans="1:15" ht="45" x14ac:dyDescent="0.2">
      <c r="A817" s="2" t="s">
        <v>2174</v>
      </c>
      <c r="B817" s="2" t="s">
        <v>2175</v>
      </c>
      <c r="C817" s="2" t="s">
        <v>11</v>
      </c>
      <c r="D817" s="2" t="s">
        <v>450</v>
      </c>
      <c r="E817" s="4">
        <v>23.99</v>
      </c>
      <c r="F817" s="4">
        <v>318.17</v>
      </c>
      <c r="G817" s="3">
        <v>13</v>
      </c>
      <c r="H817" s="6">
        <v>4</v>
      </c>
      <c r="I817" s="3">
        <v>25</v>
      </c>
      <c r="J817" s="13" t="str">
        <f>HYPERLINK("https://amazon.com/dp/B0F6CSNVZJ","Amazon - B0F6CSNVZJ")</f>
        <v>Amazon - B0F6CSNVZJ</v>
      </c>
      <c r="K817" s="14" t="s">
        <v>443</v>
      </c>
      <c r="L817" s="14" t="s">
        <v>451</v>
      </c>
      <c r="M817" s="14" t="s">
        <v>303</v>
      </c>
      <c r="N817" s="14" t="s">
        <v>446</v>
      </c>
      <c r="O817" s="14" t="s">
        <v>453</v>
      </c>
    </row>
    <row r="818" spans="1:15" ht="45" x14ac:dyDescent="0.2">
      <c r="A818" s="2" t="s">
        <v>2176</v>
      </c>
      <c r="B818" s="2" t="s">
        <v>2177</v>
      </c>
      <c r="C818" s="2" t="s">
        <v>43</v>
      </c>
      <c r="D818" s="2" t="s">
        <v>472</v>
      </c>
      <c r="E818" s="4">
        <v>256.49</v>
      </c>
      <c r="F818" s="4">
        <v>318.13</v>
      </c>
      <c r="G818" s="3">
        <v>1</v>
      </c>
      <c r="H818" s="6">
        <v>4</v>
      </c>
      <c r="I818" s="3">
        <v>39</v>
      </c>
      <c r="J818" s="13" t="str">
        <f>HYPERLINK("https://amazon.com/dp/B0CBMQLGRZ","Amazon - B0CBMQLGRZ")</f>
        <v>Amazon - B0CBMQLGRZ</v>
      </c>
      <c r="K818" s="14" t="s">
        <v>443</v>
      </c>
      <c r="L818" s="14" t="s">
        <v>456</v>
      </c>
      <c r="M818" s="14" t="s">
        <v>303</v>
      </c>
      <c r="N818" s="14" t="s">
        <v>446</v>
      </c>
      <c r="O818" s="14" t="s">
        <v>742</v>
      </c>
    </row>
    <row r="819" spans="1:15" x14ac:dyDescent="0.2">
      <c r="A819" s="2" t="s">
        <v>2178</v>
      </c>
      <c r="B819" s="2" t="s">
        <v>2179</v>
      </c>
      <c r="C819" s="2" t="s">
        <v>13</v>
      </c>
      <c r="D819" s="2" t="s">
        <v>442</v>
      </c>
      <c r="E819" s="4">
        <v>289.99</v>
      </c>
      <c r="F819" s="4">
        <v>317.27</v>
      </c>
      <c r="G819" s="3">
        <v>1</v>
      </c>
      <c r="H819" s="6">
        <v>0</v>
      </c>
      <c r="I819" s="3">
        <v>0</v>
      </c>
      <c r="J819" s="13" t="str">
        <f>HYPERLINK("https://amazon.com/dp/B0FV8GH1PT","Amazon - B0FV8GH1PT")</f>
        <v>Amazon - B0FV8GH1PT</v>
      </c>
      <c r="K819" s="14" t="s">
        <v>443</v>
      </c>
      <c r="L819" s="14" t="s">
        <v>303</v>
      </c>
      <c r="M819" s="14" t="s">
        <v>303</v>
      </c>
      <c r="N819" s="14" t="s">
        <v>446</v>
      </c>
      <c r="O819" s="14" t="s">
        <v>303</v>
      </c>
    </row>
    <row r="820" spans="1:15" ht="30" x14ac:dyDescent="0.2">
      <c r="A820" s="2" t="s">
        <v>2180</v>
      </c>
      <c r="B820" s="2" t="s">
        <v>2181</v>
      </c>
      <c r="C820" s="2" t="s">
        <v>178</v>
      </c>
      <c r="D820" s="2" t="s">
        <v>442</v>
      </c>
      <c r="E820" s="4">
        <v>189.99</v>
      </c>
      <c r="F820" s="4">
        <v>317.14999999999998</v>
      </c>
      <c r="G820" s="3">
        <v>2</v>
      </c>
      <c r="H820" s="6">
        <v>3.8</v>
      </c>
      <c r="I820" s="3">
        <v>4</v>
      </c>
      <c r="J820" s="13" t="str">
        <f>HYPERLINK("https://amazon.com/dp/B00Z19DRNC","Amazon - B00Z19DRNC")</f>
        <v>Amazon - B00Z19DRNC</v>
      </c>
      <c r="K820" s="14" t="s">
        <v>443</v>
      </c>
      <c r="L820" s="14" t="s">
        <v>303</v>
      </c>
      <c r="M820" s="14" t="s">
        <v>445</v>
      </c>
      <c r="N820" s="14" t="s">
        <v>446</v>
      </c>
      <c r="O820" s="14" t="s">
        <v>543</v>
      </c>
    </row>
    <row r="821" spans="1:15" ht="45" x14ac:dyDescent="0.2">
      <c r="A821" s="2" t="s">
        <v>2182</v>
      </c>
      <c r="B821" s="2" t="s">
        <v>2183</v>
      </c>
      <c r="C821" s="2" t="s">
        <v>74</v>
      </c>
      <c r="D821" s="2" t="s">
        <v>442</v>
      </c>
      <c r="E821" s="4">
        <v>51.43</v>
      </c>
      <c r="F821" s="4">
        <v>313.83999999999997</v>
      </c>
      <c r="G821" s="3">
        <v>6</v>
      </c>
      <c r="H821" s="6">
        <v>4.3</v>
      </c>
      <c r="I821" s="3">
        <v>16</v>
      </c>
      <c r="J821" s="13" t="str">
        <f>HYPERLINK("https://amazon.com/dp/B0FM3D358Z","Amazon - B0FM3D358Z")</f>
        <v>Amazon - B0FM3D358Z</v>
      </c>
      <c r="K821" s="14" t="s">
        <v>443</v>
      </c>
      <c r="L821" s="14" t="s">
        <v>456</v>
      </c>
      <c r="M821" s="14" t="s">
        <v>303</v>
      </c>
      <c r="N821" s="14" t="s">
        <v>452</v>
      </c>
      <c r="O821" s="14" t="s">
        <v>629</v>
      </c>
    </row>
    <row r="822" spans="1:15" ht="45" x14ac:dyDescent="0.2">
      <c r="A822" s="2" t="s">
        <v>2184</v>
      </c>
      <c r="B822" s="2" t="s">
        <v>2185</v>
      </c>
      <c r="C822" s="2" t="s">
        <v>198</v>
      </c>
      <c r="D822" s="2" t="s">
        <v>442</v>
      </c>
      <c r="E822" s="4">
        <v>329.99</v>
      </c>
      <c r="F822" s="4">
        <v>311.52999999999997</v>
      </c>
      <c r="G822" s="3">
        <v>1</v>
      </c>
      <c r="H822" s="6">
        <v>0</v>
      </c>
      <c r="I822" s="3">
        <v>0</v>
      </c>
      <c r="J822" s="13" t="str">
        <f>HYPERLINK("https://amazon.com/dp/B098FVNLN4","Amazon - B098FVNLN4")</f>
        <v>Amazon - B098FVNLN4</v>
      </c>
      <c r="K822" s="14" t="s">
        <v>443</v>
      </c>
      <c r="L822" s="14" t="s">
        <v>461</v>
      </c>
      <c r="M822" s="14" t="s">
        <v>511</v>
      </c>
      <c r="N822" s="14" t="s">
        <v>446</v>
      </c>
      <c r="O822" s="14" t="s">
        <v>303</v>
      </c>
    </row>
    <row r="823" spans="1:15" ht="30" x14ac:dyDescent="0.2">
      <c r="A823" s="2" t="s">
        <v>2186</v>
      </c>
      <c r="B823" s="2" t="s">
        <v>2187</v>
      </c>
      <c r="C823" s="2" t="s">
        <v>29</v>
      </c>
      <c r="D823" s="2" t="s">
        <v>472</v>
      </c>
      <c r="E823" s="4">
        <v>188.93</v>
      </c>
      <c r="F823" s="4">
        <v>310.89</v>
      </c>
      <c r="G823" s="3">
        <v>2</v>
      </c>
      <c r="H823" s="6">
        <v>0</v>
      </c>
      <c r="I823" s="3">
        <v>0</v>
      </c>
      <c r="J823" s="13" t="str">
        <f>HYPERLINK("https://amazon.com/dp/B0DS7JTN6J","Amazon - B0DS7JTN6J")</f>
        <v>Amazon - B0DS7JTN6J</v>
      </c>
      <c r="K823" s="14" t="s">
        <v>443</v>
      </c>
      <c r="L823" s="14" t="s">
        <v>456</v>
      </c>
      <c r="M823" s="14" t="s">
        <v>677</v>
      </c>
      <c r="N823" s="14" t="s">
        <v>446</v>
      </c>
      <c r="O823" s="14" t="s">
        <v>742</v>
      </c>
    </row>
    <row r="824" spans="1:15" ht="45" x14ac:dyDescent="0.2">
      <c r="A824" s="2" t="s">
        <v>2188</v>
      </c>
      <c r="B824" s="2" t="s">
        <v>2189</v>
      </c>
      <c r="C824" s="2" t="s">
        <v>74</v>
      </c>
      <c r="D824" s="2" t="s">
        <v>442</v>
      </c>
      <c r="E824" s="4">
        <v>69.989999999999995</v>
      </c>
      <c r="F824" s="4">
        <v>310.88</v>
      </c>
      <c r="G824" s="3">
        <v>5</v>
      </c>
      <c r="H824" s="6">
        <v>4.3</v>
      </c>
      <c r="I824" s="3">
        <v>16</v>
      </c>
      <c r="J824" s="13" t="str">
        <f>HYPERLINK("https://amazon.com/dp/B0FCMCJD8F","Amazon - B0FCMCJD8F")</f>
        <v>Amazon - B0FCMCJD8F</v>
      </c>
      <c r="K824" s="14" t="s">
        <v>443</v>
      </c>
      <c r="L824" s="14" t="s">
        <v>461</v>
      </c>
      <c r="M824" s="14" t="s">
        <v>303</v>
      </c>
      <c r="N824" s="14" t="s">
        <v>473</v>
      </c>
      <c r="O824" s="14" t="s">
        <v>453</v>
      </c>
    </row>
    <row r="825" spans="1:15" ht="45" x14ac:dyDescent="0.2">
      <c r="A825" s="2" t="s">
        <v>2190</v>
      </c>
      <c r="B825" s="2" t="s">
        <v>2191</v>
      </c>
      <c r="C825" s="2" t="s">
        <v>84</v>
      </c>
      <c r="D825" s="2" t="s">
        <v>442</v>
      </c>
      <c r="E825" s="4">
        <v>145.99</v>
      </c>
      <c r="F825" s="4">
        <v>303.94</v>
      </c>
      <c r="G825" s="3">
        <v>2</v>
      </c>
      <c r="H825" s="6">
        <v>4</v>
      </c>
      <c r="I825" s="3">
        <v>3</v>
      </c>
      <c r="J825" s="13" t="str">
        <f>HYPERLINK("https://amazon.com/dp/B0GGSTXTKR","Amazon - B0GGSTXTKR")</f>
        <v>Amazon - B0GGSTXTKR</v>
      </c>
      <c r="K825" s="14" t="s">
        <v>443</v>
      </c>
      <c r="L825" s="14" t="s">
        <v>456</v>
      </c>
      <c r="M825" s="14" t="s">
        <v>577</v>
      </c>
      <c r="N825" s="14" t="s">
        <v>446</v>
      </c>
      <c r="O825" s="14" t="s">
        <v>303</v>
      </c>
    </row>
    <row r="826" spans="1:15" ht="30" x14ac:dyDescent="0.2">
      <c r="A826" s="2" t="s">
        <v>2192</v>
      </c>
      <c r="B826" s="2" t="s">
        <v>2193</v>
      </c>
      <c r="C826" s="2" t="s">
        <v>83</v>
      </c>
      <c r="D826" s="2" t="s">
        <v>442</v>
      </c>
      <c r="E826" s="4">
        <v>156.02000000000001</v>
      </c>
      <c r="F826" s="4">
        <v>303.60000000000002</v>
      </c>
      <c r="G826" s="3">
        <v>2</v>
      </c>
      <c r="H826" s="6">
        <v>4.2</v>
      </c>
      <c r="I826" s="3">
        <v>28</v>
      </c>
      <c r="J826" s="13" t="str">
        <f>HYPERLINK("https://amazon.com/dp/B003IFRITU","Amazon - B003IFRITU")</f>
        <v>Amazon - B003IFRITU</v>
      </c>
      <c r="K826" s="14" t="s">
        <v>443</v>
      </c>
      <c r="L826" s="14" t="s">
        <v>303</v>
      </c>
      <c r="M826" s="14" t="s">
        <v>303</v>
      </c>
      <c r="N826" s="14" t="s">
        <v>446</v>
      </c>
      <c r="O826" s="14" t="s">
        <v>303</v>
      </c>
    </row>
    <row r="827" spans="1:15" x14ac:dyDescent="0.2">
      <c r="A827" s="2" t="s">
        <v>2194</v>
      </c>
      <c r="B827" s="2" t="s">
        <v>2195</v>
      </c>
      <c r="C827" s="2" t="s">
        <v>13</v>
      </c>
      <c r="D827" s="2" t="s">
        <v>472</v>
      </c>
      <c r="E827" s="4">
        <v>129.99</v>
      </c>
      <c r="F827" s="4">
        <v>301.70999999999998</v>
      </c>
      <c r="G827" s="3">
        <v>2</v>
      </c>
      <c r="H827" s="6">
        <v>0</v>
      </c>
      <c r="I827" s="3">
        <v>0</v>
      </c>
      <c r="J827" s="13" t="str">
        <f>HYPERLINK("https://amazon.com/dp/B09MFBXTBD","Amazon - B09MFBXTBD")</f>
        <v>Amazon - B09MFBXTBD</v>
      </c>
      <c r="K827" s="14" t="s">
        <v>443</v>
      </c>
      <c r="L827" s="14" t="s">
        <v>667</v>
      </c>
      <c r="M827" s="14" t="s">
        <v>303</v>
      </c>
      <c r="N827" s="14" t="s">
        <v>446</v>
      </c>
      <c r="O827" s="14" t="s">
        <v>303</v>
      </c>
    </row>
    <row r="828" spans="1:15" ht="45" x14ac:dyDescent="0.2">
      <c r="A828" s="2" t="s">
        <v>2196</v>
      </c>
      <c r="B828" s="2" t="s">
        <v>2197</v>
      </c>
      <c r="C828" s="2" t="s">
        <v>173</v>
      </c>
      <c r="D828" s="2" t="s">
        <v>450</v>
      </c>
      <c r="E828" s="4">
        <v>270</v>
      </c>
      <c r="F828" s="4">
        <v>298.76</v>
      </c>
      <c r="G828" s="3">
        <v>1</v>
      </c>
      <c r="H828" s="6">
        <v>5</v>
      </c>
      <c r="I828" s="3">
        <v>1</v>
      </c>
      <c r="J828" s="13" t="str">
        <f>HYPERLINK("https://amazon.com/dp/B07Z5KPZR2","Amazon - B07Z5KPZR2")</f>
        <v>Amazon - B07Z5KPZR2</v>
      </c>
      <c r="K828" s="14" t="s">
        <v>443</v>
      </c>
      <c r="L828" s="14" t="s">
        <v>451</v>
      </c>
      <c r="M828" s="14" t="s">
        <v>511</v>
      </c>
      <c r="N828" s="14" t="s">
        <v>446</v>
      </c>
      <c r="O828" s="14" t="s">
        <v>303</v>
      </c>
    </row>
    <row r="829" spans="1:15" ht="30" x14ac:dyDescent="0.2">
      <c r="A829" s="2" t="s">
        <v>2198</v>
      </c>
      <c r="B829" s="2" t="s">
        <v>2199</v>
      </c>
      <c r="C829" s="2" t="s">
        <v>200</v>
      </c>
      <c r="D829" s="2" t="s">
        <v>442</v>
      </c>
      <c r="E829" s="4">
        <v>480</v>
      </c>
      <c r="F829" s="4">
        <v>298.26</v>
      </c>
      <c r="G829" s="3">
        <v>1</v>
      </c>
      <c r="H829" s="6">
        <v>4</v>
      </c>
      <c r="I829" s="3">
        <v>1</v>
      </c>
      <c r="J829" s="13" t="str">
        <f>HYPERLINK("https://amazon.com/dp/B09Y1R7MG7","Amazon - B09Y1R7MG7")</f>
        <v>Amazon - B09Y1R7MG7</v>
      </c>
      <c r="K829" s="14" t="s">
        <v>443</v>
      </c>
      <c r="L829" s="14" t="s">
        <v>303</v>
      </c>
      <c r="M829" s="14" t="s">
        <v>2200</v>
      </c>
      <c r="N829" s="14" t="s">
        <v>446</v>
      </c>
      <c r="O829" s="14" t="s">
        <v>303</v>
      </c>
    </row>
    <row r="830" spans="1:15" ht="45" x14ac:dyDescent="0.2">
      <c r="A830" s="2" t="s">
        <v>2201</v>
      </c>
      <c r="B830" s="2" t="s">
        <v>2202</v>
      </c>
      <c r="C830" s="2" t="s">
        <v>79</v>
      </c>
      <c r="D830" s="2" t="s">
        <v>472</v>
      </c>
      <c r="E830" s="4">
        <v>499.99</v>
      </c>
      <c r="F830" s="4">
        <v>291.95999999999998</v>
      </c>
      <c r="G830" s="3">
        <v>1</v>
      </c>
      <c r="H830" s="6">
        <v>4.4000000000000004</v>
      </c>
      <c r="I830" s="3">
        <v>17</v>
      </c>
      <c r="J830" s="13" t="str">
        <f>HYPERLINK("https://amazon.com/dp/B0DD47YYC6","Amazon - B0DD47YYC6")</f>
        <v>Amazon - B0DD47YYC6</v>
      </c>
      <c r="K830" s="14" t="s">
        <v>443</v>
      </c>
      <c r="L830" s="14" t="s">
        <v>502</v>
      </c>
      <c r="M830" s="14" t="s">
        <v>303</v>
      </c>
      <c r="N830" s="14" t="s">
        <v>446</v>
      </c>
      <c r="O830" s="14" t="s">
        <v>570</v>
      </c>
    </row>
    <row r="831" spans="1:15" ht="45" x14ac:dyDescent="0.2">
      <c r="A831" s="2" t="s">
        <v>2203</v>
      </c>
      <c r="B831" s="2" t="s">
        <v>2204</v>
      </c>
      <c r="C831" s="2" t="s">
        <v>201</v>
      </c>
      <c r="D831" s="2" t="s">
        <v>442</v>
      </c>
      <c r="E831" s="4">
        <v>112.99</v>
      </c>
      <c r="F831" s="4">
        <v>290.44</v>
      </c>
      <c r="G831" s="3">
        <v>3</v>
      </c>
      <c r="H831" s="6">
        <v>0</v>
      </c>
      <c r="I831" s="3">
        <v>0</v>
      </c>
      <c r="J831" s="13" t="str">
        <f>HYPERLINK("https://amazon.com/dp/B0FY1FZNR6","Amazon - B0FY1FZNR6")</f>
        <v>Amazon - B0FY1FZNR6</v>
      </c>
      <c r="K831" s="14" t="s">
        <v>443</v>
      </c>
      <c r="L831" s="14" t="s">
        <v>461</v>
      </c>
      <c r="M831" s="14" t="s">
        <v>511</v>
      </c>
      <c r="N831" s="14" t="s">
        <v>446</v>
      </c>
      <c r="O831" s="14" t="s">
        <v>447</v>
      </c>
    </row>
    <row r="832" spans="1:15" ht="45" x14ac:dyDescent="0.2">
      <c r="A832" s="2" t="s">
        <v>2205</v>
      </c>
      <c r="B832" s="2" t="s">
        <v>2206</v>
      </c>
      <c r="C832" s="2" t="s">
        <v>152</v>
      </c>
      <c r="D832" s="2" t="s">
        <v>472</v>
      </c>
      <c r="E832" s="4">
        <v>59.99</v>
      </c>
      <c r="F832" s="4">
        <v>290.22000000000003</v>
      </c>
      <c r="G832" s="3">
        <v>5</v>
      </c>
      <c r="H832" s="6">
        <v>4.8</v>
      </c>
      <c r="I832" s="3">
        <v>9</v>
      </c>
      <c r="J832" s="13" t="str">
        <f>HYPERLINK("https://amazon.com/dp/B0DR8W47C6","Amazon - B0DR8W47C6")</f>
        <v>Amazon - B0DR8W47C6</v>
      </c>
      <c r="K832" s="14" t="s">
        <v>443</v>
      </c>
      <c r="L832" s="14" t="s">
        <v>444</v>
      </c>
      <c r="M832" s="14" t="s">
        <v>303</v>
      </c>
      <c r="N832" s="14" t="s">
        <v>473</v>
      </c>
      <c r="O832" s="14" t="s">
        <v>453</v>
      </c>
    </row>
    <row r="833" spans="1:15" ht="30" x14ac:dyDescent="0.2">
      <c r="A833" s="2" t="s">
        <v>2207</v>
      </c>
      <c r="B833" s="2" t="s">
        <v>2208</v>
      </c>
      <c r="C833" s="2" t="s">
        <v>29</v>
      </c>
      <c r="D833" s="2" t="s">
        <v>472</v>
      </c>
      <c r="E833" s="4">
        <v>278.99</v>
      </c>
      <c r="F833" s="4">
        <v>289.63</v>
      </c>
      <c r="G833" s="3">
        <v>1</v>
      </c>
      <c r="H833" s="6">
        <v>3.5</v>
      </c>
      <c r="I833" s="3">
        <v>13</v>
      </c>
      <c r="J833" s="13" t="str">
        <f>HYPERLINK("https://amazon.com/dp/B0BGBNFSV2","Amazon - B0BGBNFSV2")</f>
        <v>Amazon - B0BGBNFSV2</v>
      </c>
      <c r="K833" s="14" t="s">
        <v>443</v>
      </c>
      <c r="L833" s="14" t="s">
        <v>502</v>
      </c>
      <c r="M833" s="14" t="s">
        <v>688</v>
      </c>
      <c r="N833" s="14" t="s">
        <v>446</v>
      </c>
      <c r="O833" s="14" t="s">
        <v>2209</v>
      </c>
    </row>
    <row r="834" spans="1:15" ht="45" x14ac:dyDescent="0.2">
      <c r="A834" s="2" t="s">
        <v>2210</v>
      </c>
      <c r="B834" s="2" t="s">
        <v>2211</v>
      </c>
      <c r="C834" s="2" t="s">
        <v>203</v>
      </c>
      <c r="D834" s="2" t="s">
        <v>450</v>
      </c>
      <c r="E834" s="4">
        <v>9.99</v>
      </c>
      <c r="F834" s="4">
        <v>283.60000000000002</v>
      </c>
      <c r="G834" s="3">
        <v>28</v>
      </c>
      <c r="H834" s="6">
        <v>3.5</v>
      </c>
      <c r="I834" s="3">
        <v>1045</v>
      </c>
      <c r="J834" s="13" t="str">
        <f>HYPERLINK("https://amazon.com/dp/B07RYN9QPC","Amazon - B07RYN9QPC")</f>
        <v>Amazon - B07RYN9QPC</v>
      </c>
      <c r="K834" s="14" t="s">
        <v>443</v>
      </c>
      <c r="L834" s="14" t="s">
        <v>451</v>
      </c>
      <c r="M834" s="14" t="s">
        <v>303</v>
      </c>
      <c r="N834" s="14" t="s">
        <v>446</v>
      </c>
      <c r="O834" s="14" t="s">
        <v>447</v>
      </c>
    </row>
    <row r="835" spans="1:15" ht="45" x14ac:dyDescent="0.2">
      <c r="A835" s="2" t="s">
        <v>2212</v>
      </c>
      <c r="B835" s="2" t="s">
        <v>2213</v>
      </c>
      <c r="C835" s="2" t="s">
        <v>138</v>
      </c>
      <c r="D835" s="2" t="s">
        <v>442</v>
      </c>
      <c r="E835" s="4">
        <v>89.99</v>
      </c>
      <c r="F835" s="4">
        <v>281.14</v>
      </c>
      <c r="G835" s="3">
        <v>3</v>
      </c>
      <c r="H835" s="6">
        <v>4.5999999999999996</v>
      </c>
      <c r="I835" s="3">
        <v>15</v>
      </c>
      <c r="J835" s="13" t="str">
        <f>HYPERLINK("https://amazon.com/dp/B0F6BG1FT7","Amazon - B0F6BG1FT7")</f>
        <v>Amazon - B0F6BG1FT7</v>
      </c>
      <c r="K835" s="14" t="s">
        <v>443</v>
      </c>
      <c r="L835" s="14" t="s">
        <v>461</v>
      </c>
      <c r="M835" s="14" t="s">
        <v>303</v>
      </c>
      <c r="N835" s="14" t="s">
        <v>446</v>
      </c>
      <c r="O835" s="14" t="s">
        <v>447</v>
      </c>
    </row>
    <row r="836" spans="1:15" ht="45" x14ac:dyDescent="0.2">
      <c r="A836" s="2" t="s">
        <v>2214</v>
      </c>
      <c r="B836" s="2" t="s">
        <v>2215</v>
      </c>
      <c r="C836" s="2" t="s">
        <v>23</v>
      </c>
      <c r="D836" s="2" t="s">
        <v>472</v>
      </c>
      <c r="E836" s="4">
        <v>259.99</v>
      </c>
      <c r="F836" s="4">
        <v>280.19</v>
      </c>
      <c r="G836" s="3">
        <v>1</v>
      </c>
      <c r="H836" s="6">
        <v>3.3</v>
      </c>
      <c r="I836" s="3">
        <v>8</v>
      </c>
      <c r="J836" s="13" t="str">
        <f>HYPERLINK("https://amazon.com/dp/B0F3DK6N13","Amazon - B0F3DK6N13")</f>
        <v>Amazon - B0F3DK6N13</v>
      </c>
      <c r="K836" s="14" t="s">
        <v>443</v>
      </c>
      <c r="L836" s="14" t="s">
        <v>461</v>
      </c>
      <c r="M836" s="14" t="s">
        <v>688</v>
      </c>
      <c r="N836" s="14" t="s">
        <v>446</v>
      </c>
      <c r="O836" s="14" t="s">
        <v>517</v>
      </c>
    </row>
    <row r="837" spans="1:15" ht="30" x14ac:dyDescent="0.2">
      <c r="A837" s="2" t="s">
        <v>2216</v>
      </c>
      <c r="B837" s="2" t="s">
        <v>2217</v>
      </c>
      <c r="C837" s="2" t="s">
        <v>204</v>
      </c>
      <c r="D837" s="2" t="s">
        <v>450</v>
      </c>
      <c r="E837" s="4">
        <v>46.69</v>
      </c>
      <c r="F837" s="4">
        <v>278.19</v>
      </c>
      <c r="G837" s="3">
        <v>6</v>
      </c>
      <c r="H837" s="6">
        <v>3.5</v>
      </c>
      <c r="I837" s="3">
        <v>151</v>
      </c>
      <c r="J837" s="13" t="str">
        <f>HYPERLINK("https://amazon.com/dp/B07DCHNNN4","Amazon - B07DCHNNN4")</f>
        <v>Amazon - B07DCHNNN4</v>
      </c>
      <c r="K837" s="14" t="s">
        <v>443</v>
      </c>
      <c r="L837" s="14" t="s">
        <v>1725</v>
      </c>
      <c r="M837" s="14" t="s">
        <v>303</v>
      </c>
      <c r="N837" s="14" t="s">
        <v>446</v>
      </c>
      <c r="O837" s="14" t="s">
        <v>917</v>
      </c>
    </row>
    <row r="838" spans="1:15" ht="45" x14ac:dyDescent="0.2">
      <c r="A838" s="2" t="s">
        <v>2218</v>
      </c>
      <c r="B838" s="2" t="s">
        <v>2219</v>
      </c>
      <c r="C838" s="2" t="s">
        <v>205</v>
      </c>
      <c r="D838" s="2" t="s">
        <v>442</v>
      </c>
      <c r="E838" s="4">
        <v>94.49</v>
      </c>
      <c r="F838" s="4">
        <v>278.08</v>
      </c>
      <c r="G838" s="3">
        <v>2</v>
      </c>
      <c r="H838" s="6">
        <v>5</v>
      </c>
      <c r="I838" s="3">
        <v>1</v>
      </c>
      <c r="J838" s="13" t="str">
        <f>HYPERLINK("https://amazon.com/dp/B0CLR1L4N7","Amazon - B0CLR1L4N7")</f>
        <v>Amazon - B0CLR1L4N7</v>
      </c>
      <c r="K838" s="14" t="s">
        <v>443</v>
      </c>
      <c r="L838" s="14" t="s">
        <v>461</v>
      </c>
      <c r="M838" s="14" t="s">
        <v>535</v>
      </c>
      <c r="N838" s="14" t="s">
        <v>446</v>
      </c>
      <c r="O838" s="14" t="s">
        <v>447</v>
      </c>
    </row>
    <row r="839" spans="1:15" ht="45" x14ac:dyDescent="0.2">
      <c r="A839" s="2" t="s">
        <v>2220</v>
      </c>
      <c r="B839" s="2" t="s">
        <v>2221</v>
      </c>
      <c r="C839" s="2" t="s">
        <v>189</v>
      </c>
      <c r="D839" s="2" t="s">
        <v>450</v>
      </c>
      <c r="E839" s="4">
        <v>19.989999999999998</v>
      </c>
      <c r="F839" s="4">
        <v>273.44</v>
      </c>
      <c r="G839" s="3">
        <v>14</v>
      </c>
      <c r="H839" s="6">
        <v>3.6</v>
      </c>
      <c r="I839" s="3">
        <v>19</v>
      </c>
      <c r="J839" s="13" t="str">
        <f>HYPERLINK("https://amazon.com/dp/B0FJQXBS5V","Amazon - B0FJQXBS5V")</f>
        <v>Amazon - B0FJQXBS5V</v>
      </c>
      <c r="K839" s="14" t="s">
        <v>443</v>
      </c>
      <c r="L839" s="14" t="s">
        <v>451</v>
      </c>
      <c r="M839" s="14" t="s">
        <v>303</v>
      </c>
      <c r="N839" s="14" t="s">
        <v>446</v>
      </c>
      <c r="O839" s="14" t="s">
        <v>303</v>
      </c>
    </row>
    <row r="840" spans="1:15" ht="45" x14ac:dyDescent="0.2">
      <c r="A840" s="2" t="s">
        <v>2222</v>
      </c>
      <c r="B840" s="2" t="s">
        <v>2223</v>
      </c>
      <c r="C840" s="2" t="s">
        <v>62</v>
      </c>
      <c r="D840" s="2" t="s">
        <v>450</v>
      </c>
      <c r="E840" s="4">
        <v>49</v>
      </c>
      <c r="F840" s="4">
        <v>272.87</v>
      </c>
      <c r="G840" s="3">
        <v>6</v>
      </c>
      <c r="H840" s="6">
        <v>4.5</v>
      </c>
      <c r="I840" s="3">
        <v>189</v>
      </c>
      <c r="J840" s="13" t="str">
        <f>HYPERLINK("https://amazon.com/dp/B00SUZ0P7U","Amazon - B00SUZ0P7U")</f>
        <v>Amazon - B00SUZ0P7U</v>
      </c>
      <c r="K840" s="14" t="s">
        <v>443</v>
      </c>
      <c r="L840" s="14" t="s">
        <v>303</v>
      </c>
      <c r="M840" s="14" t="s">
        <v>462</v>
      </c>
      <c r="N840" s="14" t="s">
        <v>446</v>
      </c>
      <c r="O840" s="14" t="s">
        <v>543</v>
      </c>
    </row>
    <row r="841" spans="1:15" ht="45" x14ac:dyDescent="0.2">
      <c r="A841" s="2" t="s">
        <v>2224</v>
      </c>
      <c r="B841" s="2" t="s">
        <v>2225</v>
      </c>
      <c r="C841" s="2" t="s">
        <v>13</v>
      </c>
      <c r="D841" s="2" t="s">
        <v>472</v>
      </c>
      <c r="E841" s="4">
        <v>229.92</v>
      </c>
      <c r="F841" s="4">
        <v>272.41000000000003</v>
      </c>
      <c r="G841" s="3">
        <v>1</v>
      </c>
      <c r="H841" s="6">
        <v>4.4000000000000004</v>
      </c>
      <c r="I841" s="3">
        <v>14</v>
      </c>
      <c r="J841" s="13" t="str">
        <f>HYPERLINK("https://amazon.com/dp/B0B2VN9NCN","Amazon - B0B2VN9NCN")</f>
        <v>Amazon - B0B2VN9NCN</v>
      </c>
      <c r="K841" s="14" t="s">
        <v>443</v>
      </c>
      <c r="L841" s="14" t="s">
        <v>303</v>
      </c>
      <c r="M841" s="14" t="s">
        <v>303</v>
      </c>
      <c r="N841" s="14" t="s">
        <v>446</v>
      </c>
      <c r="O841" s="14" t="s">
        <v>517</v>
      </c>
    </row>
    <row r="842" spans="1:15" ht="45" x14ac:dyDescent="0.2">
      <c r="A842" s="2" t="s">
        <v>2226</v>
      </c>
      <c r="B842" s="2" t="s">
        <v>2227</v>
      </c>
      <c r="C842" s="2" t="s">
        <v>206</v>
      </c>
      <c r="D842" s="2" t="s">
        <v>442</v>
      </c>
      <c r="E842" s="4">
        <v>59.99</v>
      </c>
      <c r="F842" s="4">
        <v>271.97000000000003</v>
      </c>
      <c r="G842" s="3">
        <v>5</v>
      </c>
      <c r="H842" s="6">
        <v>4.8</v>
      </c>
      <c r="I842" s="3">
        <v>39</v>
      </c>
      <c r="J842" s="13" t="str">
        <f>HYPERLINK("https://amazon.com/dp/B0DYDPG8WK","Amazon - B0DYDPG8WK")</f>
        <v>Amazon - B0DYDPG8WK</v>
      </c>
      <c r="K842" s="14" t="s">
        <v>443</v>
      </c>
      <c r="L842" s="14" t="s">
        <v>461</v>
      </c>
      <c r="M842" s="14" t="s">
        <v>303</v>
      </c>
      <c r="N842" s="14" t="s">
        <v>452</v>
      </c>
      <c r="O842" s="14" t="s">
        <v>453</v>
      </c>
    </row>
    <row r="843" spans="1:15" ht="45" x14ac:dyDescent="0.2">
      <c r="A843" s="2" t="s">
        <v>2228</v>
      </c>
      <c r="B843" s="2" t="s">
        <v>2229</v>
      </c>
      <c r="C843" s="2" t="s">
        <v>207</v>
      </c>
      <c r="D843" s="2" t="s">
        <v>472</v>
      </c>
      <c r="E843" s="4">
        <v>59.99</v>
      </c>
      <c r="F843" s="4">
        <v>271.79000000000002</v>
      </c>
      <c r="G843" s="3">
        <v>5</v>
      </c>
      <c r="H843" s="6">
        <v>4.4000000000000004</v>
      </c>
      <c r="I843" s="3">
        <v>4</v>
      </c>
      <c r="J843" s="13" t="str">
        <f>HYPERLINK("https://amazon.com/dp/B0G7G3DN5G","Amazon - B0G7G3DN5G")</f>
        <v>Amazon - B0G7G3DN5G</v>
      </c>
      <c r="K843" s="14" t="s">
        <v>443</v>
      </c>
      <c r="L843" s="14" t="s">
        <v>456</v>
      </c>
      <c r="M843" s="14" t="s">
        <v>303</v>
      </c>
      <c r="N843" s="14" t="s">
        <v>452</v>
      </c>
      <c r="O843" s="14" t="s">
        <v>453</v>
      </c>
    </row>
    <row r="844" spans="1:15" ht="45" x14ac:dyDescent="0.2">
      <c r="A844" s="2" t="s">
        <v>2230</v>
      </c>
      <c r="B844" s="2" t="s">
        <v>2231</v>
      </c>
      <c r="C844" s="2" t="s">
        <v>161</v>
      </c>
      <c r="D844" s="2" t="s">
        <v>442</v>
      </c>
      <c r="E844" s="4">
        <v>78.8</v>
      </c>
      <c r="F844" s="4">
        <v>271.19</v>
      </c>
      <c r="G844" s="3">
        <v>3</v>
      </c>
      <c r="H844" s="6">
        <v>4.4000000000000004</v>
      </c>
      <c r="I844" s="3">
        <v>9</v>
      </c>
      <c r="J844" s="13" t="str">
        <f>HYPERLINK("https://amazon.com/dp/B0DK6RFMLT","Amazon - B0DK6RFMLT")</f>
        <v>Amazon - B0DK6RFMLT</v>
      </c>
      <c r="K844" s="14" t="s">
        <v>443</v>
      </c>
      <c r="L844" s="14" t="s">
        <v>461</v>
      </c>
      <c r="M844" s="14" t="s">
        <v>484</v>
      </c>
      <c r="N844" s="14" t="s">
        <v>446</v>
      </c>
      <c r="O844" s="14" t="s">
        <v>543</v>
      </c>
    </row>
    <row r="845" spans="1:15" x14ac:dyDescent="0.2">
      <c r="A845" s="2" t="s">
        <v>2232</v>
      </c>
      <c r="B845" s="2" t="s">
        <v>2233</v>
      </c>
      <c r="C845" s="2" t="s">
        <v>137</v>
      </c>
      <c r="D845" s="2" t="s">
        <v>442</v>
      </c>
      <c r="E845" s="4">
        <v>549.99</v>
      </c>
      <c r="F845" s="4">
        <v>270.89</v>
      </c>
      <c r="G845" s="3">
        <v>1</v>
      </c>
      <c r="H845" s="6">
        <v>3.6</v>
      </c>
      <c r="I845" s="3">
        <v>7</v>
      </c>
      <c r="J845" s="13" t="str">
        <f>HYPERLINK("https://amazon.com/dp/B0DKR2SJ3B","Amazon - B0DKR2SJ3B")</f>
        <v>Amazon - B0DKR2SJ3B</v>
      </c>
      <c r="K845" s="14" t="s">
        <v>443</v>
      </c>
      <c r="L845" s="14" t="s">
        <v>303</v>
      </c>
      <c r="M845" s="14" t="s">
        <v>303</v>
      </c>
      <c r="N845" s="14" t="s">
        <v>452</v>
      </c>
      <c r="O845" s="14" t="s">
        <v>303</v>
      </c>
    </row>
    <row r="846" spans="1:15" ht="45" x14ac:dyDescent="0.2">
      <c r="A846" s="2" t="s">
        <v>2234</v>
      </c>
      <c r="B846" s="2" t="s">
        <v>2235</v>
      </c>
      <c r="C846" s="2" t="s">
        <v>208</v>
      </c>
      <c r="D846" s="2" t="s">
        <v>450</v>
      </c>
      <c r="E846" s="4">
        <v>30.3</v>
      </c>
      <c r="F846" s="4">
        <v>266.52999999999997</v>
      </c>
      <c r="G846" s="3">
        <v>9</v>
      </c>
      <c r="H846" s="6">
        <v>4.2</v>
      </c>
      <c r="I846" s="3">
        <v>92</v>
      </c>
      <c r="J846" s="13" t="str">
        <f>HYPERLINK("https://amazon.com/dp/B0DPFGJX73","Amazon - B0DPFGJX73")</f>
        <v>Amazon - B0DPFGJX73</v>
      </c>
      <c r="K846" s="14" t="s">
        <v>443</v>
      </c>
      <c r="L846" s="14" t="s">
        <v>451</v>
      </c>
      <c r="M846" s="14" t="s">
        <v>445</v>
      </c>
      <c r="N846" s="14" t="s">
        <v>452</v>
      </c>
      <c r="O846" s="14" t="s">
        <v>453</v>
      </c>
    </row>
    <row r="847" spans="1:15" ht="45" x14ac:dyDescent="0.2">
      <c r="A847" s="2" t="s">
        <v>2236</v>
      </c>
      <c r="B847" s="2" t="s">
        <v>2237</v>
      </c>
      <c r="C847" s="2" t="s">
        <v>33</v>
      </c>
      <c r="D847" s="2" t="s">
        <v>472</v>
      </c>
      <c r="E847" s="4">
        <v>199.99</v>
      </c>
      <c r="F847" s="4">
        <v>264.87</v>
      </c>
      <c r="G847" s="3">
        <v>1</v>
      </c>
      <c r="H847" s="6">
        <v>4.5999999999999996</v>
      </c>
      <c r="I847" s="3">
        <v>4</v>
      </c>
      <c r="J847" s="13" t="str">
        <f>HYPERLINK("https://amazon.com/dp/B0D3KPCPP1","Amazon - B0D3KPCPP1")</f>
        <v>Amazon - B0D3KPCPP1</v>
      </c>
      <c r="K847" s="14" t="s">
        <v>443</v>
      </c>
      <c r="L847" s="14" t="s">
        <v>461</v>
      </c>
      <c r="M847" s="14" t="s">
        <v>677</v>
      </c>
      <c r="N847" s="14" t="s">
        <v>446</v>
      </c>
      <c r="O847" s="14" t="s">
        <v>629</v>
      </c>
    </row>
    <row r="848" spans="1:15" ht="30" x14ac:dyDescent="0.2">
      <c r="A848" s="2" t="s">
        <v>2238</v>
      </c>
      <c r="B848" s="2" t="s">
        <v>2239</v>
      </c>
      <c r="C848" s="2" t="s">
        <v>40</v>
      </c>
      <c r="D848" s="2" t="s">
        <v>472</v>
      </c>
      <c r="E848" s="4">
        <v>129</v>
      </c>
      <c r="F848" s="4">
        <v>262.07</v>
      </c>
      <c r="G848" s="3">
        <v>2</v>
      </c>
      <c r="H848" s="6">
        <v>0</v>
      </c>
      <c r="I848" s="3">
        <v>0</v>
      </c>
      <c r="J848" s="13" t="str">
        <f>HYPERLINK("https://amazon.com/dp/B0BDLZNS72","Amazon - B0BDLZNS72")</f>
        <v>Amazon - B0BDLZNS72</v>
      </c>
      <c r="K848" s="14" t="s">
        <v>443</v>
      </c>
      <c r="L848" s="14" t="s">
        <v>456</v>
      </c>
      <c r="M848" s="14" t="s">
        <v>303</v>
      </c>
      <c r="N848" s="14" t="s">
        <v>446</v>
      </c>
      <c r="O848" s="14" t="s">
        <v>303</v>
      </c>
    </row>
    <row r="849" spans="1:15" ht="45" x14ac:dyDescent="0.2">
      <c r="A849" s="2" t="s">
        <v>2240</v>
      </c>
      <c r="B849" s="2" t="s">
        <v>2241</v>
      </c>
      <c r="C849" s="2" t="s">
        <v>74</v>
      </c>
      <c r="D849" s="2" t="s">
        <v>442</v>
      </c>
      <c r="E849" s="4">
        <v>89.99</v>
      </c>
      <c r="F849" s="4">
        <v>261.64999999999998</v>
      </c>
      <c r="G849" s="3">
        <v>3</v>
      </c>
      <c r="H849" s="6">
        <v>4.3</v>
      </c>
      <c r="I849" s="3">
        <v>16</v>
      </c>
      <c r="J849" s="13" t="str">
        <f>HYPERLINK("https://amazon.com/dp/B0FCMDKKZC","Amazon - B0FCMDKKZC")</f>
        <v>Amazon - B0FCMDKKZC</v>
      </c>
      <c r="K849" s="14" t="s">
        <v>443</v>
      </c>
      <c r="L849" s="14" t="s">
        <v>461</v>
      </c>
      <c r="M849" s="14" t="s">
        <v>303</v>
      </c>
      <c r="N849" s="14" t="s">
        <v>473</v>
      </c>
      <c r="O849" s="14" t="s">
        <v>479</v>
      </c>
    </row>
    <row r="850" spans="1:15" ht="45" x14ac:dyDescent="0.2">
      <c r="A850" s="2" t="s">
        <v>2242</v>
      </c>
      <c r="B850" s="2" t="s">
        <v>2243</v>
      </c>
      <c r="C850" s="2" t="s">
        <v>209</v>
      </c>
      <c r="D850" s="2" t="s">
        <v>442</v>
      </c>
      <c r="E850" s="4">
        <v>17.989999999999998</v>
      </c>
      <c r="F850" s="4">
        <v>260.74</v>
      </c>
      <c r="G850" s="3">
        <v>14</v>
      </c>
      <c r="H850" s="6">
        <v>4.4000000000000004</v>
      </c>
      <c r="I850" s="3">
        <v>16</v>
      </c>
      <c r="J850" s="13" t="str">
        <f>HYPERLINK("https://amazon.com/dp/B0DSV7NH64","Amazon - B0DSV7NH64")</f>
        <v>Amazon - B0DSV7NH64</v>
      </c>
      <c r="K850" s="14" t="s">
        <v>443</v>
      </c>
      <c r="L850" s="14" t="s">
        <v>456</v>
      </c>
      <c r="M850" s="14" t="s">
        <v>303</v>
      </c>
      <c r="N850" s="14" t="s">
        <v>446</v>
      </c>
      <c r="O850" s="14" t="s">
        <v>578</v>
      </c>
    </row>
    <row r="851" spans="1:15" ht="45" x14ac:dyDescent="0.2">
      <c r="A851" s="2" t="s">
        <v>2244</v>
      </c>
      <c r="B851" s="2" t="s">
        <v>2245</v>
      </c>
      <c r="C851" s="2" t="s">
        <v>113</v>
      </c>
      <c r="D851" s="2" t="s">
        <v>442</v>
      </c>
      <c r="E851" s="4">
        <v>39.99</v>
      </c>
      <c r="F851" s="4">
        <v>260.12</v>
      </c>
      <c r="G851" s="3">
        <v>7</v>
      </c>
      <c r="H851" s="6">
        <v>4.4000000000000004</v>
      </c>
      <c r="I851" s="3">
        <v>683</v>
      </c>
      <c r="J851" s="13" t="str">
        <f>HYPERLINK("https://amazon.com/dp/B0FHK1Z8WD","Amazon - B0FHK1Z8WD")</f>
        <v>Amazon - B0FHK1Z8WD</v>
      </c>
      <c r="K851" s="14" t="s">
        <v>443</v>
      </c>
      <c r="L851" s="14" t="s">
        <v>456</v>
      </c>
      <c r="M851" s="14" t="s">
        <v>445</v>
      </c>
      <c r="N851" s="14" t="s">
        <v>452</v>
      </c>
      <c r="O851" s="14" t="s">
        <v>453</v>
      </c>
    </row>
    <row r="852" spans="1:15" ht="45" x14ac:dyDescent="0.2">
      <c r="A852" s="2" t="s">
        <v>2246</v>
      </c>
      <c r="B852" s="2" t="s">
        <v>2247</v>
      </c>
      <c r="C852" s="2" t="s">
        <v>51</v>
      </c>
      <c r="D852" s="2" t="s">
        <v>823</v>
      </c>
      <c r="E852" s="4">
        <v>119.98</v>
      </c>
      <c r="F852" s="4">
        <v>257.99</v>
      </c>
      <c r="G852" s="3">
        <v>2</v>
      </c>
      <c r="H852" s="6">
        <v>4.5999999999999996</v>
      </c>
      <c r="I852" s="3">
        <v>4</v>
      </c>
      <c r="J852" s="13" t="str">
        <f>HYPERLINK("https://amazon.com/dp/B08QSMQ2GZ","Amazon - B08QSMQ2GZ")</f>
        <v>Amazon - B08QSMQ2GZ</v>
      </c>
      <c r="K852" s="14" t="s">
        <v>443</v>
      </c>
      <c r="L852" s="14" t="s">
        <v>451</v>
      </c>
      <c r="M852" s="14" t="s">
        <v>303</v>
      </c>
      <c r="N852" s="14" t="s">
        <v>446</v>
      </c>
      <c r="O852" s="14" t="s">
        <v>303</v>
      </c>
    </row>
    <row r="853" spans="1:15" ht="30" x14ac:dyDescent="0.2">
      <c r="A853" s="2" t="s">
        <v>2248</v>
      </c>
      <c r="B853" s="2" t="s">
        <v>2249</v>
      </c>
      <c r="C853" s="2" t="s">
        <v>148</v>
      </c>
      <c r="D853" s="2" t="s">
        <v>442</v>
      </c>
      <c r="E853" s="4">
        <v>29.99</v>
      </c>
      <c r="F853" s="4">
        <v>255.66</v>
      </c>
      <c r="G853" s="3">
        <v>9</v>
      </c>
      <c r="H853" s="6">
        <v>4.5</v>
      </c>
      <c r="I853" s="3">
        <v>3</v>
      </c>
      <c r="J853" s="13" t="str">
        <f>HYPERLINK("https://amazon.com/dp/B0DMVH4B71","Amazon - B0DMVH4B71")</f>
        <v>Amazon - B0DMVH4B71</v>
      </c>
      <c r="K853" s="14" t="s">
        <v>443</v>
      </c>
      <c r="L853" s="14" t="s">
        <v>456</v>
      </c>
      <c r="M853" s="14" t="s">
        <v>303</v>
      </c>
      <c r="N853" s="14" t="s">
        <v>446</v>
      </c>
      <c r="O853" s="14" t="s">
        <v>303</v>
      </c>
    </row>
    <row r="854" spans="1:15" ht="30" x14ac:dyDescent="0.2">
      <c r="A854" s="2" t="s">
        <v>2250</v>
      </c>
      <c r="B854" s="2" t="s">
        <v>2251</v>
      </c>
      <c r="C854" s="2" t="s">
        <v>8</v>
      </c>
      <c r="D854" s="2" t="s">
        <v>442</v>
      </c>
      <c r="E854" s="4">
        <v>79.989999999999995</v>
      </c>
      <c r="F854" s="4">
        <v>252.68</v>
      </c>
      <c r="G854" s="3">
        <v>3</v>
      </c>
      <c r="H854" s="6">
        <v>4.7</v>
      </c>
      <c r="I854" s="3">
        <v>9</v>
      </c>
      <c r="J854" s="13" t="str">
        <f>HYPERLINK("https://amazon.com/dp/B09P4WNYBB","Amazon - B09P4WNYBB")</f>
        <v>Amazon - B09P4WNYBB</v>
      </c>
      <c r="K854" s="14" t="s">
        <v>443</v>
      </c>
      <c r="L854" s="14" t="s">
        <v>303</v>
      </c>
      <c r="M854" s="14" t="s">
        <v>445</v>
      </c>
      <c r="N854" s="14" t="s">
        <v>473</v>
      </c>
      <c r="O854" s="14" t="s">
        <v>453</v>
      </c>
    </row>
    <row r="855" spans="1:15" ht="45" x14ac:dyDescent="0.2">
      <c r="A855" s="2" t="s">
        <v>2252</v>
      </c>
      <c r="B855" s="2" t="s">
        <v>2253</v>
      </c>
      <c r="C855" s="2" t="s">
        <v>9</v>
      </c>
      <c r="D855" s="2" t="s">
        <v>442</v>
      </c>
      <c r="E855" s="4">
        <v>14.99</v>
      </c>
      <c r="F855" s="4">
        <v>247.62</v>
      </c>
      <c r="G855" s="3">
        <v>15</v>
      </c>
      <c r="H855" s="6">
        <v>4.3</v>
      </c>
      <c r="I855" s="3">
        <v>150</v>
      </c>
      <c r="J855" s="13" t="str">
        <f>HYPERLINK("https://amazon.com/dp/B09KBSMWJ3","Amazon - B09KBSMWJ3")</f>
        <v>Amazon - B09KBSMWJ3</v>
      </c>
      <c r="K855" s="14" t="s">
        <v>443</v>
      </c>
      <c r="L855" s="14" t="s">
        <v>303</v>
      </c>
      <c r="M855" s="14" t="s">
        <v>445</v>
      </c>
      <c r="N855" s="14" t="s">
        <v>452</v>
      </c>
      <c r="O855" s="14" t="s">
        <v>303</v>
      </c>
    </row>
    <row r="856" spans="1:15" ht="45" x14ac:dyDescent="0.2">
      <c r="A856" s="2" t="s">
        <v>2254</v>
      </c>
      <c r="B856" s="2" t="s">
        <v>2255</v>
      </c>
      <c r="C856" s="2" t="s">
        <v>33</v>
      </c>
      <c r="D856" s="2" t="s">
        <v>472</v>
      </c>
      <c r="E856" s="4">
        <v>318.99</v>
      </c>
      <c r="F856" s="4">
        <v>242.58</v>
      </c>
      <c r="G856" s="3">
        <v>1</v>
      </c>
      <c r="H856" s="6">
        <v>5</v>
      </c>
      <c r="I856" s="3">
        <v>3</v>
      </c>
      <c r="J856" s="13" t="str">
        <f>HYPERLINK("https://amazon.com/dp/B0FJLSVGS7","Amazon - B0FJLSVGS7")</f>
        <v>Amazon - B0FJLSVGS7</v>
      </c>
      <c r="K856" s="14" t="s">
        <v>443</v>
      </c>
      <c r="L856" s="14" t="s">
        <v>667</v>
      </c>
      <c r="M856" s="14" t="s">
        <v>503</v>
      </c>
      <c r="N856" s="14" t="s">
        <v>446</v>
      </c>
      <c r="O856" s="14" t="s">
        <v>517</v>
      </c>
    </row>
    <row r="857" spans="1:15" ht="45" x14ac:dyDescent="0.2">
      <c r="A857" s="2" t="s">
        <v>2256</v>
      </c>
      <c r="B857" s="2" t="s">
        <v>2257</v>
      </c>
      <c r="C857" s="2" t="s">
        <v>66</v>
      </c>
      <c r="D857" s="2" t="s">
        <v>472</v>
      </c>
      <c r="E857" s="4">
        <v>189.86</v>
      </c>
      <c r="F857" s="4">
        <v>240.38</v>
      </c>
      <c r="G857" s="3">
        <v>1</v>
      </c>
      <c r="H857" s="6">
        <v>4.2</v>
      </c>
      <c r="I857" s="3">
        <v>8</v>
      </c>
      <c r="J857" s="13" t="str">
        <f>HYPERLINK("https://amazon.com/dp/B0FLQ3Y8J5","Amazon - B0FLQ3Y8J5")</f>
        <v>Amazon - B0FLQ3Y8J5</v>
      </c>
      <c r="K857" s="14" t="s">
        <v>443</v>
      </c>
      <c r="L857" s="14" t="s">
        <v>456</v>
      </c>
      <c r="M857" s="14" t="s">
        <v>688</v>
      </c>
      <c r="N857" s="14" t="s">
        <v>446</v>
      </c>
      <c r="O857" s="14" t="s">
        <v>742</v>
      </c>
    </row>
    <row r="858" spans="1:15" ht="45" x14ac:dyDescent="0.2">
      <c r="A858" s="2" t="s">
        <v>2258</v>
      </c>
      <c r="B858" s="2" t="s">
        <v>2259</v>
      </c>
      <c r="C858" s="2" t="s">
        <v>33</v>
      </c>
      <c r="D858" s="2" t="s">
        <v>472</v>
      </c>
      <c r="E858" s="4">
        <v>278.99</v>
      </c>
      <c r="F858" s="4">
        <v>240.17</v>
      </c>
      <c r="G858" s="3">
        <v>1</v>
      </c>
      <c r="H858" s="6">
        <v>5</v>
      </c>
      <c r="I858" s="3">
        <v>3</v>
      </c>
      <c r="J858" s="13" t="str">
        <f>HYPERLINK("https://amazon.com/dp/B0F2HHQ8MX","Amazon - B0F2HHQ8MX")</f>
        <v>Amazon - B0F2HHQ8MX</v>
      </c>
      <c r="K858" s="14" t="s">
        <v>443</v>
      </c>
      <c r="L858" s="14" t="s">
        <v>667</v>
      </c>
      <c r="M858" s="14" t="s">
        <v>503</v>
      </c>
      <c r="N858" s="14" t="s">
        <v>446</v>
      </c>
      <c r="O858" s="14" t="s">
        <v>917</v>
      </c>
    </row>
    <row r="859" spans="1:15" ht="45" x14ac:dyDescent="0.2">
      <c r="A859" s="2" t="s">
        <v>2260</v>
      </c>
      <c r="B859" s="2" t="s">
        <v>2261</v>
      </c>
      <c r="C859" s="2" t="s">
        <v>186</v>
      </c>
      <c r="D859" s="2" t="s">
        <v>442</v>
      </c>
      <c r="E859" s="4">
        <v>26</v>
      </c>
      <c r="F859" s="4">
        <v>239.11</v>
      </c>
      <c r="G859" s="3">
        <v>14</v>
      </c>
      <c r="H859" s="6">
        <v>4</v>
      </c>
      <c r="I859" s="3">
        <v>40</v>
      </c>
      <c r="J859" s="13" t="str">
        <f>HYPERLINK("https://amazon.com/dp/B0F4QQK5BN","Amazon - B0F4QQK5BN")</f>
        <v>Amazon - B0F4QQK5BN</v>
      </c>
      <c r="K859" s="14" t="s">
        <v>443</v>
      </c>
      <c r="L859" s="14" t="s">
        <v>303</v>
      </c>
      <c r="M859" s="14" t="s">
        <v>303</v>
      </c>
      <c r="N859" s="14" t="s">
        <v>452</v>
      </c>
      <c r="O859" s="14" t="s">
        <v>543</v>
      </c>
    </row>
    <row r="860" spans="1:15" ht="45" x14ac:dyDescent="0.2">
      <c r="A860" s="2" t="s">
        <v>2262</v>
      </c>
      <c r="B860" s="2" t="s">
        <v>2263</v>
      </c>
      <c r="C860" s="2" t="s">
        <v>29</v>
      </c>
      <c r="D860" s="2" t="s">
        <v>472</v>
      </c>
      <c r="E860" s="4">
        <v>233.45</v>
      </c>
      <c r="F860" s="4">
        <v>237.72</v>
      </c>
      <c r="G860" s="3">
        <v>1</v>
      </c>
      <c r="H860" s="6">
        <v>5</v>
      </c>
      <c r="I860" s="3">
        <v>3</v>
      </c>
      <c r="J860" s="13" t="str">
        <f>HYPERLINK("https://amazon.com/dp/B0FJL8WJG5","Amazon - B0FJL8WJG5")</f>
        <v>Amazon - B0FJL8WJG5</v>
      </c>
      <c r="K860" s="14" t="s">
        <v>443</v>
      </c>
      <c r="L860" s="14" t="s">
        <v>456</v>
      </c>
      <c r="M860" s="14" t="s">
        <v>503</v>
      </c>
      <c r="N860" s="14" t="s">
        <v>446</v>
      </c>
      <c r="O860" s="14" t="s">
        <v>517</v>
      </c>
    </row>
    <row r="861" spans="1:15" ht="30" x14ac:dyDescent="0.2">
      <c r="A861" s="2" t="s">
        <v>2264</v>
      </c>
      <c r="B861" s="2" t="s">
        <v>2265</v>
      </c>
      <c r="C861" s="2" t="s">
        <v>51</v>
      </c>
      <c r="D861" s="2" t="s">
        <v>823</v>
      </c>
      <c r="E861" s="4">
        <v>249.98</v>
      </c>
      <c r="F861" s="4">
        <v>233.73</v>
      </c>
      <c r="G861" s="3">
        <v>1</v>
      </c>
      <c r="H861" s="6">
        <v>3.8</v>
      </c>
      <c r="I861" s="3">
        <v>5</v>
      </c>
      <c r="J861" s="13" t="str">
        <f>HYPERLINK("https://amazon.com/dp/B07SLVDMBK","Amazon - B07SLVDMBK")</f>
        <v>Amazon - B07SLVDMBK</v>
      </c>
      <c r="K861" s="14" t="s">
        <v>443</v>
      </c>
      <c r="L861" s="14" t="s">
        <v>451</v>
      </c>
      <c r="M861" s="14" t="s">
        <v>511</v>
      </c>
      <c r="N861" s="14" t="s">
        <v>446</v>
      </c>
      <c r="O861" s="14" t="s">
        <v>303</v>
      </c>
    </row>
    <row r="862" spans="1:15" ht="45" x14ac:dyDescent="0.2">
      <c r="A862" s="2" t="s">
        <v>2266</v>
      </c>
      <c r="B862" s="2" t="s">
        <v>2267</v>
      </c>
      <c r="C862" s="2" t="s">
        <v>88</v>
      </c>
      <c r="D862" s="2" t="s">
        <v>450</v>
      </c>
      <c r="E862" s="4">
        <v>109.99</v>
      </c>
      <c r="F862" s="4">
        <v>228.71</v>
      </c>
      <c r="G862" s="3">
        <v>2</v>
      </c>
      <c r="H862" s="6">
        <v>5</v>
      </c>
      <c r="I862" s="3">
        <v>6</v>
      </c>
      <c r="J862" s="13" t="str">
        <f>HYPERLINK("https://amazon.com/dp/B0FB3815Z5","Amazon - B0FB3815Z5")</f>
        <v>Amazon - B0FB3815Z5</v>
      </c>
      <c r="K862" s="14" t="s">
        <v>443</v>
      </c>
      <c r="L862" s="14" t="s">
        <v>451</v>
      </c>
      <c r="M862" s="14" t="s">
        <v>457</v>
      </c>
      <c r="N862" s="14" t="s">
        <v>446</v>
      </c>
      <c r="O862" s="14" t="s">
        <v>543</v>
      </c>
    </row>
    <row r="863" spans="1:15" ht="30" x14ac:dyDescent="0.2">
      <c r="A863" s="2" t="s">
        <v>2268</v>
      </c>
      <c r="B863" s="2" t="s">
        <v>2269</v>
      </c>
      <c r="C863" s="2" t="s">
        <v>212</v>
      </c>
      <c r="D863" s="2" t="s">
        <v>442</v>
      </c>
      <c r="E863" s="4">
        <v>200</v>
      </c>
      <c r="F863" s="4">
        <v>225.76</v>
      </c>
      <c r="G863" s="3">
        <v>1</v>
      </c>
      <c r="H863" s="6">
        <v>0</v>
      </c>
      <c r="I863" s="3">
        <v>0</v>
      </c>
      <c r="J863" s="13" t="str">
        <f>HYPERLINK("https://amazon.com/dp/B0CPSJGH42","Amazon - B0CPSJGH42")</f>
        <v>Amazon - B0CPSJGH42</v>
      </c>
      <c r="K863" s="14" t="s">
        <v>443</v>
      </c>
      <c r="L863" s="14" t="s">
        <v>303</v>
      </c>
      <c r="M863" s="14" t="s">
        <v>303</v>
      </c>
      <c r="N863" s="14" t="s">
        <v>446</v>
      </c>
      <c r="O863" s="14" t="s">
        <v>303</v>
      </c>
    </row>
    <row r="864" spans="1:15" ht="30" x14ac:dyDescent="0.2">
      <c r="A864" s="2" t="s">
        <v>2270</v>
      </c>
      <c r="B864" s="2" t="s">
        <v>2271</v>
      </c>
      <c r="C864" s="2" t="s">
        <v>178</v>
      </c>
      <c r="D864" s="2" t="s">
        <v>823</v>
      </c>
      <c r="E864" s="4">
        <v>163.93</v>
      </c>
      <c r="F864" s="4">
        <v>225.1</v>
      </c>
      <c r="G864" s="3">
        <v>1</v>
      </c>
      <c r="H864" s="6">
        <v>3.7</v>
      </c>
      <c r="I864" s="3">
        <v>26</v>
      </c>
      <c r="J864" s="13" t="str">
        <f>HYPERLINK("https://amazon.com/dp/B01FHQ3V52","Amazon - B01FHQ3V52")</f>
        <v>Amazon - B01FHQ3V52</v>
      </c>
      <c r="K864" s="14" t="s">
        <v>443</v>
      </c>
      <c r="L864" s="14" t="s">
        <v>451</v>
      </c>
      <c r="M864" s="14" t="s">
        <v>303</v>
      </c>
      <c r="N864" s="14" t="s">
        <v>446</v>
      </c>
      <c r="O864" s="14" t="s">
        <v>303</v>
      </c>
    </row>
    <row r="865" spans="1:15" ht="45" x14ac:dyDescent="0.2">
      <c r="A865" s="2" t="s">
        <v>2272</v>
      </c>
      <c r="B865" s="2" t="s">
        <v>1762</v>
      </c>
      <c r="C865" s="2" t="s">
        <v>143</v>
      </c>
      <c r="D865" s="2" t="s">
        <v>450</v>
      </c>
      <c r="E865" s="4">
        <v>19.98</v>
      </c>
      <c r="F865" s="4">
        <v>224.92</v>
      </c>
      <c r="G865" s="3">
        <v>11</v>
      </c>
      <c r="H865" s="6">
        <v>4.2</v>
      </c>
      <c r="I865" s="3">
        <v>452</v>
      </c>
      <c r="J865" s="13" t="str">
        <f>HYPERLINK("https://amazon.com/dp/B0CQTG2RTJ","Amazon - B0CQTG2RTJ")</f>
        <v>Amazon - B0CQTG2RTJ</v>
      </c>
      <c r="K865" s="14" t="s">
        <v>443</v>
      </c>
      <c r="L865" s="14" t="s">
        <v>451</v>
      </c>
      <c r="M865" s="14" t="s">
        <v>303</v>
      </c>
      <c r="N865" s="14" t="s">
        <v>446</v>
      </c>
      <c r="O865" s="14" t="s">
        <v>453</v>
      </c>
    </row>
    <row r="866" spans="1:15" ht="30" x14ac:dyDescent="0.2">
      <c r="A866" s="2" t="s">
        <v>2273</v>
      </c>
      <c r="B866" s="2" t="s">
        <v>2274</v>
      </c>
      <c r="C866" s="2" t="s">
        <v>9</v>
      </c>
      <c r="D866" s="2" t="s">
        <v>472</v>
      </c>
      <c r="E866" s="4">
        <v>119.99</v>
      </c>
      <c r="F866" s="4">
        <v>224.59</v>
      </c>
      <c r="G866" s="3">
        <v>2</v>
      </c>
      <c r="H866" s="6">
        <v>4.0999999999999996</v>
      </c>
      <c r="I866" s="3">
        <v>144</v>
      </c>
      <c r="J866" s="13" t="str">
        <f>HYPERLINK("https://amazon.com/dp/B0CHMT32JF","Amazon - B0CHMT32JF")</f>
        <v>Amazon - B0CHMT32JF</v>
      </c>
      <c r="K866" s="14" t="s">
        <v>443</v>
      </c>
      <c r="L866" s="14" t="s">
        <v>461</v>
      </c>
      <c r="M866" s="14" t="s">
        <v>445</v>
      </c>
      <c r="N866" s="14" t="s">
        <v>452</v>
      </c>
      <c r="O866" s="14" t="s">
        <v>479</v>
      </c>
    </row>
    <row r="867" spans="1:15" ht="45" x14ac:dyDescent="0.2">
      <c r="A867" s="2" t="s">
        <v>2275</v>
      </c>
      <c r="B867" s="2" t="s">
        <v>2276</v>
      </c>
      <c r="C867" s="2" t="s">
        <v>14</v>
      </c>
      <c r="D867" s="2" t="s">
        <v>472</v>
      </c>
      <c r="E867" s="4">
        <v>209.99</v>
      </c>
      <c r="F867" s="4">
        <v>222.77</v>
      </c>
      <c r="G867" s="3">
        <v>1</v>
      </c>
      <c r="H867" s="6">
        <v>4.7</v>
      </c>
      <c r="I867" s="3">
        <v>3</v>
      </c>
      <c r="J867" s="13" t="str">
        <f>HYPERLINK("https://amazon.com/dp/B0B3DH6L6Q","Amazon - B0B3DH6L6Q")</f>
        <v>Amazon - B0B3DH6L6Q</v>
      </c>
      <c r="K867" s="14" t="s">
        <v>443</v>
      </c>
      <c r="L867" s="14" t="s">
        <v>303</v>
      </c>
      <c r="M867" s="14" t="s">
        <v>303</v>
      </c>
      <c r="N867" s="14" t="s">
        <v>446</v>
      </c>
      <c r="O867" s="14" t="s">
        <v>303</v>
      </c>
    </row>
    <row r="868" spans="1:15" ht="45" x14ac:dyDescent="0.2">
      <c r="A868" s="2" t="s">
        <v>2277</v>
      </c>
      <c r="B868" s="2" t="s">
        <v>2278</v>
      </c>
      <c r="C868" s="2" t="s">
        <v>194</v>
      </c>
      <c r="D868" s="2" t="s">
        <v>472</v>
      </c>
      <c r="E868" s="4">
        <v>34.19</v>
      </c>
      <c r="F868" s="4">
        <v>222.73</v>
      </c>
      <c r="G868" s="3">
        <v>7</v>
      </c>
      <c r="H868" s="6">
        <v>4.5999999999999996</v>
      </c>
      <c r="I868" s="3">
        <v>30</v>
      </c>
      <c r="J868" s="13" t="str">
        <f>HYPERLINK("https://amazon.com/dp/B0FBW54TJD","Amazon - B0FBW54TJD")</f>
        <v>Amazon - B0FBW54TJD</v>
      </c>
      <c r="K868" s="14" t="s">
        <v>443</v>
      </c>
      <c r="L868" s="14" t="s">
        <v>456</v>
      </c>
      <c r="M868" s="14" t="s">
        <v>303</v>
      </c>
      <c r="N868" s="14" t="s">
        <v>446</v>
      </c>
      <c r="O868" s="14" t="s">
        <v>453</v>
      </c>
    </row>
    <row r="869" spans="1:15" ht="30" x14ac:dyDescent="0.2">
      <c r="A869" s="2" t="s">
        <v>2279</v>
      </c>
      <c r="B869" s="2" t="s">
        <v>2280</v>
      </c>
      <c r="C869" s="2" t="s">
        <v>112</v>
      </c>
      <c r="D869" s="2" t="s">
        <v>442</v>
      </c>
      <c r="E869" s="4">
        <v>74.45</v>
      </c>
      <c r="F869" s="4">
        <v>219.63</v>
      </c>
      <c r="G869" s="3">
        <v>3</v>
      </c>
      <c r="H869" s="6">
        <v>0</v>
      </c>
      <c r="I869" s="3">
        <v>0</v>
      </c>
      <c r="J869" s="13" t="str">
        <f>HYPERLINK("https://amazon.com/dp/B0GHMGTBDF","Amazon - B0GHMGTBDF")</f>
        <v>Amazon - B0GHMGTBDF</v>
      </c>
      <c r="K869" s="14" t="s">
        <v>443</v>
      </c>
      <c r="L869" s="14" t="s">
        <v>303</v>
      </c>
      <c r="M869" s="14" t="s">
        <v>577</v>
      </c>
      <c r="N869" s="14" t="s">
        <v>446</v>
      </c>
      <c r="O869" s="14" t="s">
        <v>303</v>
      </c>
    </row>
    <row r="870" spans="1:15" ht="45" x14ac:dyDescent="0.2">
      <c r="A870" s="2" t="s">
        <v>2281</v>
      </c>
      <c r="B870" s="2" t="s">
        <v>2282</v>
      </c>
      <c r="C870" s="2" t="s">
        <v>110</v>
      </c>
      <c r="D870" s="2" t="s">
        <v>442</v>
      </c>
      <c r="E870" s="4">
        <v>109.99</v>
      </c>
      <c r="F870" s="4">
        <v>218.99</v>
      </c>
      <c r="G870" s="3">
        <v>2</v>
      </c>
      <c r="H870" s="6">
        <v>4.3</v>
      </c>
      <c r="I870" s="3">
        <v>45</v>
      </c>
      <c r="J870" s="13" t="str">
        <f>HYPERLINK("https://amazon.com/dp/B0DTNVS1MY","Amazon - B0DTNVS1MY")</f>
        <v>Amazon - B0DTNVS1MY</v>
      </c>
      <c r="K870" s="14" t="s">
        <v>443</v>
      </c>
      <c r="L870" s="14" t="s">
        <v>461</v>
      </c>
      <c r="M870" s="14" t="s">
        <v>484</v>
      </c>
      <c r="N870" s="14" t="s">
        <v>446</v>
      </c>
      <c r="O870" s="14" t="s">
        <v>578</v>
      </c>
    </row>
    <row r="871" spans="1:15" ht="30" x14ac:dyDescent="0.2">
      <c r="A871" s="2" t="s">
        <v>2283</v>
      </c>
      <c r="B871" s="2" t="s">
        <v>2284</v>
      </c>
      <c r="C871" s="2" t="s">
        <v>190</v>
      </c>
      <c r="D871" s="2" t="s">
        <v>442</v>
      </c>
      <c r="E871" s="4">
        <v>382</v>
      </c>
      <c r="F871" s="4">
        <v>216.51</v>
      </c>
      <c r="G871" s="3">
        <v>1</v>
      </c>
      <c r="H871" s="6">
        <v>5</v>
      </c>
      <c r="I871" s="3">
        <v>3</v>
      </c>
      <c r="J871" s="13" t="str">
        <f>HYPERLINK("https://amazon.com/dp/B0DHZQCZM4","Amazon - B0DHZQCZM4")</f>
        <v>Amazon - B0DHZQCZM4</v>
      </c>
      <c r="K871" s="14" t="s">
        <v>443</v>
      </c>
      <c r="L871" s="14" t="s">
        <v>303</v>
      </c>
      <c r="M871" s="14" t="s">
        <v>303</v>
      </c>
      <c r="N871" s="14" t="s">
        <v>446</v>
      </c>
      <c r="O871" s="14" t="s">
        <v>303</v>
      </c>
    </row>
    <row r="872" spans="1:15" ht="30" x14ac:dyDescent="0.2">
      <c r="A872" s="2" t="s">
        <v>2285</v>
      </c>
      <c r="B872" s="2" t="s">
        <v>2286</v>
      </c>
      <c r="C872" s="2" t="s">
        <v>55</v>
      </c>
      <c r="D872" s="2" t="s">
        <v>442</v>
      </c>
      <c r="E872" s="4">
        <v>60</v>
      </c>
      <c r="F872" s="4">
        <v>215.5</v>
      </c>
      <c r="G872" s="3">
        <v>4</v>
      </c>
      <c r="H872" s="6">
        <v>5</v>
      </c>
      <c r="I872" s="3">
        <v>3</v>
      </c>
      <c r="J872" s="13" t="str">
        <f>HYPERLINK("https://amazon.com/dp/B07P4CWV7V","Amazon - B07P4CWV7V")</f>
        <v>Amazon - B07P4CWV7V</v>
      </c>
      <c r="K872" s="14" t="s">
        <v>443</v>
      </c>
      <c r="L872" s="14" t="s">
        <v>303</v>
      </c>
      <c r="M872" s="14" t="s">
        <v>303</v>
      </c>
      <c r="N872" s="14" t="s">
        <v>446</v>
      </c>
      <c r="O872" s="14" t="s">
        <v>303</v>
      </c>
    </row>
    <row r="873" spans="1:15" ht="30" x14ac:dyDescent="0.2">
      <c r="A873" s="2" t="s">
        <v>2287</v>
      </c>
      <c r="B873" s="2" t="s">
        <v>2288</v>
      </c>
      <c r="C873" s="2" t="s">
        <v>19</v>
      </c>
      <c r="D873" s="2" t="s">
        <v>442</v>
      </c>
      <c r="E873" s="4">
        <v>68.510000000000005</v>
      </c>
      <c r="F873" s="4">
        <v>215.17</v>
      </c>
      <c r="G873" s="3">
        <v>3</v>
      </c>
      <c r="H873" s="6">
        <v>3.8</v>
      </c>
      <c r="I873" s="3">
        <v>7</v>
      </c>
      <c r="J873" s="13" t="str">
        <f>HYPERLINK("https://amazon.com/dp/B0DCGT58W8","Amazon - B0DCGT58W8")</f>
        <v>Amazon - B0DCGT58W8</v>
      </c>
      <c r="K873" s="14" t="s">
        <v>443</v>
      </c>
      <c r="L873" s="14" t="s">
        <v>303</v>
      </c>
      <c r="M873" s="14" t="s">
        <v>462</v>
      </c>
      <c r="N873" s="14" t="s">
        <v>446</v>
      </c>
      <c r="O873" s="14" t="s">
        <v>303</v>
      </c>
    </row>
    <row r="874" spans="1:15" ht="45" x14ac:dyDescent="0.2">
      <c r="A874" s="2" t="s">
        <v>2289</v>
      </c>
      <c r="B874" s="2" t="s">
        <v>2290</v>
      </c>
      <c r="C874" s="2" t="s">
        <v>215</v>
      </c>
      <c r="D874" s="2" t="s">
        <v>450</v>
      </c>
      <c r="E874" s="4">
        <v>28.99</v>
      </c>
      <c r="F874" s="4">
        <v>214.77</v>
      </c>
      <c r="G874" s="3">
        <v>7</v>
      </c>
      <c r="H874" s="6">
        <v>4.3</v>
      </c>
      <c r="I874" s="3">
        <v>120</v>
      </c>
      <c r="J874" s="13" t="str">
        <f>HYPERLINK("https://amazon.com/dp/B0CNZSQS12","Amazon - B0CNZSQS12")</f>
        <v>Amazon - B0CNZSQS12</v>
      </c>
      <c r="K874" s="14" t="s">
        <v>443</v>
      </c>
      <c r="L874" s="14" t="s">
        <v>451</v>
      </c>
      <c r="M874" s="14" t="s">
        <v>445</v>
      </c>
      <c r="N874" s="14" t="s">
        <v>446</v>
      </c>
      <c r="O874" s="14" t="s">
        <v>453</v>
      </c>
    </row>
    <row r="875" spans="1:15" ht="45" x14ac:dyDescent="0.2">
      <c r="A875" s="2" t="s">
        <v>2291</v>
      </c>
      <c r="B875" s="2" t="s">
        <v>2292</v>
      </c>
      <c r="C875" s="2" t="s">
        <v>14</v>
      </c>
      <c r="D875" s="2" t="s">
        <v>472</v>
      </c>
      <c r="E875" s="4">
        <v>139.99</v>
      </c>
      <c r="F875" s="4">
        <v>213.3</v>
      </c>
      <c r="G875" s="3">
        <v>2</v>
      </c>
      <c r="H875" s="6">
        <v>5</v>
      </c>
      <c r="I875" s="3">
        <v>2</v>
      </c>
      <c r="J875" s="13" t="str">
        <f>HYPERLINK("https://amazon.com/dp/B0BRMJGWXN","Amazon - B0BRMJGWXN")</f>
        <v>Amazon - B0BRMJGWXN</v>
      </c>
      <c r="K875" s="14" t="s">
        <v>443</v>
      </c>
      <c r="L875" s="14" t="s">
        <v>461</v>
      </c>
      <c r="M875" s="14" t="s">
        <v>303</v>
      </c>
      <c r="N875" s="14" t="s">
        <v>446</v>
      </c>
      <c r="O875" s="14" t="s">
        <v>303</v>
      </c>
    </row>
    <row r="876" spans="1:15" ht="45" x14ac:dyDescent="0.2">
      <c r="A876" s="2" t="s">
        <v>2293</v>
      </c>
      <c r="B876" s="2" t="s">
        <v>2294</v>
      </c>
      <c r="C876" s="2" t="s">
        <v>40</v>
      </c>
      <c r="D876" s="2" t="s">
        <v>472</v>
      </c>
      <c r="E876" s="4">
        <v>369</v>
      </c>
      <c r="F876" s="4">
        <v>209.91</v>
      </c>
      <c r="G876" s="3">
        <v>1</v>
      </c>
      <c r="H876" s="6">
        <v>5</v>
      </c>
      <c r="I876" s="3">
        <v>4</v>
      </c>
      <c r="J876" s="13" t="str">
        <f>HYPERLINK("https://amazon.com/dp/B0DZHP2ZXX","Amazon - B0DZHP2ZXX")</f>
        <v>Amazon - B0DZHP2ZXX</v>
      </c>
      <c r="K876" s="14" t="s">
        <v>443</v>
      </c>
      <c r="L876" s="14" t="s">
        <v>502</v>
      </c>
      <c r="M876" s="14" t="s">
        <v>503</v>
      </c>
      <c r="N876" s="14" t="s">
        <v>446</v>
      </c>
      <c r="O876" s="14" t="s">
        <v>742</v>
      </c>
    </row>
    <row r="877" spans="1:15" ht="45" x14ac:dyDescent="0.2">
      <c r="A877" s="2" t="s">
        <v>2295</v>
      </c>
      <c r="B877" s="2" t="s">
        <v>2296</v>
      </c>
      <c r="C877" s="2" t="s">
        <v>40</v>
      </c>
      <c r="D877" s="2" t="s">
        <v>472</v>
      </c>
      <c r="E877" s="4">
        <v>369</v>
      </c>
      <c r="F877" s="4">
        <v>208.82</v>
      </c>
      <c r="G877" s="3">
        <v>1</v>
      </c>
      <c r="H877" s="6">
        <v>5</v>
      </c>
      <c r="I877" s="3">
        <v>4</v>
      </c>
      <c r="J877" s="13" t="str">
        <f>HYPERLINK("https://amazon.com/dp/B0DZHMR933","Amazon - B0DZHMR933")</f>
        <v>Amazon - B0DZHMR933</v>
      </c>
      <c r="K877" s="14" t="s">
        <v>443</v>
      </c>
      <c r="L877" s="14" t="s">
        <v>667</v>
      </c>
      <c r="M877" s="14" t="s">
        <v>503</v>
      </c>
      <c r="N877" s="14" t="s">
        <v>446</v>
      </c>
      <c r="O877" s="14" t="s">
        <v>742</v>
      </c>
    </row>
    <row r="878" spans="1:15" ht="45" x14ac:dyDescent="0.2">
      <c r="A878" s="2" t="s">
        <v>2297</v>
      </c>
      <c r="B878" s="2" t="s">
        <v>2298</v>
      </c>
      <c r="C878" s="2" t="s">
        <v>23</v>
      </c>
      <c r="D878" s="2" t="s">
        <v>472</v>
      </c>
      <c r="E878" s="4">
        <v>289.89999999999998</v>
      </c>
      <c r="F878" s="4">
        <v>207.16</v>
      </c>
      <c r="G878" s="3">
        <v>1</v>
      </c>
      <c r="H878" s="6">
        <v>3.3</v>
      </c>
      <c r="I878" s="3">
        <v>8</v>
      </c>
      <c r="J878" s="13" t="str">
        <f>HYPERLINK("https://amazon.com/dp/B0FQJMQZFH","Amazon - B0FQJMQZFH")</f>
        <v>Amazon - B0FQJMQZFH</v>
      </c>
      <c r="K878" s="14" t="s">
        <v>443</v>
      </c>
      <c r="L878" s="14" t="s">
        <v>461</v>
      </c>
      <c r="M878" s="14" t="s">
        <v>688</v>
      </c>
      <c r="N878" s="14" t="s">
        <v>446</v>
      </c>
      <c r="O878" s="14" t="s">
        <v>1350</v>
      </c>
    </row>
    <row r="879" spans="1:15" ht="30" x14ac:dyDescent="0.2">
      <c r="A879" s="2" t="s">
        <v>2299</v>
      </c>
      <c r="B879" s="2" t="s">
        <v>2300</v>
      </c>
      <c r="C879" s="2" t="s">
        <v>149</v>
      </c>
      <c r="D879" s="2" t="s">
        <v>472</v>
      </c>
      <c r="E879" s="4">
        <v>299.99</v>
      </c>
      <c r="F879" s="4">
        <v>203.24</v>
      </c>
      <c r="G879" s="3">
        <v>1</v>
      </c>
      <c r="H879" s="6">
        <v>5</v>
      </c>
      <c r="I879" s="3">
        <v>2</v>
      </c>
      <c r="J879" s="13" t="str">
        <f>HYPERLINK("https://amazon.com/dp/B0DKJXC83Y","Amazon - B0DKJXC83Y")</f>
        <v>Amazon - B0DKJXC83Y</v>
      </c>
      <c r="K879" s="14" t="s">
        <v>443</v>
      </c>
      <c r="L879" s="14" t="s">
        <v>303</v>
      </c>
      <c r="M879" s="14" t="s">
        <v>303</v>
      </c>
      <c r="N879" s="14" t="s">
        <v>446</v>
      </c>
      <c r="O879" s="14" t="s">
        <v>303</v>
      </c>
    </row>
    <row r="880" spans="1:15" ht="45" x14ac:dyDescent="0.2">
      <c r="A880" s="2" t="s">
        <v>2301</v>
      </c>
      <c r="B880" s="2" t="s">
        <v>2302</v>
      </c>
      <c r="C880" s="2" t="s">
        <v>14</v>
      </c>
      <c r="D880" s="2" t="s">
        <v>472</v>
      </c>
      <c r="E880" s="4">
        <v>25.99</v>
      </c>
      <c r="F880" s="4">
        <v>202.52</v>
      </c>
      <c r="G880" s="3">
        <v>8</v>
      </c>
      <c r="H880" s="6">
        <v>5</v>
      </c>
      <c r="I880" s="3">
        <v>6</v>
      </c>
      <c r="J880" s="13" t="str">
        <f>HYPERLINK("https://amazon.com/dp/B0B3DBLPF2","Amazon - B0B3DBLPF2")</f>
        <v>Amazon - B0B3DBLPF2</v>
      </c>
      <c r="K880" s="14" t="s">
        <v>443</v>
      </c>
      <c r="L880" s="14" t="s">
        <v>303</v>
      </c>
      <c r="M880" s="14" t="s">
        <v>303</v>
      </c>
      <c r="N880" s="14" t="s">
        <v>446</v>
      </c>
      <c r="O880" s="14" t="s">
        <v>303</v>
      </c>
    </row>
    <row r="881" spans="1:15" ht="45" x14ac:dyDescent="0.2">
      <c r="A881" s="2" t="s">
        <v>2303</v>
      </c>
      <c r="B881" s="2" t="s">
        <v>2304</v>
      </c>
      <c r="C881" s="2" t="s">
        <v>34</v>
      </c>
      <c r="D881" s="2" t="s">
        <v>450</v>
      </c>
      <c r="E881" s="4">
        <v>24.99</v>
      </c>
      <c r="F881" s="4">
        <v>199.16</v>
      </c>
      <c r="G881" s="3">
        <v>8</v>
      </c>
      <c r="H881" s="6">
        <v>4.3</v>
      </c>
      <c r="I881" s="3">
        <v>639</v>
      </c>
      <c r="J881" s="13" t="str">
        <f>HYPERLINK("https://amazon.com/dp/B0FZGV4YHJ","Amazon - B0FZGV4YHJ")</f>
        <v>Amazon - B0FZGV4YHJ</v>
      </c>
      <c r="K881" s="14" t="s">
        <v>443</v>
      </c>
      <c r="L881" s="14" t="s">
        <v>451</v>
      </c>
      <c r="M881" s="14" t="s">
        <v>303</v>
      </c>
      <c r="N881" s="14" t="s">
        <v>446</v>
      </c>
      <c r="O881" s="14" t="s">
        <v>608</v>
      </c>
    </row>
    <row r="882" spans="1:15" x14ac:dyDescent="0.2">
      <c r="A882" s="2" t="s">
        <v>2305</v>
      </c>
      <c r="B882" s="2" t="s">
        <v>2306</v>
      </c>
      <c r="C882" s="2" t="s">
        <v>13</v>
      </c>
      <c r="D882" s="2" t="s">
        <v>472</v>
      </c>
      <c r="E882" s="4">
        <v>129.99</v>
      </c>
      <c r="F882" s="4">
        <v>199</v>
      </c>
      <c r="G882" s="3">
        <v>2</v>
      </c>
      <c r="H882" s="6">
        <v>0</v>
      </c>
      <c r="I882" s="3">
        <v>0</v>
      </c>
      <c r="J882" s="13" t="str">
        <f>HYPERLINK("https://amazon.com/dp/B0B6YNP8N2","Amazon - B0B6YNP8N2")</f>
        <v>Amazon - B0B6YNP8N2</v>
      </c>
      <c r="K882" s="14" t="s">
        <v>443</v>
      </c>
      <c r="L882" s="14" t="s">
        <v>667</v>
      </c>
      <c r="M882" s="14" t="s">
        <v>303</v>
      </c>
      <c r="N882" s="14" t="s">
        <v>446</v>
      </c>
      <c r="O882" s="14" t="s">
        <v>303</v>
      </c>
    </row>
    <row r="883" spans="1:15" ht="45" x14ac:dyDescent="0.2">
      <c r="A883" s="2" t="s">
        <v>2307</v>
      </c>
      <c r="B883" s="2" t="s">
        <v>2308</v>
      </c>
      <c r="C883" s="2" t="s">
        <v>14</v>
      </c>
      <c r="D883" s="2" t="s">
        <v>472</v>
      </c>
      <c r="E883" s="4">
        <v>319.99</v>
      </c>
      <c r="F883" s="4">
        <v>196.07</v>
      </c>
      <c r="G883" s="3">
        <v>1</v>
      </c>
      <c r="H883" s="6">
        <v>4.7</v>
      </c>
      <c r="I883" s="3">
        <v>3</v>
      </c>
      <c r="J883" s="13" t="str">
        <f>HYPERLINK("https://amazon.com/dp/B0BCK4ZV3G","Amazon - B0BCK4ZV3G")</f>
        <v>Amazon - B0BCK4ZV3G</v>
      </c>
      <c r="K883" s="14" t="s">
        <v>443</v>
      </c>
      <c r="L883" s="14" t="s">
        <v>303</v>
      </c>
      <c r="M883" s="14" t="s">
        <v>303</v>
      </c>
      <c r="N883" s="14" t="s">
        <v>446</v>
      </c>
      <c r="O883" s="14" t="s">
        <v>303</v>
      </c>
    </row>
    <row r="884" spans="1:15" ht="30" x14ac:dyDescent="0.2">
      <c r="A884" s="2" t="s">
        <v>2309</v>
      </c>
      <c r="B884" s="2" t="s">
        <v>2310</v>
      </c>
      <c r="C884" s="2" t="s">
        <v>218</v>
      </c>
      <c r="D884" s="2" t="s">
        <v>450</v>
      </c>
      <c r="E884" s="4">
        <v>9.99</v>
      </c>
      <c r="F884" s="4">
        <v>195.09</v>
      </c>
      <c r="G884" s="3">
        <v>19</v>
      </c>
      <c r="H884" s="6">
        <v>3</v>
      </c>
      <c r="I884" s="3">
        <v>23</v>
      </c>
      <c r="J884" s="13" t="str">
        <f>HYPERLINK("https://amazon.com/dp/B0CWCW5ZQR","Amazon - B0CWCW5ZQR")</f>
        <v>Amazon - B0CWCW5ZQR</v>
      </c>
      <c r="K884" s="14" t="s">
        <v>443</v>
      </c>
      <c r="L884" s="14" t="s">
        <v>451</v>
      </c>
      <c r="M884" s="14" t="s">
        <v>565</v>
      </c>
      <c r="N884" s="14" t="s">
        <v>446</v>
      </c>
      <c r="O884" s="14" t="s">
        <v>543</v>
      </c>
    </row>
    <row r="885" spans="1:15" ht="30" x14ac:dyDescent="0.2">
      <c r="A885" s="2" t="s">
        <v>2311</v>
      </c>
      <c r="B885" s="2" t="s">
        <v>2312</v>
      </c>
      <c r="C885" s="2" t="s">
        <v>219</v>
      </c>
      <c r="D885" s="2" t="s">
        <v>442</v>
      </c>
      <c r="E885" s="4">
        <v>169.99</v>
      </c>
      <c r="F885" s="4">
        <v>194.51</v>
      </c>
      <c r="G885" s="3">
        <v>1</v>
      </c>
      <c r="H885" s="6">
        <v>0</v>
      </c>
      <c r="I885" s="3">
        <v>0</v>
      </c>
      <c r="J885" s="13" t="str">
        <f>HYPERLINK("https://amazon.com/dp/B08DK2GV9S","Amazon - B08DK2GV9S")</f>
        <v>Amazon - B08DK2GV9S</v>
      </c>
      <c r="K885" s="14" t="s">
        <v>443</v>
      </c>
      <c r="L885" s="14" t="s">
        <v>1299</v>
      </c>
      <c r="M885" s="14" t="s">
        <v>511</v>
      </c>
      <c r="N885" s="14" t="s">
        <v>446</v>
      </c>
      <c r="O885" s="14" t="s">
        <v>543</v>
      </c>
    </row>
    <row r="886" spans="1:15" ht="45" x14ac:dyDescent="0.2">
      <c r="A886" s="2" t="s">
        <v>2313</v>
      </c>
      <c r="B886" s="2" t="s">
        <v>2314</v>
      </c>
      <c r="C886" s="2" t="s">
        <v>220</v>
      </c>
      <c r="D886" s="2" t="s">
        <v>442</v>
      </c>
      <c r="E886" s="4">
        <v>123</v>
      </c>
      <c r="F886" s="4">
        <v>194.44</v>
      </c>
      <c r="G886" s="3">
        <v>2</v>
      </c>
      <c r="H886" s="6">
        <v>5</v>
      </c>
      <c r="I886" s="3">
        <v>8</v>
      </c>
      <c r="J886" s="13" t="str">
        <f>HYPERLINK("https://amazon.com/dp/B0DCNTRGM6","Amazon - B0DCNTRGM6")</f>
        <v>Amazon - B0DCNTRGM6</v>
      </c>
      <c r="K886" s="14" t="s">
        <v>443</v>
      </c>
      <c r="L886" s="14" t="s">
        <v>461</v>
      </c>
      <c r="M886" s="14" t="s">
        <v>303</v>
      </c>
      <c r="N886" s="14" t="s">
        <v>446</v>
      </c>
      <c r="O886" s="14" t="s">
        <v>447</v>
      </c>
    </row>
    <row r="887" spans="1:15" ht="30" x14ac:dyDescent="0.2">
      <c r="A887" s="2" t="s">
        <v>2315</v>
      </c>
      <c r="B887" s="2" t="s">
        <v>2316</v>
      </c>
      <c r="C887" s="2" t="s">
        <v>13</v>
      </c>
      <c r="D887" s="2" t="s">
        <v>472</v>
      </c>
      <c r="E887" s="4">
        <v>179.94</v>
      </c>
      <c r="F887" s="4">
        <v>194</v>
      </c>
      <c r="G887" s="3">
        <v>1</v>
      </c>
      <c r="H887" s="6">
        <v>0</v>
      </c>
      <c r="I887" s="3">
        <v>0</v>
      </c>
      <c r="J887" s="13" t="str">
        <f>HYPERLINK("https://amazon.com/dp/B08X9WQ65K","Amazon - B08X9WQ65K")</f>
        <v>Amazon - B08X9WQ65K</v>
      </c>
      <c r="K887" s="14" t="s">
        <v>443</v>
      </c>
      <c r="L887" s="14" t="s">
        <v>303</v>
      </c>
      <c r="M887" s="14" t="s">
        <v>303</v>
      </c>
      <c r="N887" s="14" t="s">
        <v>446</v>
      </c>
      <c r="O887" s="14" t="s">
        <v>303</v>
      </c>
    </row>
    <row r="888" spans="1:15" ht="45" x14ac:dyDescent="0.2">
      <c r="A888" s="2" t="s">
        <v>2317</v>
      </c>
      <c r="B888" s="2" t="s">
        <v>2318</v>
      </c>
      <c r="C888" s="2" t="s">
        <v>9</v>
      </c>
      <c r="D888" s="2" t="s">
        <v>823</v>
      </c>
      <c r="E888" s="4">
        <v>54.99</v>
      </c>
      <c r="F888" s="4">
        <v>193.26</v>
      </c>
      <c r="G888" s="3">
        <v>4</v>
      </c>
      <c r="H888" s="6">
        <v>4.3</v>
      </c>
      <c r="I888" s="3">
        <v>2505</v>
      </c>
      <c r="J888" s="13" t="str">
        <f>HYPERLINK("https://amazon.com/dp/B08NJ8627V","Amazon - B08NJ8627V")</f>
        <v>Amazon - B08NJ8627V</v>
      </c>
      <c r="K888" s="14" t="s">
        <v>443</v>
      </c>
      <c r="L888" s="14" t="s">
        <v>451</v>
      </c>
      <c r="M888" s="14" t="s">
        <v>445</v>
      </c>
      <c r="N888" s="14" t="s">
        <v>452</v>
      </c>
      <c r="O888" s="14" t="s">
        <v>453</v>
      </c>
    </row>
    <row r="889" spans="1:15" ht="45" x14ac:dyDescent="0.2">
      <c r="A889" s="2" t="s">
        <v>2319</v>
      </c>
      <c r="B889" s="2" t="s">
        <v>2320</v>
      </c>
      <c r="C889" s="2" t="s">
        <v>170</v>
      </c>
      <c r="D889" s="2" t="s">
        <v>472</v>
      </c>
      <c r="E889" s="4">
        <v>209.99</v>
      </c>
      <c r="F889" s="4">
        <v>192.92</v>
      </c>
      <c r="G889" s="3">
        <v>1</v>
      </c>
      <c r="H889" s="6">
        <v>3.8</v>
      </c>
      <c r="I889" s="3">
        <v>3</v>
      </c>
      <c r="J889" s="13" t="str">
        <f>HYPERLINK("https://amazon.com/dp/B0BYNTWRTF","Amazon - B0BYNTWRTF")</f>
        <v>Amazon - B0BYNTWRTF</v>
      </c>
      <c r="K889" s="14" t="s">
        <v>443</v>
      </c>
      <c r="L889" s="14" t="s">
        <v>461</v>
      </c>
      <c r="M889" s="14" t="s">
        <v>303</v>
      </c>
      <c r="N889" s="14" t="s">
        <v>446</v>
      </c>
      <c r="O889" s="14" t="s">
        <v>303</v>
      </c>
    </row>
    <row r="890" spans="1:15" ht="45" x14ac:dyDescent="0.2">
      <c r="A890" s="2" t="s">
        <v>2321</v>
      </c>
      <c r="B890" s="2" t="s">
        <v>2322</v>
      </c>
      <c r="C890" s="2" t="s">
        <v>222</v>
      </c>
      <c r="D890" s="2" t="s">
        <v>472</v>
      </c>
      <c r="E890" s="4">
        <v>210</v>
      </c>
      <c r="F890" s="4">
        <v>187.9</v>
      </c>
      <c r="G890" s="3">
        <v>1</v>
      </c>
      <c r="H890" s="6">
        <v>4.0999999999999996</v>
      </c>
      <c r="I890" s="3">
        <v>6</v>
      </c>
      <c r="J890" s="13" t="str">
        <f>HYPERLINK("https://amazon.com/dp/B0FLY8VL86","Amazon - B0FLY8VL86")</f>
        <v>Amazon - B0FLY8VL86</v>
      </c>
      <c r="K890" s="14" t="s">
        <v>443</v>
      </c>
      <c r="L890" s="14" t="s">
        <v>456</v>
      </c>
      <c r="M890" s="14" t="s">
        <v>303</v>
      </c>
      <c r="N890" s="14" t="s">
        <v>446</v>
      </c>
      <c r="O890" s="14" t="s">
        <v>917</v>
      </c>
    </row>
    <row r="891" spans="1:15" ht="45" x14ac:dyDescent="0.2">
      <c r="A891" s="2" t="s">
        <v>2323</v>
      </c>
      <c r="B891" s="2" t="s">
        <v>2324</v>
      </c>
      <c r="C891" s="2" t="s">
        <v>23</v>
      </c>
      <c r="D891" s="2" t="s">
        <v>472</v>
      </c>
      <c r="E891" s="4">
        <v>22.8</v>
      </c>
      <c r="F891" s="4">
        <v>186.97</v>
      </c>
      <c r="G891" s="3">
        <v>8</v>
      </c>
      <c r="H891" s="6">
        <v>3.9</v>
      </c>
      <c r="I891" s="3">
        <v>7</v>
      </c>
      <c r="J891" s="13" t="str">
        <f>HYPERLINK("https://amazon.com/dp/B0DBVC7H92","Amazon - B0DBVC7H92")</f>
        <v>Amazon - B0DBVC7H92</v>
      </c>
      <c r="K891" s="14" t="s">
        <v>443</v>
      </c>
      <c r="L891" s="14" t="s">
        <v>303</v>
      </c>
      <c r="M891" s="14" t="s">
        <v>688</v>
      </c>
      <c r="N891" s="14" t="s">
        <v>446</v>
      </c>
      <c r="O891" s="14" t="s">
        <v>303</v>
      </c>
    </row>
    <row r="892" spans="1:15" ht="30" x14ac:dyDescent="0.2">
      <c r="A892" s="2" t="s">
        <v>2325</v>
      </c>
      <c r="B892" s="2" t="s">
        <v>2326</v>
      </c>
      <c r="C892" s="2" t="s">
        <v>23</v>
      </c>
      <c r="D892" s="2" t="s">
        <v>472</v>
      </c>
      <c r="E892" s="4">
        <v>169</v>
      </c>
      <c r="F892" s="4">
        <v>183.45</v>
      </c>
      <c r="G892" s="3">
        <v>1</v>
      </c>
      <c r="H892" s="6">
        <v>0</v>
      </c>
      <c r="I892" s="3">
        <v>0</v>
      </c>
      <c r="J892" s="13" t="str">
        <f>HYPERLINK("https://amazon.com/dp/B0G4GNMZ7H","Amazon - B0G4GNMZ7H")</f>
        <v>Amazon - B0G4GNMZ7H</v>
      </c>
      <c r="K892" s="14" t="s">
        <v>443</v>
      </c>
      <c r="L892" s="14" t="s">
        <v>461</v>
      </c>
      <c r="M892" s="14" t="s">
        <v>303</v>
      </c>
      <c r="N892" s="14" t="s">
        <v>446</v>
      </c>
      <c r="O892" s="14" t="s">
        <v>303</v>
      </c>
    </row>
    <row r="893" spans="1:15" ht="45" x14ac:dyDescent="0.2">
      <c r="A893" s="2" t="s">
        <v>2327</v>
      </c>
      <c r="B893" s="2" t="s">
        <v>2328</v>
      </c>
      <c r="C893" s="2" t="s">
        <v>202</v>
      </c>
      <c r="D893" s="2" t="s">
        <v>472</v>
      </c>
      <c r="E893" s="4">
        <v>29.99</v>
      </c>
      <c r="F893" s="4">
        <v>183.42</v>
      </c>
      <c r="G893" s="3">
        <v>6</v>
      </c>
      <c r="H893" s="6">
        <v>4.3</v>
      </c>
      <c r="I893" s="3">
        <v>20</v>
      </c>
      <c r="J893" s="13" t="str">
        <f>HYPERLINK("https://amazon.com/dp/B0DB1NN75K","Amazon - B0DB1NN75K")</f>
        <v>Amazon - B0DB1NN75K</v>
      </c>
      <c r="K893" s="14" t="s">
        <v>443</v>
      </c>
      <c r="L893" s="14" t="s">
        <v>456</v>
      </c>
      <c r="M893" s="14" t="s">
        <v>303</v>
      </c>
      <c r="N893" s="14" t="s">
        <v>446</v>
      </c>
      <c r="O893" s="14" t="s">
        <v>453</v>
      </c>
    </row>
    <row r="894" spans="1:15" ht="45" x14ac:dyDescent="0.2">
      <c r="A894" s="2" t="s">
        <v>2329</v>
      </c>
      <c r="B894" s="2" t="s">
        <v>2330</v>
      </c>
      <c r="C894" s="2" t="s">
        <v>14</v>
      </c>
      <c r="D894" s="2" t="s">
        <v>472</v>
      </c>
      <c r="E894" s="4">
        <v>22.99</v>
      </c>
      <c r="F894" s="4">
        <v>183.07</v>
      </c>
      <c r="G894" s="3">
        <v>8</v>
      </c>
      <c r="H894" s="6">
        <v>4.2</v>
      </c>
      <c r="I894" s="3">
        <v>53</v>
      </c>
      <c r="J894" s="13" t="str">
        <f>HYPERLINK("https://amazon.com/dp/B0BCW5XW19","Amazon - B0BCW5XW19")</f>
        <v>Amazon - B0BCW5XW19</v>
      </c>
      <c r="K894" s="14" t="s">
        <v>443</v>
      </c>
      <c r="L894" s="14" t="s">
        <v>2331</v>
      </c>
      <c r="M894" s="14" t="s">
        <v>677</v>
      </c>
      <c r="N894" s="14" t="s">
        <v>446</v>
      </c>
      <c r="O894" s="14" t="s">
        <v>303</v>
      </c>
    </row>
    <row r="895" spans="1:15" ht="45" x14ac:dyDescent="0.2">
      <c r="A895" s="2" t="s">
        <v>2332</v>
      </c>
      <c r="B895" s="2" t="s">
        <v>2333</v>
      </c>
      <c r="C895" s="2" t="s">
        <v>33</v>
      </c>
      <c r="D895" s="2" t="s">
        <v>472</v>
      </c>
      <c r="E895" s="4">
        <v>265.99</v>
      </c>
      <c r="F895" s="4">
        <v>181.5</v>
      </c>
      <c r="G895" s="3">
        <v>1</v>
      </c>
      <c r="H895" s="6">
        <v>5</v>
      </c>
      <c r="I895" s="3">
        <v>3</v>
      </c>
      <c r="J895" s="13" t="str">
        <f>HYPERLINK("https://amazon.com/dp/B0F2HHZQZ6","Amazon - B0F2HHZQZ6")</f>
        <v>Amazon - B0F2HHZQZ6</v>
      </c>
      <c r="K895" s="14" t="s">
        <v>443</v>
      </c>
      <c r="L895" s="14" t="s">
        <v>667</v>
      </c>
      <c r="M895" s="14" t="s">
        <v>503</v>
      </c>
      <c r="N895" s="14" t="s">
        <v>446</v>
      </c>
      <c r="O895" s="14" t="s">
        <v>809</v>
      </c>
    </row>
    <row r="896" spans="1:15" ht="30" x14ac:dyDescent="0.2">
      <c r="A896" s="2" t="s">
        <v>2334</v>
      </c>
      <c r="B896" s="2" t="s">
        <v>2335</v>
      </c>
      <c r="C896" s="2" t="s">
        <v>225</v>
      </c>
      <c r="D896" s="2" t="s">
        <v>450</v>
      </c>
      <c r="E896" s="4">
        <v>18.989999999999998</v>
      </c>
      <c r="F896" s="4">
        <v>180.41</v>
      </c>
      <c r="G896" s="3">
        <v>10</v>
      </c>
      <c r="H896" s="6">
        <v>4.3</v>
      </c>
      <c r="I896" s="3">
        <v>122</v>
      </c>
      <c r="J896" s="13" t="str">
        <f>HYPERLINK("https://amazon.com/dp/B0CP86DPTW","Amazon - B0CP86DPTW")</f>
        <v>Amazon - B0CP86DPTW</v>
      </c>
      <c r="K896" s="14" t="s">
        <v>443</v>
      </c>
      <c r="L896" s="14" t="s">
        <v>451</v>
      </c>
      <c r="M896" s="14" t="s">
        <v>303</v>
      </c>
      <c r="N896" s="14" t="s">
        <v>446</v>
      </c>
      <c r="O896" s="14" t="s">
        <v>453</v>
      </c>
    </row>
    <row r="897" spans="1:15" ht="45" x14ac:dyDescent="0.2">
      <c r="A897" s="2" t="s">
        <v>2336</v>
      </c>
      <c r="B897" s="2" t="s">
        <v>2337</v>
      </c>
      <c r="C897" s="2" t="s">
        <v>23</v>
      </c>
      <c r="D897" s="2" t="s">
        <v>472</v>
      </c>
      <c r="E897" s="4">
        <v>158.99</v>
      </c>
      <c r="F897" s="4">
        <v>180.2</v>
      </c>
      <c r="G897" s="3">
        <v>1</v>
      </c>
      <c r="H897" s="6">
        <v>4</v>
      </c>
      <c r="I897" s="3">
        <v>1</v>
      </c>
      <c r="J897" s="13" t="str">
        <f>HYPERLINK("https://amazon.com/dp/B0CTMXJG7V","Amazon - B0CTMXJG7V")</f>
        <v>Amazon - B0CTMXJG7V</v>
      </c>
      <c r="K897" s="14" t="s">
        <v>443</v>
      </c>
      <c r="L897" s="14" t="s">
        <v>303</v>
      </c>
      <c r="M897" s="14" t="s">
        <v>303</v>
      </c>
      <c r="N897" s="14" t="s">
        <v>446</v>
      </c>
      <c r="O897" s="14" t="s">
        <v>303</v>
      </c>
    </row>
    <row r="898" spans="1:15" ht="45" x14ac:dyDescent="0.2">
      <c r="A898" s="2" t="s">
        <v>2338</v>
      </c>
      <c r="B898" s="2" t="s">
        <v>2339</v>
      </c>
      <c r="C898" s="2" t="s">
        <v>226</v>
      </c>
      <c r="D898" s="2" t="s">
        <v>450</v>
      </c>
      <c r="E898" s="4">
        <v>50.99</v>
      </c>
      <c r="F898" s="4">
        <v>178.74</v>
      </c>
      <c r="G898" s="3">
        <v>4</v>
      </c>
      <c r="H898" s="6">
        <v>0</v>
      </c>
      <c r="I898" s="3">
        <v>0</v>
      </c>
      <c r="J898" s="13" t="str">
        <f>HYPERLINK("https://amazon.com/dp/B0DGQ1RFJD","Amazon - B0DGQ1RFJD")</f>
        <v>Amazon - B0DGQ1RFJD</v>
      </c>
      <c r="K898" s="14" t="s">
        <v>443</v>
      </c>
      <c r="L898" s="14" t="s">
        <v>1725</v>
      </c>
      <c r="M898" s="14" t="s">
        <v>511</v>
      </c>
      <c r="N898" s="14" t="s">
        <v>446</v>
      </c>
      <c r="O898" s="14" t="s">
        <v>447</v>
      </c>
    </row>
    <row r="899" spans="1:15" ht="30" x14ac:dyDescent="0.2">
      <c r="A899" s="2" t="s">
        <v>2340</v>
      </c>
      <c r="B899" s="2" t="s">
        <v>2341</v>
      </c>
      <c r="C899" s="2" t="s">
        <v>190</v>
      </c>
      <c r="D899" s="2" t="s">
        <v>442</v>
      </c>
      <c r="E899" s="4">
        <v>68</v>
      </c>
      <c r="F899" s="4">
        <v>174.15</v>
      </c>
      <c r="G899" s="3">
        <v>3</v>
      </c>
      <c r="H899" s="6">
        <v>5</v>
      </c>
      <c r="I899" s="3">
        <v>3</v>
      </c>
      <c r="J899" s="13" t="str">
        <f>HYPERLINK("https://amazon.com/dp/B0DHZPH6NN","Amazon - B0DHZPH6NN")</f>
        <v>Amazon - B0DHZPH6NN</v>
      </c>
      <c r="K899" s="14" t="s">
        <v>443</v>
      </c>
      <c r="L899" s="14" t="s">
        <v>303</v>
      </c>
      <c r="M899" s="14" t="s">
        <v>303</v>
      </c>
      <c r="N899" s="14" t="s">
        <v>446</v>
      </c>
      <c r="O899" s="14" t="s">
        <v>303</v>
      </c>
    </row>
    <row r="900" spans="1:15" ht="45" x14ac:dyDescent="0.2">
      <c r="A900" s="2" t="s">
        <v>2342</v>
      </c>
      <c r="B900" s="2" t="s">
        <v>2343</v>
      </c>
      <c r="C900" s="2" t="s">
        <v>40</v>
      </c>
      <c r="D900" s="2" t="s">
        <v>472</v>
      </c>
      <c r="E900" s="4">
        <v>299.99</v>
      </c>
      <c r="F900" s="4">
        <v>173.49</v>
      </c>
      <c r="G900" s="3">
        <v>1</v>
      </c>
      <c r="H900" s="6">
        <v>2.6</v>
      </c>
      <c r="I900" s="3">
        <v>5</v>
      </c>
      <c r="J900" s="13" t="str">
        <f>HYPERLINK("https://amazon.com/dp/B0DHXGJRX8","Amazon - B0DHXGJRX8")</f>
        <v>Amazon - B0DHXGJRX8</v>
      </c>
      <c r="K900" s="14" t="s">
        <v>443</v>
      </c>
      <c r="L900" s="14" t="s">
        <v>456</v>
      </c>
      <c r="M900" s="14" t="s">
        <v>303</v>
      </c>
      <c r="N900" s="14" t="s">
        <v>446</v>
      </c>
      <c r="O900" s="14" t="s">
        <v>517</v>
      </c>
    </row>
    <row r="901" spans="1:15" ht="45" x14ac:dyDescent="0.2">
      <c r="A901" s="2" t="s">
        <v>2344</v>
      </c>
      <c r="B901" s="2" t="s">
        <v>2345</v>
      </c>
      <c r="C901" s="2" t="s">
        <v>11</v>
      </c>
      <c r="D901" s="2" t="s">
        <v>450</v>
      </c>
      <c r="E901" s="4">
        <v>23.99</v>
      </c>
      <c r="F901" s="4">
        <v>172.82</v>
      </c>
      <c r="G901" s="3">
        <v>7</v>
      </c>
      <c r="H901" s="6">
        <v>4.2</v>
      </c>
      <c r="I901" s="3">
        <v>21</v>
      </c>
      <c r="J901" s="13" t="str">
        <f>HYPERLINK("https://amazon.com/dp/B0F6CTJM12","Amazon - B0F6CTJM12")</f>
        <v>Amazon - B0F6CTJM12</v>
      </c>
      <c r="K901" s="14" t="s">
        <v>443</v>
      </c>
      <c r="L901" s="14" t="s">
        <v>451</v>
      </c>
      <c r="M901" s="14" t="s">
        <v>303</v>
      </c>
      <c r="N901" s="14" t="s">
        <v>446</v>
      </c>
      <c r="O901" s="14" t="s">
        <v>487</v>
      </c>
    </row>
    <row r="902" spans="1:15" ht="45" x14ac:dyDescent="0.2">
      <c r="A902" s="2" t="s">
        <v>2346</v>
      </c>
      <c r="B902" s="2" t="s">
        <v>2347</v>
      </c>
      <c r="C902" s="2" t="s">
        <v>152</v>
      </c>
      <c r="D902" s="2" t="s">
        <v>472</v>
      </c>
      <c r="E902" s="4">
        <v>61.99</v>
      </c>
      <c r="F902" s="4">
        <v>172.41</v>
      </c>
      <c r="G902" s="3">
        <v>3</v>
      </c>
      <c r="H902" s="6">
        <v>4.8</v>
      </c>
      <c r="I902" s="3">
        <v>9</v>
      </c>
      <c r="J902" s="13" t="str">
        <f>HYPERLINK("https://amazon.com/dp/B0DR8ZGWQB","Amazon - B0DR8ZGWQB")</f>
        <v>Amazon - B0DR8ZGWQB</v>
      </c>
      <c r="K902" s="14" t="s">
        <v>443</v>
      </c>
      <c r="L902" s="14" t="s">
        <v>444</v>
      </c>
      <c r="M902" s="14" t="s">
        <v>303</v>
      </c>
      <c r="N902" s="14" t="s">
        <v>473</v>
      </c>
      <c r="O902" s="14" t="s">
        <v>453</v>
      </c>
    </row>
    <row r="903" spans="1:15" ht="45" x14ac:dyDescent="0.2">
      <c r="A903" s="2" t="s">
        <v>2348</v>
      </c>
      <c r="B903" s="2" t="s">
        <v>2349</v>
      </c>
      <c r="C903" s="2" t="s">
        <v>227</v>
      </c>
      <c r="D903" s="2" t="s">
        <v>472</v>
      </c>
      <c r="E903" s="4">
        <v>142.34</v>
      </c>
      <c r="F903" s="4">
        <v>172.34</v>
      </c>
      <c r="G903" s="3">
        <v>1</v>
      </c>
      <c r="H903" s="6">
        <v>0</v>
      </c>
      <c r="I903" s="3">
        <v>0</v>
      </c>
      <c r="J903" s="13" t="str">
        <f>HYPERLINK("https://amazon.com/dp/B0DR88HN2D","Amazon - B0DR88HN2D")</f>
        <v>Amazon - B0DR88HN2D</v>
      </c>
      <c r="K903" s="14" t="s">
        <v>443</v>
      </c>
      <c r="L903" s="14" t="s">
        <v>303</v>
      </c>
      <c r="M903" s="14" t="s">
        <v>503</v>
      </c>
      <c r="N903" s="14" t="s">
        <v>446</v>
      </c>
      <c r="O903" s="14" t="s">
        <v>303</v>
      </c>
    </row>
    <row r="904" spans="1:15" ht="45" x14ac:dyDescent="0.2">
      <c r="A904" s="2" t="s">
        <v>2350</v>
      </c>
      <c r="B904" s="2" t="s">
        <v>2351</v>
      </c>
      <c r="C904" s="2" t="s">
        <v>228</v>
      </c>
      <c r="D904" s="2" t="s">
        <v>450</v>
      </c>
      <c r="E904" s="4">
        <v>9.99</v>
      </c>
      <c r="F904" s="4">
        <v>171.33</v>
      </c>
      <c r="G904" s="3">
        <v>13</v>
      </c>
      <c r="H904" s="6">
        <v>4.2</v>
      </c>
      <c r="I904" s="3">
        <v>63</v>
      </c>
      <c r="J904" s="13" t="str">
        <f>HYPERLINK("https://amazon.com/dp/B0F26K9HW6","Amazon - B0F26K9HW6")</f>
        <v>Amazon - B0F26K9HW6</v>
      </c>
      <c r="K904" s="14" t="s">
        <v>443</v>
      </c>
      <c r="L904" s="14" t="s">
        <v>451</v>
      </c>
      <c r="M904" s="14" t="s">
        <v>303</v>
      </c>
      <c r="N904" s="14" t="s">
        <v>446</v>
      </c>
      <c r="O904" s="14" t="s">
        <v>453</v>
      </c>
    </row>
    <row r="905" spans="1:15" ht="45" x14ac:dyDescent="0.2">
      <c r="A905" s="2" t="s">
        <v>2352</v>
      </c>
      <c r="B905" s="2" t="s">
        <v>2353</v>
      </c>
      <c r="C905" s="2" t="s">
        <v>43</v>
      </c>
      <c r="D905" s="2" t="s">
        <v>472</v>
      </c>
      <c r="E905" s="4">
        <v>289.99</v>
      </c>
      <c r="F905" s="4">
        <v>171.31</v>
      </c>
      <c r="G905" s="3">
        <v>1</v>
      </c>
      <c r="H905" s="6">
        <v>4</v>
      </c>
      <c r="I905" s="3">
        <v>39</v>
      </c>
      <c r="J905" s="13" t="str">
        <f>HYPERLINK("https://amazon.com/dp/B0CBRVN4CW","Amazon - B0CBRVN4CW")</f>
        <v>Amazon - B0CBRVN4CW</v>
      </c>
      <c r="K905" s="14" t="s">
        <v>443</v>
      </c>
      <c r="L905" s="14" t="s">
        <v>456</v>
      </c>
      <c r="M905" s="14" t="s">
        <v>303</v>
      </c>
      <c r="N905" s="14" t="s">
        <v>446</v>
      </c>
      <c r="O905" s="14" t="s">
        <v>517</v>
      </c>
    </row>
    <row r="906" spans="1:15" ht="30" x14ac:dyDescent="0.2">
      <c r="A906" s="2" t="s">
        <v>2354</v>
      </c>
      <c r="B906" s="2" t="s">
        <v>2355</v>
      </c>
      <c r="C906" s="2" t="s">
        <v>29</v>
      </c>
      <c r="D906" s="2" t="s">
        <v>472</v>
      </c>
      <c r="E906" s="4">
        <v>242.65</v>
      </c>
      <c r="F906" s="4">
        <v>168.68</v>
      </c>
      <c r="G906" s="3">
        <v>1</v>
      </c>
      <c r="H906" s="6">
        <v>4.2</v>
      </c>
      <c r="I906" s="3">
        <v>19</v>
      </c>
      <c r="J906" s="13" t="str">
        <f>HYPERLINK("https://amazon.com/dp/B0DS7JQQL5","Amazon - B0DS7JQQL5")</f>
        <v>Amazon - B0DS7JQQL5</v>
      </c>
      <c r="K906" s="14" t="s">
        <v>443</v>
      </c>
      <c r="L906" s="14" t="s">
        <v>456</v>
      </c>
      <c r="M906" s="14" t="s">
        <v>677</v>
      </c>
      <c r="N906" s="14" t="s">
        <v>446</v>
      </c>
      <c r="O906" s="14" t="s">
        <v>517</v>
      </c>
    </row>
    <row r="907" spans="1:15" ht="30" x14ac:dyDescent="0.2">
      <c r="A907" s="2" t="s">
        <v>2356</v>
      </c>
      <c r="B907" s="2" t="s">
        <v>2357</v>
      </c>
      <c r="C907" s="2" t="s">
        <v>122</v>
      </c>
      <c r="D907" s="2" t="s">
        <v>450</v>
      </c>
      <c r="E907" s="4">
        <v>23.34</v>
      </c>
      <c r="F907" s="4">
        <v>168.57</v>
      </c>
      <c r="G907" s="3">
        <v>7</v>
      </c>
      <c r="H907" s="6">
        <v>2.7</v>
      </c>
      <c r="I907" s="3">
        <v>12</v>
      </c>
      <c r="J907" s="13" t="str">
        <f>HYPERLINK("https://amazon.com/dp/B0BWVD4WJP","Amazon - B0BWVD4WJP")</f>
        <v>Amazon - B0BWVD4WJP</v>
      </c>
      <c r="K907" s="14" t="s">
        <v>443</v>
      </c>
      <c r="L907" s="14" t="s">
        <v>1725</v>
      </c>
      <c r="M907" s="14" t="s">
        <v>511</v>
      </c>
      <c r="N907" s="14" t="s">
        <v>446</v>
      </c>
      <c r="O907" s="14" t="s">
        <v>543</v>
      </c>
    </row>
    <row r="908" spans="1:15" ht="30" x14ac:dyDescent="0.2">
      <c r="A908" s="2" t="s">
        <v>2358</v>
      </c>
      <c r="B908" s="2" t="s">
        <v>2359</v>
      </c>
      <c r="C908" s="2" t="s">
        <v>230</v>
      </c>
      <c r="D908" s="2" t="s">
        <v>450</v>
      </c>
      <c r="E908" s="4">
        <v>22.09</v>
      </c>
      <c r="F908" s="4">
        <v>165.72</v>
      </c>
      <c r="G908" s="3">
        <v>7</v>
      </c>
      <c r="H908" s="6">
        <v>4.7</v>
      </c>
      <c r="I908" s="3">
        <v>2</v>
      </c>
      <c r="J908" s="13" t="str">
        <f>HYPERLINK("https://amazon.com/dp/B0DP2J6VDQ","Amazon - B0DP2J6VDQ")</f>
        <v>Amazon - B0DP2J6VDQ</v>
      </c>
      <c r="K908" s="14" t="s">
        <v>443</v>
      </c>
      <c r="L908" s="14" t="s">
        <v>1725</v>
      </c>
      <c r="M908" s="14" t="s">
        <v>511</v>
      </c>
      <c r="N908" s="14" t="s">
        <v>446</v>
      </c>
      <c r="O908" s="14" t="s">
        <v>745</v>
      </c>
    </row>
    <row r="909" spans="1:15" ht="45" x14ac:dyDescent="0.2">
      <c r="A909" s="2" t="s">
        <v>2360</v>
      </c>
      <c r="B909" s="2" t="s">
        <v>2361</v>
      </c>
      <c r="C909" s="2" t="s">
        <v>40</v>
      </c>
      <c r="D909" s="2" t="s">
        <v>472</v>
      </c>
      <c r="E909" s="4">
        <v>23.99</v>
      </c>
      <c r="F909" s="4">
        <v>165.54</v>
      </c>
      <c r="G909" s="3">
        <v>7</v>
      </c>
      <c r="H909" s="6">
        <v>0</v>
      </c>
      <c r="I909" s="3">
        <v>0</v>
      </c>
      <c r="J909" s="13" t="str">
        <f>HYPERLINK("https://amazon.com/dp/B0DGT7M1ZS","Amazon - B0DGT7M1ZS")</f>
        <v>Amazon - B0DGT7M1ZS</v>
      </c>
      <c r="K909" s="14" t="s">
        <v>443</v>
      </c>
      <c r="L909" s="14" t="s">
        <v>303</v>
      </c>
      <c r="M909" s="14" t="s">
        <v>688</v>
      </c>
      <c r="N909" s="14" t="s">
        <v>446</v>
      </c>
      <c r="O909" s="14" t="s">
        <v>303</v>
      </c>
    </row>
    <row r="910" spans="1:15" ht="45" x14ac:dyDescent="0.2">
      <c r="A910" s="2" t="s">
        <v>2362</v>
      </c>
      <c r="B910" s="2" t="s">
        <v>2363</v>
      </c>
      <c r="C910" s="2" t="s">
        <v>89</v>
      </c>
      <c r="D910" s="2" t="s">
        <v>450</v>
      </c>
      <c r="E910" s="4">
        <v>29.99</v>
      </c>
      <c r="F910" s="4">
        <v>162.56</v>
      </c>
      <c r="G910" s="3">
        <v>5</v>
      </c>
      <c r="H910" s="6">
        <v>3.6</v>
      </c>
      <c r="I910" s="3">
        <v>33</v>
      </c>
      <c r="J910" s="13" t="str">
        <f>HYPERLINK("https://amazon.com/dp/B0FF9YGSVY","Amazon - B0FF9YGSVY")</f>
        <v>Amazon - B0FF9YGSVY</v>
      </c>
      <c r="K910" s="14" t="s">
        <v>443</v>
      </c>
      <c r="L910" s="14" t="s">
        <v>451</v>
      </c>
      <c r="M910" s="14" t="s">
        <v>445</v>
      </c>
      <c r="N910" s="14" t="s">
        <v>446</v>
      </c>
      <c r="O910" s="14" t="s">
        <v>1347</v>
      </c>
    </row>
    <row r="911" spans="1:15" ht="45" x14ac:dyDescent="0.2">
      <c r="A911" s="2" t="s">
        <v>2364</v>
      </c>
      <c r="B911" s="2" t="s">
        <v>2365</v>
      </c>
      <c r="C911" s="2" t="s">
        <v>109</v>
      </c>
      <c r="D911" s="2" t="s">
        <v>823</v>
      </c>
      <c r="E911" s="4">
        <v>25.99</v>
      </c>
      <c r="F911" s="4">
        <v>159.72</v>
      </c>
      <c r="G911" s="3">
        <v>6</v>
      </c>
      <c r="H911" s="6">
        <v>3.9</v>
      </c>
      <c r="I911" s="3">
        <v>811</v>
      </c>
      <c r="J911" s="13" t="str">
        <f>HYPERLINK("https://amazon.com/dp/B07DNQ9KC4","Amazon - B07DNQ9KC4")</f>
        <v>Amazon - B07DNQ9KC4</v>
      </c>
      <c r="K911" s="14" t="s">
        <v>443</v>
      </c>
      <c r="L911" s="14" t="s">
        <v>451</v>
      </c>
      <c r="M911" s="14" t="s">
        <v>462</v>
      </c>
      <c r="N911" s="14" t="s">
        <v>446</v>
      </c>
      <c r="O911" s="14" t="s">
        <v>745</v>
      </c>
    </row>
    <row r="912" spans="1:15" ht="45" x14ac:dyDescent="0.2">
      <c r="A912" s="2" t="s">
        <v>2366</v>
      </c>
      <c r="B912" s="2" t="s">
        <v>2367</v>
      </c>
      <c r="C912" s="2" t="s">
        <v>43</v>
      </c>
      <c r="D912" s="2" t="s">
        <v>472</v>
      </c>
      <c r="E912" s="4">
        <v>261.70999999999998</v>
      </c>
      <c r="F912" s="4">
        <v>157.26</v>
      </c>
      <c r="G912" s="3">
        <v>1</v>
      </c>
      <c r="H912" s="6">
        <v>4.5</v>
      </c>
      <c r="I912" s="3">
        <v>2</v>
      </c>
      <c r="J912" s="13" t="str">
        <f>HYPERLINK("https://amazon.com/dp/B0FDWF88RF","Amazon - B0FDWF88RF")</f>
        <v>Amazon - B0FDWF88RF</v>
      </c>
      <c r="K912" s="14" t="s">
        <v>443</v>
      </c>
      <c r="L912" s="14" t="s">
        <v>456</v>
      </c>
      <c r="M912" s="14" t="s">
        <v>688</v>
      </c>
      <c r="N912" s="14" t="s">
        <v>446</v>
      </c>
      <c r="O912" s="14" t="s">
        <v>517</v>
      </c>
    </row>
    <row r="913" spans="1:15" ht="30" x14ac:dyDescent="0.2">
      <c r="A913" s="2" t="s">
        <v>2368</v>
      </c>
      <c r="B913" s="2" t="s">
        <v>2369</v>
      </c>
      <c r="C913" s="2" t="s">
        <v>231</v>
      </c>
      <c r="D913" s="2" t="s">
        <v>472</v>
      </c>
      <c r="E913" s="4">
        <v>130.99</v>
      </c>
      <c r="F913" s="4">
        <v>157.09</v>
      </c>
      <c r="G913" s="3">
        <v>1</v>
      </c>
      <c r="H913" s="6">
        <v>3.4</v>
      </c>
      <c r="I913" s="3">
        <v>24</v>
      </c>
      <c r="J913" s="13" t="str">
        <f>HYPERLINK("https://amazon.com/dp/B07WFNWDXD","Amazon - B07WFNWDXD")</f>
        <v>Amazon - B07WFNWDXD</v>
      </c>
      <c r="K913" s="14" t="s">
        <v>443</v>
      </c>
      <c r="L913" s="14" t="s">
        <v>303</v>
      </c>
      <c r="M913" s="14" t="s">
        <v>503</v>
      </c>
      <c r="N913" s="14" t="s">
        <v>446</v>
      </c>
      <c r="O913" s="14" t="s">
        <v>303</v>
      </c>
    </row>
    <row r="914" spans="1:15" ht="45" x14ac:dyDescent="0.2">
      <c r="A914" s="2" t="s">
        <v>2370</v>
      </c>
      <c r="B914" s="2" t="s">
        <v>2371</v>
      </c>
      <c r="C914" s="2" t="s">
        <v>146</v>
      </c>
      <c r="D914" s="2" t="s">
        <v>450</v>
      </c>
      <c r="E914" s="4">
        <v>21.95</v>
      </c>
      <c r="F914" s="4">
        <v>155.75</v>
      </c>
      <c r="G914" s="3">
        <v>7</v>
      </c>
      <c r="H914" s="6">
        <v>5</v>
      </c>
      <c r="I914" s="3">
        <v>1</v>
      </c>
      <c r="J914" s="13" t="str">
        <f>HYPERLINK("https://amazon.com/dp/B0FVSJCK2J","Amazon - B0FVSJCK2J")</f>
        <v>Amazon - B0FVSJCK2J</v>
      </c>
      <c r="K914" s="14" t="s">
        <v>443</v>
      </c>
      <c r="L914" s="14" t="s">
        <v>451</v>
      </c>
      <c r="M914" s="14" t="s">
        <v>462</v>
      </c>
      <c r="N914" s="14" t="s">
        <v>446</v>
      </c>
      <c r="O914" s="14" t="s">
        <v>453</v>
      </c>
    </row>
    <row r="915" spans="1:15" ht="30" x14ac:dyDescent="0.2">
      <c r="A915" s="2" t="s">
        <v>2372</v>
      </c>
      <c r="B915" s="2" t="s">
        <v>2373</v>
      </c>
      <c r="C915" s="2" t="s">
        <v>232</v>
      </c>
      <c r="D915" s="2" t="s">
        <v>472</v>
      </c>
      <c r="E915" s="4">
        <v>50.68</v>
      </c>
      <c r="F915" s="4">
        <v>155.24</v>
      </c>
      <c r="G915" s="3">
        <v>3</v>
      </c>
      <c r="H915" s="6">
        <v>0</v>
      </c>
      <c r="I915" s="3">
        <v>0</v>
      </c>
      <c r="J915" s="13" t="str">
        <f>HYPERLINK("https://amazon.com/dp/B0DCGKCVYX","Amazon - B0DCGKCVYX")</f>
        <v>Amazon - B0DCGKCVYX</v>
      </c>
      <c r="K915" s="14" t="s">
        <v>443</v>
      </c>
      <c r="L915" s="14" t="s">
        <v>456</v>
      </c>
      <c r="M915" s="14" t="s">
        <v>303</v>
      </c>
      <c r="N915" s="14" t="s">
        <v>446</v>
      </c>
      <c r="O915" s="14" t="s">
        <v>608</v>
      </c>
    </row>
    <row r="916" spans="1:15" ht="45" x14ac:dyDescent="0.2">
      <c r="A916" s="2" t="s">
        <v>2374</v>
      </c>
      <c r="B916" s="2" t="s">
        <v>2375</v>
      </c>
      <c r="C916" s="2" t="s">
        <v>109</v>
      </c>
      <c r="D916" s="2" t="s">
        <v>450</v>
      </c>
      <c r="E916" s="4">
        <v>19.989999999999998</v>
      </c>
      <c r="F916" s="4">
        <v>155</v>
      </c>
      <c r="G916" s="3">
        <v>8</v>
      </c>
      <c r="H916" s="6">
        <v>4.0999999999999996</v>
      </c>
      <c r="I916" s="3">
        <v>25</v>
      </c>
      <c r="J916" s="13" t="str">
        <f>HYPERLINK("https://amazon.com/dp/B0D44TM8G1","Amazon - B0D44TM8G1")</f>
        <v>Amazon - B0D44TM8G1</v>
      </c>
      <c r="K916" s="14" t="s">
        <v>443</v>
      </c>
      <c r="L916" s="14" t="s">
        <v>451</v>
      </c>
      <c r="M916" s="14" t="s">
        <v>303</v>
      </c>
      <c r="N916" s="14" t="s">
        <v>446</v>
      </c>
      <c r="O916" s="14" t="s">
        <v>453</v>
      </c>
    </row>
    <row r="917" spans="1:15" ht="30" x14ac:dyDescent="0.2">
      <c r="A917" s="2" t="s">
        <v>2376</v>
      </c>
      <c r="B917" s="2" t="s">
        <v>2377</v>
      </c>
      <c r="C917" s="2" t="s">
        <v>14</v>
      </c>
      <c r="D917" s="2" t="s">
        <v>472</v>
      </c>
      <c r="E917" s="4">
        <v>209.99</v>
      </c>
      <c r="F917" s="4">
        <v>154.38999999999999</v>
      </c>
      <c r="G917" s="3">
        <v>1</v>
      </c>
      <c r="H917" s="6">
        <v>4.7</v>
      </c>
      <c r="I917" s="3">
        <v>6</v>
      </c>
      <c r="J917" s="13" t="str">
        <f>HYPERLINK("https://amazon.com/dp/B0B2RGDBCN","Amazon - B0B2RGDBCN")</f>
        <v>Amazon - B0B2RGDBCN</v>
      </c>
      <c r="K917" s="14" t="s">
        <v>443</v>
      </c>
      <c r="L917" s="14" t="s">
        <v>303</v>
      </c>
      <c r="M917" s="14" t="s">
        <v>303</v>
      </c>
      <c r="N917" s="14" t="s">
        <v>446</v>
      </c>
      <c r="O917" s="14" t="s">
        <v>742</v>
      </c>
    </row>
    <row r="918" spans="1:15" ht="45" x14ac:dyDescent="0.2">
      <c r="A918" s="2" t="s">
        <v>2378</v>
      </c>
      <c r="B918" s="2" t="s">
        <v>2379</v>
      </c>
      <c r="C918" s="2" t="s">
        <v>233</v>
      </c>
      <c r="D918" s="2" t="s">
        <v>450</v>
      </c>
      <c r="E918" s="4">
        <v>50.59</v>
      </c>
      <c r="F918" s="4">
        <v>154.29</v>
      </c>
      <c r="G918" s="3">
        <v>3</v>
      </c>
      <c r="H918" s="6">
        <v>0</v>
      </c>
      <c r="I918" s="3">
        <v>0</v>
      </c>
      <c r="J918" s="13" t="str">
        <f>HYPERLINK("https://amazon.com/dp/B0CSC1LNZP","Amazon - B0CSC1LNZP")</f>
        <v>Amazon - B0CSC1LNZP</v>
      </c>
      <c r="K918" s="14" t="s">
        <v>443</v>
      </c>
      <c r="L918" s="14" t="s">
        <v>456</v>
      </c>
      <c r="M918" s="14" t="s">
        <v>303</v>
      </c>
      <c r="N918" s="14" t="s">
        <v>446</v>
      </c>
      <c r="O918" s="14" t="s">
        <v>2380</v>
      </c>
    </row>
    <row r="919" spans="1:15" ht="45" x14ac:dyDescent="0.2">
      <c r="A919" s="2" t="s">
        <v>2381</v>
      </c>
      <c r="B919" s="2" t="s">
        <v>2382</v>
      </c>
      <c r="C919" s="2" t="s">
        <v>33</v>
      </c>
      <c r="D919" s="2" t="s">
        <v>472</v>
      </c>
      <c r="E919" s="4">
        <v>239.99</v>
      </c>
      <c r="F919" s="4">
        <v>153.55000000000001</v>
      </c>
      <c r="G919" s="3">
        <v>1</v>
      </c>
      <c r="H919" s="6">
        <v>4.5999999999999996</v>
      </c>
      <c r="I919" s="3">
        <v>4</v>
      </c>
      <c r="J919" s="13" t="str">
        <f>HYPERLINK("https://amazon.com/dp/B0CRYC49DZ","Amazon - B0CRYC49DZ")</f>
        <v>Amazon - B0CRYC49DZ</v>
      </c>
      <c r="K919" s="14" t="s">
        <v>443</v>
      </c>
      <c r="L919" s="14" t="s">
        <v>461</v>
      </c>
      <c r="M919" s="14" t="s">
        <v>677</v>
      </c>
      <c r="N919" s="14" t="s">
        <v>446</v>
      </c>
      <c r="O919" s="14" t="s">
        <v>917</v>
      </c>
    </row>
    <row r="920" spans="1:15" ht="30" x14ac:dyDescent="0.2">
      <c r="A920" s="2" t="s">
        <v>2383</v>
      </c>
      <c r="B920" s="2" t="s">
        <v>2384</v>
      </c>
      <c r="C920" s="2" t="s">
        <v>173</v>
      </c>
      <c r="D920" s="2" t="s">
        <v>442</v>
      </c>
      <c r="E920" s="4">
        <v>10</v>
      </c>
      <c r="F920" s="4">
        <v>151.9</v>
      </c>
      <c r="G920" s="3">
        <v>15</v>
      </c>
      <c r="H920" s="6">
        <v>4</v>
      </c>
      <c r="I920" s="3">
        <v>537</v>
      </c>
      <c r="J920" s="13" t="str">
        <f>HYPERLINK("https://amazon.com/dp/B00CBKFJ9Y","Amazon - B00CBKFJ9Y")</f>
        <v>Amazon - B00CBKFJ9Y</v>
      </c>
      <c r="K920" s="14" t="s">
        <v>443</v>
      </c>
      <c r="L920" s="14" t="s">
        <v>303</v>
      </c>
      <c r="M920" s="14" t="s">
        <v>303</v>
      </c>
      <c r="N920" s="14" t="s">
        <v>446</v>
      </c>
      <c r="O920" s="14" t="s">
        <v>303</v>
      </c>
    </row>
    <row r="921" spans="1:15" ht="30" x14ac:dyDescent="0.2">
      <c r="A921" s="2" t="s">
        <v>2385</v>
      </c>
      <c r="B921" s="2" t="s">
        <v>2386</v>
      </c>
      <c r="C921" s="2" t="s">
        <v>144</v>
      </c>
      <c r="D921" s="2" t="s">
        <v>442</v>
      </c>
      <c r="E921" s="4">
        <v>50.99</v>
      </c>
      <c r="F921" s="4">
        <v>150.49</v>
      </c>
      <c r="G921" s="3">
        <v>3</v>
      </c>
      <c r="H921" s="6">
        <v>4.4000000000000004</v>
      </c>
      <c r="I921" s="3">
        <v>104</v>
      </c>
      <c r="J921" s="13" t="str">
        <f>HYPERLINK("https://amazon.com/dp/B0DSZT4GNC","Amazon - B0DSZT4GNC")</f>
        <v>Amazon - B0DSZT4GNC</v>
      </c>
      <c r="K921" s="14" t="s">
        <v>443</v>
      </c>
      <c r="L921" s="14" t="s">
        <v>456</v>
      </c>
      <c r="M921" s="14" t="s">
        <v>462</v>
      </c>
      <c r="N921" s="14" t="s">
        <v>446</v>
      </c>
      <c r="O921" s="14" t="s">
        <v>629</v>
      </c>
    </row>
    <row r="922" spans="1:15" ht="30" x14ac:dyDescent="0.2">
      <c r="A922" s="2" t="s">
        <v>2387</v>
      </c>
      <c r="B922" s="2" t="s">
        <v>2388</v>
      </c>
      <c r="C922" s="2" t="s">
        <v>151</v>
      </c>
      <c r="D922" s="2" t="s">
        <v>472</v>
      </c>
      <c r="E922" s="4">
        <v>141.32</v>
      </c>
      <c r="F922" s="4">
        <v>149.68</v>
      </c>
      <c r="G922" s="3">
        <v>1</v>
      </c>
      <c r="H922" s="6">
        <v>3.6</v>
      </c>
      <c r="I922" s="3">
        <v>5</v>
      </c>
      <c r="J922" s="13" t="str">
        <f>HYPERLINK("https://amazon.com/dp/B0CB1W11JN","Amazon - B0CB1W11JN")</f>
        <v>Amazon - B0CB1W11JN</v>
      </c>
      <c r="K922" s="14" t="s">
        <v>443</v>
      </c>
      <c r="L922" s="14" t="s">
        <v>303</v>
      </c>
      <c r="M922" s="14" t="s">
        <v>303</v>
      </c>
      <c r="N922" s="14" t="s">
        <v>446</v>
      </c>
      <c r="O922" s="14" t="s">
        <v>303</v>
      </c>
    </row>
    <row r="923" spans="1:15" x14ac:dyDescent="0.2">
      <c r="A923" s="2" t="s">
        <v>2389</v>
      </c>
      <c r="B923" s="2" t="s">
        <v>2390</v>
      </c>
      <c r="C923" s="2" t="s">
        <v>214</v>
      </c>
      <c r="D923" s="2" t="s">
        <v>442</v>
      </c>
      <c r="E923" s="4">
        <v>61.48</v>
      </c>
      <c r="F923" s="4">
        <v>148.63</v>
      </c>
      <c r="G923" s="3">
        <v>2</v>
      </c>
      <c r="H923" s="6">
        <v>5</v>
      </c>
      <c r="I923" s="3">
        <v>2</v>
      </c>
      <c r="J923" s="13" t="str">
        <f>HYPERLINK("https://amazon.com/dp/B0B8332C5S","Amazon - B0B8332C5S")</f>
        <v>Amazon - B0B8332C5S</v>
      </c>
      <c r="K923" s="14" t="s">
        <v>443</v>
      </c>
      <c r="L923" s="14" t="s">
        <v>530</v>
      </c>
      <c r="M923" s="14" t="s">
        <v>303</v>
      </c>
      <c r="N923" s="14" t="s">
        <v>446</v>
      </c>
      <c r="O923" s="14" t="s">
        <v>303</v>
      </c>
    </row>
    <row r="924" spans="1:15" ht="30" x14ac:dyDescent="0.2">
      <c r="A924" s="2" t="s">
        <v>2391</v>
      </c>
      <c r="B924" s="2" t="s">
        <v>2392</v>
      </c>
      <c r="C924" s="2" t="s">
        <v>237</v>
      </c>
      <c r="D924" s="2" t="s">
        <v>450</v>
      </c>
      <c r="E924" s="4">
        <v>27.98</v>
      </c>
      <c r="F924" s="4">
        <v>148.16999999999999</v>
      </c>
      <c r="G924" s="3">
        <v>9</v>
      </c>
      <c r="H924" s="6">
        <v>3.5</v>
      </c>
      <c r="I924" s="3">
        <v>10</v>
      </c>
      <c r="J924" s="13" t="str">
        <f>HYPERLINK("https://amazon.com/dp/B0FNJXTJTN","Amazon - B0FNJXTJTN")</f>
        <v>Amazon - B0FNJXTJTN</v>
      </c>
      <c r="K924" s="14" t="s">
        <v>443</v>
      </c>
      <c r="L924" s="14" t="s">
        <v>451</v>
      </c>
      <c r="M924" s="14" t="s">
        <v>445</v>
      </c>
      <c r="N924" s="14" t="s">
        <v>446</v>
      </c>
      <c r="O924" s="14" t="s">
        <v>453</v>
      </c>
    </row>
    <row r="925" spans="1:15" ht="30" x14ac:dyDescent="0.2">
      <c r="A925" s="2" t="s">
        <v>2393</v>
      </c>
      <c r="B925" s="2" t="s">
        <v>2394</v>
      </c>
      <c r="C925" s="2" t="s">
        <v>19</v>
      </c>
      <c r="D925" s="2" t="s">
        <v>450</v>
      </c>
      <c r="E925" s="4">
        <v>91.81</v>
      </c>
      <c r="F925" s="4">
        <v>146.81</v>
      </c>
      <c r="G925" s="3">
        <v>2</v>
      </c>
      <c r="H925" s="6">
        <v>3.8</v>
      </c>
      <c r="I925" s="3">
        <v>7</v>
      </c>
      <c r="J925" s="13" t="str">
        <f>HYPERLINK("https://amazon.com/dp/B0DLF296HZ","Amazon - B0DLF296HZ")</f>
        <v>Amazon - B0DLF296HZ</v>
      </c>
      <c r="K925" s="14" t="s">
        <v>443</v>
      </c>
      <c r="L925" s="14" t="s">
        <v>451</v>
      </c>
      <c r="M925" s="14" t="s">
        <v>1562</v>
      </c>
      <c r="N925" s="14" t="s">
        <v>446</v>
      </c>
      <c r="O925" s="14" t="s">
        <v>303</v>
      </c>
    </row>
    <row r="926" spans="1:15" ht="45" x14ac:dyDescent="0.2">
      <c r="A926" s="2" t="s">
        <v>2395</v>
      </c>
      <c r="B926" s="2" t="s">
        <v>2396</v>
      </c>
      <c r="C926" s="2" t="s">
        <v>199</v>
      </c>
      <c r="D926" s="2" t="s">
        <v>442</v>
      </c>
      <c r="E926" s="4">
        <v>169.99</v>
      </c>
      <c r="F926" s="4">
        <v>146.5</v>
      </c>
      <c r="G926" s="3">
        <v>1</v>
      </c>
      <c r="H926" s="6">
        <v>4.5</v>
      </c>
      <c r="I926" s="3">
        <v>31</v>
      </c>
      <c r="J926" s="13" t="str">
        <f>HYPERLINK("https://amazon.com/dp/B0D4CLNVT3","Amazon - B0D4CLNVT3")</f>
        <v>Amazon - B0D4CLNVT3</v>
      </c>
      <c r="K926" s="14" t="s">
        <v>443</v>
      </c>
      <c r="L926" s="14" t="s">
        <v>461</v>
      </c>
      <c r="M926" s="14" t="s">
        <v>484</v>
      </c>
      <c r="N926" s="14" t="s">
        <v>452</v>
      </c>
      <c r="O926" s="14" t="s">
        <v>447</v>
      </c>
    </row>
    <row r="927" spans="1:15" ht="45" x14ac:dyDescent="0.2">
      <c r="A927" s="2" t="s">
        <v>2397</v>
      </c>
      <c r="B927" s="2" t="s">
        <v>2398</v>
      </c>
      <c r="C927" s="2" t="s">
        <v>217</v>
      </c>
      <c r="D927" s="2" t="s">
        <v>472</v>
      </c>
      <c r="E927" s="4">
        <v>35.99</v>
      </c>
      <c r="F927" s="4">
        <v>146.16</v>
      </c>
      <c r="G927" s="3">
        <v>4</v>
      </c>
      <c r="H927" s="6">
        <v>4.5999999999999996</v>
      </c>
      <c r="I927" s="3">
        <v>9</v>
      </c>
      <c r="J927" s="13" t="str">
        <f>HYPERLINK("https://amazon.com/dp/B0F7LGXGBM","Amazon - B0F7LGXGBM")</f>
        <v>Amazon - B0F7LGXGBM</v>
      </c>
      <c r="K927" s="14" t="s">
        <v>443</v>
      </c>
      <c r="L927" s="14" t="s">
        <v>456</v>
      </c>
      <c r="M927" s="14" t="s">
        <v>715</v>
      </c>
      <c r="N927" s="14" t="s">
        <v>452</v>
      </c>
      <c r="O927" s="14" t="s">
        <v>453</v>
      </c>
    </row>
    <row r="928" spans="1:15" ht="45" x14ac:dyDescent="0.2">
      <c r="A928" s="2" t="s">
        <v>2399</v>
      </c>
      <c r="B928" s="2" t="s">
        <v>2400</v>
      </c>
      <c r="C928" s="2" t="s">
        <v>52</v>
      </c>
      <c r="D928" s="2" t="s">
        <v>442</v>
      </c>
      <c r="E928" s="4">
        <v>25.99</v>
      </c>
      <c r="F928" s="4">
        <v>144.31</v>
      </c>
      <c r="G928" s="3">
        <v>5</v>
      </c>
      <c r="H928" s="6">
        <v>5</v>
      </c>
      <c r="I928" s="3">
        <v>10</v>
      </c>
      <c r="J928" s="13" t="str">
        <f>HYPERLINK("https://amazon.com/dp/B0GHWJ3S2S","Amazon - B0GHWJ3S2S")</f>
        <v>Amazon - B0GHWJ3S2S</v>
      </c>
      <c r="K928" s="14" t="s">
        <v>443</v>
      </c>
      <c r="L928" s="14" t="s">
        <v>456</v>
      </c>
      <c r="M928" s="14" t="s">
        <v>445</v>
      </c>
      <c r="N928" s="14" t="s">
        <v>446</v>
      </c>
      <c r="O928" s="14" t="s">
        <v>453</v>
      </c>
    </row>
    <row r="929" spans="1:15" x14ac:dyDescent="0.2">
      <c r="A929" s="2" t="s">
        <v>2401</v>
      </c>
      <c r="B929" s="2" t="s">
        <v>2402</v>
      </c>
      <c r="C929" s="2" t="s">
        <v>137</v>
      </c>
      <c r="D929" s="2" t="s">
        <v>442</v>
      </c>
      <c r="E929" s="4">
        <v>165.86</v>
      </c>
      <c r="F929" s="4">
        <v>142.56</v>
      </c>
      <c r="G929" s="3">
        <v>1</v>
      </c>
      <c r="H929" s="6">
        <v>3.6</v>
      </c>
      <c r="I929" s="3">
        <v>6</v>
      </c>
      <c r="J929" s="13" t="str">
        <f>HYPERLINK("https://amazon.com/dp/B0DKQPKJFC","Amazon - B0DKQPKJFC")</f>
        <v>Amazon - B0DKQPKJFC</v>
      </c>
      <c r="K929" s="14" t="s">
        <v>443</v>
      </c>
      <c r="L929" s="14" t="s">
        <v>303</v>
      </c>
      <c r="M929" s="14" t="s">
        <v>303</v>
      </c>
      <c r="N929" s="14" t="s">
        <v>446</v>
      </c>
      <c r="O929" s="14" t="s">
        <v>608</v>
      </c>
    </row>
    <row r="930" spans="1:15" ht="45" x14ac:dyDescent="0.2">
      <c r="A930" s="2" t="s">
        <v>2403</v>
      </c>
      <c r="B930" s="2" t="s">
        <v>2404</v>
      </c>
      <c r="C930" s="2" t="s">
        <v>194</v>
      </c>
      <c r="D930" s="2" t="s">
        <v>442</v>
      </c>
      <c r="E930" s="4">
        <v>59.99</v>
      </c>
      <c r="F930" s="4">
        <v>141.69</v>
      </c>
      <c r="G930" s="3">
        <v>2</v>
      </c>
      <c r="H930" s="6">
        <v>4.8</v>
      </c>
      <c r="I930" s="3">
        <v>11</v>
      </c>
      <c r="J930" s="13" t="str">
        <f>HYPERLINK("https://amazon.com/dp/B0FZGNG588","Amazon - B0FZGNG588")</f>
        <v>Amazon - B0FZGNG588</v>
      </c>
      <c r="K930" s="14" t="s">
        <v>443</v>
      </c>
      <c r="L930" s="14" t="s">
        <v>461</v>
      </c>
      <c r="M930" s="14" t="s">
        <v>303</v>
      </c>
      <c r="N930" s="14" t="s">
        <v>452</v>
      </c>
      <c r="O930" s="14" t="s">
        <v>453</v>
      </c>
    </row>
    <row r="931" spans="1:15" ht="45" x14ac:dyDescent="0.2">
      <c r="A931" s="2" t="s">
        <v>2405</v>
      </c>
      <c r="B931" s="2" t="s">
        <v>2406</v>
      </c>
      <c r="C931" s="2" t="s">
        <v>62</v>
      </c>
      <c r="D931" s="2" t="s">
        <v>450</v>
      </c>
      <c r="E931" s="4">
        <v>49</v>
      </c>
      <c r="F931" s="4">
        <v>141.15</v>
      </c>
      <c r="G931" s="3">
        <v>3</v>
      </c>
      <c r="H931" s="6">
        <v>4.4000000000000004</v>
      </c>
      <c r="I931" s="3">
        <v>7</v>
      </c>
      <c r="J931" s="13" t="str">
        <f>HYPERLINK("https://amazon.com/dp/B0CNG7KG2T","Amazon - B0CNG7KG2T")</f>
        <v>Amazon - B0CNG7KG2T</v>
      </c>
      <c r="K931" s="14" t="s">
        <v>443</v>
      </c>
      <c r="L931" s="14" t="s">
        <v>303</v>
      </c>
      <c r="M931" s="14" t="s">
        <v>457</v>
      </c>
      <c r="N931" s="14" t="s">
        <v>446</v>
      </c>
      <c r="O931" s="14" t="s">
        <v>303</v>
      </c>
    </row>
    <row r="932" spans="1:15" ht="45" x14ac:dyDescent="0.2">
      <c r="A932" s="2" t="s">
        <v>2407</v>
      </c>
      <c r="B932" s="2" t="s">
        <v>2408</v>
      </c>
      <c r="C932" s="2" t="s">
        <v>224</v>
      </c>
      <c r="D932" s="2" t="s">
        <v>823</v>
      </c>
      <c r="E932" s="4">
        <v>15.98</v>
      </c>
      <c r="F932" s="4">
        <v>141.04</v>
      </c>
      <c r="G932" s="3">
        <v>9</v>
      </c>
      <c r="H932" s="6">
        <v>4.3</v>
      </c>
      <c r="I932" s="3">
        <v>275</v>
      </c>
      <c r="J932" s="13" t="str">
        <f>HYPERLINK("https://amazon.com/dp/B072JCVB6T","Amazon - B072JCVB6T")</f>
        <v>Amazon - B072JCVB6T</v>
      </c>
      <c r="K932" s="14" t="s">
        <v>443</v>
      </c>
      <c r="L932" s="14" t="s">
        <v>451</v>
      </c>
      <c r="M932" s="14" t="s">
        <v>303</v>
      </c>
      <c r="N932" s="14" t="s">
        <v>446</v>
      </c>
      <c r="O932" s="14" t="s">
        <v>303</v>
      </c>
    </row>
    <row r="933" spans="1:15" ht="45" x14ac:dyDescent="0.2">
      <c r="A933" s="2" t="s">
        <v>2409</v>
      </c>
      <c r="B933" s="2" t="s">
        <v>2410</v>
      </c>
      <c r="C933" s="2" t="s">
        <v>123</v>
      </c>
      <c r="D933" s="2" t="s">
        <v>442</v>
      </c>
      <c r="E933" s="4">
        <v>249.99</v>
      </c>
      <c r="F933" s="4">
        <v>141.03</v>
      </c>
      <c r="G933" s="3">
        <v>1</v>
      </c>
      <c r="H933" s="6">
        <v>3.7</v>
      </c>
      <c r="I933" s="3">
        <v>3</v>
      </c>
      <c r="J933" s="13" t="str">
        <f>HYPERLINK("https://amazon.com/dp/B0F4VZKFMV","Amazon - B0F4VZKFMV")</f>
        <v>Amazon - B0F4VZKFMV</v>
      </c>
      <c r="K933" s="14" t="s">
        <v>482</v>
      </c>
      <c r="L933" s="14" t="s">
        <v>461</v>
      </c>
      <c r="M933" s="14" t="s">
        <v>577</v>
      </c>
      <c r="N933" s="14" t="s">
        <v>446</v>
      </c>
      <c r="O933" s="14" t="s">
        <v>447</v>
      </c>
    </row>
    <row r="934" spans="1:15" ht="30" x14ac:dyDescent="0.2">
      <c r="A934" s="2" t="s">
        <v>2411</v>
      </c>
      <c r="B934" s="2" t="s">
        <v>2412</v>
      </c>
      <c r="C934" s="2" t="s">
        <v>34</v>
      </c>
      <c r="D934" s="2" t="s">
        <v>450</v>
      </c>
      <c r="E934" s="4">
        <v>20.98</v>
      </c>
      <c r="F934" s="4">
        <v>140.59</v>
      </c>
      <c r="G934" s="3">
        <v>7</v>
      </c>
      <c r="H934" s="6">
        <v>4.2</v>
      </c>
      <c r="I934" s="3">
        <v>622</v>
      </c>
      <c r="J934" s="13" t="str">
        <f>HYPERLINK("https://amazon.com/dp/B0FZGZ91VX","Amazon - B0FZGZ91VX")</f>
        <v>Amazon - B0FZGZ91VX</v>
      </c>
      <c r="K934" s="14" t="s">
        <v>443</v>
      </c>
      <c r="L934" s="14" t="s">
        <v>451</v>
      </c>
      <c r="M934" s="14" t="s">
        <v>303</v>
      </c>
      <c r="N934" s="14" t="s">
        <v>452</v>
      </c>
      <c r="O934" s="14" t="s">
        <v>524</v>
      </c>
    </row>
    <row r="935" spans="1:15" ht="30" x14ac:dyDescent="0.2">
      <c r="A935" s="2" t="s">
        <v>2413</v>
      </c>
      <c r="B935" s="2" t="s">
        <v>2414</v>
      </c>
      <c r="C935" s="2" t="s">
        <v>137</v>
      </c>
      <c r="D935" s="2" t="s">
        <v>442</v>
      </c>
      <c r="E935" s="4">
        <v>256.60000000000002</v>
      </c>
      <c r="F935" s="4">
        <v>138.34</v>
      </c>
      <c r="G935" s="3">
        <v>1</v>
      </c>
      <c r="H935" s="6">
        <v>3.6</v>
      </c>
      <c r="I935" s="3">
        <v>6</v>
      </c>
      <c r="J935" s="13" t="str">
        <f>HYPERLINK("https://amazon.com/dp/B09TBMGC5B","Amazon - B09TBMGC5B")</f>
        <v>Amazon - B09TBMGC5B</v>
      </c>
      <c r="K935" s="14" t="s">
        <v>443</v>
      </c>
      <c r="L935" s="14" t="s">
        <v>461</v>
      </c>
      <c r="M935" s="14" t="s">
        <v>715</v>
      </c>
      <c r="N935" s="14" t="s">
        <v>452</v>
      </c>
      <c r="O935" s="14" t="s">
        <v>303</v>
      </c>
    </row>
    <row r="936" spans="1:15" ht="30" x14ac:dyDescent="0.2">
      <c r="A936" s="2" t="s">
        <v>2415</v>
      </c>
      <c r="B936" s="2" t="s">
        <v>2416</v>
      </c>
      <c r="C936" s="2" t="s">
        <v>238</v>
      </c>
      <c r="D936" s="2" t="s">
        <v>442</v>
      </c>
      <c r="E936" s="4">
        <v>21.99</v>
      </c>
      <c r="F936" s="4">
        <v>135.72</v>
      </c>
      <c r="G936" s="3">
        <v>6</v>
      </c>
      <c r="H936" s="6">
        <v>4</v>
      </c>
      <c r="I936" s="3">
        <v>1</v>
      </c>
      <c r="J936" s="13" t="str">
        <f>HYPERLINK("https://amazon.com/dp/B0FDR3H2YQ","Amazon - B0FDR3H2YQ")</f>
        <v>Amazon - B0FDR3H2YQ</v>
      </c>
      <c r="K936" s="14" t="s">
        <v>443</v>
      </c>
      <c r="L936" s="14" t="s">
        <v>456</v>
      </c>
      <c r="M936" s="14" t="s">
        <v>445</v>
      </c>
      <c r="N936" s="14" t="s">
        <v>446</v>
      </c>
      <c r="O936" s="14" t="s">
        <v>453</v>
      </c>
    </row>
    <row r="937" spans="1:15" ht="45" x14ac:dyDescent="0.2">
      <c r="A937" s="2" t="s">
        <v>2417</v>
      </c>
      <c r="B937" s="2" t="s">
        <v>2418</v>
      </c>
      <c r="C937" s="2" t="s">
        <v>31</v>
      </c>
      <c r="D937" s="2" t="s">
        <v>472</v>
      </c>
      <c r="E937" s="4">
        <v>29.99</v>
      </c>
      <c r="F937" s="4">
        <v>135.63</v>
      </c>
      <c r="G937" s="3">
        <v>5</v>
      </c>
      <c r="H937" s="6">
        <v>4.4000000000000004</v>
      </c>
      <c r="I937" s="3">
        <v>26</v>
      </c>
      <c r="J937" s="13" t="str">
        <f>HYPERLINK("https://amazon.com/dp/B0DYNS468T","Amazon - B0DYNS468T")</f>
        <v>Amazon - B0DYNS468T</v>
      </c>
      <c r="K937" s="14" t="s">
        <v>443</v>
      </c>
      <c r="L937" s="14" t="s">
        <v>530</v>
      </c>
      <c r="M937" s="14" t="s">
        <v>303</v>
      </c>
      <c r="N937" s="14" t="s">
        <v>452</v>
      </c>
      <c r="O937" s="14" t="s">
        <v>453</v>
      </c>
    </row>
    <row r="938" spans="1:15" ht="45" x14ac:dyDescent="0.2">
      <c r="A938" s="2" t="s">
        <v>2419</v>
      </c>
      <c r="B938" s="2" t="s">
        <v>2420</v>
      </c>
      <c r="C938" s="2" t="s">
        <v>239</v>
      </c>
      <c r="D938" s="2" t="s">
        <v>450</v>
      </c>
      <c r="E938" s="4">
        <v>10.29</v>
      </c>
      <c r="F938" s="4">
        <v>135.34</v>
      </c>
      <c r="G938" s="3">
        <v>13</v>
      </c>
      <c r="H938" s="6">
        <v>3.2</v>
      </c>
      <c r="I938" s="3">
        <v>53</v>
      </c>
      <c r="J938" s="13" t="str">
        <f>HYPERLINK("https://amazon.com/dp/B0BXSQX9FQ","Amazon - B0BXSQX9FQ")</f>
        <v>Amazon - B0BXSQX9FQ</v>
      </c>
      <c r="K938" s="14" t="s">
        <v>443</v>
      </c>
      <c r="L938" s="14" t="s">
        <v>451</v>
      </c>
      <c r="M938" s="14" t="s">
        <v>303</v>
      </c>
      <c r="N938" s="14" t="s">
        <v>446</v>
      </c>
      <c r="O938" s="14" t="s">
        <v>578</v>
      </c>
    </row>
    <row r="939" spans="1:15" ht="45" x14ac:dyDescent="0.2">
      <c r="A939" s="2" t="s">
        <v>2421</v>
      </c>
      <c r="B939" s="2" t="s">
        <v>2422</v>
      </c>
      <c r="C939" s="2" t="s">
        <v>235</v>
      </c>
      <c r="D939" s="2" t="s">
        <v>472</v>
      </c>
      <c r="E939" s="4">
        <v>23.79</v>
      </c>
      <c r="F939" s="4">
        <v>135.15</v>
      </c>
      <c r="G939" s="3">
        <v>6</v>
      </c>
      <c r="H939" s="6">
        <v>0</v>
      </c>
      <c r="I939" s="3">
        <v>0</v>
      </c>
      <c r="J939" s="13" t="str">
        <f>HYPERLINK("https://amazon.com/dp/B0CZ3WL4SV","Amazon - B0CZ3WL4SV")</f>
        <v>Amazon - B0CZ3WL4SV</v>
      </c>
      <c r="K939" s="14" t="s">
        <v>443</v>
      </c>
      <c r="L939" s="14" t="s">
        <v>303</v>
      </c>
      <c r="M939" s="14" t="s">
        <v>303</v>
      </c>
      <c r="N939" s="14" t="s">
        <v>446</v>
      </c>
      <c r="O939" s="14" t="s">
        <v>517</v>
      </c>
    </row>
    <row r="940" spans="1:15" ht="45" x14ac:dyDescent="0.2">
      <c r="A940" s="2" t="s">
        <v>2423</v>
      </c>
      <c r="B940" s="2" t="s">
        <v>2424</v>
      </c>
      <c r="C940" s="2" t="s">
        <v>221</v>
      </c>
      <c r="D940" s="2" t="s">
        <v>450</v>
      </c>
      <c r="E940" s="4">
        <v>26.99</v>
      </c>
      <c r="F940" s="4">
        <v>132.51</v>
      </c>
      <c r="G940" s="3">
        <v>5</v>
      </c>
      <c r="H940" s="6">
        <v>4.2</v>
      </c>
      <c r="I940" s="3">
        <v>275</v>
      </c>
      <c r="J940" s="13" t="str">
        <f>HYPERLINK("https://amazon.com/dp/B0DK5CBMVL","Amazon - B0DK5CBMVL")</f>
        <v>Amazon - B0DK5CBMVL</v>
      </c>
      <c r="K940" s="14" t="s">
        <v>443</v>
      </c>
      <c r="L940" s="14" t="s">
        <v>451</v>
      </c>
      <c r="M940" s="14" t="s">
        <v>303</v>
      </c>
      <c r="N940" s="14" t="s">
        <v>452</v>
      </c>
      <c r="O940" s="14" t="s">
        <v>745</v>
      </c>
    </row>
    <row r="941" spans="1:15" ht="30" x14ac:dyDescent="0.2">
      <c r="A941" s="2" t="s">
        <v>2425</v>
      </c>
      <c r="B941" s="2" t="s">
        <v>2426</v>
      </c>
      <c r="C941" s="2" t="s">
        <v>137</v>
      </c>
      <c r="D941" s="2" t="s">
        <v>442</v>
      </c>
      <c r="E941" s="4">
        <v>144.07</v>
      </c>
      <c r="F941" s="4">
        <v>132.38</v>
      </c>
      <c r="G941" s="3">
        <v>1</v>
      </c>
      <c r="H941" s="6">
        <v>3.6</v>
      </c>
      <c r="I941" s="3">
        <v>6</v>
      </c>
      <c r="J941" s="13" t="str">
        <f>HYPERLINK("https://amazon.com/dp/B09TBK4QZG","Amazon - B09TBK4QZG")</f>
        <v>Amazon - B09TBK4QZG</v>
      </c>
      <c r="K941" s="14" t="s">
        <v>443</v>
      </c>
      <c r="L941" s="14" t="s">
        <v>461</v>
      </c>
      <c r="M941" s="14" t="s">
        <v>462</v>
      </c>
      <c r="N941" s="14" t="s">
        <v>446</v>
      </c>
      <c r="O941" s="14" t="s">
        <v>303</v>
      </c>
    </row>
    <row r="942" spans="1:15" ht="30" x14ac:dyDescent="0.2">
      <c r="A942" s="2" t="s">
        <v>2427</v>
      </c>
      <c r="B942" s="2" t="s">
        <v>2428</v>
      </c>
      <c r="C942" s="2" t="s">
        <v>240</v>
      </c>
      <c r="D942" s="2" t="s">
        <v>442</v>
      </c>
      <c r="E942" s="4">
        <v>182</v>
      </c>
      <c r="F942" s="4">
        <v>132.38</v>
      </c>
      <c r="G942" s="3">
        <v>1</v>
      </c>
      <c r="H942" s="6">
        <v>0</v>
      </c>
      <c r="I942" s="3">
        <v>0</v>
      </c>
      <c r="J942" s="13" t="str">
        <f>HYPERLINK("https://amazon.com/dp/B0FCG5JRN9","Amazon - B0FCG5JRN9")</f>
        <v>Amazon - B0FCG5JRN9</v>
      </c>
      <c r="K942" s="14" t="s">
        <v>443</v>
      </c>
      <c r="L942" s="14" t="s">
        <v>461</v>
      </c>
      <c r="M942" s="14" t="s">
        <v>303</v>
      </c>
      <c r="N942" s="14" t="s">
        <v>446</v>
      </c>
      <c r="O942" s="14" t="s">
        <v>543</v>
      </c>
    </row>
    <row r="943" spans="1:15" ht="45" x14ac:dyDescent="0.2">
      <c r="A943" s="2" t="s">
        <v>2429</v>
      </c>
      <c r="B943" s="2" t="s">
        <v>2430</v>
      </c>
      <c r="C943" s="2" t="s">
        <v>241</v>
      </c>
      <c r="D943" s="2" t="s">
        <v>442</v>
      </c>
      <c r="E943" s="4">
        <v>25.99</v>
      </c>
      <c r="F943" s="4">
        <v>132.37</v>
      </c>
      <c r="G943" s="3">
        <v>5</v>
      </c>
      <c r="H943" s="6">
        <v>4.3</v>
      </c>
      <c r="I943" s="3">
        <v>82</v>
      </c>
      <c r="J943" s="13" t="str">
        <f>HYPERLINK("https://amazon.com/dp/B0DPHCYQDF","Amazon - B0DPHCYQDF")</f>
        <v>Amazon - B0DPHCYQDF</v>
      </c>
      <c r="K943" s="14" t="s">
        <v>443</v>
      </c>
      <c r="L943" s="14" t="s">
        <v>456</v>
      </c>
      <c r="M943" s="14" t="s">
        <v>303</v>
      </c>
      <c r="N943" s="14" t="s">
        <v>452</v>
      </c>
      <c r="O943" s="14" t="s">
        <v>453</v>
      </c>
    </row>
    <row r="944" spans="1:15" ht="45" x14ac:dyDescent="0.2">
      <c r="A944" s="2" t="s">
        <v>2431</v>
      </c>
      <c r="B944" s="2" t="s">
        <v>2432</v>
      </c>
      <c r="C944" s="2" t="s">
        <v>109</v>
      </c>
      <c r="D944" s="2" t="s">
        <v>823</v>
      </c>
      <c r="E944" s="4">
        <v>39.99</v>
      </c>
      <c r="F944" s="4">
        <v>130.77000000000001</v>
      </c>
      <c r="G944" s="3">
        <v>3</v>
      </c>
      <c r="H944" s="6">
        <v>3.9</v>
      </c>
      <c r="I944" s="3">
        <v>811</v>
      </c>
      <c r="J944" s="13" t="str">
        <f>HYPERLINK("https://amazon.com/dp/B07GVD47J2","Amazon - B07GVD47J2")</f>
        <v>Amazon - B07GVD47J2</v>
      </c>
      <c r="K944" s="14" t="s">
        <v>443</v>
      </c>
      <c r="L944" s="14" t="s">
        <v>451</v>
      </c>
      <c r="M944" s="14" t="s">
        <v>445</v>
      </c>
      <c r="N944" s="14" t="s">
        <v>446</v>
      </c>
      <c r="O944" s="14" t="s">
        <v>946</v>
      </c>
    </row>
    <row r="945" spans="1:15" ht="30" x14ac:dyDescent="0.2">
      <c r="A945" s="2" t="s">
        <v>2433</v>
      </c>
      <c r="B945" s="2" t="s">
        <v>2434</v>
      </c>
      <c r="C945" s="2" t="s">
        <v>182</v>
      </c>
      <c r="D945" s="2" t="s">
        <v>450</v>
      </c>
      <c r="E945" s="4">
        <v>19.989999999999998</v>
      </c>
      <c r="F945" s="4">
        <v>130.25</v>
      </c>
      <c r="G945" s="3">
        <v>7</v>
      </c>
      <c r="H945" s="6">
        <v>3.9</v>
      </c>
      <c r="I945" s="3">
        <v>11</v>
      </c>
      <c r="J945" s="13" t="str">
        <f>HYPERLINK("https://amazon.com/dp/B0GCMZ9GMP","Amazon - B0GCMZ9GMP")</f>
        <v>Amazon - B0GCMZ9GMP</v>
      </c>
      <c r="K945" s="14" t="s">
        <v>443</v>
      </c>
      <c r="L945" s="14" t="s">
        <v>451</v>
      </c>
      <c r="M945" s="14" t="s">
        <v>303</v>
      </c>
      <c r="N945" s="14" t="s">
        <v>446</v>
      </c>
      <c r="O945" s="14" t="s">
        <v>303</v>
      </c>
    </row>
    <row r="946" spans="1:15" ht="30" x14ac:dyDescent="0.2">
      <c r="A946" s="2" t="s">
        <v>2435</v>
      </c>
      <c r="B946" s="2" t="s">
        <v>2436</v>
      </c>
      <c r="C946" s="2" t="s">
        <v>61</v>
      </c>
      <c r="D946" s="2" t="s">
        <v>442</v>
      </c>
      <c r="E946" s="4">
        <v>119.99</v>
      </c>
      <c r="F946" s="4">
        <v>127.83</v>
      </c>
      <c r="G946" s="3">
        <v>1</v>
      </c>
      <c r="H946" s="6">
        <v>4</v>
      </c>
      <c r="I946" s="3">
        <v>29</v>
      </c>
      <c r="J946" s="13" t="str">
        <f>HYPERLINK("https://amazon.com/dp/B0CKSLNNM3","Amazon - B0CKSLNNM3")</f>
        <v>Amazon - B0CKSLNNM3</v>
      </c>
      <c r="K946" s="14" t="s">
        <v>443</v>
      </c>
      <c r="L946" s="14" t="s">
        <v>461</v>
      </c>
      <c r="M946" s="14" t="s">
        <v>303</v>
      </c>
      <c r="N946" s="14" t="s">
        <v>452</v>
      </c>
      <c r="O946" s="14" t="s">
        <v>447</v>
      </c>
    </row>
    <row r="947" spans="1:15" ht="45" x14ac:dyDescent="0.2">
      <c r="A947" s="2" t="s">
        <v>2437</v>
      </c>
      <c r="B947" s="2" t="s">
        <v>2438</v>
      </c>
      <c r="C947" s="2" t="s">
        <v>123</v>
      </c>
      <c r="D947" s="2" t="s">
        <v>472</v>
      </c>
      <c r="E947" s="4">
        <v>119.99</v>
      </c>
      <c r="F947" s="4">
        <v>127.43</v>
      </c>
      <c r="G947" s="3">
        <v>1</v>
      </c>
      <c r="H947" s="6">
        <v>3.8</v>
      </c>
      <c r="I947" s="3">
        <v>34</v>
      </c>
      <c r="J947" s="13" t="str">
        <f>HYPERLINK("https://amazon.com/dp/B0F64R5J6N","Amazon - B0F64R5J6N")</f>
        <v>Amazon - B0F64R5J6N</v>
      </c>
      <c r="K947" s="14" t="s">
        <v>443</v>
      </c>
      <c r="L947" s="14" t="s">
        <v>461</v>
      </c>
      <c r="M947" s="14" t="s">
        <v>577</v>
      </c>
      <c r="N947" s="14" t="s">
        <v>452</v>
      </c>
      <c r="O947" s="14" t="s">
        <v>447</v>
      </c>
    </row>
    <row r="948" spans="1:15" x14ac:dyDescent="0.2">
      <c r="A948" s="2" t="s">
        <v>2439</v>
      </c>
      <c r="B948" s="2" t="s">
        <v>2440</v>
      </c>
      <c r="C948" s="2" t="s">
        <v>137</v>
      </c>
      <c r="D948" s="2" t="s">
        <v>442</v>
      </c>
      <c r="E948" s="4">
        <v>71.06</v>
      </c>
      <c r="F948" s="4">
        <v>124.82</v>
      </c>
      <c r="G948" s="3">
        <v>1</v>
      </c>
      <c r="H948" s="6">
        <v>3.6</v>
      </c>
      <c r="I948" s="3">
        <v>6</v>
      </c>
      <c r="J948" s="13" t="str">
        <f>HYPERLINK("https://amazon.com/dp/B0BQWZCGFY","Amazon - B0BQWZCGFY")</f>
        <v>Amazon - B0BQWZCGFY</v>
      </c>
      <c r="K948" s="14" t="s">
        <v>443</v>
      </c>
      <c r="L948" s="14" t="s">
        <v>303</v>
      </c>
      <c r="M948" s="14" t="s">
        <v>303</v>
      </c>
      <c r="N948" s="14" t="s">
        <v>446</v>
      </c>
      <c r="O948" s="14" t="s">
        <v>578</v>
      </c>
    </row>
    <row r="949" spans="1:15" ht="30" x14ac:dyDescent="0.2">
      <c r="A949" s="2" t="s">
        <v>2441</v>
      </c>
      <c r="B949" s="2" t="s">
        <v>2442</v>
      </c>
      <c r="C949" s="2" t="s">
        <v>14</v>
      </c>
      <c r="D949" s="2" t="s">
        <v>472</v>
      </c>
      <c r="E949" s="4">
        <v>25.99</v>
      </c>
      <c r="F949" s="4">
        <v>122.84</v>
      </c>
      <c r="G949" s="3">
        <v>5</v>
      </c>
      <c r="H949" s="6">
        <v>5</v>
      </c>
      <c r="I949" s="3">
        <v>1</v>
      </c>
      <c r="J949" s="13" t="str">
        <f>HYPERLINK("https://amazon.com/dp/B0CP3YBTT4","Amazon - B0CP3YBTT4")</f>
        <v>Amazon - B0CP3YBTT4</v>
      </c>
      <c r="K949" s="14" t="s">
        <v>443</v>
      </c>
      <c r="L949" s="14" t="s">
        <v>303</v>
      </c>
      <c r="M949" s="14" t="s">
        <v>303</v>
      </c>
      <c r="N949" s="14" t="s">
        <v>446</v>
      </c>
      <c r="O949" s="14" t="s">
        <v>303</v>
      </c>
    </row>
    <row r="950" spans="1:15" ht="45" x14ac:dyDescent="0.2">
      <c r="A950" s="2" t="s">
        <v>2443</v>
      </c>
      <c r="B950" s="2" t="s">
        <v>2444</v>
      </c>
      <c r="C950" s="2" t="s">
        <v>243</v>
      </c>
      <c r="D950" s="2" t="s">
        <v>442</v>
      </c>
      <c r="E950" s="4">
        <v>43.99</v>
      </c>
      <c r="F950" s="4">
        <v>122.79</v>
      </c>
      <c r="G950" s="3">
        <v>3</v>
      </c>
      <c r="H950" s="6">
        <v>5</v>
      </c>
      <c r="I950" s="3">
        <v>13</v>
      </c>
      <c r="J950" s="13" t="str">
        <f>HYPERLINK("https://amazon.com/dp/B0FF4X5J9S","Amazon - B0FF4X5J9S")</f>
        <v>Amazon - B0FF4X5J9S</v>
      </c>
      <c r="K950" s="14" t="s">
        <v>443</v>
      </c>
      <c r="L950" s="14" t="s">
        <v>456</v>
      </c>
      <c r="M950" s="14" t="s">
        <v>303</v>
      </c>
      <c r="N950" s="14" t="s">
        <v>452</v>
      </c>
      <c r="O950" s="14" t="s">
        <v>453</v>
      </c>
    </row>
    <row r="951" spans="1:15" ht="30" x14ac:dyDescent="0.2">
      <c r="A951" s="2" t="s">
        <v>2445</v>
      </c>
      <c r="B951" s="2" t="s">
        <v>2446</v>
      </c>
      <c r="C951" s="2" t="s">
        <v>137</v>
      </c>
      <c r="D951" s="2" t="s">
        <v>442</v>
      </c>
      <c r="E951" s="4">
        <v>94.5</v>
      </c>
      <c r="F951" s="4">
        <v>121.65</v>
      </c>
      <c r="G951" s="3">
        <v>1</v>
      </c>
      <c r="H951" s="6">
        <v>3.6</v>
      </c>
      <c r="I951" s="3">
        <v>6</v>
      </c>
      <c r="J951" s="13" t="str">
        <f>HYPERLINK("https://amazon.com/dp/B0B47D3T1D","Amazon - B0B47D3T1D")</f>
        <v>Amazon - B0B47D3T1D</v>
      </c>
      <c r="K951" s="14" t="s">
        <v>443</v>
      </c>
      <c r="L951" s="14" t="s">
        <v>1725</v>
      </c>
      <c r="M951" s="14" t="s">
        <v>462</v>
      </c>
      <c r="N951" s="14" t="s">
        <v>446</v>
      </c>
      <c r="O951" s="14" t="s">
        <v>578</v>
      </c>
    </row>
    <row r="952" spans="1:15" x14ac:dyDescent="0.2">
      <c r="A952" s="2" t="s">
        <v>2447</v>
      </c>
      <c r="B952" s="2" t="s">
        <v>2448</v>
      </c>
      <c r="C952" s="2" t="s">
        <v>137</v>
      </c>
      <c r="D952" s="2" t="s">
        <v>442</v>
      </c>
      <c r="E952" s="4">
        <v>85.71</v>
      </c>
      <c r="F952" s="4">
        <v>119.94</v>
      </c>
      <c r="G952" s="3">
        <v>1</v>
      </c>
      <c r="H952" s="6">
        <v>3.6</v>
      </c>
      <c r="I952" s="3">
        <v>7</v>
      </c>
      <c r="J952" s="13" t="str">
        <f>HYPERLINK("https://amazon.com/dp/B09TBLMGMB","Amazon - B09TBLMGMB")</f>
        <v>Amazon - B09TBLMGMB</v>
      </c>
      <c r="K952" s="14" t="s">
        <v>443</v>
      </c>
      <c r="L952" s="14" t="s">
        <v>303</v>
      </c>
      <c r="M952" s="14" t="s">
        <v>303</v>
      </c>
      <c r="N952" s="14" t="s">
        <v>446</v>
      </c>
      <c r="O952" s="14" t="s">
        <v>453</v>
      </c>
    </row>
    <row r="953" spans="1:15" ht="45" x14ac:dyDescent="0.2">
      <c r="A953" s="2" t="s">
        <v>2449</v>
      </c>
      <c r="B953" s="2" t="s">
        <v>2450</v>
      </c>
      <c r="C953" s="2" t="s">
        <v>186</v>
      </c>
      <c r="D953" s="2" t="s">
        <v>442</v>
      </c>
      <c r="E953" s="4">
        <v>28</v>
      </c>
      <c r="F953" s="4">
        <v>119.59</v>
      </c>
      <c r="G953" s="3">
        <v>6</v>
      </c>
      <c r="H953" s="6">
        <v>4</v>
      </c>
      <c r="I953" s="3">
        <v>40</v>
      </c>
      <c r="J953" s="13" t="str">
        <f>HYPERLINK("https://amazon.com/dp/B0F4QQLWK5","Amazon - B0F4QQLWK5")</f>
        <v>Amazon - B0F4QQLWK5</v>
      </c>
      <c r="K953" s="14" t="s">
        <v>443</v>
      </c>
      <c r="L953" s="14" t="s">
        <v>303</v>
      </c>
      <c r="M953" s="14" t="s">
        <v>303</v>
      </c>
      <c r="N953" s="14" t="s">
        <v>452</v>
      </c>
      <c r="O953" s="14" t="s">
        <v>524</v>
      </c>
    </row>
    <row r="954" spans="1:15" ht="45" x14ac:dyDescent="0.2">
      <c r="A954" s="2" t="s">
        <v>2451</v>
      </c>
      <c r="B954" s="2" t="s">
        <v>2452</v>
      </c>
      <c r="C954" s="2" t="s">
        <v>189</v>
      </c>
      <c r="D954" s="2" t="s">
        <v>450</v>
      </c>
      <c r="E954" s="4">
        <v>25.99</v>
      </c>
      <c r="F954" s="4">
        <v>118.27</v>
      </c>
      <c r="G954" s="3">
        <v>5</v>
      </c>
      <c r="H954" s="6">
        <v>3.6</v>
      </c>
      <c r="I954" s="3">
        <v>19</v>
      </c>
      <c r="J954" s="13" t="str">
        <f>HYPERLINK("https://amazon.com/dp/B0FRRDSPY5","Amazon - B0FRRDSPY5")</f>
        <v>Amazon - B0FRRDSPY5</v>
      </c>
      <c r="K954" s="14" t="s">
        <v>443</v>
      </c>
      <c r="L954" s="14" t="s">
        <v>451</v>
      </c>
      <c r="M954" s="14" t="s">
        <v>303</v>
      </c>
      <c r="N954" s="14" t="s">
        <v>452</v>
      </c>
      <c r="O954" s="14" t="s">
        <v>303</v>
      </c>
    </row>
    <row r="955" spans="1:15" ht="45" x14ac:dyDescent="0.2">
      <c r="A955" s="2" t="s">
        <v>2453</v>
      </c>
      <c r="B955" s="2" t="s">
        <v>2454</v>
      </c>
      <c r="C955" s="2" t="s">
        <v>234</v>
      </c>
      <c r="D955" s="2" t="s">
        <v>450</v>
      </c>
      <c r="E955" s="4">
        <v>35.32</v>
      </c>
      <c r="F955" s="4">
        <v>117.11</v>
      </c>
      <c r="G955" s="3">
        <v>3</v>
      </c>
      <c r="H955" s="6">
        <v>0</v>
      </c>
      <c r="I955" s="3">
        <v>0</v>
      </c>
      <c r="J955" s="13" t="str">
        <f>HYPERLINK("https://amazon.com/dp/B0D9VS4G9N","Amazon - B0D9VS4G9N")</f>
        <v>Amazon - B0D9VS4G9N</v>
      </c>
      <c r="K955" s="14" t="s">
        <v>443</v>
      </c>
      <c r="L955" s="14" t="s">
        <v>451</v>
      </c>
      <c r="M955" s="14" t="s">
        <v>511</v>
      </c>
      <c r="N955" s="14" t="s">
        <v>446</v>
      </c>
      <c r="O955" s="14" t="s">
        <v>303</v>
      </c>
    </row>
    <row r="956" spans="1:15" ht="30" x14ac:dyDescent="0.2">
      <c r="A956" s="2" t="s">
        <v>2455</v>
      </c>
      <c r="B956" s="2" t="s">
        <v>2456</v>
      </c>
      <c r="C956" s="2" t="s">
        <v>210</v>
      </c>
      <c r="D956" s="2" t="s">
        <v>442</v>
      </c>
      <c r="E956" s="4">
        <v>69.489999999999995</v>
      </c>
      <c r="F956" s="4">
        <v>115.66</v>
      </c>
      <c r="G956" s="3">
        <v>2</v>
      </c>
      <c r="H956" s="6">
        <v>0</v>
      </c>
      <c r="I956" s="3">
        <v>0</v>
      </c>
      <c r="J956" s="13" t="str">
        <f>HYPERLINK("https://amazon.com/dp/B0BZSFK2HC","Amazon - B0BZSFK2HC")</f>
        <v>Amazon - B0BZSFK2HC</v>
      </c>
      <c r="K956" s="14" t="s">
        <v>443</v>
      </c>
      <c r="L956" s="14" t="s">
        <v>456</v>
      </c>
      <c r="M956" s="14" t="s">
        <v>445</v>
      </c>
      <c r="N956" s="14" t="s">
        <v>446</v>
      </c>
      <c r="O956" s="14" t="s">
        <v>2457</v>
      </c>
    </row>
    <row r="957" spans="1:15" ht="30" x14ac:dyDescent="0.2">
      <c r="A957" s="2" t="s">
        <v>2458</v>
      </c>
      <c r="B957" s="2" t="s">
        <v>2459</v>
      </c>
      <c r="C957" s="2" t="s">
        <v>236</v>
      </c>
      <c r="D957" s="2" t="s">
        <v>450</v>
      </c>
      <c r="E957" s="4">
        <v>11.99</v>
      </c>
      <c r="F957" s="4">
        <v>114.62</v>
      </c>
      <c r="G957" s="3">
        <v>8</v>
      </c>
      <c r="H957" s="6">
        <v>4</v>
      </c>
      <c r="I957" s="3">
        <v>218</v>
      </c>
      <c r="J957" s="13" t="str">
        <f>HYPERLINK("https://amazon.com/dp/B0CCJ5R7RF","Amazon - B0CCJ5R7RF")</f>
        <v>Amazon - B0CCJ5R7RF</v>
      </c>
      <c r="K957" s="14" t="s">
        <v>443</v>
      </c>
      <c r="L957" s="14" t="s">
        <v>451</v>
      </c>
      <c r="M957" s="14" t="s">
        <v>303</v>
      </c>
      <c r="N957" s="14" t="s">
        <v>446</v>
      </c>
      <c r="O957" s="14" t="s">
        <v>303</v>
      </c>
    </row>
    <row r="958" spans="1:15" ht="30" x14ac:dyDescent="0.2">
      <c r="A958" s="2" t="s">
        <v>2460</v>
      </c>
      <c r="B958" s="2" t="s">
        <v>2461</v>
      </c>
      <c r="C958" s="2" t="s">
        <v>122</v>
      </c>
      <c r="D958" s="2" t="s">
        <v>450</v>
      </c>
      <c r="E958" s="4">
        <v>23.82</v>
      </c>
      <c r="F958" s="4">
        <v>114.45</v>
      </c>
      <c r="G958" s="3">
        <v>5</v>
      </c>
      <c r="H958" s="6">
        <v>2</v>
      </c>
      <c r="I958" s="3">
        <v>5</v>
      </c>
      <c r="J958" s="13" t="str">
        <f>HYPERLINK("https://amazon.com/dp/B0BWVD82JL","Amazon - B0BWVD82JL")</f>
        <v>Amazon - B0BWVD82JL</v>
      </c>
      <c r="K958" s="14" t="s">
        <v>443</v>
      </c>
      <c r="L958" s="14" t="s">
        <v>303</v>
      </c>
      <c r="M958" s="14" t="s">
        <v>511</v>
      </c>
      <c r="N958" s="14" t="s">
        <v>446</v>
      </c>
      <c r="O958" s="14" t="s">
        <v>453</v>
      </c>
    </row>
    <row r="959" spans="1:15" ht="45" x14ac:dyDescent="0.2">
      <c r="A959" s="2" t="s">
        <v>2462</v>
      </c>
      <c r="B959" s="2" t="s">
        <v>2463</v>
      </c>
      <c r="C959" s="2" t="s">
        <v>244</v>
      </c>
      <c r="D959" s="2" t="s">
        <v>472</v>
      </c>
      <c r="E959" s="4">
        <v>67.5</v>
      </c>
      <c r="F959" s="4">
        <v>113.23</v>
      </c>
      <c r="G959" s="3">
        <v>2</v>
      </c>
      <c r="H959" s="6">
        <v>0</v>
      </c>
      <c r="I959" s="3">
        <v>0</v>
      </c>
      <c r="J959" s="13" t="str">
        <f>HYPERLINK("https://amazon.com/dp/B0DP2QT5FY","Amazon - B0DP2QT5FY")</f>
        <v>Amazon - B0DP2QT5FY</v>
      </c>
      <c r="K959" s="14" t="s">
        <v>443</v>
      </c>
      <c r="L959" s="14" t="s">
        <v>461</v>
      </c>
      <c r="M959" s="14" t="s">
        <v>445</v>
      </c>
      <c r="N959" s="14" t="s">
        <v>446</v>
      </c>
      <c r="O959" s="14" t="s">
        <v>453</v>
      </c>
    </row>
    <row r="960" spans="1:15" ht="45" x14ac:dyDescent="0.2">
      <c r="A960" s="2" t="s">
        <v>2464</v>
      </c>
      <c r="B960" s="2" t="s">
        <v>2465</v>
      </c>
      <c r="C960" s="2" t="s">
        <v>146</v>
      </c>
      <c r="D960" s="2" t="s">
        <v>450</v>
      </c>
      <c r="E960" s="4">
        <v>23.5</v>
      </c>
      <c r="F960" s="4">
        <v>113.18</v>
      </c>
      <c r="G960" s="3">
        <v>5</v>
      </c>
      <c r="H960" s="6">
        <v>4.3</v>
      </c>
      <c r="I960" s="3">
        <v>13</v>
      </c>
      <c r="J960" s="13" t="str">
        <f>HYPERLINK("https://amazon.com/dp/B0C3VSPVLS","Amazon - B0C3VSPVLS")</f>
        <v>Amazon - B0C3VSPVLS</v>
      </c>
      <c r="K960" s="14" t="s">
        <v>443</v>
      </c>
      <c r="L960" s="14" t="s">
        <v>451</v>
      </c>
      <c r="M960" s="14" t="s">
        <v>445</v>
      </c>
      <c r="N960" s="14" t="s">
        <v>446</v>
      </c>
      <c r="O960" s="14" t="s">
        <v>578</v>
      </c>
    </row>
    <row r="961" spans="1:15" ht="45" x14ac:dyDescent="0.2">
      <c r="A961" s="2" t="s">
        <v>2466</v>
      </c>
      <c r="B961" s="2" t="s">
        <v>2467</v>
      </c>
      <c r="C961" s="2" t="s">
        <v>126</v>
      </c>
      <c r="D961" s="2" t="s">
        <v>450</v>
      </c>
      <c r="E961" s="4">
        <v>7.96</v>
      </c>
      <c r="F961" s="4">
        <v>112.15</v>
      </c>
      <c r="G961" s="3">
        <v>14</v>
      </c>
      <c r="H961" s="6">
        <v>3.2</v>
      </c>
      <c r="I961" s="3">
        <v>30</v>
      </c>
      <c r="J961" s="13" t="str">
        <f>HYPERLINK("https://amazon.com/dp/B0BMV9JB4J","Amazon - B0BMV9JB4J")</f>
        <v>Amazon - B0BMV9JB4J</v>
      </c>
      <c r="K961" s="14" t="s">
        <v>443</v>
      </c>
      <c r="L961" s="14" t="s">
        <v>1725</v>
      </c>
      <c r="M961" s="14" t="s">
        <v>303</v>
      </c>
      <c r="N961" s="14" t="s">
        <v>446</v>
      </c>
      <c r="O961" s="14" t="s">
        <v>447</v>
      </c>
    </row>
    <row r="962" spans="1:15" ht="45" x14ac:dyDescent="0.2">
      <c r="A962" s="2" t="s">
        <v>2468</v>
      </c>
      <c r="B962" s="2" t="s">
        <v>2469</v>
      </c>
      <c r="C962" s="2" t="s">
        <v>186</v>
      </c>
      <c r="D962" s="2" t="s">
        <v>442</v>
      </c>
      <c r="E962" s="4">
        <v>19.5</v>
      </c>
      <c r="F962" s="4">
        <v>111.42</v>
      </c>
      <c r="G962" s="3">
        <v>5</v>
      </c>
      <c r="H962" s="6">
        <v>4</v>
      </c>
      <c r="I962" s="3">
        <v>40</v>
      </c>
      <c r="J962" s="13" t="str">
        <f>HYPERLINK("https://amazon.com/dp/B0F4QR3BF1","Amazon - B0F4QR3BF1")</f>
        <v>Amazon - B0F4QR3BF1</v>
      </c>
      <c r="K962" s="14" t="s">
        <v>443</v>
      </c>
      <c r="L962" s="14" t="s">
        <v>303</v>
      </c>
      <c r="M962" s="14" t="s">
        <v>303</v>
      </c>
      <c r="N962" s="14" t="s">
        <v>452</v>
      </c>
      <c r="O962" s="14" t="s">
        <v>453</v>
      </c>
    </row>
    <row r="963" spans="1:15" ht="30" x14ac:dyDescent="0.2">
      <c r="A963" s="2" t="s">
        <v>2470</v>
      </c>
      <c r="B963" s="2" t="s">
        <v>2471</v>
      </c>
      <c r="C963" s="2" t="s">
        <v>164</v>
      </c>
      <c r="D963" s="2" t="s">
        <v>450</v>
      </c>
      <c r="E963" s="4">
        <v>118.64</v>
      </c>
      <c r="F963" s="4">
        <v>110.94</v>
      </c>
      <c r="G963" s="3">
        <v>1</v>
      </c>
      <c r="H963" s="6">
        <v>0</v>
      </c>
      <c r="I963" s="3">
        <v>0</v>
      </c>
      <c r="J963" s="13" t="str">
        <f>HYPERLINK("https://amazon.com/dp/B0CJ3TDG9Z","Amazon - B0CJ3TDG9Z")</f>
        <v>Amazon - B0CJ3TDG9Z</v>
      </c>
      <c r="K963" s="14" t="s">
        <v>443</v>
      </c>
      <c r="L963" s="14" t="s">
        <v>451</v>
      </c>
      <c r="M963" s="14" t="s">
        <v>457</v>
      </c>
      <c r="N963" s="14" t="s">
        <v>446</v>
      </c>
      <c r="O963" s="14" t="s">
        <v>303</v>
      </c>
    </row>
    <row r="964" spans="1:15" x14ac:dyDescent="0.2">
      <c r="A964" s="2" t="s">
        <v>2472</v>
      </c>
      <c r="B964" s="2" t="s">
        <v>2473</v>
      </c>
      <c r="C964" s="2" t="s">
        <v>137</v>
      </c>
      <c r="D964" s="2" t="s">
        <v>442</v>
      </c>
      <c r="E964" s="4">
        <v>109.72</v>
      </c>
      <c r="F964" s="4">
        <v>110.34</v>
      </c>
      <c r="G964" s="3">
        <v>1</v>
      </c>
      <c r="H964" s="6">
        <v>3.6</v>
      </c>
      <c r="I964" s="3">
        <v>6</v>
      </c>
      <c r="J964" s="13" t="str">
        <f>HYPERLINK("https://amazon.com/dp/B0D9WVH12B","Amazon - B0D9WVH12B")</f>
        <v>Amazon - B0D9WVH12B</v>
      </c>
      <c r="K964" s="14" t="s">
        <v>443</v>
      </c>
      <c r="L964" s="14" t="s">
        <v>303</v>
      </c>
      <c r="M964" s="14" t="s">
        <v>303</v>
      </c>
      <c r="N964" s="14" t="s">
        <v>446</v>
      </c>
      <c r="O964" s="14" t="s">
        <v>608</v>
      </c>
    </row>
    <row r="965" spans="1:15" ht="30" x14ac:dyDescent="0.2">
      <c r="A965" s="2" t="s">
        <v>2474</v>
      </c>
      <c r="B965" s="2" t="s">
        <v>2475</v>
      </c>
      <c r="C965" s="2" t="s">
        <v>55</v>
      </c>
      <c r="D965" s="2" t="s">
        <v>442</v>
      </c>
      <c r="E965" s="4">
        <v>99</v>
      </c>
      <c r="F965" s="4">
        <v>108.58</v>
      </c>
      <c r="G965" s="3">
        <v>1</v>
      </c>
      <c r="H965" s="6">
        <v>5</v>
      </c>
      <c r="I965" s="3">
        <v>1</v>
      </c>
      <c r="J965" s="13" t="str">
        <f>HYPERLINK("https://amazon.com/dp/B07P2K31M6","Amazon - B07P2K31M6")</f>
        <v>Amazon - B07P2K31M6</v>
      </c>
      <c r="K965" s="14" t="s">
        <v>443</v>
      </c>
      <c r="L965" s="14" t="s">
        <v>303</v>
      </c>
      <c r="M965" s="14" t="s">
        <v>303</v>
      </c>
      <c r="N965" s="14" t="s">
        <v>446</v>
      </c>
      <c r="O965" s="14" t="s">
        <v>303</v>
      </c>
    </row>
    <row r="966" spans="1:15" x14ac:dyDescent="0.2">
      <c r="A966" s="2" t="s">
        <v>2476</v>
      </c>
      <c r="B966" s="2" t="s">
        <v>2477</v>
      </c>
      <c r="C966" s="2" t="s">
        <v>137</v>
      </c>
      <c r="D966" s="2" t="s">
        <v>442</v>
      </c>
      <c r="E966" s="4">
        <v>49.99</v>
      </c>
      <c r="F966" s="4">
        <v>107.94</v>
      </c>
      <c r="G966" s="3">
        <v>2</v>
      </c>
      <c r="H966" s="6">
        <v>3.6</v>
      </c>
      <c r="I966" s="3">
        <v>7</v>
      </c>
      <c r="J966" s="13" t="str">
        <f>HYPERLINK("https://amazon.com/dp/B0B47ZH5C1","Amazon - B0B47ZH5C1")</f>
        <v>Amazon - B0B47ZH5C1</v>
      </c>
      <c r="K966" s="14" t="s">
        <v>443</v>
      </c>
      <c r="L966" s="14" t="s">
        <v>303</v>
      </c>
      <c r="M966" s="14" t="s">
        <v>303</v>
      </c>
      <c r="N966" s="14" t="s">
        <v>446</v>
      </c>
      <c r="O966" s="14" t="s">
        <v>578</v>
      </c>
    </row>
    <row r="967" spans="1:15" ht="30" x14ac:dyDescent="0.2">
      <c r="A967" s="2" t="s">
        <v>2478</v>
      </c>
      <c r="B967" s="2" t="s">
        <v>2479</v>
      </c>
      <c r="C967" s="2" t="s">
        <v>128</v>
      </c>
      <c r="D967" s="2" t="s">
        <v>442</v>
      </c>
      <c r="E967" s="4">
        <v>69.989999999999995</v>
      </c>
      <c r="F967" s="4">
        <v>107.65</v>
      </c>
      <c r="G967" s="3">
        <v>2</v>
      </c>
      <c r="H967" s="6">
        <v>4.5999999999999996</v>
      </c>
      <c r="I967" s="3">
        <v>3</v>
      </c>
      <c r="J967" s="13" t="str">
        <f>HYPERLINK("https://amazon.com/dp/B0DJT7SPXW","Amazon - B0DJT7SPXW")</f>
        <v>Amazon - B0DJT7SPXW</v>
      </c>
      <c r="K967" s="14" t="s">
        <v>443</v>
      </c>
      <c r="L967" s="14" t="s">
        <v>1725</v>
      </c>
      <c r="M967" s="14" t="s">
        <v>303</v>
      </c>
      <c r="N967" s="14" t="s">
        <v>446</v>
      </c>
      <c r="O967" s="14" t="s">
        <v>303</v>
      </c>
    </row>
    <row r="968" spans="1:15" ht="30" x14ac:dyDescent="0.2">
      <c r="A968" s="2" t="s">
        <v>2480</v>
      </c>
      <c r="B968" s="2" t="s">
        <v>2481</v>
      </c>
      <c r="C968" s="2" t="s">
        <v>202</v>
      </c>
      <c r="D968" s="2" t="s">
        <v>442</v>
      </c>
      <c r="E968" s="4">
        <v>48.99</v>
      </c>
      <c r="F968" s="4">
        <v>106.04</v>
      </c>
      <c r="G968" s="3">
        <v>2</v>
      </c>
      <c r="H968" s="6">
        <v>4.3</v>
      </c>
      <c r="I968" s="3">
        <v>20</v>
      </c>
      <c r="J968" s="13" t="str">
        <f>HYPERLINK("https://amazon.com/dp/B0DB1NNBGK","Amazon - B0DB1NNBGK")</f>
        <v>Amazon - B0DB1NNBGK</v>
      </c>
      <c r="K968" s="14" t="s">
        <v>443</v>
      </c>
      <c r="L968" s="14" t="s">
        <v>461</v>
      </c>
      <c r="M968" s="14" t="s">
        <v>303</v>
      </c>
      <c r="N968" s="14" t="s">
        <v>452</v>
      </c>
      <c r="O968" s="14" t="s">
        <v>453</v>
      </c>
    </row>
    <row r="969" spans="1:15" ht="30" x14ac:dyDescent="0.2">
      <c r="A969" s="2" t="s">
        <v>2482</v>
      </c>
      <c r="B969" s="2" t="s">
        <v>2483</v>
      </c>
      <c r="C969" s="2" t="s">
        <v>216</v>
      </c>
      <c r="D969" s="2" t="s">
        <v>442</v>
      </c>
      <c r="E969" s="4">
        <v>12.59</v>
      </c>
      <c r="F969" s="4">
        <v>100.5</v>
      </c>
      <c r="G969" s="3">
        <v>9</v>
      </c>
      <c r="H969" s="6">
        <v>3.5</v>
      </c>
      <c r="I969" s="3">
        <v>18</v>
      </c>
      <c r="J969" s="13" t="str">
        <f>HYPERLINK("https://amazon.com/dp/B0D9K3J5W8","Amazon - B0D9K3J5W8")</f>
        <v>Amazon - B0D9K3J5W8</v>
      </c>
      <c r="K969" s="14" t="s">
        <v>443</v>
      </c>
      <c r="L969" s="14" t="s">
        <v>303</v>
      </c>
      <c r="M969" s="14" t="s">
        <v>303</v>
      </c>
      <c r="N969" s="14" t="s">
        <v>446</v>
      </c>
      <c r="O969" s="14" t="s">
        <v>543</v>
      </c>
    </row>
    <row r="970" spans="1:15" ht="45" x14ac:dyDescent="0.2">
      <c r="A970" s="2" t="s">
        <v>2484</v>
      </c>
      <c r="B970" s="2" t="s">
        <v>2485</v>
      </c>
      <c r="C970" s="2" t="s">
        <v>199</v>
      </c>
      <c r="D970" s="2" t="s">
        <v>442</v>
      </c>
      <c r="E970" s="4">
        <v>104.48</v>
      </c>
      <c r="F970" s="4">
        <v>99.71</v>
      </c>
      <c r="G970" s="3">
        <v>1</v>
      </c>
      <c r="H970" s="6">
        <v>4.7</v>
      </c>
      <c r="I970" s="3">
        <v>3</v>
      </c>
      <c r="J970" s="13" t="str">
        <f>HYPERLINK("https://amazon.com/dp/B0D1CLV28L","Amazon - B0D1CLV28L")</f>
        <v>Amazon - B0D1CLV28L</v>
      </c>
      <c r="K970" s="14" t="s">
        <v>443</v>
      </c>
      <c r="L970" s="14" t="s">
        <v>461</v>
      </c>
      <c r="M970" s="14" t="s">
        <v>303</v>
      </c>
      <c r="N970" s="14" t="s">
        <v>452</v>
      </c>
      <c r="O970" s="14" t="s">
        <v>453</v>
      </c>
    </row>
    <row r="971" spans="1:15" ht="45" x14ac:dyDescent="0.2">
      <c r="A971" s="2" t="s">
        <v>2486</v>
      </c>
      <c r="B971" s="2" t="s">
        <v>2487</v>
      </c>
      <c r="C971" s="2" t="s">
        <v>62</v>
      </c>
      <c r="D971" s="2" t="s">
        <v>450</v>
      </c>
      <c r="E971" s="4">
        <v>49</v>
      </c>
      <c r="F971" s="4">
        <v>99.67</v>
      </c>
      <c r="G971" s="3">
        <v>2</v>
      </c>
      <c r="H971" s="6">
        <v>5</v>
      </c>
      <c r="I971" s="3">
        <v>1</v>
      </c>
      <c r="J971" s="13" t="str">
        <f>HYPERLINK("https://amazon.com/dp/B0BZ86J4JN","Amazon - B0BZ86J4JN")</f>
        <v>Amazon - B0BZ86J4JN</v>
      </c>
      <c r="K971" s="14" t="s">
        <v>443</v>
      </c>
      <c r="L971" s="14" t="s">
        <v>303</v>
      </c>
      <c r="M971" s="14" t="s">
        <v>303</v>
      </c>
      <c r="N971" s="14" t="s">
        <v>446</v>
      </c>
      <c r="O971" s="14" t="s">
        <v>303</v>
      </c>
    </row>
    <row r="972" spans="1:15" ht="45" x14ac:dyDescent="0.2">
      <c r="A972" s="2" t="s">
        <v>2488</v>
      </c>
      <c r="B972" s="2" t="s">
        <v>2489</v>
      </c>
      <c r="C972" s="2" t="s">
        <v>245</v>
      </c>
      <c r="D972" s="2" t="s">
        <v>450</v>
      </c>
      <c r="E972" s="4">
        <v>79.989999999999995</v>
      </c>
      <c r="F972" s="4">
        <v>98</v>
      </c>
      <c r="G972" s="3">
        <v>1</v>
      </c>
      <c r="H972" s="6">
        <v>3.7</v>
      </c>
      <c r="I972" s="3">
        <v>27</v>
      </c>
      <c r="J972" s="13" t="str">
        <f>HYPERLINK("https://amazon.com/dp/B0C5FPC8MB","Amazon - B0C5FPC8MB")</f>
        <v>Amazon - B0C5FPC8MB</v>
      </c>
      <c r="K972" s="14" t="s">
        <v>443</v>
      </c>
      <c r="L972" s="14" t="s">
        <v>303</v>
      </c>
      <c r="M972" s="14" t="s">
        <v>303</v>
      </c>
      <c r="N972" s="14" t="s">
        <v>446</v>
      </c>
      <c r="O972" s="14" t="s">
        <v>303</v>
      </c>
    </row>
    <row r="973" spans="1:15" ht="45" x14ac:dyDescent="0.2">
      <c r="A973" s="2" t="s">
        <v>2490</v>
      </c>
      <c r="B973" s="2" t="s">
        <v>2491</v>
      </c>
      <c r="C973" s="2" t="s">
        <v>11</v>
      </c>
      <c r="D973" s="2" t="s">
        <v>450</v>
      </c>
      <c r="E973" s="4">
        <v>28.99</v>
      </c>
      <c r="F973" s="4">
        <v>96.93</v>
      </c>
      <c r="G973" s="3">
        <v>3</v>
      </c>
      <c r="H973" s="6">
        <v>3.4</v>
      </c>
      <c r="I973" s="3">
        <v>26</v>
      </c>
      <c r="J973" s="13" t="str">
        <f>HYPERLINK("https://amazon.com/dp/B0F6WZPTJZ","Amazon - B0F6WZPTJZ")</f>
        <v>Amazon - B0F6WZPTJZ</v>
      </c>
      <c r="K973" s="14" t="s">
        <v>443</v>
      </c>
      <c r="L973" s="14" t="s">
        <v>451</v>
      </c>
      <c r="M973" s="14" t="s">
        <v>303</v>
      </c>
      <c r="N973" s="14" t="s">
        <v>446</v>
      </c>
      <c r="O973" s="14" t="s">
        <v>946</v>
      </c>
    </row>
    <row r="974" spans="1:15" ht="45" x14ac:dyDescent="0.2">
      <c r="A974" s="2" t="s">
        <v>2492</v>
      </c>
      <c r="B974" s="2" t="s">
        <v>2493</v>
      </c>
      <c r="C974" s="2" t="s">
        <v>229</v>
      </c>
      <c r="D974" s="2" t="s">
        <v>450</v>
      </c>
      <c r="E974" s="4">
        <v>6.17</v>
      </c>
      <c r="F974" s="4">
        <v>96.12</v>
      </c>
      <c r="G974" s="3">
        <v>17</v>
      </c>
      <c r="H974" s="6">
        <v>2.2000000000000002</v>
      </c>
      <c r="I974" s="3">
        <v>4</v>
      </c>
      <c r="J974" s="13" t="str">
        <f>HYPERLINK("https://amazon.com/dp/B0G356HWH5","Amazon - B0G356HWH5")</f>
        <v>Amazon - B0G356HWH5</v>
      </c>
      <c r="K974" s="14" t="s">
        <v>443</v>
      </c>
      <c r="L974" s="14" t="s">
        <v>1725</v>
      </c>
      <c r="M974" s="14" t="s">
        <v>303</v>
      </c>
      <c r="N974" s="14" t="s">
        <v>446</v>
      </c>
      <c r="O974" s="14" t="s">
        <v>447</v>
      </c>
    </row>
    <row r="975" spans="1:15" x14ac:dyDescent="0.2">
      <c r="A975" s="2" t="s">
        <v>2494</v>
      </c>
      <c r="B975" s="2" t="s">
        <v>2495</v>
      </c>
      <c r="C975" s="2" t="s">
        <v>246</v>
      </c>
      <c r="D975" s="2" t="s">
        <v>442</v>
      </c>
      <c r="E975" s="4">
        <v>45</v>
      </c>
      <c r="F975" s="4">
        <v>95.41</v>
      </c>
      <c r="G975" s="3">
        <v>2</v>
      </c>
      <c r="H975" s="6">
        <v>3.7</v>
      </c>
      <c r="I975" s="3">
        <v>20</v>
      </c>
      <c r="J975" s="13" t="str">
        <f>HYPERLINK("https://amazon.com/dp/B0CR3HNJFP","Amazon - B0CR3HNJFP")</f>
        <v>Amazon - B0CR3HNJFP</v>
      </c>
      <c r="K975" s="14" t="s">
        <v>443</v>
      </c>
      <c r="L975" s="14" t="s">
        <v>303</v>
      </c>
      <c r="M975" s="14" t="s">
        <v>303</v>
      </c>
      <c r="N975" s="14" t="s">
        <v>446</v>
      </c>
      <c r="O975" s="14" t="s">
        <v>303</v>
      </c>
    </row>
    <row r="976" spans="1:15" ht="45" x14ac:dyDescent="0.2">
      <c r="A976" s="2" t="s">
        <v>2496</v>
      </c>
      <c r="B976" s="2" t="s">
        <v>2497</v>
      </c>
      <c r="C976" s="2" t="s">
        <v>28</v>
      </c>
      <c r="D976" s="2" t="s">
        <v>442</v>
      </c>
      <c r="E976" s="4">
        <v>37.89</v>
      </c>
      <c r="F976" s="4">
        <v>91.96</v>
      </c>
      <c r="G976" s="3">
        <v>2</v>
      </c>
      <c r="H976" s="6">
        <v>4.5999999999999996</v>
      </c>
      <c r="I976" s="3">
        <v>85</v>
      </c>
      <c r="J976" s="13" t="str">
        <f>HYPERLINK("https://amazon.com/dp/B0F54F5S7T","Amazon - B0F54F5S7T")</f>
        <v>Amazon - B0F54F5S7T</v>
      </c>
      <c r="K976" s="14" t="s">
        <v>443</v>
      </c>
      <c r="L976" s="14" t="s">
        <v>461</v>
      </c>
      <c r="M976" s="14" t="s">
        <v>303</v>
      </c>
      <c r="N976" s="14" t="s">
        <v>446</v>
      </c>
      <c r="O976" s="14" t="s">
        <v>453</v>
      </c>
    </row>
    <row r="977" spans="1:15" ht="45" x14ac:dyDescent="0.2">
      <c r="A977" s="2" t="s">
        <v>2498</v>
      </c>
      <c r="B977" s="2" t="s">
        <v>2499</v>
      </c>
      <c r="C977" s="2" t="s">
        <v>213</v>
      </c>
      <c r="D977" s="2" t="s">
        <v>442</v>
      </c>
      <c r="E977" s="4">
        <v>89.9</v>
      </c>
      <c r="F977" s="4">
        <v>91.96</v>
      </c>
      <c r="G977" s="3">
        <v>1</v>
      </c>
      <c r="H977" s="6">
        <v>5</v>
      </c>
      <c r="I977" s="3">
        <v>2</v>
      </c>
      <c r="J977" s="13" t="str">
        <f>HYPERLINK("https://amazon.com/dp/B0DTDY464M","Amazon - B0DTDY464M")</f>
        <v>Amazon - B0DTDY464M</v>
      </c>
      <c r="K977" s="14" t="s">
        <v>443</v>
      </c>
      <c r="L977" s="14" t="s">
        <v>461</v>
      </c>
      <c r="M977" s="14" t="s">
        <v>535</v>
      </c>
      <c r="N977" s="14" t="s">
        <v>446</v>
      </c>
      <c r="O977" s="14" t="s">
        <v>543</v>
      </c>
    </row>
    <row r="978" spans="1:15" ht="45" x14ac:dyDescent="0.2">
      <c r="A978" s="2" t="s">
        <v>2500</v>
      </c>
      <c r="B978" s="2" t="s">
        <v>2501</v>
      </c>
      <c r="C978" s="2" t="s">
        <v>247</v>
      </c>
      <c r="D978" s="2" t="s">
        <v>450</v>
      </c>
      <c r="E978" s="4">
        <v>69.989999999999995</v>
      </c>
      <c r="F978" s="4">
        <v>90.58</v>
      </c>
      <c r="G978" s="3">
        <v>1</v>
      </c>
      <c r="H978" s="6">
        <v>4.4000000000000004</v>
      </c>
      <c r="I978" s="3">
        <v>29</v>
      </c>
      <c r="J978" s="13" t="str">
        <f>HYPERLINK("https://amazon.com/dp/B0DDWXDS9W","Amazon - B0DDWXDS9W")</f>
        <v>Amazon - B0DDWXDS9W</v>
      </c>
      <c r="K978" s="14" t="s">
        <v>443</v>
      </c>
      <c r="L978" s="14" t="s">
        <v>451</v>
      </c>
      <c r="M978" s="14" t="s">
        <v>445</v>
      </c>
      <c r="N978" s="14" t="s">
        <v>446</v>
      </c>
      <c r="O978" s="14" t="s">
        <v>543</v>
      </c>
    </row>
    <row r="979" spans="1:15" ht="30" x14ac:dyDescent="0.2">
      <c r="A979" s="2" t="s">
        <v>2502</v>
      </c>
      <c r="B979" s="2" t="s">
        <v>2503</v>
      </c>
      <c r="C979" s="2" t="s">
        <v>8</v>
      </c>
      <c r="D979" s="2" t="s">
        <v>442</v>
      </c>
      <c r="E979" s="4">
        <v>89.99</v>
      </c>
      <c r="F979" s="4">
        <v>89.99</v>
      </c>
      <c r="G979" s="3">
        <v>1</v>
      </c>
      <c r="H979" s="6">
        <v>4</v>
      </c>
      <c r="I979" s="3">
        <v>2</v>
      </c>
      <c r="J979" s="13" t="str">
        <f>HYPERLINK("https://amazon.com/dp/B08QCCLCKW","Amazon - B08QCCLCKW")</f>
        <v>Amazon - B08QCCLCKW</v>
      </c>
      <c r="K979" s="14" t="s">
        <v>443</v>
      </c>
      <c r="L979" s="14" t="s">
        <v>303</v>
      </c>
      <c r="M979" s="14" t="s">
        <v>445</v>
      </c>
      <c r="N979" s="14" t="s">
        <v>452</v>
      </c>
      <c r="O979" s="14" t="s">
        <v>453</v>
      </c>
    </row>
    <row r="980" spans="1:15" ht="30" x14ac:dyDescent="0.2">
      <c r="A980" s="2" t="s">
        <v>2504</v>
      </c>
      <c r="B980" s="2" t="s">
        <v>2505</v>
      </c>
      <c r="C980" s="2" t="s">
        <v>13</v>
      </c>
      <c r="D980" s="2" t="s">
        <v>472</v>
      </c>
      <c r="E980" s="4">
        <v>29.99</v>
      </c>
      <c r="F980" s="4">
        <v>89.72</v>
      </c>
      <c r="G980" s="3">
        <v>3</v>
      </c>
      <c r="H980" s="6">
        <v>5</v>
      </c>
      <c r="I980" s="3">
        <v>1</v>
      </c>
      <c r="J980" s="13" t="str">
        <f>HYPERLINK("https://amazon.com/dp/B0D25K6FZJ","Amazon - B0D25K6FZJ")</f>
        <v>Amazon - B0D25K6FZJ</v>
      </c>
      <c r="K980" s="14" t="s">
        <v>443</v>
      </c>
      <c r="L980" s="14" t="s">
        <v>303</v>
      </c>
      <c r="M980" s="14" t="s">
        <v>503</v>
      </c>
      <c r="N980" s="14" t="s">
        <v>446</v>
      </c>
      <c r="O980" s="14" t="s">
        <v>303</v>
      </c>
    </row>
    <row r="981" spans="1:15" ht="30" x14ac:dyDescent="0.2">
      <c r="A981" s="2" t="s">
        <v>2506</v>
      </c>
      <c r="B981" s="2" t="s">
        <v>2507</v>
      </c>
      <c r="C981" s="2" t="s">
        <v>122</v>
      </c>
      <c r="D981" s="2" t="s">
        <v>450</v>
      </c>
      <c r="E981" s="4">
        <v>27.06</v>
      </c>
      <c r="F981" s="4">
        <v>89.2</v>
      </c>
      <c r="G981" s="3">
        <v>4</v>
      </c>
      <c r="H981" s="6">
        <v>3.2</v>
      </c>
      <c r="I981" s="3">
        <v>15</v>
      </c>
      <c r="J981" s="13" t="str">
        <f>HYPERLINK("https://amazon.com/dp/B07Z92T89L","Amazon - B07Z92T89L")</f>
        <v>Amazon - B07Z92T89L</v>
      </c>
      <c r="K981" s="14" t="s">
        <v>443</v>
      </c>
      <c r="L981" s="14" t="s">
        <v>1725</v>
      </c>
      <c r="M981" s="14" t="s">
        <v>511</v>
      </c>
      <c r="N981" s="14" t="s">
        <v>446</v>
      </c>
      <c r="O981" s="14" t="s">
        <v>543</v>
      </c>
    </row>
    <row r="982" spans="1:15" ht="30" x14ac:dyDescent="0.2">
      <c r="A982" s="2" t="s">
        <v>2508</v>
      </c>
      <c r="B982" s="2" t="s">
        <v>2509</v>
      </c>
      <c r="C982" s="2" t="s">
        <v>211</v>
      </c>
      <c r="D982" s="2" t="s">
        <v>442</v>
      </c>
      <c r="E982" s="4">
        <v>58.84</v>
      </c>
      <c r="F982" s="4">
        <v>86.99</v>
      </c>
      <c r="G982" s="3">
        <v>1</v>
      </c>
      <c r="H982" s="6">
        <v>5</v>
      </c>
      <c r="I982" s="3">
        <v>1</v>
      </c>
      <c r="J982" s="13" t="str">
        <f>HYPERLINK("https://amazon.com/dp/B099WYM3FD","Amazon - B099WYM3FD")</f>
        <v>Amazon - B099WYM3FD</v>
      </c>
      <c r="K982" s="14" t="s">
        <v>443</v>
      </c>
      <c r="L982" s="14" t="s">
        <v>461</v>
      </c>
      <c r="M982" s="14" t="s">
        <v>303</v>
      </c>
      <c r="N982" s="14" t="s">
        <v>446</v>
      </c>
      <c r="O982" s="14" t="s">
        <v>303</v>
      </c>
    </row>
    <row r="983" spans="1:15" ht="45" x14ac:dyDescent="0.2">
      <c r="A983" s="2" t="s">
        <v>2510</v>
      </c>
      <c r="B983" s="2" t="s">
        <v>2511</v>
      </c>
      <c r="C983" s="2" t="s">
        <v>65</v>
      </c>
      <c r="D983" s="2" t="s">
        <v>450</v>
      </c>
      <c r="E983" s="4">
        <v>18.989999999999998</v>
      </c>
      <c r="F983" s="4">
        <v>81.56</v>
      </c>
      <c r="G983" s="3">
        <v>4</v>
      </c>
      <c r="H983" s="6">
        <v>4.8</v>
      </c>
      <c r="I983" s="3">
        <v>21</v>
      </c>
      <c r="J983" s="13" t="str">
        <f>HYPERLINK("https://amazon.com/dp/B0G58HV3CX","Amazon - B0G58HV3CX")</f>
        <v>Amazon - B0G58HV3CX</v>
      </c>
      <c r="K983" s="14" t="s">
        <v>443</v>
      </c>
      <c r="L983" s="14" t="s">
        <v>451</v>
      </c>
      <c r="M983" s="14" t="s">
        <v>303</v>
      </c>
      <c r="N983" s="14" t="s">
        <v>452</v>
      </c>
      <c r="O983" s="14" t="s">
        <v>453</v>
      </c>
    </row>
    <row r="984" spans="1:15" ht="30" x14ac:dyDescent="0.2">
      <c r="A984" s="2" t="s">
        <v>2512</v>
      </c>
      <c r="B984" s="2" t="s">
        <v>2513</v>
      </c>
      <c r="C984" s="2" t="s">
        <v>137</v>
      </c>
      <c r="D984" s="2" t="s">
        <v>442</v>
      </c>
      <c r="E984" s="4">
        <v>51.68</v>
      </c>
      <c r="F984" s="4">
        <v>80.2</v>
      </c>
      <c r="G984" s="3">
        <v>2</v>
      </c>
      <c r="H984" s="6">
        <v>3.6</v>
      </c>
      <c r="I984" s="3">
        <v>6</v>
      </c>
      <c r="J984" s="13" t="str">
        <f>HYPERLINK("https://amazon.com/dp/B0D4C8Q2XR","Amazon - B0D4C8Q2XR")</f>
        <v>Amazon - B0D4C8Q2XR</v>
      </c>
      <c r="K984" s="14" t="s">
        <v>443</v>
      </c>
      <c r="L984" s="14" t="s">
        <v>303</v>
      </c>
      <c r="M984" s="14" t="s">
        <v>445</v>
      </c>
      <c r="N984" s="14" t="s">
        <v>446</v>
      </c>
      <c r="O984" s="14" t="s">
        <v>608</v>
      </c>
    </row>
    <row r="985" spans="1:15" ht="30" x14ac:dyDescent="0.2">
      <c r="A985" s="2" t="s">
        <v>2514</v>
      </c>
      <c r="B985" s="2" t="s">
        <v>2515</v>
      </c>
      <c r="C985" s="2" t="s">
        <v>213</v>
      </c>
      <c r="D985" s="2" t="s">
        <v>472</v>
      </c>
      <c r="E985" s="4">
        <v>29.99</v>
      </c>
      <c r="F985" s="4">
        <v>79.989999999999995</v>
      </c>
      <c r="G985" s="3">
        <v>3</v>
      </c>
      <c r="H985" s="6">
        <v>4.7</v>
      </c>
      <c r="I985" s="3">
        <v>5</v>
      </c>
      <c r="J985" s="13" t="str">
        <f>HYPERLINK("https://amazon.com/dp/B0DLNRQN9J","Amazon - B0DLNRQN9J")</f>
        <v>Amazon - B0DLNRQN9J</v>
      </c>
      <c r="K985" s="14" t="s">
        <v>443</v>
      </c>
      <c r="L985" s="14" t="s">
        <v>461</v>
      </c>
      <c r="M985" s="14" t="s">
        <v>303</v>
      </c>
      <c r="N985" s="14" t="s">
        <v>452</v>
      </c>
      <c r="O985" s="14" t="s">
        <v>447</v>
      </c>
    </row>
    <row r="986" spans="1:15" ht="45" x14ac:dyDescent="0.2">
      <c r="A986" s="2" t="s">
        <v>2516</v>
      </c>
      <c r="B986" s="2" t="s">
        <v>2517</v>
      </c>
      <c r="C986" s="2" t="s">
        <v>145</v>
      </c>
      <c r="D986" s="2" t="s">
        <v>442</v>
      </c>
      <c r="E986" s="4">
        <v>79.98</v>
      </c>
      <c r="F986" s="4">
        <v>79.97</v>
      </c>
      <c r="G986" s="3">
        <v>1</v>
      </c>
      <c r="H986" s="6">
        <v>0</v>
      </c>
      <c r="I986" s="3">
        <v>0</v>
      </c>
      <c r="J986" s="13" t="str">
        <f>HYPERLINK("https://amazon.com/dp/B0GLF9912L","Amazon - B0GLF9912L")</f>
        <v>Amazon - B0GLF9912L</v>
      </c>
      <c r="K986" s="14" t="s">
        <v>443</v>
      </c>
      <c r="L986" s="14" t="s">
        <v>667</v>
      </c>
      <c r="M986" s="14" t="s">
        <v>303</v>
      </c>
      <c r="N986" s="14" t="s">
        <v>446</v>
      </c>
      <c r="O986" s="14" t="s">
        <v>303</v>
      </c>
    </row>
    <row r="987" spans="1:15" ht="30" x14ac:dyDescent="0.2">
      <c r="A987" s="2" t="s">
        <v>2518</v>
      </c>
      <c r="B987" s="2" t="s">
        <v>2519</v>
      </c>
      <c r="C987" s="2" t="s">
        <v>210</v>
      </c>
      <c r="D987" s="2" t="s">
        <v>442</v>
      </c>
      <c r="E987" s="4">
        <v>70.489999999999995</v>
      </c>
      <c r="F987" s="4">
        <v>79.569999999999993</v>
      </c>
      <c r="G987" s="3">
        <v>1</v>
      </c>
      <c r="H987" s="6">
        <v>0</v>
      </c>
      <c r="I987" s="3">
        <v>0</v>
      </c>
      <c r="J987" s="13" t="str">
        <f>HYPERLINK("https://amazon.com/dp/B0BZSG8VL8","Amazon - B0BZSG8VL8")</f>
        <v>Amazon - B0BZSG8VL8</v>
      </c>
      <c r="K987" s="14" t="s">
        <v>443</v>
      </c>
      <c r="L987" s="14" t="s">
        <v>456</v>
      </c>
      <c r="M987" s="14" t="s">
        <v>445</v>
      </c>
      <c r="N987" s="14" t="s">
        <v>446</v>
      </c>
      <c r="O987" s="14" t="s">
        <v>578</v>
      </c>
    </row>
    <row r="988" spans="1:15" ht="45" x14ac:dyDescent="0.2">
      <c r="A988" s="2" t="s">
        <v>2520</v>
      </c>
      <c r="B988" s="2" t="s">
        <v>2521</v>
      </c>
      <c r="C988" s="2" t="s">
        <v>68</v>
      </c>
      <c r="D988" s="2" t="s">
        <v>823</v>
      </c>
      <c r="E988" s="4">
        <v>29.99</v>
      </c>
      <c r="F988" s="4">
        <v>79.23</v>
      </c>
      <c r="G988" s="3">
        <v>3</v>
      </c>
      <c r="H988" s="6">
        <v>5</v>
      </c>
      <c r="I988" s="3">
        <v>8</v>
      </c>
      <c r="J988" s="13" t="str">
        <f>HYPERLINK("https://amazon.com/dp/B0D9GC35PW","Amazon - B0D9GC35PW")</f>
        <v>Amazon - B0D9GC35PW</v>
      </c>
      <c r="K988" s="14" t="s">
        <v>443</v>
      </c>
      <c r="L988" s="14" t="s">
        <v>461</v>
      </c>
      <c r="M988" s="14" t="s">
        <v>303</v>
      </c>
      <c r="N988" s="14" t="s">
        <v>446</v>
      </c>
      <c r="O988" s="14" t="s">
        <v>946</v>
      </c>
    </row>
    <row r="989" spans="1:15" ht="30" x14ac:dyDescent="0.2">
      <c r="A989" s="2" t="s">
        <v>2522</v>
      </c>
      <c r="B989" s="2" t="s">
        <v>2523</v>
      </c>
      <c r="C989" s="2" t="s">
        <v>40</v>
      </c>
      <c r="D989" s="2" t="s">
        <v>472</v>
      </c>
      <c r="E989" s="4">
        <v>29.99</v>
      </c>
      <c r="F989" s="4">
        <v>78.95</v>
      </c>
      <c r="G989" s="3">
        <v>3</v>
      </c>
      <c r="H989" s="6">
        <v>2.5</v>
      </c>
      <c r="I989" s="3">
        <v>7</v>
      </c>
      <c r="J989" s="13" t="str">
        <f>HYPERLINK("https://amazon.com/dp/B0C7G8J4C9","Amazon - B0C7G8J4C9")</f>
        <v>Amazon - B0C7G8J4C9</v>
      </c>
      <c r="K989" s="14" t="s">
        <v>443</v>
      </c>
      <c r="L989" s="14" t="s">
        <v>303</v>
      </c>
      <c r="M989" s="14" t="s">
        <v>688</v>
      </c>
      <c r="N989" s="14" t="s">
        <v>446</v>
      </c>
      <c r="O989" s="14" t="s">
        <v>303</v>
      </c>
    </row>
    <row r="990" spans="1:15" ht="30" x14ac:dyDescent="0.2">
      <c r="A990" s="2" t="s">
        <v>2524</v>
      </c>
      <c r="B990" s="2" t="s">
        <v>2525</v>
      </c>
      <c r="C990" s="2" t="s">
        <v>251</v>
      </c>
      <c r="D990" s="2" t="s">
        <v>472</v>
      </c>
      <c r="E990" s="4">
        <v>15.99</v>
      </c>
      <c r="F990" s="4">
        <v>76.14</v>
      </c>
      <c r="G990" s="3">
        <v>5</v>
      </c>
      <c r="H990" s="6">
        <v>4.9000000000000004</v>
      </c>
      <c r="I990" s="3">
        <v>17</v>
      </c>
      <c r="J990" s="13" t="str">
        <f>HYPERLINK("https://amazon.com/dp/B09SGGK7D4","Amazon - B09SGGK7D4")</f>
        <v>Amazon - B09SGGK7D4</v>
      </c>
      <c r="K990" s="14" t="s">
        <v>443</v>
      </c>
      <c r="L990" s="14" t="s">
        <v>461</v>
      </c>
      <c r="M990" s="14" t="s">
        <v>303</v>
      </c>
      <c r="N990" s="14" t="s">
        <v>446</v>
      </c>
      <c r="O990" s="14" t="s">
        <v>303</v>
      </c>
    </row>
    <row r="991" spans="1:15" ht="30" x14ac:dyDescent="0.2">
      <c r="A991" s="2" t="s">
        <v>2526</v>
      </c>
      <c r="B991" s="2" t="s">
        <v>2527</v>
      </c>
      <c r="C991" s="2" t="s">
        <v>211</v>
      </c>
      <c r="D991" s="2" t="s">
        <v>450</v>
      </c>
      <c r="E991" s="4">
        <v>24.24</v>
      </c>
      <c r="F991" s="4">
        <v>73.67</v>
      </c>
      <c r="G991" s="3">
        <v>3</v>
      </c>
      <c r="H991" s="6">
        <v>5</v>
      </c>
      <c r="I991" s="3">
        <v>1</v>
      </c>
      <c r="J991" s="13" t="str">
        <f>HYPERLINK("https://amazon.com/dp/B0C1NZPCLW","Amazon - B0C1NZPCLW")</f>
        <v>Amazon - B0C1NZPCLW</v>
      </c>
      <c r="K991" s="14" t="s">
        <v>443</v>
      </c>
      <c r="L991" s="14" t="s">
        <v>303</v>
      </c>
      <c r="M991" s="14" t="s">
        <v>511</v>
      </c>
      <c r="N991" s="14" t="s">
        <v>446</v>
      </c>
      <c r="O991" s="14" t="s">
        <v>453</v>
      </c>
    </row>
    <row r="992" spans="1:15" ht="30" x14ac:dyDescent="0.2">
      <c r="A992" s="2" t="s">
        <v>2528</v>
      </c>
      <c r="B992" s="2" t="s">
        <v>2529</v>
      </c>
      <c r="C992" s="2" t="s">
        <v>252</v>
      </c>
      <c r="D992" s="2" t="s">
        <v>450</v>
      </c>
      <c r="E992" s="4">
        <v>7.99</v>
      </c>
      <c r="F992" s="4">
        <v>73.55</v>
      </c>
      <c r="G992" s="3">
        <v>9</v>
      </c>
      <c r="H992" s="6">
        <v>5</v>
      </c>
      <c r="I992" s="3">
        <v>2</v>
      </c>
      <c r="J992" s="13" t="str">
        <f>HYPERLINK("https://amazon.com/dp/B0CLXVWW2R","Amazon - B0CLXVWW2R")</f>
        <v>Amazon - B0CLXVWW2R</v>
      </c>
      <c r="K992" s="14" t="s">
        <v>443</v>
      </c>
      <c r="L992" s="14" t="s">
        <v>303</v>
      </c>
      <c r="M992" s="14" t="s">
        <v>565</v>
      </c>
      <c r="N992" s="14" t="s">
        <v>446</v>
      </c>
      <c r="O992" s="14" t="s">
        <v>303</v>
      </c>
    </row>
    <row r="993" spans="1:15" ht="45" x14ac:dyDescent="0.2">
      <c r="A993" s="2" t="s">
        <v>2530</v>
      </c>
      <c r="B993" s="2" t="s">
        <v>2531</v>
      </c>
      <c r="C993" s="2" t="s">
        <v>253</v>
      </c>
      <c r="D993" s="2" t="s">
        <v>450</v>
      </c>
      <c r="E993" s="4">
        <v>29.89</v>
      </c>
      <c r="F993" s="4">
        <v>73.17</v>
      </c>
      <c r="G993" s="3">
        <v>2</v>
      </c>
      <c r="H993" s="6">
        <v>3.6</v>
      </c>
      <c r="I993" s="3">
        <v>6</v>
      </c>
      <c r="J993" s="13" t="str">
        <f>HYPERLINK("https://amazon.com/dp/B0CP38W9JV","Amazon - B0CP38W9JV")</f>
        <v>Amazon - B0CP38W9JV</v>
      </c>
      <c r="K993" s="14" t="s">
        <v>443</v>
      </c>
      <c r="L993" s="14" t="s">
        <v>451</v>
      </c>
      <c r="M993" s="14" t="s">
        <v>445</v>
      </c>
      <c r="N993" s="14" t="s">
        <v>446</v>
      </c>
      <c r="O993" s="14" t="s">
        <v>453</v>
      </c>
    </row>
    <row r="994" spans="1:15" ht="30" x14ac:dyDescent="0.2">
      <c r="A994" s="2" t="s">
        <v>2532</v>
      </c>
      <c r="B994" s="2" t="s">
        <v>2533</v>
      </c>
      <c r="C994" s="2" t="s">
        <v>8</v>
      </c>
      <c r="D994" s="2" t="s">
        <v>450</v>
      </c>
      <c r="E994" s="4">
        <v>19.899999999999999</v>
      </c>
      <c r="F994" s="4">
        <v>72.78</v>
      </c>
      <c r="G994" s="3">
        <v>4</v>
      </c>
      <c r="H994" s="6">
        <v>3.6</v>
      </c>
      <c r="I994" s="3">
        <v>3</v>
      </c>
      <c r="J994" s="13" t="str">
        <f>HYPERLINK("https://amazon.com/dp/B0F2SD9VBX","Amazon - B0F2SD9VBX")</f>
        <v>Amazon - B0F2SD9VBX</v>
      </c>
      <c r="K994" s="14" t="s">
        <v>443</v>
      </c>
      <c r="L994" s="14" t="s">
        <v>451</v>
      </c>
      <c r="M994" s="14" t="s">
        <v>303</v>
      </c>
      <c r="N994" s="14" t="s">
        <v>446</v>
      </c>
      <c r="O994" s="14" t="s">
        <v>303</v>
      </c>
    </row>
    <row r="995" spans="1:15" ht="30" x14ac:dyDescent="0.2">
      <c r="A995" s="2" t="s">
        <v>2534</v>
      </c>
      <c r="B995" s="2" t="s">
        <v>2535</v>
      </c>
      <c r="C995" s="2" t="s">
        <v>109</v>
      </c>
      <c r="D995" s="2" t="s">
        <v>450</v>
      </c>
      <c r="E995" s="4">
        <v>25.99</v>
      </c>
      <c r="F995" s="4">
        <v>69.540000000000006</v>
      </c>
      <c r="G995" s="3">
        <v>3</v>
      </c>
      <c r="H995" s="6">
        <v>4.0999999999999996</v>
      </c>
      <c r="I995" s="3">
        <v>24</v>
      </c>
      <c r="J995" s="13" t="str">
        <f>HYPERLINK("https://amazon.com/dp/B0D45364BG","Amazon - B0D45364BG")</f>
        <v>Amazon - B0D45364BG</v>
      </c>
      <c r="K995" s="14" t="s">
        <v>443</v>
      </c>
      <c r="L995" s="14" t="s">
        <v>451</v>
      </c>
      <c r="M995" s="14" t="s">
        <v>303</v>
      </c>
      <c r="N995" s="14" t="s">
        <v>446</v>
      </c>
      <c r="O995" s="14" t="s">
        <v>453</v>
      </c>
    </row>
    <row r="996" spans="1:15" ht="30" x14ac:dyDescent="0.2">
      <c r="A996" s="2" t="s">
        <v>2536</v>
      </c>
      <c r="B996" s="2" t="s">
        <v>2537</v>
      </c>
      <c r="C996" s="2" t="s">
        <v>122</v>
      </c>
      <c r="D996" s="2" t="s">
        <v>450</v>
      </c>
      <c r="E996" s="4">
        <v>26.54</v>
      </c>
      <c r="F996" s="4">
        <v>69.19</v>
      </c>
      <c r="G996" s="3">
        <v>2</v>
      </c>
      <c r="H996" s="6">
        <v>4.4000000000000004</v>
      </c>
      <c r="I996" s="3">
        <v>9</v>
      </c>
      <c r="J996" s="13" t="str">
        <f>HYPERLINK("https://amazon.com/dp/B07Z8YD7SH","Amazon - B07Z8YD7SH")</f>
        <v>Amazon - B07Z8YD7SH</v>
      </c>
      <c r="K996" s="14" t="s">
        <v>443</v>
      </c>
      <c r="L996" s="14" t="s">
        <v>1725</v>
      </c>
      <c r="M996" s="14" t="s">
        <v>511</v>
      </c>
      <c r="N996" s="14" t="s">
        <v>446</v>
      </c>
      <c r="O996" s="14" t="s">
        <v>453</v>
      </c>
    </row>
    <row r="997" spans="1:15" ht="30" x14ac:dyDescent="0.2">
      <c r="A997" s="2" t="s">
        <v>2538</v>
      </c>
      <c r="B997" s="2" t="s">
        <v>2539</v>
      </c>
      <c r="C997" s="2" t="s">
        <v>44</v>
      </c>
      <c r="D997" s="2" t="s">
        <v>450</v>
      </c>
      <c r="E997" s="4">
        <v>18.73</v>
      </c>
      <c r="F997" s="4">
        <v>68.989999999999995</v>
      </c>
      <c r="G997" s="3">
        <v>3</v>
      </c>
      <c r="H997" s="6">
        <v>4.4000000000000004</v>
      </c>
      <c r="I997" s="3">
        <v>52</v>
      </c>
      <c r="J997" s="13" t="str">
        <f>HYPERLINK("https://amazon.com/dp/B0G4PWCF76","Amazon - B0G4PWCF76")</f>
        <v>Amazon - B0G4PWCF76</v>
      </c>
      <c r="K997" s="14" t="s">
        <v>443</v>
      </c>
      <c r="L997" s="14" t="s">
        <v>451</v>
      </c>
      <c r="M997" s="14" t="s">
        <v>457</v>
      </c>
      <c r="N997" s="14" t="s">
        <v>446</v>
      </c>
      <c r="O997" s="14" t="s">
        <v>524</v>
      </c>
    </row>
    <row r="998" spans="1:15" ht="30" x14ac:dyDescent="0.2">
      <c r="A998" s="2" t="s">
        <v>2540</v>
      </c>
      <c r="B998" s="2" t="s">
        <v>2541</v>
      </c>
      <c r="C998" s="2" t="s">
        <v>214</v>
      </c>
      <c r="D998" s="2" t="s">
        <v>442</v>
      </c>
      <c r="E998" s="4">
        <v>67.03</v>
      </c>
      <c r="F998" s="4">
        <v>67.19</v>
      </c>
      <c r="G998" s="3">
        <v>1</v>
      </c>
      <c r="H998" s="6">
        <v>5</v>
      </c>
      <c r="I998" s="3">
        <v>2</v>
      </c>
      <c r="J998" s="13" t="str">
        <f>HYPERLINK("https://amazon.com/dp/B08L8FTY8G","Amazon - B08L8FTY8G")</f>
        <v>Amazon - B08L8FTY8G</v>
      </c>
      <c r="K998" s="14" t="s">
        <v>443</v>
      </c>
      <c r="L998" s="14" t="s">
        <v>530</v>
      </c>
      <c r="M998" s="14" t="s">
        <v>303</v>
      </c>
      <c r="N998" s="14" t="s">
        <v>446</v>
      </c>
      <c r="O998" s="14" t="s">
        <v>303</v>
      </c>
    </row>
    <row r="999" spans="1:15" ht="30" x14ac:dyDescent="0.2">
      <c r="A999" s="2" t="s">
        <v>2542</v>
      </c>
      <c r="B999" s="2" t="s">
        <v>2543</v>
      </c>
      <c r="C999" s="2" t="s">
        <v>254</v>
      </c>
      <c r="D999" s="2" t="s">
        <v>442</v>
      </c>
      <c r="E999" s="4">
        <v>9.1</v>
      </c>
      <c r="F999" s="4">
        <v>67.02</v>
      </c>
      <c r="G999" s="3">
        <v>6</v>
      </c>
      <c r="H999" s="6">
        <v>0</v>
      </c>
      <c r="I999" s="3">
        <v>0</v>
      </c>
      <c r="J999" s="13" t="str">
        <f>HYPERLINK("https://amazon.com/dp/B0G26V2RDN","Amazon - B0G26V2RDN")</f>
        <v>Amazon - B0G26V2RDN</v>
      </c>
      <c r="K999" s="14" t="s">
        <v>482</v>
      </c>
      <c r="L999" s="14" t="s">
        <v>303</v>
      </c>
      <c r="M999" s="14" t="s">
        <v>303</v>
      </c>
      <c r="N999" s="14" t="s">
        <v>446</v>
      </c>
      <c r="O999" s="14" t="s">
        <v>303</v>
      </c>
    </row>
    <row r="1000" spans="1:15" ht="30" x14ac:dyDescent="0.2">
      <c r="A1000" s="2" t="s">
        <v>2544</v>
      </c>
      <c r="B1000" s="2" t="s">
        <v>2545</v>
      </c>
      <c r="C1000" s="2" t="s">
        <v>173</v>
      </c>
      <c r="D1000" s="2" t="s">
        <v>450</v>
      </c>
      <c r="E1000" s="4">
        <v>29</v>
      </c>
      <c r="F1000" s="4">
        <v>66.709999999999994</v>
      </c>
      <c r="G1000" s="3">
        <v>2</v>
      </c>
      <c r="H1000" s="6">
        <v>3.6</v>
      </c>
      <c r="I1000" s="3">
        <v>15</v>
      </c>
      <c r="J1000" s="13" t="str">
        <f>HYPERLINK("https://amazon.com/dp/B00EHAIIG2","Amazon - B00EHAIIG2")</f>
        <v>Amazon - B00EHAIIG2</v>
      </c>
      <c r="K1000" s="14" t="s">
        <v>443</v>
      </c>
      <c r="L1000" s="14" t="s">
        <v>303</v>
      </c>
      <c r="M1000" s="14" t="s">
        <v>565</v>
      </c>
      <c r="N1000" s="14" t="s">
        <v>446</v>
      </c>
      <c r="O1000" s="14" t="s">
        <v>578</v>
      </c>
    </row>
    <row r="1001" spans="1:15" ht="45" x14ac:dyDescent="0.2">
      <c r="A1001" s="2" t="s">
        <v>2546</v>
      </c>
      <c r="B1001" s="2" t="s">
        <v>2547</v>
      </c>
      <c r="C1001" s="2" t="s">
        <v>242</v>
      </c>
      <c r="D1001" s="2" t="s">
        <v>450</v>
      </c>
      <c r="E1001" s="4">
        <v>22.39</v>
      </c>
      <c r="F1001" s="4">
        <v>65.69</v>
      </c>
      <c r="G1001" s="3">
        <v>3</v>
      </c>
      <c r="H1001" s="6">
        <v>4.5</v>
      </c>
      <c r="I1001" s="3">
        <v>2</v>
      </c>
      <c r="J1001" s="13" t="str">
        <f>HYPERLINK("https://amazon.com/dp/B0DRYV39G6","Amazon - B0DRYV39G6")</f>
        <v>Amazon - B0DRYV39G6</v>
      </c>
      <c r="K1001" s="14" t="s">
        <v>443</v>
      </c>
      <c r="L1001" s="14" t="s">
        <v>451</v>
      </c>
      <c r="M1001" s="14" t="s">
        <v>511</v>
      </c>
      <c r="N1001" s="14" t="s">
        <v>446</v>
      </c>
      <c r="O1001" s="14" t="s">
        <v>745</v>
      </c>
    </row>
    <row r="1002" spans="1:15" ht="45" x14ac:dyDescent="0.2">
      <c r="A1002" s="2" t="s">
        <v>2548</v>
      </c>
      <c r="B1002" s="2" t="s">
        <v>2549</v>
      </c>
      <c r="C1002" s="2" t="s">
        <v>256</v>
      </c>
      <c r="D1002" s="2" t="s">
        <v>442</v>
      </c>
      <c r="E1002" s="4">
        <v>29.69</v>
      </c>
      <c r="F1002" s="4">
        <v>63.68</v>
      </c>
      <c r="G1002" s="3">
        <v>2</v>
      </c>
      <c r="H1002" s="6">
        <v>3.9</v>
      </c>
      <c r="I1002" s="3">
        <v>33</v>
      </c>
      <c r="J1002" s="13" t="str">
        <f>HYPERLINK("https://amazon.com/dp/B0DCZFWVH8","Amazon - B0DCZFWVH8")</f>
        <v>Amazon - B0DCZFWVH8</v>
      </c>
      <c r="K1002" s="14" t="s">
        <v>443</v>
      </c>
      <c r="L1002" s="14" t="s">
        <v>456</v>
      </c>
      <c r="M1002" s="14" t="s">
        <v>445</v>
      </c>
      <c r="N1002" s="14" t="s">
        <v>446</v>
      </c>
      <c r="O1002" s="14" t="s">
        <v>453</v>
      </c>
    </row>
    <row r="1003" spans="1:15" ht="30" x14ac:dyDescent="0.2">
      <c r="A1003" s="2" t="s">
        <v>2550</v>
      </c>
      <c r="B1003" s="2" t="s">
        <v>2551</v>
      </c>
      <c r="C1003" s="2" t="s">
        <v>257</v>
      </c>
      <c r="D1003" s="2" t="s">
        <v>472</v>
      </c>
      <c r="E1003" s="4">
        <v>16.899999999999999</v>
      </c>
      <c r="F1003" s="4">
        <v>61.14</v>
      </c>
      <c r="G1003" s="3">
        <v>4</v>
      </c>
      <c r="H1003" s="6">
        <v>5</v>
      </c>
      <c r="I1003" s="3">
        <v>1</v>
      </c>
      <c r="J1003" s="13" t="str">
        <f>HYPERLINK("https://amazon.com/dp/B0CF9F8ZBK","Amazon - B0CF9F8ZBK")</f>
        <v>Amazon - B0CF9F8ZBK</v>
      </c>
      <c r="K1003" s="14" t="s">
        <v>443</v>
      </c>
      <c r="L1003" s="14" t="s">
        <v>303</v>
      </c>
      <c r="M1003" s="14" t="s">
        <v>503</v>
      </c>
      <c r="N1003" s="14" t="s">
        <v>446</v>
      </c>
      <c r="O1003" s="14" t="s">
        <v>303</v>
      </c>
    </row>
    <row r="1004" spans="1:15" ht="30" x14ac:dyDescent="0.2">
      <c r="A1004" s="2" t="s">
        <v>2552</v>
      </c>
      <c r="B1004" s="2" t="s">
        <v>2553</v>
      </c>
      <c r="C1004" s="2" t="s">
        <v>258</v>
      </c>
      <c r="D1004" s="2" t="s">
        <v>442</v>
      </c>
      <c r="E1004" s="4">
        <v>9</v>
      </c>
      <c r="F1004" s="4">
        <v>60.82</v>
      </c>
      <c r="G1004" s="3">
        <v>7</v>
      </c>
      <c r="H1004" s="6">
        <v>0</v>
      </c>
      <c r="I1004" s="3">
        <v>0</v>
      </c>
      <c r="J1004" s="13" t="str">
        <f>HYPERLINK("https://amazon.com/dp/B0DQFQD48H","Amazon - B0DQFQD48H")</f>
        <v>Amazon - B0DQFQD48H</v>
      </c>
      <c r="K1004" s="14" t="s">
        <v>443</v>
      </c>
      <c r="L1004" s="14" t="s">
        <v>303</v>
      </c>
      <c r="M1004" s="14" t="s">
        <v>303</v>
      </c>
      <c r="N1004" s="14" t="s">
        <v>446</v>
      </c>
      <c r="O1004" s="14" t="s">
        <v>303</v>
      </c>
    </row>
    <row r="1005" spans="1:15" ht="30" x14ac:dyDescent="0.2">
      <c r="A1005" s="2" t="s">
        <v>2554</v>
      </c>
      <c r="B1005" s="2" t="s">
        <v>2555</v>
      </c>
      <c r="C1005" s="2" t="s">
        <v>8</v>
      </c>
      <c r="D1005" s="2" t="s">
        <v>442</v>
      </c>
      <c r="E1005" s="4">
        <v>59.99</v>
      </c>
      <c r="F1005" s="4">
        <v>60.73</v>
      </c>
      <c r="G1005" s="3">
        <v>1</v>
      </c>
      <c r="H1005" s="6">
        <v>4.8</v>
      </c>
      <c r="I1005" s="3">
        <v>18</v>
      </c>
      <c r="J1005" s="13" t="str">
        <f>HYPERLINK("https://amazon.com/dp/B08QCP8YFM","Amazon - B08QCP8YFM")</f>
        <v>Amazon - B08QCP8YFM</v>
      </c>
      <c r="K1005" s="14" t="s">
        <v>443</v>
      </c>
      <c r="L1005" s="14" t="s">
        <v>303</v>
      </c>
      <c r="M1005" s="14" t="s">
        <v>462</v>
      </c>
      <c r="N1005" s="14" t="s">
        <v>446</v>
      </c>
      <c r="O1005" s="14" t="s">
        <v>543</v>
      </c>
    </row>
    <row r="1006" spans="1:15" ht="45" x14ac:dyDescent="0.2">
      <c r="A1006" s="2" t="s">
        <v>2556</v>
      </c>
      <c r="B1006" s="2" t="s">
        <v>2557</v>
      </c>
      <c r="C1006" s="2" t="s">
        <v>146</v>
      </c>
      <c r="D1006" s="2" t="s">
        <v>450</v>
      </c>
      <c r="E1006" s="4">
        <v>18.95</v>
      </c>
      <c r="F1006" s="4">
        <v>60.65</v>
      </c>
      <c r="G1006" s="3">
        <v>3</v>
      </c>
      <c r="H1006" s="6">
        <v>4.2</v>
      </c>
      <c r="I1006" s="3">
        <v>9</v>
      </c>
      <c r="J1006" s="13" t="str">
        <f>HYPERLINK("https://amazon.com/dp/B0CR46T8ZR","Amazon - B0CR46T8ZR")</f>
        <v>Amazon - B0CR46T8ZR</v>
      </c>
      <c r="K1006" s="14" t="s">
        <v>443</v>
      </c>
      <c r="L1006" s="14" t="s">
        <v>451</v>
      </c>
      <c r="M1006" s="14" t="s">
        <v>303</v>
      </c>
      <c r="N1006" s="14" t="s">
        <v>446</v>
      </c>
      <c r="O1006" s="14" t="s">
        <v>543</v>
      </c>
    </row>
    <row r="1007" spans="1:15" ht="45" x14ac:dyDescent="0.2">
      <c r="A1007" s="2" t="s">
        <v>2558</v>
      </c>
      <c r="B1007" s="2" t="s">
        <v>2559</v>
      </c>
      <c r="C1007" s="2" t="s">
        <v>259</v>
      </c>
      <c r="D1007" s="2" t="s">
        <v>472</v>
      </c>
      <c r="E1007" s="4">
        <v>27.59</v>
      </c>
      <c r="F1007" s="4">
        <v>59.97</v>
      </c>
      <c r="G1007" s="3">
        <v>2</v>
      </c>
      <c r="H1007" s="6">
        <v>0</v>
      </c>
      <c r="I1007" s="3">
        <v>0</v>
      </c>
      <c r="J1007" s="13" t="str">
        <f>HYPERLINK("https://amazon.com/dp/B0DM3DF65X","Amazon - B0DM3DF65X")</f>
        <v>Amazon - B0DM3DF65X</v>
      </c>
      <c r="K1007" s="14" t="s">
        <v>443</v>
      </c>
      <c r="L1007" s="14" t="s">
        <v>303</v>
      </c>
      <c r="M1007" s="14" t="s">
        <v>503</v>
      </c>
      <c r="N1007" s="14" t="s">
        <v>446</v>
      </c>
      <c r="O1007" s="14" t="s">
        <v>303</v>
      </c>
    </row>
    <row r="1008" spans="1:15" ht="45" x14ac:dyDescent="0.2">
      <c r="A1008" s="2" t="s">
        <v>2560</v>
      </c>
      <c r="B1008" s="2" t="s">
        <v>2561</v>
      </c>
      <c r="C1008" s="2" t="s">
        <v>221</v>
      </c>
      <c r="D1008" s="2" t="s">
        <v>450</v>
      </c>
      <c r="E1008" s="4">
        <v>29.99</v>
      </c>
      <c r="F1008" s="4">
        <v>59.09</v>
      </c>
      <c r="G1008" s="3">
        <v>2</v>
      </c>
      <c r="H1008" s="6">
        <v>4.2</v>
      </c>
      <c r="I1008" s="3">
        <v>275</v>
      </c>
      <c r="J1008" s="13" t="str">
        <f>HYPERLINK("https://amazon.com/dp/B0D6YV2362","Amazon - B0D6YV2362")</f>
        <v>Amazon - B0D6YV2362</v>
      </c>
      <c r="K1008" s="14" t="s">
        <v>443</v>
      </c>
      <c r="L1008" s="14" t="s">
        <v>451</v>
      </c>
      <c r="M1008" s="14" t="s">
        <v>303</v>
      </c>
      <c r="N1008" s="14" t="s">
        <v>452</v>
      </c>
      <c r="O1008" s="14" t="s">
        <v>453</v>
      </c>
    </row>
    <row r="1009" spans="1:15" ht="30" x14ac:dyDescent="0.2">
      <c r="A1009" s="2" t="s">
        <v>2562</v>
      </c>
      <c r="B1009" s="2" t="s">
        <v>2563</v>
      </c>
      <c r="C1009" s="2" t="s">
        <v>216</v>
      </c>
      <c r="D1009" s="2" t="s">
        <v>442</v>
      </c>
      <c r="E1009" s="4">
        <v>12.99</v>
      </c>
      <c r="F1009" s="4">
        <v>57.6</v>
      </c>
      <c r="G1009" s="3">
        <v>4</v>
      </c>
      <c r="H1009" s="6">
        <v>3.5</v>
      </c>
      <c r="I1009" s="3">
        <v>17</v>
      </c>
      <c r="J1009" s="13" t="str">
        <f>HYPERLINK("https://amazon.com/dp/B0D9K3BNRY","Amazon - B0D9K3BNRY")</f>
        <v>Amazon - B0D9K3BNRY</v>
      </c>
      <c r="K1009" s="14" t="s">
        <v>443</v>
      </c>
      <c r="L1009" s="14" t="s">
        <v>303</v>
      </c>
      <c r="M1009" s="14" t="s">
        <v>303</v>
      </c>
      <c r="N1009" s="14" t="s">
        <v>446</v>
      </c>
      <c r="O1009" s="14" t="s">
        <v>303</v>
      </c>
    </row>
    <row r="1010" spans="1:15" ht="30" x14ac:dyDescent="0.2">
      <c r="A1010" s="2" t="s">
        <v>2564</v>
      </c>
      <c r="B1010" s="2" t="s">
        <v>2565</v>
      </c>
      <c r="C1010" s="2" t="s">
        <v>260</v>
      </c>
      <c r="D1010" s="2" t="s">
        <v>442</v>
      </c>
      <c r="E1010" s="4">
        <v>12.42</v>
      </c>
      <c r="F1010" s="4">
        <v>56.65</v>
      </c>
      <c r="G1010" s="3">
        <v>4</v>
      </c>
      <c r="H1010" s="6">
        <v>0</v>
      </c>
      <c r="I1010" s="3">
        <v>0</v>
      </c>
      <c r="J1010" s="13" t="str">
        <f>HYPERLINK("https://amazon.com/dp/B0DLLMJM11","Amazon - B0DLLMJM11")</f>
        <v>Amazon - B0DLLMJM11</v>
      </c>
      <c r="K1010" s="14" t="s">
        <v>443</v>
      </c>
      <c r="L1010" s="14" t="s">
        <v>303</v>
      </c>
      <c r="M1010" s="14" t="s">
        <v>303</v>
      </c>
      <c r="N1010" s="14" t="s">
        <v>446</v>
      </c>
      <c r="O1010" s="14" t="s">
        <v>578</v>
      </c>
    </row>
    <row r="1011" spans="1:15" ht="30" x14ac:dyDescent="0.2">
      <c r="A1011" s="2" t="s">
        <v>2566</v>
      </c>
      <c r="B1011" s="2" t="s">
        <v>2567</v>
      </c>
      <c r="C1011" s="2" t="s">
        <v>249</v>
      </c>
      <c r="D1011" s="2" t="s">
        <v>472</v>
      </c>
      <c r="E1011" s="4">
        <v>27.68</v>
      </c>
      <c r="F1011" s="4">
        <v>56.31</v>
      </c>
      <c r="G1011" s="3">
        <v>3</v>
      </c>
      <c r="H1011" s="6">
        <v>5</v>
      </c>
      <c r="I1011" s="3">
        <v>1</v>
      </c>
      <c r="J1011" s="13" t="str">
        <f>HYPERLINK("https://amazon.com/dp/B0CW3HNHRN","Amazon - B0CW3HNHRN")</f>
        <v>Amazon - B0CW3HNHRN</v>
      </c>
      <c r="K1011" s="14" t="s">
        <v>443</v>
      </c>
      <c r="L1011" s="14" t="s">
        <v>530</v>
      </c>
      <c r="M1011" s="14" t="s">
        <v>303</v>
      </c>
      <c r="N1011" s="14" t="s">
        <v>446</v>
      </c>
      <c r="O1011" s="14" t="s">
        <v>578</v>
      </c>
    </row>
    <row r="1012" spans="1:15" ht="30" x14ac:dyDescent="0.2">
      <c r="A1012" s="2" t="s">
        <v>2568</v>
      </c>
      <c r="B1012" s="2" t="s">
        <v>2569</v>
      </c>
      <c r="C1012" s="2" t="s">
        <v>199</v>
      </c>
      <c r="D1012" s="2" t="s">
        <v>472</v>
      </c>
      <c r="E1012" s="4">
        <v>33.97</v>
      </c>
      <c r="F1012" s="4">
        <v>56.06</v>
      </c>
      <c r="G1012" s="3">
        <v>2</v>
      </c>
      <c r="H1012" s="6">
        <v>4.5999999999999996</v>
      </c>
      <c r="I1012" s="3">
        <v>28</v>
      </c>
      <c r="J1012" s="13" t="str">
        <f>HYPERLINK("https://amazon.com/dp/B0D16Y8FZM","Amazon - B0D16Y8FZM")</f>
        <v>Amazon - B0D16Y8FZM</v>
      </c>
      <c r="K1012" s="14" t="s">
        <v>443</v>
      </c>
      <c r="L1012" s="14" t="s">
        <v>456</v>
      </c>
      <c r="M1012" s="14" t="s">
        <v>303</v>
      </c>
      <c r="N1012" s="14" t="s">
        <v>446</v>
      </c>
      <c r="O1012" s="14" t="s">
        <v>453</v>
      </c>
    </row>
    <row r="1013" spans="1:15" ht="30" x14ac:dyDescent="0.2">
      <c r="A1013" s="2" t="s">
        <v>2570</v>
      </c>
      <c r="B1013" s="2" t="s">
        <v>2563</v>
      </c>
      <c r="C1013" s="2" t="s">
        <v>216</v>
      </c>
      <c r="D1013" s="2" t="s">
        <v>442</v>
      </c>
      <c r="E1013" s="4">
        <v>14.59</v>
      </c>
      <c r="F1013" s="4">
        <v>54.89</v>
      </c>
      <c r="G1013" s="3">
        <v>4</v>
      </c>
      <c r="H1013" s="6">
        <v>3.5</v>
      </c>
      <c r="I1013" s="3">
        <v>17</v>
      </c>
      <c r="J1013" s="13" t="str">
        <f>HYPERLINK("https://amazon.com/dp/B0D9JZP3YH","Amazon - B0D9JZP3YH")</f>
        <v>Amazon - B0D9JZP3YH</v>
      </c>
      <c r="K1013" s="14" t="s">
        <v>443</v>
      </c>
      <c r="L1013" s="14" t="s">
        <v>303</v>
      </c>
      <c r="M1013" s="14" t="s">
        <v>303</v>
      </c>
      <c r="N1013" s="14" t="s">
        <v>446</v>
      </c>
      <c r="O1013" s="14" t="s">
        <v>303</v>
      </c>
    </row>
    <row r="1014" spans="1:15" x14ac:dyDescent="0.2">
      <c r="A1014" s="2" t="s">
        <v>2571</v>
      </c>
      <c r="B1014" s="2" t="s">
        <v>2572</v>
      </c>
      <c r="C1014" s="2" t="s">
        <v>19</v>
      </c>
      <c r="D1014" s="2" t="s">
        <v>442</v>
      </c>
      <c r="E1014" s="4">
        <v>26.74</v>
      </c>
      <c r="F1014" s="4">
        <v>54.59</v>
      </c>
      <c r="G1014" s="3">
        <v>2</v>
      </c>
      <c r="H1014" s="6">
        <v>5</v>
      </c>
      <c r="I1014" s="3">
        <v>4</v>
      </c>
      <c r="J1014" s="13" t="str">
        <f>HYPERLINK("https://amazon.com/dp/B00J9RZQGS","Amazon - B00J9RZQGS")</f>
        <v>Amazon - B00J9RZQGS</v>
      </c>
      <c r="K1014" s="14" t="s">
        <v>443</v>
      </c>
      <c r="L1014" s="14" t="s">
        <v>303</v>
      </c>
      <c r="M1014" s="14" t="s">
        <v>688</v>
      </c>
      <c r="N1014" s="14" t="s">
        <v>446</v>
      </c>
      <c r="O1014" s="14" t="s">
        <v>543</v>
      </c>
    </row>
    <row r="1015" spans="1:15" ht="45" x14ac:dyDescent="0.2">
      <c r="A1015" s="2" t="s">
        <v>2573</v>
      </c>
      <c r="B1015" s="2" t="s">
        <v>2574</v>
      </c>
      <c r="C1015" s="2" t="s">
        <v>109</v>
      </c>
      <c r="D1015" s="2" t="s">
        <v>823</v>
      </c>
      <c r="E1015" s="4">
        <v>30.99</v>
      </c>
      <c r="F1015" s="4">
        <v>54.59</v>
      </c>
      <c r="G1015" s="3">
        <v>2</v>
      </c>
      <c r="H1015" s="6">
        <v>4</v>
      </c>
      <c r="I1015" s="3">
        <v>38</v>
      </c>
      <c r="J1015" s="13" t="str">
        <f>HYPERLINK("https://amazon.com/dp/B07THMMMK9","Amazon - B07THMMMK9")</f>
        <v>Amazon - B07THMMMK9</v>
      </c>
      <c r="K1015" s="14" t="s">
        <v>443</v>
      </c>
      <c r="L1015" s="14" t="s">
        <v>451</v>
      </c>
      <c r="M1015" s="14" t="s">
        <v>462</v>
      </c>
      <c r="N1015" s="14" t="s">
        <v>452</v>
      </c>
      <c r="O1015" s="14" t="s">
        <v>745</v>
      </c>
    </row>
    <row r="1016" spans="1:15" ht="30" x14ac:dyDescent="0.2">
      <c r="A1016" s="2" t="s">
        <v>2575</v>
      </c>
      <c r="B1016" s="2" t="s">
        <v>2576</v>
      </c>
      <c r="C1016" s="2" t="s">
        <v>261</v>
      </c>
      <c r="D1016" s="2" t="s">
        <v>450</v>
      </c>
      <c r="E1016" s="4">
        <v>20.09</v>
      </c>
      <c r="F1016" s="4">
        <v>53.49</v>
      </c>
      <c r="G1016" s="3">
        <v>3</v>
      </c>
      <c r="H1016" s="6">
        <v>4</v>
      </c>
      <c r="I1016" s="3">
        <v>1</v>
      </c>
      <c r="J1016" s="13" t="str">
        <f>HYPERLINK("https://amazon.com/dp/B09B716SK3","Amazon - B09B716SK3")</f>
        <v>Amazon - B09B716SK3</v>
      </c>
      <c r="K1016" s="14" t="s">
        <v>443</v>
      </c>
      <c r="L1016" s="14" t="s">
        <v>1725</v>
      </c>
      <c r="M1016" s="14" t="s">
        <v>511</v>
      </c>
      <c r="N1016" s="14" t="s">
        <v>446</v>
      </c>
      <c r="O1016" s="14" t="s">
        <v>453</v>
      </c>
    </row>
    <row r="1017" spans="1:15" ht="45" x14ac:dyDescent="0.2">
      <c r="A1017" s="2" t="s">
        <v>2577</v>
      </c>
      <c r="B1017" s="2" t="s">
        <v>2578</v>
      </c>
      <c r="C1017" s="2" t="s">
        <v>263</v>
      </c>
      <c r="D1017" s="2" t="s">
        <v>442</v>
      </c>
      <c r="E1017" s="4">
        <v>11.9</v>
      </c>
      <c r="F1017" s="4">
        <v>52.07</v>
      </c>
      <c r="G1017" s="3">
        <v>4</v>
      </c>
      <c r="H1017" s="6">
        <v>3.6</v>
      </c>
      <c r="I1017" s="3">
        <v>157</v>
      </c>
      <c r="J1017" s="13" t="str">
        <f>HYPERLINK("https://amazon.com/dp/B07846C89X","Amazon - B07846C89X")</f>
        <v>Amazon - B07846C89X</v>
      </c>
      <c r="K1017" s="14" t="s">
        <v>443</v>
      </c>
      <c r="L1017" s="14" t="s">
        <v>303</v>
      </c>
      <c r="M1017" s="14" t="s">
        <v>303</v>
      </c>
      <c r="N1017" s="14" t="s">
        <v>446</v>
      </c>
      <c r="O1017" s="14" t="s">
        <v>303</v>
      </c>
    </row>
    <row r="1018" spans="1:15" ht="30" x14ac:dyDescent="0.2">
      <c r="A1018" s="2" t="s">
        <v>2579</v>
      </c>
      <c r="B1018" s="2" t="s">
        <v>2580</v>
      </c>
      <c r="C1018" s="2" t="s">
        <v>250</v>
      </c>
      <c r="D1018" s="2" t="s">
        <v>472</v>
      </c>
      <c r="E1018" s="4">
        <v>16.7</v>
      </c>
      <c r="F1018" s="4">
        <v>51.93</v>
      </c>
      <c r="G1018" s="3">
        <v>3</v>
      </c>
      <c r="H1018" s="6">
        <v>0</v>
      </c>
      <c r="I1018" s="3">
        <v>0</v>
      </c>
      <c r="J1018" s="13" t="str">
        <f>HYPERLINK("https://amazon.com/dp/B0DFHVCQNG","Amazon - B0DFHVCQNG")</f>
        <v>Amazon - B0DFHVCQNG</v>
      </c>
      <c r="K1018" s="14" t="s">
        <v>443</v>
      </c>
      <c r="L1018" s="14" t="s">
        <v>303</v>
      </c>
      <c r="M1018" s="14" t="s">
        <v>303</v>
      </c>
      <c r="N1018" s="14" t="s">
        <v>446</v>
      </c>
      <c r="O1018" s="14" t="s">
        <v>303</v>
      </c>
    </row>
    <row r="1019" spans="1:15" ht="45" x14ac:dyDescent="0.2">
      <c r="A1019" s="2" t="s">
        <v>2581</v>
      </c>
      <c r="B1019" s="2" t="s">
        <v>2582</v>
      </c>
      <c r="C1019" s="2" t="s">
        <v>217</v>
      </c>
      <c r="D1019" s="2" t="s">
        <v>472</v>
      </c>
      <c r="E1019" s="4">
        <v>39.99</v>
      </c>
      <c r="F1019" s="4">
        <v>51.9</v>
      </c>
      <c r="G1019" s="3">
        <v>1</v>
      </c>
      <c r="H1019" s="6">
        <v>4.2</v>
      </c>
      <c r="I1019" s="3">
        <v>2</v>
      </c>
      <c r="J1019" s="13" t="str">
        <f>HYPERLINK("https://amazon.com/dp/B0FJRT1PLG","Amazon - B0FJRT1PLG")</f>
        <v>Amazon - B0FJRT1PLG</v>
      </c>
      <c r="K1019" s="14" t="s">
        <v>443</v>
      </c>
      <c r="L1019" s="14" t="s">
        <v>456</v>
      </c>
      <c r="M1019" s="14" t="s">
        <v>303</v>
      </c>
      <c r="N1019" s="14" t="s">
        <v>452</v>
      </c>
      <c r="O1019" s="14" t="s">
        <v>453</v>
      </c>
    </row>
    <row r="1020" spans="1:15" ht="30" x14ac:dyDescent="0.2">
      <c r="A1020" s="2" t="s">
        <v>2583</v>
      </c>
      <c r="B1020" s="2" t="s">
        <v>2584</v>
      </c>
      <c r="C1020" s="2" t="s">
        <v>173</v>
      </c>
      <c r="D1020" s="2" t="s">
        <v>442</v>
      </c>
      <c r="E1020" s="4">
        <v>19.989999999999998</v>
      </c>
      <c r="F1020" s="4">
        <v>51.15</v>
      </c>
      <c r="G1020" s="3">
        <v>3</v>
      </c>
      <c r="H1020" s="6">
        <v>3.8</v>
      </c>
      <c r="I1020" s="3">
        <v>57</v>
      </c>
      <c r="J1020" s="13" t="str">
        <f>HYPERLINK("https://amazon.com/dp/B00CBKFJVM","Amazon - B00CBKFJVM")</f>
        <v>Amazon - B00CBKFJVM</v>
      </c>
      <c r="K1020" s="14" t="s">
        <v>443</v>
      </c>
      <c r="L1020" s="14" t="s">
        <v>303</v>
      </c>
      <c r="M1020" s="14" t="s">
        <v>303</v>
      </c>
      <c r="N1020" s="14" t="s">
        <v>446</v>
      </c>
      <c r="O1020" s="14" t="s">
        <v>303</v>
      </c>
    </row>
    <row r="1021" spans="1:15" ht="45" x14ac:dyDescent="0.2">
      <c r="A1021" s="2" t="s">
        <v>2585</v>
      </c>
      <c r="B1021" s="2" t="s">
        <v>2586</v>
      </c>
      <c r="C1021" s="2" t="s">
        <v>264</v>
      </c>
      <c r="D1021" s="2" t="s">
        <v>450</v>
      </c>
      <c r="E1021" s="4">
        <v>25.59</v>
      </c>
      <c r="F1021" s="4">
        <v>50.93</v>
      </c>
      <c r="G1021" s="3">
        <v>2</v>
      </c>
      <c r="H1021" s="6">
        <v>3.6</v>
      </c>
      <c r="I1021" s="3">
        <v>8</v>
      </c>
      <c r="J1021" s="13" t="str">
        <f>HYPERLINK("https://amazon.com/dp/B0G48DS4ZD","Amazon - B0G48DS4ZD")</f>
        <v>Amazon - B0G48DS4ZD</v>
      </c>
      <c r="K1021" s="14" t="s">
        <v>443</v>
      </c>
      <c r="L1021" s="14" t="s">
        <v>451</v>
      </c>
      <c r="M1021" s="14" t="s">
        <v>303</v>
      </c>
      <c r="N1021" s="14" t="s">
        <v>446</v>
      </c>
      <c r="O1021" s="14" t="s">
        <v>303</v>
      </c>
    </row>
    <row r="1022" spans="1:15" ht="45" x14ac:dyDescent="0.2">
      <c r="A1022" s="2" t="s">
        <v>2587</v>
      </c>
      <c r="B1022" s="2" t="s">
        <v>2588</v>
      </c>
      <c r="C1022" s="2" t="s">
        <v>65</v>
      </c>
      <c r="D1022" s="2" t="s">
        <v>450</v>
      </c>
      <c r="E1022" s="4">
        <v>18.989999999999998</v>
      </c>
      <c r="F1022" s="4">
        <v>50.61</v>
      </c>
      <c r="G1022" s="3">
        <v>3</v>
      </c>
      <c r="H1022" s="6">
        <v>4.7</v>
      </c>
      <c r="I1022" s="3">
        <v>18</v>
      </c>
      <c r="J1022" s="13" t="str">
        <f>HYPERLINK("https://amazon.com/dp/B0G58JRBW8","Amazon - B0G58JRBW8")</f>
        <v>Amazon - B0G58JRBW8</v>
      </c>
      <c r="K1022" s="14" t="s">
        <v>443</v>
      </c>
      <c r="L1022" s="14" t="s">
        <v>451</v>
      </c>
      <c r="M1022" s="14" t="s">
        <v>303</v>
      </c>
      <c r="N1022" s="14" t="s">
        <v>446</v>
      </c>
      <c r="O1022" s="14" t="s">
        <v>453</v>
      </c>
    </row>
    <row r="1023" spans="1:15" ht="30" x14ac:dyDescent="0.2">
      <c r="A1023" s="2" t="s">
        <v>2589</v>
      </c>
      <c r="B1023" s="2" t="s">
        <v>2590</v>
      </c>
      <c r="C1023" s="2" t="s">
        <v>23</v>
      </c>
      <c r="D1023" s="2" t="s">
        <v>472</v>
      </c>
      <c r="E1023" s="4">
        <v>16.899999999999999</v>
      </c>
      <c r="F1023" s="4">
        <v>50.13</v>
      </c>
      <c r="G1023" s="3">
        <v>3</v>
      </c>
      <c r="H1023" s="6">
        <v>4.5</v>
      </c>
      <c r="I1023" s="3">
        <v>2</v>
      </c>
      <c r="J1023" s="13" t="str">
        <f>HYPERLINK("https://amazon.com/dp/B0D7TKYY9D","Amazon - B0D7TKYY9D")</f>
        <v>Amazon - B0D7TKYY9D</v>
      </c>
      <c r="K1023" s="14" t="s">
        <v>443</v>
      </c>
      <c r="L1023" s="14" t="s">
        <v>303</v>
      </c>
      <c r="M1023" s="14" t="s">
        <v>503</v>
      </c>
      <c r="N1023" s="14" t="s">
        <v>446</v>
      </c>
      <c r="O1023" s="14" t="s">
        <v>303</v>
      </c>
    </row>
    <row r="1024" spans="1:15" x14ac:dyDescent="0.2">
      <c r="A1024" s="2" t="s">
        <v>2591</v>
      </c>
      <c r="B1024" s="2" t="s">
        <v>2592</v>
      </c>
      <c r="C1024" s="2" t="s">
        <v>14</v>
      </c>
      <c r="D1024" s="2" t="s">
        <v>472</v>
      </c>
      <c r="E1024" s="4">
        <v>39.99</v>
      </c>
      <c r="F1024" s="4">
        <v>49.35</v>
      </c>
      <c r="G1024" s="3">
        <v>1</v>
      </c>
      <c r="H1024" s="6">
        <v>0</v>
      </c>
      <c r="I1024" s="3">
        <v>0</v>
      </c>
      <c r="J1024" s="13" t="str">
        <f>HYPERLINK("https://amazon.com/dp/B0DWMQTVC2","Amazon - B0DWMQTVC2")</f>
        <v>Amazon - B0DWMQTVC2</v>
      </c>
      <c r="K1024" s="14" t="s">
        <v>443</v>
      </c>
      <c r="L1024" s="14" t="s">
        <v>303</v>
      </c>
      <c r="M1024" s="14" t="s">
        <v>303</v>
      </c>
      <c r="N1024" s="14" t="s">
        <v>446</v>
      </c>
      <c r="O1024" s="14" t="s">
        <v>303</v>
      </c>
    </row>
    <row r="1025" spans="1:15" ht="45" x14ac:dyDescent="0.2">
      <c r="A1025" s="2" t="s">
        <v>2593</v>
      </c>
      <c r="B1025" s="2" t="s">
        <v>2594</v>
      </c>
      <c r="C1025" s="2" t="s">
        <v>62</v>
      </c>
      <c r="D1025" s="2" t="s">
        <v>450</v>
      </c>
      <c r="E1025" s="4">
        <v>44.99</v>
      </c>
      <c r="F1025" s="4">
        <v>49.26</v>
      </c>
      <c r="G1025" s="3">
        <v>1</v>
      </c>
      <c r="H1025" s="6">
        <v>4.5999999999999996</v>
      </c>
      <c r="I1025" s="3">
        <v>10</v>
      </c>
      <c r="J1025" s="13" t="str">
        <f>HYPERLINK("https://amazon.com/dp/B09LYXMSPK","Amazon - B09LYXMSPK")</f>
        <v>Amazon - B09LYXMSPK</v>
      </c>
      <c r="K1025" s="14" t="s">
        <v>443</v>
      </c>
      <c r="L1025" s="14" t="s">
        <v>303</v>
      </c>
      <c r="M1025" s="14" t="s">
        <v>303</v>
      </c>
      <c r="N1025" s="14" t="s">
        <v>446</v>
      </c>
      <c r="O1025" s="14" t="s">
        <v>303</v>
      </c>
    </row>
    <row r="1026" spans="1:15" ht="45" x14ac:dyDescent="0.2">
      <c r="A1026" s="2" t="s">
        <v>2595</v>
      </c>
      <c r="B1026" s="2" t="s">
        <v>2596</v>
      </c>
      <c r="C1026" s="2" t="s">
        <v>62</v>
      </c>
      <c r="D1026" s="2" t="s">
        <v>450</v>
      </c>
      <c r="E1026" s="4">
        <v>49</v>
      </c>
      <c r="F1026" s="4">
        <v>48.96</v>
      </c>
      <c r="G1026" s="3">
        <v>1</v>
      </c>
      <c r="H1026" s="6">
        <v>4.9000000000000004</v>
      </c>
      <c r="I1026" s="3">
        <v>19</v>
      </c>
      <c r="J1026" s="13" t="str">
        <f>HYPERLINK("https://amazon.com/dp/B094XZ3Y8X","Amazon - B094XZ3Y8X")</f>
        <v>Amazon - B094XZ3Y8X</v>
      </c>
      <c r="K1026" s="14" t="s">
        <v>443</v>
      </c>
      <c r="L1026" s="14" t="s">
        <v>303</v>
      </c>
      <c r="M1026" s="14" t="s">
        <v>457</v>
      </c>
      <c r="N1026" s="14" t="s">
        <v>446</v>
      </c>
      <c r="O1026" s="14" t="s">
        <v>543</v>
      </c>
    </row>
    <row r="1027" spans="1:15" ht="45" x14ac:dyDescent="0.2">
      <c r="A1027" s="2" t="s">
        <v>2597</v>
      </c>
      <c r="B1027" s="2" t="s">
        <v>2598</v>
      </c>
      <c r="C1027" s="2" t="s">
        <v>265</v>
      </c>
      <c r="D1027" s="2" t="s">
        <v>450</v>
      </c>
      <c r="E1027" s="4">
        <v>39.89</v>
      </c>
      <c r="F1027" s="4">
        <v>48.89</v>
      </c>
      <c r="G1027" s="3">
        <v>1</v>
      </c>
      <c r="H1027" s="6">
        <v>4.0999999999999996</v>
      </c>
      <c r="I1027" s="3">
        <v>41</v>
      </c>
      <c r="J1027" s="13" t="str">
        <f>HYPERLINK("https://amazon.com/dp/B0CWY87BLX","Amazon - B0CWY87BLX")</f>
        <v>Amazon - B0CWY87BLX</v>
      </c>
      <c r="K1027" s="14" t="s">
        <v>443</v>
      </c>
      <c r="L1027" s="14" t="s">
        <v>451</v>
      </c>
      <c r="M1027" s="14" t="s">
        <v>303</v>
      </c>
      <c r="N1027" s="14" t="s">
        <v>452</v>
      </c>
      <c r="O1027" s="14" t="s">
        <v>453</v>
      </c>
    </row>
    <row r="1028" spans="1:15" ht="30" x14ac:dyDescent="0.2">
      <c r="A1028" s="2" t="s">
        <v>2599</v>
      </c>
      <c r="B1028" s="2" t="s">
        <v>2600</v>
      </c>
      <c r="C1028" s="2" t="s">
        <v>173</v>
      </c>
      <c r="D1028" s="2" t="s">
        <v>450</v>
      </c>
      <c r="E1028" s="4">
        <v>39.9</v>
      </c>
      <c r="F1028" s="4">
        <v>48.61</v>
      </c>
      <c r="G1028" s="3">
        <v>1</v>
      </c>
      <c r="H1028" s="6">
        <v>4</v>
      </c>
      <c r="I1028" s="3">
        <v>102</v>
      </c>
      <c r="J1028" s="13" t="str">
        <f>HYPERLINK("https://amazon.com/dp/B007ROP3FO","Amazon - B007ROP3FO")</f>
        <v>Amazon - B007ROP3FO</v>
      </c>
      <c r="K1028" s="14" t="s">
        <v>443</v>
      </c>
      <c r="L1028" s="14" t="s">
        <v>303</v>
      </c>
      <c r="M1028" s="14" t="s">
        <v>565</v>
      </c>
      <c r="N1028" s="14" t="s">
        <v>446</v>
      </c>
      <c r="O1028" s="14" t="s">
        <v>303</v>
      </c>
    </row>
    <row r="1029" spans="1:15" ht="45" x14ac:dyDescent="0.2">
      <c r="A1029" s="2" t="s">
        <v>2601</v>
      </c>
      <c r="B1029" s="2" t="s">
        <v>2602</v>
      </c>
      <c r="C1029" s="2" t="s">
        <v>213</v>
      </c>
      <c r="D1029" s="2" t="s">
        <v>442</v>
      </c>
      <c r="E1029" s="4">
        <v>35.799999999999997</v>
      </c>
      <c r="F1029" s="4">
        <v>46.97</v>
      </c>
      <c r="G1029" s="3">
        <v>1</v>
      </c>
      <c r="H1029" s="6">
        <v>5</v>
      </c>
      <c r="I1029" s="3">
        <v>1</v>
      </c>
      <c r="J1029" s="13" t="str">
        <f>HYPERLINK("https://amazon.com/dp/B0F9KZTNX4","Amazon - B0F9KZTNX4")</f>
        <v>Amazon - B0F9KZTNX4</v>
      </c>
      <c r="K1029" s="14" t="s">
        <v>443</v>
      </c>
      <c r="L1029" s="14" t="s">
        <v>456</v>
      </c>
      <c r="M1029" s="14" t="s">
        <v>303</v>
      </c>
      <c r="N1029" s="14" t="s">
        <v>452</v>
      </c>
      <c r="O1029" s="14" t="s">
        <v>453</v>
      </c>
    </row>
    <row r="1030" spans="1:15" ht="30" x14ac:dyDescent="0.2">
      <c r="A1030" s="2" t="s">
        <v>2603</v>
      </c>
      <c r="B1030" s="2" t="s">
        <v>2604</v>
      </c>
      <c r="C1030" s="2" t="s">
        <v>210</v>
      </c>
      <c r="D1030" s="2" t="s">
        <v>442</v>
      </c>
      <c r="E1030" s="4">
        <v>75.290000000000006</v>
      </c>
      <c r="F1030" s="4">
        <v>46.65</v>
      </c>
      <c r="G1030" s="3">
        <v>1</v>
      </c>
      <c r="H1030" s="6">
        <v>0</v>
      </c>
      <c r="I1030" s="3">
        <v>0</v>
      </c>
      <c r="J1030" s="13" t="str">
        <f>HYPERLINK("https://amazon.com/dp/B0BZSCJBW8","Amazon - B0BZSCJBW8")</f>
        <v>Amazon - B0BZSCJBW8</v>
      </c>
      <c r="K1030" s="14" t="s">
        <v>443</v>
      </c>
      <c r="L1030" s="14" t="s">
        <v>456</v>
      </c>
      <c r="M1030" s="14" t="s">
        <v>445</v>
      </c>
      <c r="N1030" s="14" t="s">
        <v>446</v>
      </c>
      <c r="O1030" s="14" t="s">
        <v>453</v>
      </c>
    </row>
    <row r="1031" spans="1:15" ht="45" x14ac:dyDescent="0.2">
      <c r="A1031" s="2" t="s">
        <v>2605</v>
      </c>
      <c r="B1031" s="2" t="s">
        <v>2606</v>
      </c>
      <c r="C1031" s="2" t="s">
        <v>223</v>
      </c>
      <c r="D1031" s="2" t="s">
        <v>472</v>
      </c>
      <c r="E1031" s="4">
        <v>44.99</v>
      </c>
      <c r="F1031" s="4">
        <v>46.29</v>
      </c>
      <c r="G1031" s="3">
        <v>1</v>
      </c>
      <c r="H1031" s="6">
        <v>0</v>
      </c>
      <c r="I1031" s="3">
        <v>0</v>
      </c>
      <c r="J1031" s="13" t="str">
        <f>HYPERLINK("https://amazon.com/dp/B0DQYBYJ4F","Amazon - B0DQYBYJ4F")</f>
        <v>Amazon - B0DQYBYJ4F</v>
      </c>
      <c r="K1031" s="14" t="s">
        <v>443</v>
      </c>
      <c r="L1031" s="14" t="s">
        <v>456</v>
      </c>
      <c r="M1031" s="14" t="s">
        <v>303</v>
      </c>
      <c r="N1031" s="14" t="s">
        <v>452</v>
      </c>
      <c r="O1031" s="14" t="s">
        <v>543</v>
      </c>
    </row>
    <row r="1032" spans="1:15" ht="30" x14ac:dyDescent="0.2">
      <c r="A1032" s="2" t="s">
        <v>2607</v>
      </c>
      <c r="B1032" s="2" t="s">
        <v>2608</v>
      </c>
      <c r="C1032" s="2" t="s">
        <v>122</v>
      </c>
      <c r="D1032" s="2" t="s">
        <v>442</v>
      </c>
      <c r="E1032" s="4">
        <v>19.07</v>
      </c>
      <c r="F1032" s="4">
        <v>45.47</v>
      </c>
      <c r="G1032" s="3">
        <v>2</v>
      </c>
      <c r="H1032" s="6">
        <v>3</v>
      </c>
      <c r="I1032" s="3">
        <v>2</v>
      </c>
      <c r="J1032" s="13" t="str">
        <f>HYPERLINK("https://amazon.com/dp/B0CMY35BTX","Amazon - B0CMY35BTX")</f>
        <v>Amazon - B0CMY35BTX</v>
      </c>
      <c r="K1032" s="14" t="s">
        <v>443</v>
      </c>
      <c r="L1032" s="14" t="s">
        <v>1725</v>
      </c>
      <c r="M1032" s="14" t="s">
        <v>511</v>
      </c>
      <c r="N1032" s="14" t="s">
        <v>446</v>
      </c>
      <c r="O1032" s="14" t="s">
        <v>543</v>
      </c>
    </row>
    <row r="1033" spans="1:15" ht="45" x14ac:dyDescent="0.2">
      <c r="A1033" s="2" t="s">
        <v>2609</v>
      </c>
      <c r="B1033" s="2" t="s">
        <v>2610</v>
      </c>
      <c r="C1033" s="2" t="s">
        <v>266</v>
      </c>
      <c r="D1033" s="2" t="s">
        <v>442</v>
      </c>
      <c r="E1033" s="4">
        <v>40.99</v>
      </c>
      <c r="F1033" s="4">
        <v>45.43</v>
      </c>
      <c r="G1033" s="3">
        <v>1</v>
      </c>
      <c r="H1033" s="6">
        <v>4.4000000000000004</v>
      </c>
      <c r="I1033" s="3">
        <v>1554</v>
      </c>
      <c r="J1033" s="13" t="str">
        <f>HYPERLINK("https://amazon.com/dp/B0C7TXY5G8","Amazon - B0C7TXY5G8")</f>
        <v>Amazon - B0C7TXY5G8</v>
      </c>
      <c r="K1033" s="14" t="s">
        <v>443</v>
      </c>
      <c r="L1033" s="14" t="s">
        <v>461</v>
      </c>
      <c r="M1033" s="14" t="s">
        <v>303</v>
      </c>
      <c r="N1033" s="14" t="s">
        <v>446</v>
      </c>
      <c r="O1033" s="14" t="s">
        <v>453</v>
      </c>
    </row>
    <row r="1034" spans="1:15" ht="30" x14ac:dyDescent="0.2">
      <c r="A1034" s="2" t="s">
        <v>2611</v>
      </c>
      <c r="B1034" s="2" t="s">
        <v>2612</v>
      </c>
      <c r="C1034" s="2" t="s">
        <v>69</v>
      </c>
      <c r="D1034" s="2" t="s">
        <v>472</v>
      </c>
      <c r="E1034" s="4">
        <v>19.989999999999998</v>
      </c>
      <c r="F1034" s="4">
        <v>45.41</v>
      </c>
      <c r="G1034" s="3">
        <v>2</v>
      </c>
      <c r="H1034" s="6">
        <v>0</v>
      </c>
      <c r="I1034" s="3">
        <v>0</v>
      </c>
      <c r="J1034" s="13" t="str">
        <f>HYPERLINK("https://amazon.com/dp/B0F739ZGX4","Amazon - B0F739ZGX4")</f>
        <v>Amazon - B0F739ZGX4</v>
      </c>
      <c r="K1034" s="14" t="s">
        <v>443</v>
      </c>
      <c r="L1034" s="14" t="s">
        <v>303</v>
      </c>
      <c r="M1034" s="14" t="s">
        <v>503</v>
      </c>
      <c r="N1034" s="14" t="s">
        <v>446</v>
      </c>
      <c r="O1034" s="14" t="s">
        <v>303</v>
      </c>
    </row>
    <row r="1035" spans="1:15" ht="30" x14ac:dyDescent="0.2">
      <c r="A1035" s="2" t="s">
        <v>2613</v>
      </c>
      <c r="B1035" s="2" t="s">
        <v>2614</v>
      </c>
      <c r="C1035" s="2" t="s">
        <v>14</v>
      </c>
      <c r="D1035" s="2" t="s">
        <v>472</v>
      </c>
      <c r="E1035" s="4">
        <v>25.99</v>
      </c>
      <c r="F1035" s="4">
        <v>44.82</v>
      </c>
      <c r="G1035" s="3">
        <v>2</v>
      </c>
      <c r="H1035" s="6">
        <v>5</v>
      </c>
      <c r="I1035" s="3">
        <v>5</v>
      </c>
      <c r="J1035" s="13" t="str">
        <f>HYPERLINK("https://amazon.com/dp/B0B39DWD8J","Amazon - B0B39DWD8J")</f>
        <v>Amazon - B0B39DWD8J</v>
      </c>
      <c r="K1035" s="14" t="s">
        <v>443</v>
      </c>
      <c r="L1035" s="14" t="s">
        <v>502</v>
      </c>
      <c r="M1035" s="14" t="s">
        <v>303</v>
      </c>
      <c r="N1035" s="14" t="s">
        <v>446</v>
      </c>
      <c r="O1035" s="14" t="s">
        <v>303</v>
      </c>
    </row>
    <row r="1036" spans="1:15" ht="30" x14ac:dyDescent="0.2">
      <c r="A1036" s="2" t="s">
        <v>2615</v>
      </c>
      <c r="B1036" s="2" t="s">
        <v>2616</v>
      </c>
      <c r="C1036" s="2" t="s">
        <v>267</v>
      </c>
      <c r="D1036" s="2" t="s">
        <v>450</v>
      </c>
      <c r="E1036" s="4">
        <v>15.57</v>
      </c>
      <c r="F1036" s="4">
        <v>43.5</v>
      </c>
      <c r="G1036" s="3">
        <v>3</v>
      </c>
      <c r="H1036" s="6">
        <v>3.7</v>
      </c>
      <c r="I1036" s="3">
        <v>67</v>
      </c>
      <c r="J1036" s="13" t="str">
        <f>HYPERLINK("https://amazon.com/dp/B07VXJMNBJ","Amazon - B07VXJMNBJ")</f>
        <v>Amazon - B07VXJMNBJ</v>
      </c>
      <c r="K1036" s="14" t="s">
        <v>443</v>
      </c>
      <c r="L1036" s="14" t="s">
        <v>1725</v>
      </c>
      <c r="M1036" s="14" t="s">
        <v>462</v>
      </c>
      <c r="N1036" s="14" t="s">
        <v>446</v>
      </c>
      <c r="O1036" s="14" t="s">
        <v>453</v>
      </c>
    </row>
    <row r="1037" spans="1:15" ht="45" x14ac:dyDescent="0.2">
      <c r="A1037" s="2" t="s">
        <v>2617</v>
      </c>
      <c r="B1037" s="2" t="s">
        <v>2618</v>
      </c>
      <c r="C1037" s="2" t="s">
        <v>268</v>
      </c>
      <c r="D1037" s="2" t="s">
        <v>450</v>
      </c>
      <c r="E1037" s="4">
        <v>11.87</v>
      </c>
      <c r="F1037" s="4">
        <v>41.53</v>
      </c>
      <c r="G1037" s="3">
        <v>5</v>
      </c>
      <c r="H1037" s="6">
        <v>0</v>
      </c>
      <c r="I1037" s="3">
        <v>0</v>
      </c>
      <c r="J1037" s="13" t="str">
        <f>HYPERLINK("https://amazon.com/dp/B0CPD74BPR","Amazon - B0CPD74BPR")</f>
        <v>Amazon - B0CPD74BPR</v>
      </c>
      <c r="K1037" s="14" t="s">
        <v>443</v>
      </c>
      <c r="L1037" s="14" t="s">
        <v>303</v>
      </c>
      <c r="M1037" s="14" t="s">
        <v>303</v>
      </c>
      <c r="N1037" s="14" t="s">
        <v>446</v>
      </c>
      <c r="O1037" s="14" t="s">
        <v>578</v>
      </c>
    </row>
    <row r="1038" spans="1:15" ht="30" x14ac:dyDescent="0.2">
      <c r="A1038" s="2" t="s">
        <v>2619</v>
      </c>
      <c r="B1038" s="2" t="s">
        <v>2620</v>
      </c>
      <c r="C1038" s="2" t="s">
        <v>122</v>
      </c>
      <c r="D1038" s="2" t="s">
        <v>450</v>
      </c>
      <c r="E1038" s="4">
        <v>11.05</v>
      </c>
      <c r="F1038" s="4">
        <v>40.69</v>
      </c>
      <c r="G1038" s="3">
        <v>4</v>
      </c>
      <c r="H1038" s="6">
        <v>2.9</v>
      </c>
      <c r="I1038" s="3">
        <v>8</v>
      </c>
      <c r="J1038" s="13" t="str">
        <f>HYPERLINK("https://amazon.com/dp/B0BBQ62JRF","Amazon - B0BBQ62JRF")</f>
        <v>Amazon - B0BBQ62JRF</v>
      </c>
      <c r="K1038" s="14" t="s">
        <v>443</v>
      </c>
      <c r="L1038" s="14" t="s">
        <v>303</v>
      </c>
      <c r="M1038" s="14" t="s">
        <v>565</v>
      </c>
      <c r="N1038" s="14" t="s">
        <v>446</v>
      </c>
      <c r="O1038" s="14" t="s">
        <v>543</v>
      </c>
    </row>
    <row r="1039" spans="1:15" ht="45" x14ac:dyDescent="0.2">
      <c r="A1039" s="2" t="s">
        <v>2621</v>
      </c>
      <c r="B1039" s="2" t="s">
        <v>2622</v>
      </c>
      <c r="C1039" s="2" t="s">
        <v>54</v>
      </c>
      <c r="D1039" s="2" t="s">
        <v>450</v>
      </c>
      <c r="E1039" s="4">
        <v>14.99</v>
      </c>
      <c r="F1039" s="4">
        <v>40.65</v>
      </c>
      <c r="G1039" s="3">
        <v>3</v>
      </c>
      <c r="H1039" s="6">
        <v>0</v>
      </c>
      <c r="I1039" s="3">
        <v>0</v>
      </c>
      <c r="J1039" s="13" t="str">
        <f>HYPERLINK("https://amazon.com/dp/B0FXR5L4WM","Amazon - B0FXR5L4WM")</f>
        <v>Amazon - B0FXR5L4WM</v>
      </c>
      <c r="K1039" s="14" t="s">
        <v>443</v>
      </c>
      <c r="L1039" s="14" t="s">
        <v>451</v>
      </c>
      <c r="M1039" s="14" t="s">
        <v>303</v>
      </c>
      <c r="N1039" s="14" t="s">
        <v>446</v>
      </c>
      <c r="O1039" s="14" t="s">
        <v>2623</v>
      </c>
    </row>
    <row r="1040" spans="1:15" ht="45" x14ac:dyDescent="0.2">
      <c r="A1040" s="2" t="s">
        <v>2624</v>
      </c>
      <c r="B1040" s="2" t="s">
        <v>2625</v>
      </c>
      <c r="C1040" s="2" t="s">
        <v>269</v>
      </c>
      <c r="D1040" s="2" t="s">
        <v>442</v>
      </c>
      <c r="E1040" s="4">
        <v>29.99</v>
      </c>
      <c r="F1040" s="4">
        <v>40.33</v>
      </c>
      <c r="G1040" s="3">
        <v>1</v>
      </c>
      <c r="H1040" s="6">
        <v>4.4000000000000004</v>
      </c>
      <c r="I1040" s="3">
        <v>32</v>
      </c>
      <c r="J1040" s="13" t="str">
        <f>HYPERLINK("https://amazon.com/dp/B0DLGLR6JK","Amazon - B0DLGLR6JK")</f>
        <v>Amazon - B0DLGLR6JK</v>
      </c>
      <c r="K1040" s="14" t="s">
        <v>443</v>
      </c>
      <c r="L1040" s="14" t="s">
        <v>456</v>
      </c>
      <c r="M1040" s="14" t="s">
        <v>303</v>
      </c>
      <c r="N1040" s="14" t="s">
        <v>446</v>
      </c>
      <c r="O1040" s="14" t="s">
        <v>453</v>
      </c>
    </row>
    <row r="1041" spans="1:15" ht="45" x14ac:dyDescent="0.2">
      <c r="A1041" s="2" t="s">
        <v>2626</v>
      </c>
      <c r="B1041" s="2" t="s">
        <v>2627</v>
      </c>
      <c r="C1041" s="2" t="s">
        <v>223</v>
      </c>
      <c r="D1041" s="2" t="s">
        <v>450</v>
      </c>
      <c r="E1041" s="4">
        <v>17.989999999999998</v>
      </c>
      <c r="F1041" s="4">
        <v>40.07</v>
      </c>
      <c r="G1041" s="3">
        <v>2</v>
      </c>
      <c r="H1041" s="6">
        <v>3.6</v>
      </c>
      <c r="I1041" s="3">
        <v>33</v>
      </c>
      <c r="J1041" s="13" t="str">
        <f>HYPERLINK("https://amazon.com/dp/B0CRRKZ4BC","Amazon - B0CRRKZ4BC")</f>
        <v>Amazon - B0CRRKZ4BC</v>
      </c>
      <c r="K1041" s="14" t="s">
        <v>443</v>
      </c>
      <c r="L1041" s="14" t="s">
        <v>451</v>
      </c>
      <c r="M1041" s="14" t="s">
        <v>303</v>
      </c>
      <c r="N1041" s="14" t="s">
        <v>446</v>
      </c>
      <c r="O1041" s="14" t="s">
        <v>578</v>
      </c>
    </row>
    <row r="1042" spans="1:15" ht="30" x14ac:dyDescent="0.2">
      <c r="A1042" s="2" t="s">
        <v>2628</v>
      </c>
      <c r="B1042" s="2" t="s">
        <v>2629</v>
      </c>
      <c r="C1042" s="2" t="s">
        <v>224</v>
      </c>
      <c r="D1042" s="2" t="s">
        <v>442</v>
      </c>
      <c r="E1042" s="4">
        <v>24.68</v>
      </c>
      <c r="F1042" s="4">
        <v>39.44</v>
      </c>
      <c r="G1042" s="3">
        <v>2</v>
      </c>
      <c r="H1042" s="6">
        <v>4.5</v>
      </c>
      <c r="I1042" s="3">
        <v>103</v>
      </c>
      <c r="J1042" s="13" t="str">
        <f>HYPERLINK("https://amazon.com/dp/B073FFTKFR","Amazon - B073FFTKFR")</f>
        <v>Amazon - B073FFTKFR</v>
      </c>
      <c r="K1042" s="14" t="s">
        <v>443</v>
      </c>
      <c r="L1042" s="14" t="s">
        <v>303</v>
      </c>
      <c r="M1042" s="14" t="s">
        <v>303</v>
      </c>
      <c r="N1042" s="14" t="s">
        <v>446</v>
      </c>
      <c r="O1042" s="14" t="s">
        <v>303</v>
      </c>
    </row>
    <row r="1043" spans="1:15" ht="30" x14ac:dyDescent="0.2">
      <c r="A1043" s="2" t="s">
        <v>2630</v>
      </c>
      <c r="B1043" s="2" t="s">
        <v>2631</v>
      </c>
      <c r="C1043" s="2" t="s">
        <v>270</v>
      </c>
      <c r="D1043" s="2" t="s">
        <v>450</v>
      </c>
      <c r="E1043" s="4">
        <v>29.59</v>
      </c>
      <c r="F1043" s="4">
        <v>39.270000000000003</v>
      </c>
      <c r="G1043" s="3">
        <v>1</v>
      </c>
      <c r="H1043" s="6">
        <v>0</v>
      </c>
      <c r="I1043" s="3">
        <v>0</v>
      </c>
      <c r="J1043" s="13" t="str">
        <f>HYPERLINK("https://amazon.com/dp/B081R9QQMB","Amazon - B081R9QQMB")</f>
        <v>Amazon - B081R9QQMB</v>
      </c>
      <c r="K1043" s="14" t="s">
        <v>443</v>
      </c>
      <c r="L1043" s="14" t="s">
        <v>303</v>
      </c>
      <c r="M1043" s="14" t="s">
        <v>303</v>
      </c>
      <c r="N1043" s="14" t="s">
        <v>446</v>
      </c>
      <c r="O1043" s="14" t="s">
        <v>303</v>
      </c>
    </row>
    <row r="1044" spans="1:15" ht="45" x14ac:dyDescent="0.2">
      <c r="A1044" s="2" t="s">
        <v>2632</v>
      </c>
      <c r="B1044" s="2" t="s">
        <v>2633</v>
      </c>
      <c r="C1044" s="2" t="s">
        <v>229</v>
      </c>
      <c r="D1044" s="2" t="s">
        <v>450</v>
      </c>
      <c r="E1044" s="4">
        <v>6.71</v>
      </c>
      <c r="F1044" s="4">
        <v>38.92</v>
      </c>
      <c r="G1044" s="3">
        <v>6</v>
      </c>
      <c r="H1044" s="6">
        <v>2.2000000000000002</v>
      </c>
      <c r="I1044" s="3">
        <v>4</v>
      </c>
      <c r="J1044" s="13" t="str">
        <f>HYPERLINK("https://amazon.com/dp/B0G356J23V","Amazon - B0G356J23V")</f>
        <v>Amazon - B0G356J23V</v>
      </c>
      <c r="K1044" s="14" t="s">
        <v>443</v>
      </c>
      <c r="L1044" s="14" t="s">
        <v>1725</v>
      </c>
      <c r="M1044" s="14" t="s">
        <v>303</v>
      </c>
      <c r="N1044" s="14" t="s">
        <v>446</v>
      </c>
      <c r="O1044" s="14" t="s">
        <v>543</v>
      </c>
    </row>
    <row r="1045" spans="1:15" ht="30" x14ac:dyDescent="0.2">
      <c r="A1045" s="2" t="s">
        <v>2634</v>
      </c>
      <c r="B1045" s="2" t="s">
        <v>2635</v>
      </c>
      <c r="C1045" s="2" t="s">
        <v>122</v>
      </c>
      <c r="D1045" s="2" t="s">
        <v>450</v>
      </c>
      <c r="E1045" s="4">
        <v>19.59</v>
      </c>
      <c r="F1045" s="4">
        <v>38.630000000000003</v>
      </c>
      <c r="G1045" s="3">
        <v>2</v>
      </c>
      <c r="H1045" s="6">
        <v>3.8</v>
      </c>
      <c r="I1045" s="3">
        <v>2</v>
      </c>
      <c r="J1045" s="13" t="str">
        <f>HYPERLINK("https://amazon.com/dp/B07Z93MGXQ","Amazon - B07Z93MGXQ")</f>
        <v>Amazon - B07Z93MGXQ</v>
      </c>
      <c r="K1045" s="14" t="s">
        <v>443</v>
      </c>
      <c r="L1045" s="14" t="s">
        <v>1725</v>
      </c>
      <c r="M1045" s="14" t="s">
        <v>511</v>
      </c>
      <c r="N1045" s="14" t="s">
        <v>446</v>
      </c>
      <c r="O1045" s="14" t="s">
        <v>303</v>
      </c>
    </row>
    <row r="1046" spans="1:15" ht="45" x14ac:dyDescent="0.2">
      <c r="A1046" s="2" t="s">
        <v>2636</v>
      </c>
      <c r="B1046" s="2" t="s">
        <v>2637</v>
      </c>
      <c r="C1046" s="2" t="s">
        <v>122</v>
      </c>
      <c r="D1046" s="2" t="s">
        <v>823</v>
      </c>
      <c r="E1046" s="4">
        <v>40.72</v>
      </c>
      <c r="F1046" s="4">
        <v>37.92</v>
      </c>
      <c r="G1046" s="3">
        <v>1</v>
      </c>
      <c r="H1046" s="6">
        <v>3</v>
      </c>
      <c r="I1046" s="3">
        <v>2</v>
      </c>
      <c r="J1046" s="13" t="str">
        <f>HYPERLINK("https://amazon.com/dp/B0CX9JJ17F","Amazon - B0CX9JJ17F")</f>
        <v>Amazon - B0CX9JJ17F</v>
      </c>
      <c r="K1046" s="14" t="s">
        <v>443</v>
      </c>
      <c r="L1046" s="14" t="s">
        <v>451</v>
      </c>
      <c r="M1046" s="14" t="s">
        <v>303</v>
      </c>
      <c r="N1046" s="14" t="s">
        <v>446</v>
      </c>
      <c r="O1046" s="14" t="s">
        <v>303</v>
      </c>
    </row>
    <row r="1047" spans="1:15" x14ac:dyDescent="0.2">
      <c r="A1047" s="2" t="s">
        <v>2638</v>
      </c>
      <c r="B1047" s="2" t="s">
        <v>2639</v>
      </c>
      <c r="C1047" s="2" t="s">
        <v>14</v>
      </c>
      <c r="D1047" s="2" t="s">
        <v>472</v>
      </c>
      <c r="E1047" s="4">
        <v>59.99</v>
      </c>
      <c r="F1047" s="4">
        <v>37.57</v>
      </c>
      <c r="G1047" s="3">
        <v>1</v>
      </c>
      <c r="H1047" s="6">
        <v>0</v>
      </c>
      <c r="I1047" s="3">
        <v>0</v>
      </c>
      <c r="J1047" s="13" t="str">
        <f>HYPERLINK("https://amazon.com/dp/B0DWMLN6VW","Amazon - B0DWMLN6VW")</f>
        <v>Amazon - B0DWMLN6VW</v>
      </c>
      <c r="K1047" s="14" t="s">
        <v>443</v>
      </c>
      <c r="L1047" s="14" t="s">
        <v>303</v>
      </c>
      <c r="M1047" s="14" t="s">
        <v>303</v>
      </c>
      <c r="N1047" s="14" t="s">
        <v>446</v>
      </c>
      <c r="O1047" s="14" t="s">
        <v>303</v>
      </c>
    </row>
    <row r="1048" spans="1:15" ht="45" x14ac:dyDescent="0.2">
      <c r="A1048" s="2" t="s">
        <v>2640</v>
      </c>
      <c r="B1048" s="2" t="s">
        <v>2641</v>
      </c>
      <c r="C1048" s="2" t="s">
        <v>234</v>
      </c>
      <c r="D1048" s="2" t="s">
        <v>450</v>
      </c>
      <c r="E1048" s="4">
        <v>37.07</v>
      </c>
      <c r="F1048" s="4">
        <v>36.520000000000003</v>
      </c>
      <c r="G1048" s="3">
        <v>1</v>
      </c>
      <c r="H1048" s="6">
        <v>0</v>
      </c>
      <c r="I1048" s="3">
        <v>0</v>
      </c>
      <c r="J1048" s="13" t="str">
        <f>HYPERLINK("https://amazon.com/dp/B0D9VQNH8H","Amazon - B0D9VQNH8H")</f>
        <v>Amazon - B0D9VQNH8H</v>
      </c>
      <c r="K1048" s="14" t="s">
        <v>443</v>
      </c>
      <c r="L1048" s="14" t="s">
        <v>451</v>
      </c>
      <c r="M1048" s="14" t="s">
        <v>511</v>
      </c>
      <c r="N1048" s="14" t="s">
        <v>446</v>
      </c>
      <c r="O1048" s="14" t="s">
        <v>303</v>
      </c>
    </row>
    <row r="1049" spans="1:15" ht="30" x14ac:dyDescent="0.2">
      <c r="A1049" s="2" t="s">
        <v>2642</v>
      </c>
      <c r="B1049" s="2" t="s">
        <v>2643</v>
      </c>
      <c r="C1049" s="2" t="s">
        <v>248</v>
      </c>
      <c r="D1049" s="2" t="s">
        <v>450</v>
      </c>
      <c r="E1049" s="4">
        <v>28.49</v>
      </c>
      <c r="F1049" s="4">
        <v>36</v>
      </c>
      <c r="G1049" s="3">
        <v>1</v>
      </c>
      <c r="H1049" s="6">
        <v>3.6</v>
      </c>
      <c r="I1049" s="3">
        <v>14</v>
      </c>
      <c r="J1049" s="13" t="str">
        <f>HYPERLINK("https://amazon.com/dp/B08NF2L7QM","Amazon - B08NF2L7QM")</f>
        <v>Amazon - B08NF2L7QM</v>
      </c>
      <c r="K1049" s="14" t="s">
        <v>443</v>
      </c>
      <c r="L1049" s="14" t="s">
        <v>1725</v>
      </c>
      <c r="M1049" s="14" t="s">
        <v>511</v>
      </c>
      <c r="N1049" s="14" t="s">
        <v>446</v>
      </c>
      <c r="O1049" s="14" t="s">
        <v>453</v>
      </c>
    </row>
    <row r="1050" spans="1:15" ht="45" x14ac:dyDescent="0.2">
      <c r="A1050" s="2" t="s">
        <v>2644</v>
      </c>
      <c r="B1050" s="2" t="s">
        <v>2645</v>
      </c>
      <c r="C1050" s="2" t="s">
        <v>229</v>
      </c>
      <c r="D1050" s="2" t="s">
        <v>450</v>
      </c>
      <c r="E1050" s="4">
        <v>7.56</v>
      </c>
      <c r="F1050" s="4">
        <v>35.53</v>
      </c>
      <c r="G1050" s="3">
        <v>5</v>
      </c>
      <c r="H1050" s="6">
        <v>2.2000000000000002</v>
      </c>
      <c r="I1050" s="3">
        <v>4</v>
      </c>
      <c r="J1050" s="13" t="str">
        <f>HYPERLINK("https://amazon.com/dp/B0G357B1VN","Amazon - B0G357B1VN")</f>
        <v>Amazon - B0G357B1VN</v>
      </c>
      <c r="K1050" s="14" t="s">
        <v>443</v>
      </c>
      <c r="L1050" s="14" t="s">
        <v>1725</v>
      </c>
      <c r="M1050" s="14" t="s">
        <v>303</v>
      </c>
      <c r="N1050" s="14" t="s">
        <v>446</v>
      </c>
      <c r="O1050" s="14" t="s">
        <v>578</v>
      </c>
    </row>
    <row r="1051" spans="1:15" ht="45" x14ac:dyDescent="0.2">
      <c r="A1051" s="2" t="s">
        <v>2646</v>
      </c>
      <c r="B1051" s="2" t="s">
        <v>2647</v>
      </c>
      <c r="C1051" s="2" t="s">
        <v>223</v>
      </c>
      <c r="D1051" s="2" t="s">
        <v>472</v>
      </c>
      <c r="E1051" s="4">
        <v>46.98</v>
      </c>
      <c r="F1051" s="4">
        <v>35.04</v>
      </c>
      <c r="G1051" s="3">
        <v>1</v>
      </c>
      <c r="H1051" s="6">
        <v>4.5999999999999996</v>
      </c>
      <c r="I1051" s="3">
        <v>16</v>
      </c>
      <c r="J1051" s="13" t="str">
        <f>HYPERLINK("https://amazon.com/dp/B0DQYBZDX5","Amazon - B0DQYBZDX5")</f>
        <v>Amazon - B0DQYBZDX5</v>
      </c>
      <c r="K1051" s="14" t="s">
        <v>443</v>
      </c>
      <c r="L1051" s="14" t="s">
        <v>456</v>
      </c>
      <c r="M1051" s="14" t="s">
        <v>445</v>
      </c>
      <c r="N1051" s="14" t="s">
        <v>452</v>
      </c>
      <c r="O1051" s="14" t="s">
        <v>453</v>
      </c>
    </row>
    <row r="1052" spans="1:15" ht="45" x14ac:dyDescent="0.2">
      <c r="A1052" s="2" t="s">
        <v>2648</v>
      </c>
      <c r="B1052" s="2" t="s">
        <v>2649</v>
      </c>
      <c r="C1052" s="2" t="s">
        <v>262</v>
      </c>
      <c r="D1052" s="2" t="s">
        <v>450</v>
      </c>
      <c r="E1052" s="4">
        <v>15.99</v>
      </c>
      <c r="F1052" s="4">
        <v>34.92</v>
      </c>
      <c r="G1052" s="3">
        <v>2</v>
      </c>
      <c r="H1052" s="6">
        <v>5</v>
      </c>
      <c r="I1052" s="3">
        <v>1</v>
      </c>
      <c r="J1052" s="13" t="str">
        <f>HYPERLINK("https://amazon.com/dp/B0BYX25G5L","Amazon - B0BYX25G5L")</f>
        <v>Amazon - B0BYX25G5L</v>
      </c>
      <c r="K1052" s="14" t="s">
        <v>443</v>
      </c>
      <c r="L1052" s="14" t="s">
        <v>451</v>
      </c>
      <c r="M1052" s="14" t="s">
        <v>462</v>
      </c>
      <c r="N1052" s="14" t="s">
        <v>446</v>
      </c>
      <c r="O1052" s="14" t="s">
        <v>578</v>
      </c>
    </row>
    <row r="1053" spans="1:15" ht="45" x14ac:dyDescent="0.2">
      <c r="A1053" s="2" t="s">
        <v>2650</v>
      </c>
      <c r="B1053" s="2" t="s">
        <v>2651</v>
      </c>
      <c r="C1053" s="2" t="s">
        <v>272</v>
      </c>
      <c r="D1053" s="2" t="s">
        <v>450</v>
      </c>
      <c r="E1053" s="4">
        <v>16.32</v>
      </c>
      <c r="F1053" s="4">
        <v>34.880000000000003</v>
      </c>
      <c r="G1053" s="3">
        <v>2</v>
      </c>
      <c r="H1053" s="6">
        <v>0</v>
      </c>
      <c r="I1053" s="3">
        <v>0</v>
      </c>
      <c r="J1053" s="13" t="str">
        <f>HYPERLINK("https://amazon.com/dp/B0DF5G8PYJ","Amazon - B0DF5G8PYJ")</f>
        <v>Amazon - B0DF5G8PYJ</v>
      </c>
      <c r="K1053" s="14" t="s">
        <v>443</v>
      </c>
      <c r="L1053" s="14" t="s">
        <v>1725</v>
      </c>
      <c r="M1053" s="14" t="s">
        <v>303</v>
      </c>
      <c r="N1053" s="14" t="s">
        <v>446</v>
      </c>
      <c r="O1053" s="14" t="s">
        <v>447</v>
      </c>
    </row>
    <row r="1054" spans="1:15" ht="30" x14ac:dyDescent="0.2">
      <c r="A1054" s="2" t="s">
        <v>2652</v>
      </c>
      <c r="B1054" s="2" t="s">
        <v>2653</v>
      </c>
      <c r="C1054" s="2" t="s">
        <v>273</v>
      </c>
      <c r="D1054" s="2" t="s">
        <v>442</v>
      </c>
      <c r="E1054" s="4">
        <v>33.33</v>
      </c>
      <c r="F1054" s="4">
        <v>34.340000000000003</v>
      </c>
      <c r="G1054" s="3">
        <v>1</v>
      </c>
      <c r="H1054" s="6">
        <v>3.5</v>
      </c>
      <c r="I1054" s="3">
        <v>3</v>
      </c>
      <c r="J1054" s="13" t="str">
        <f>HYPERLINK("https://amazon.com/dp/B096K242BL","Amazon - B096K242BL")</f>
        <v>Amazon - B096K242BL</v>
      </c>
      <c r="K1054" s="14" t="s">
        <v>443</v>
      </c>
      <c r="L1054" s="14" t="s">
        <v>303</v>
      </c>
      <c r="M1054" s="14" t="s">
        <v>303</v>
      </c>
      <c r="N1054" s="14" t="s">
        <v>446</v>
      </c>
      <c r="O1054" s="14" t="s">
        <v>946</v>
      </c>
    </row>
    <row r="1055" spans="1:15" ht="45" x14ac:dyDescent="0.2">
      <c r="A1055" s="2" t="s">
        <v>2654</v>
      </c>
      <c r="B1055" s="2" t="s">
        <v>2655</v>
      </c>
      <c r="C1055" s="2" t="s">
        <v>236</v>
      </c>
      <c r="D1055" s="2" t="s">
        <v>450</v>
      </c>
      <c r="E1055" s="4">
        <v>13.99</v>
      </c>
      <c r="F1055" s="4">
        <v>34.21</v>
      </c>
      <c r="G1055" s="3">
        <v>2</v>
      </c>
      <c r="H1055" s="6">
        <v>3.9</v>
      </c>
      <c r="I1055" s="3">
        <v>66</v>
      </c>
      <c r="J1055" s="13" t="str">
        <f>HYPERLINK("https://amazon.com/dp/B0CXCW4FDC","Amazon - B0CXCW4FDC")</f>
        <v>Amazon - B0CXCW4FDC</v>
      </c>
      <c r="K1055" s="14" t="s">
        <v>443</v>
      </c>
      <c r="L1055" s="14" t="s">
        <v>451</v>
      </c>
      <c r="M1055" s="14" t="s">
        <v>445</v>
      </c>
      <c r="N1055" s="14" t="s">
        <v>446</v>
      </c>
      <c r="O1055" s="14" t="s">
        <v>303</v>
      </c>
    </row>
    <row r="1056" spans="1:15" ht="45" x14ac:dyDescent="0.2">
      <c r="A1056" s="2" t="s">
        <v>2656</v>
      </c>
      <c r="B1056" s="2" t="s">
        <v>2657</v>
      </c>
      <c r="C1056" s="2" t="s">
        <v>146</v>
      </c>
      <c r="D1056" s="2" t="s">
        <v>450</v>
      </c>
      <c r="E1056" s="4">
        <v>22.95</v>
      </c>
      <c r="F1056" s="4">
        <v>33.79</v>
      </c>
      <c r="G1056" s="3">
        <v>1</v>
      </c>
      <c r="H1056" s="6">
        <v>3.6</v>
      </c>
      <c r="I1056" s="3">
        <v>15</v>
      </c>
      <c r="J1056" s="13" t="str">
        <f>HYPERLINK("https://amazon.com/dp/B0D2VSZZXD","Amazon - B0D2VSZZXD")</f>
        <v>Amazon - B0D2VSZZXD</v>
      </c>
      <c r="K1056" s="14" t="s">
        <v>443</v>
      </c>
      <c r="L1056" s="14" t="s">
        <v>451</v>
      </c>
      <c r="M1056" s="14" t="s">
        <v>303</v>
      </c>
      <c r="N1056" s="14" t="s">
        <v>446</v>
      </c>
      <c r="O1056" s="14" t="s">
        <v>629</v>
      </c>
    </row>
    <row r="1057" spans="1:15" ht="30" x14ac:dyDescent="0.2">
      <c r="A1057" s="2" t="s">
        <v>2658</v>
      </c>
      <c r="B1057" s="2" t="s">
        <v>2659</v>
      </c>
      <c r="C1057" s="2" t="s">
        <v>242</v>
      </c>
      <c r="D1057" s="2" t="s">
        <v>450</v>
      </c>
      <c r="E1057" s="4">
        <v>22.39</v>
      </c>
      <c r="F1057" s="4">
        <v>33.74</v>
      </c>
      <c r="G1057" s="3">
        <v>2</v>
      </c>
      <c r="H1057" s="6">
        <v>4.5</v>
      </c>
      <c r="I1057" s="3">
        <v>2</v>
      </c>
      <c r="J1057" s="13" t="str">
        <f>HYPERLINK("https://amazon.com/dp/B0DRYWKBNR","Amazon - B0DRYWKBNR")</f>
        <v>Amazon - B0DRYWKBNR</v>
      </c>
      <c r="K1057" s="14" t="s">
        <v>443</v>
      </c>
      <c r="L1057" s="14" t="s">
        <v>1725</v>
      </c>
      <c r="M1057" s="14" t="s">
        <v>511</v>
      </c>
      <c r="N1057" s="14" t="s">
        <v>446</v>
      </c>
      <c r="O1057" s="14" t="s">
        <v>543</v>
      </c>
    </row>
    <row r="1058" spans="1:15" ht="30" x14ac:dyDescent="0.2">
      <c r="A1058" s="2" t="s">
        <v>2660</v>
      </c>
      <c r="B1058" s="2" t="s">
        <v>2661</v>
      </c>
      <c r="C1058" s="2" t="s">
        <v>255</v>
      </c>
      <c r="D1058" s="2" t="s">
        <v>442</v>
      </c>
      <c r="E1058" s="4">
        <v>16.989999999999998</v>
      </c>
      <c r="F1058" s="4">
        <v>33.72</v>
      </c>
      <c r="G1058" s="3">
        <v>2</v>
      </c>
      <c r="H1058" s="6">
        <v>0</v>
      </c>
      <c r="I1058" s="3">
        <v>0</v>
      </c>
      <c r="J1058" s="13" t="str">
        <f>HYPERLINK("https://amazon.com/dp/B0DGPWCCYB","Amazon - B0DGPWCCYB")</f>
        <v>Amazon - B0DGPWCCYB</v>
      </c>
      <c r="K1058" s="14" t="s">
        <v>443</v>
      </c>
      <c r="L1058" s="14" t="s">
        <v>303</v>
      </c>
      <c r="M1058" s="14" t="s">
        <v>303</v>
      </c>
      <c r="N1058" s="14" t="s">
        <v>446</v>
      </c>
      <c r="O1058" s="14" t="s">
        <v>303</v>
      </c>
    </row>
    <row r="1059" spans="1:15" ht="30" x14ac:dyDescent="0.2">
      <c r="A1059" s="2" t="s">
        <v>2662</v>
      </c>
      <c r="B1059" s="2" t="s">
        <v>2663</v>
      </c>
      <c r="C1059" s="2" t="s">
        <v>274</v>
      </c>
      <c r="D1059" s="2" t="s">
        <v>442</v>
      </c>
      <c r="E1059" s="4">
        <v>31.95</v>
      </c>
      <c r="F1059" s="4">
        <v>33.67</v>
      </c>
      <c r="G1059" s="3">
        <v>1</v>
      </c>
      <c r="H1059" s="6">
        <v>0</v>
      </c>
      <c r="I1059" s="3">
        <v>0</v>
      </c>
      <c r="J1059" s="13" t="str">
        <f>HYPERLINK("https://amazon.com/dp/B0DRQHQ48D","Amazon - B0DRQHQ48D")</f>
        <v>Amazon - B0DRQHQ48D</v>
      </c>
      <c r="K1059" s="14" t="s">
        <v>443</v>
      </c>
      <c r="L1059" s="14" t="s">
        <v>461</v>
      </c>
      <c r="M1059" s="14" t="s">
        <v>303</v>
      </c>
      <c r="N1059" s="14" t="s">
        <v>446</v>
      </c>
      <c r="O1059" s="14" t="s">
        <v>303</v>
      </c>
    </row>
    <row r="1060" spans="1:15" ht="30" x14ac:dyDescent="0.2">
      <c r="A1060" s="2" t="s">
        <v>2664</v>
      </c>
      <c r="B1060" s="2" t="s">
        <v>2665</v>
      </c>
      <c r="C1060" s="2" t="s">
        <v>122</v>
      </c>
      <c r="D1060" s="2" t="s">
        <v>450</v>
      </c>
      <c r="E1060" s="4">
        <v>22</v>
      </c>
      <c r="F1060" s="4">
        <v>33.090000000000003</v>
      </c>
      <c r="G1060" s="3">
        <v>1</v>
      </c>
      <c r="H1060" s="6">
        <v>3.6</v>
      </c>
      <c r="I1060" s="3">
        <v>5</v>
      </c>
      <c r="J1060" s="13" t="str">
        <f>HYPERLINK("https://amazon.com/dp/B0BWVCMWT4","Amazon - B0BWVCMWT4")</f>
        <v>Amazon - B0BWVCMWT4</v>
      </c>
      <c r="K1060" s="14" t="s">
        <v>443</v>
      </c>
      <c r="L1060" s="14" t="s">
        <v>1725</v>
      </c>
      <c r="M1060" s="14" t="s">
        <v>511</v>
      </c>
      <c r="N1060" s="14" t="s">
        <v>446</v>
      </c>
      <c r="O1060" s="14" t="s">
        <v>745</v>
      </c>
    </row>
    <row r="1061" spans="1:15" ht="30" x14ac:dyDescent="0.2">
      <c r="A1061" s="2" t="s">
        <v>2666</v>
      </c>
      <c r="B1061" s="2" t="s">
        <v>2667</v>
      </c>
      <c r="C1061" s="2" t="s">
        <v>211</v>
      </c>
      <c r="D1061" s="2" t="s">
        <v>472</v>
      </c>
      <c r="E1061" s="4">
        <v>40.17</v>
      </c>
      <c r="F1061" s="4">
        <v>31.33</v>
      </c>
      <c r="G1061" s="3">
        <v>1</v>
      </c>
      <c r="H1061" s="6">
        <v>0</v>
      </c>
      <c r="I1061" s="3">
        <v>0</v>
      </c>
      <c r="J1061" s="13" t="str">
        <f>HYPERLINK("https://amazon.com/dp/B0FN5ZJD5Z","Amazon - B0FN5ZJD5Z")</f>
        <v>Amazon - B0FN5ZJD5Z</v>
      </c>
      <c r="K1061" s="14" t="s">
        <v>443</v>
      </c>
      <c r="L1061" s="14" t="s">
        <v>456</v>
      </c>
      <c r="M1061" s="14" t="s">
        <v>445</v>
      </c>
      <c r="N1061" s="14" t="s">
        <v>452</v>
      </c>
      <c r="O1061" s="14" t="s">
        <v>453</v>
      </c>
    </row>
    <row r="1062" spans="1:15" ht="30" x14ac:dyDescent="0.2">
      <c r="A1062" s="2" t="s">
        <v>2668</v>
      </c>
      <c r="B1062" s="2" t="s">
        <v>2669</v>
      </c>
      <c r="C1062" s="2" t="s">
        <v>248</v>
      </c>
      <c r="D1062" s="2" t="s">
        <v>472</v>
      </c>
      <c r="E1062" s="4">
        <v>12.09</v>
      </c>
      <c r="F1062" s="4">
        <v>31.32</v>
      </c>
      <c r="G1062" s="3">
        <v>3</v>
      </c>
      <c r="H1062" s="6">
        <v>2.9</v>
      </c>
      <c r="I1062" s="3">
        <v>3</v>
      </c>
      <c r="J1062" s="13" t="str">
        <f>HYPERLINK("https://amazon.com/dp/B08P4D75VT","Amazon - B08P4D75VT")</f>
        <v>Amazon - B08P4D75VT</v>
      </c>
      <c r="K1062" s="14" t="s">
        <v>443</v>
      </c>
      <c r="L1062" s="14" t="s">
        <v>1725</v>
      </c>
      <c r="M1062" s="14" t="s">
        <v>462</v>
      </c>
      <c r="N1062" s="14" t="s">
        <v>446</v>
      </c>
      <c r="O1062" s="14" t="s">
        <v>453</v>
      </c>
    </row>
    <row r="1063" spans="1:15" ht="30" x14ac:dyDescent="0.2">
      <c r="A1063" s="2" t="s">
        <v>2670</v>
      </c>
      <c r="B1063" s="2" t="s">
        <v>2671</v>
      </c>
      <c r="C1063" s="2" t="s">
        <v>275</v>
      </c>
      <c r="D1063" s="2" t="s">
        <v>442</v>
      </c>
      <c r="E1063" s="4">
        <v>27.39</v>
      </c>
      <c r="F1063" s="4">
        <v>29.78</v>
      </c>
      <c r="G1063" s="3">
        <v>1</v>
      </c>
      <c r="H1063" s="6">
        <v>3.8</v>
      </c>
      <c r="I1063" s="3">
        <v>3</v>
      </c>
      <c r="J1063" s="13" t="str">
        <f>HYPERLINK("https://amazon.com/dp/B0DDXLLQD4","Amazon - B0DDXLLQD4")</f>
        <v>Amazon - B0DDXLLQD4</v>
      </c>
      <c r="K1063" s="14" t="s">
        <v>443</v>
      </c>
      <c r="L1063" s="14" t="s">
        <v>461</v>
      </c>
      <c r="M1063" s="14" t="s">
        <v>303</v>
      </c>
      <c r="N1063" s="14" t="s">
        <v>446</v>
      </c>
      <c r="O1063" s="14" t="s">
        <v>453</v>
      </c>
    </row>
    <row r="1064" spans="1:15" ht="30" x14ac:dyDescent="0.2">
      <c r="A1064" s="2" t="s">
        <v>2672</v>
      </c>
      <c r="B1064" s="2" t="s">
        <v>2673</v>
      </c>
      <c r="C1064" s="2" t="s">
        <v>249</v>
      </c>
      <c r="D1064" s="2" t="s">
        <v>472</v>
      </c>
      <c r="E1064" s="4">
        <v>33.04</v>
      </c>
      <c r="F1064" s="4">
        <v>29.4</v>
      </c>
      <c r="G1064" s="3">
        <v>1</v>
      </c>
      <c r="H1064" s="6">
        <v>5</v>
      </c>
      <c r="I1064" s="3">
        <v>1</v>
      </c>
      <c r="J1064" s="13" t="str">
        <f>HYPERLINK("https://amazon.com/dp/B0CW3JFFQP","Amazon - B0CW3JFFQP")</f>
        <v>Amazon - B0CW3JFFQP</v>
      </c>
      <c r="K1064" s="14" t="s">
        <v>443</v>
      </c>
      <c r="L1064" s="14" t="s">
        <v>530</v>
      </c>
      <c r="M1064" s="14" t="s">
        <v>303</v>
      </c>
      <c r="N1064" s="14" t="s">
        <v>446</v>
      </c>
      <c r="O1064" s="14" t="s">
        <v>453</v>
      </c>
    </row>
    <row r="1065" spans="1:15" ht="45" x14ac:dyDescent="0.2">
      <c r="A1065" s="2" t="s">
        <v>2674</v>
      </c>
      <c r="B1065" s="2" t="s">
        <v>2675</v>
      </c>
      <c r="C1065" s="2" t="s">
        <v>242</v>
      </c>
      <c r="D1065" s="2" t="s">
        <v>450</v>
      </c>
      <c r="E1065" s="4">
        <v>40.99</v>
      </c>
      <c r="F1065" s="4">
        <v>29.31</v>
      </c>
      <c r="G1065" s="3">
        <v>1</v>
      </c>
      <c r="H1065" s="6">
        <v>4.5</v>
      </c>
      <c r="I1065" s="3">
        <v>2</v>
      </c>
      <c r="J1065" s="13" t="str">
        <f>HYPERLINK("https://amazon.com/dp/B0FKMN1RH3","Amazon - B0FKMN1RH3")</f>
        <v>Amazon - B0FKMN1RH3</v>
      </c>
      <c r="K1065" s="14" t="s">
        <v>443</v>
      </c>
      <c r="L1065" s="14" t="s">
        <v>1725</v>
      </c>
      <c r="M1065" s="14" t="s">
        <v>511</v>
      </c>
      <c r="N1065" s="14" t="s">
        <v>446</v>
      </c>
      <c r="O1065" s="14" t="s">
        <v>543</v>
      </c>
    </row>
    <row r="1066" spans="1:15" ht="30" x14ac:dyDescent="0.2">
      <c r="A1066" s="2" t="s">
        <v>2676</v>
      </c>
      <c r="B1066" s="2" t="s">
        <v>2677</v>
      </c>
      <c r="C1066" s="2" t="s">
        <v>276</v>
      </c>
      <c r="D1066" s="2" t="s">
        <v>472</v>
      </c>
      <c r="E1066" s="4">
        <v>21.23</v>
      </c>
      <c r="F1066" s="4">
        <v>28.44</v>
      </c>
      <c r="G1066" s="3">
        <v>1</v>
      </c>
      <c r="H1066" s="6">
        <v>5</v>
      </c>
      <c r="I1066" s="3">
        <v>1</v>
      </c>
      <c r="J1066" s="13" t="str">
        <f>HYPERLINK("https://amazon.com/dp/B0D1YFN2L9","Amazon - B0D1YFN2L9")</f>
        <v>Amazon - B0D1YFN2L9</v>
      </c>
      <c r="K1066" s="14" t="s">
        <v>443</v>
      </c>
      <c r="L1066" s="14" t="s">
        <v>1299</v>
      </c>
      <c r="M1066" s="14" t="s">
        <v>503</v>
      </c>
      <c r="N1066" s="14" t="s">
        <v>446</v>
      </c>
      <c r="O1066" s="14" t="s">
        <v>303</v>
      </c>
    </row>
    <row r="1067" spans="1:15" ht="30" x14ac:dyDescent="0.2">
      <c r="A1067" s="2" t="s">
        <v>2678</v>
      </c>
      <c r="B1067" s="2" t="s">
        <v>2679</v>
      </c>
      <c r="C1067" s="2" t="s">
        <v>178</v>
      </c>
      <c r="D1067" s="2" t="s">
        <v>442</v>
      </c>
      <c r="E1067" s="4">
        <v>10.41</v>
      </c>
      <c r="F1067" s="4">
        <v>28.09</v>
      </c>
      <c r="G1067" s="3">
        <v>2</v>
      </c>
      <c r="H1067" s="6">
        <v>4.5</v>
      </c>
      <c r="I1067" s="3">
        <v>17</v>
      </c>
      <c r="J1067" s="13" t="str">
        <f>HYPERLINK("https://amazon.com/dp/B003YHA006","Amazon - B003YHA006")</f>
        <v>Amazon - B003YHA006</v>
      </c>
      <c r="K1067" s="14" t="s">
        <v>443</v>
      </c>
      <c r="L1067" s="14" t="s">
        <v>303</v>
      </c>
      <c r="M1067" s="14" t="s">
        <v>303</v>
      </c>
      <c r="N1067" s="14" t="s">
        <v>446</v>
      </c>
      <c r="O1067" s="14" t="s">
        <v>303</v>
      </c>
    </row>
    <row r="1068" spans="1:15" ht="45" x14ac:dyDescent="0.2">
      <c r="A1068" s="2" t="s">
        <v>2680</v>
      </c>
      <c r="B1068" s="2" t="s">
        <v>2681</v>
      </c>
      <c r="C1068" s="2" t="s">
        <v>277</v>
      </c>
      <c r="D1068" s="2" t="s">
        <v>472</v>
      </c>
      <c r="E1068" s="4">
        <v>48.77</v>
      </c>
      <c r="F1068" s="4">
        <v>28.08</v>
      </c>
      <c r="G1068" s="3">
        <v>1</v>
      </c>
      <c r="H1068" s="6">
        <v>4.3</v>
      </c>
      <c r="I1068" s="3">
        <v>26</v>
      </c>
      <c r="J1068" s="13" t="str">
        <f>HYPERLINK("https://amazon.com/dp/B0DSKVN1Z9","Amazon - B0DSKVN1Z9")</f>
        <v>Amazon - B0DSKVN1Z9</v>
      </c>
      <c r="K1068" s="14" t="s">
        <v>443</v>
      </c>
      <c r="L1068" s="14" t="s">
        <v>461</v>
      </c>
      <c r="M1068" s="14" t="s">
        <v>445</v>
      </c>
      <c r="N1068" s="14" t="s">
        <v>452</v>
      </c>
      <c r="O1068" s="14" t="s">
        <v>608</v>
      </c>
    </row>
    <row r="1069" spans="1:15" ht="30" x14ac:dyDescent="0.2">
      <c r="A1069" s="2" t="s">
        <v>2682</v>
      </c>
      <c r="B1069" s="2" t="s">
        <v>2683</v>
      </c>
      <c r="C1069" s="2" t="s">
        <v>211</v>
      </c>
      <c r="D1069" s="2" t="s">
        <v>442</v>
      </c>
      <c r="E1069" s="4">
        <v>19.18</v>
      </c>
      <c r="F1069" s="4">
        <v>27.91</v>
      </c>
      <c r="G1069" s="3">
        <v>1</v>
      </c>
      <c r="H1069" s="6">
        <v>0</v>
      </c>
      <c r="I1069" s="3">
        <v>0</v>
      </c>
      <c r="J1069" s="13" t="str">
        <f>HYPERLINK("https://amazon.com/dp/B0CJ7CLRD1","Amazon - B0CJ7CLRD1")</f>
        <v>Amazon - B0CJ7CLRD1</v>
      </c>
      <c r="K1069" s="14" t="s">
        <v>443</v>
      </c>
      <c r="L1069" s="14" t="s">
        <v>303</v>
      </c>
      <c r="M1069" s="14" t="s">
        <v>303</v>
      </c>
      <c r="N1069" s="14" t="s">
        <v>446</v>
      </c>
      <c r="O1069" s="14" t="s">
        <v>303</v>
      </c>
    </row>
    <row r="1070" spans="1:15" ht="30" x14ac:dyDescent="0.2">
      <c r="A1070" s="2" t="s">
        <v>2684</v>
      </c>
      <c r="B1070" s="2" t="s">
        <v>2685</v>
      </c>
      <c r="C1070" s="2" t="s">
        <v>250</v>
      </c>
      <c r="D1070" s="2" t="s">
        <v>472</v>
      </c>
      <c r="E1070" s="4">
        <v>20.52</v>
      </c>
      <c r="F1070" s="4">
        <v>27.87</v>
      </c>
      <c r="G1070" s="3">
        <v>1</v>
      </c>
      <c r="H1070" s="6">
        <v>0</v>
      </c>
      <c r="I1070" s="3">
        <v>0</v>
      </c>
      <c r="J1070" s="13" t="str">
        <f>HYPERLINK("https://amazon.com/dp/B0DJ3HWK77","Amazon - B0DJ3HWK77")</f>
        <v>Amazon - B0DJ3HWK77</v>
      </c>
      <c r="K1070" s="14" t="s">
        <v>443</v>
      </c>
      <c r="L1070" s="14" t="s">
        <v>303</v>
      </c>
      <c r="M1070" s="14" t="s">
        <v>503</v>
      </c>
      <c r="N1070" s="14" t="s">
        <v>446</v>
      </c>
      <c r="O1070" s="14" t="s">
        <v>303</v>
      </c>
    </row>
    <row r="1071" spans="1:15" ht="45" x14ac:dyDescent="0.2">
      <c r="A1071" s="2" t="s">
        <v>2686</v>
      </c>
      <c r="B1071" s="2" t="s">
        <v>2687</v>
      </c>
      <c r="C1071" s="2" t="s">
        <v>223</v>
      </c>
      <c r="D1071" s="2" t="s">
        <v>472</v>
      </c>
      <c r="E1071" s="4">
        <v>52.98</v>
      </c>
      <c r="F1071" s="4">
        <v>27.3</v>
      </c>
      <c r="G1071" s="3">
        <v>1</v>
      </c>
      <c r="H1071" s="6">
        <v>0</v>
      </c>
      <c r="I1071" s="3">
        <v>0</v>
      </c>
      <c r="J1071" s="13" t="str">
        <f>HYPERLINK("https://amazon.com/dp/B0DQY8P187","Amazon - B0DQY8P187")</f>
        <v>Amazon - B0DQY8P187</v>
      </c>
      <c r="K1071" s="14" t="s">
        <v>443</v>
      </c>
      <c r="L1071" s="14" t="s">
        <v>456</v>
      </c>
      <c r="M1071" s="14" t="s">
        <v>303</v>
      </c>
      <c r="N1071" s="14" t="s">
        <v>446</v>
      </c>
      <c r="O1071" s="14" t="s">
        <v>608</v>
      </c>
    </row>
    <row r="1072" spans="1:15" ht="30" x14ac:dyDescent="0.2">
      <c r="A1072" s="2" t="s">
        <v>2688</v>
      </c>
      <c r="B1072" s="2" t="s">
        <v>2689</v>
      </c>
      <c r="C1072" s="2" t="s">
        <v>279</v>
      </c>
      <c r="D1072" s="2" t="s">
        <v>450</v>
      </c>
      <c r="E1072" s="4">
        <v>12.28</v>
      </c>
      <c r="F1072" s="4">
        <v>26.69</v>
      </c>
      <c r="G1072" s="3">
        <v>2</v>
      </c>
      <c r="H1072" s="6">
        <v>2</v>
      </c>
      <c r="I1072" s="3">
        <v>2</v>
      </c>
      <c r="J1072" s="13" t="str">
        <f>HYPERLINK("https://amazon.com/dp/B0C7RFSLSG","Amazon - B0C7RFSLSG")</f>
        <v>Amazon - B0C7RFSLSG</v>
      </c>
      <c r="K1072" s="14" t="s">
        <v>443</v>
      </c>
      <c r="L1072" s="14" t="s">
        <v>451</v>
      </c>
      <c r="M1072" s="14" t="s">
        <v>303</v>
      </c>
      <c r="N1072" s="14" t="s">
        <v>446</v>
      </c>
      <c r="O1072" s="14" t="s">
        <v>303</v>
      </c>
    </row>
    <row r="1073" spans="1:15" ht="30" x14ac:dyDescent="0.2">
      <c r="A1073" s="2" t="s">
        <v>2690</v>
      </c>
      <c r="B1073" s="2" t="s">
        <v>2691</v>
      </c>
      <c r="C1073" s="2" t="s">
        <v>89</v>
      </c>
      <c r="D1073" s="2" t="s">
        <v>442</v>
      </c>
      <c r="E1073" s="4">
        <v>21.99</v>
      </c>
      <c r="F1073" s="4">
        <v>26.04</v>
      </c>
      <c r="G1073" s="3">
        <v>1</v>
      </c>
      <c r="H1073" s="6">
        <v>3.7</v>
      </c>
      <c r="I1073" s="3">
        <v>33</v>
      </c>
      <c r="J1073" s="13" t="str">
        <f>HYPERLINK("https://amazon.com/dp/B0CYPT6GYX","Amazon - B0CYPT6GYX")</f>
        <v>Amazon - B0CYPT6GYX</v>
      </c>
      <c r="K1073" s="14" t="s">
        <v>443</v>
      </c>
      <c r="L1073" s="14" t="s">
        <v>303</v>
      </c>
      <c r="M1073" s="14" t="s">
        <v>303</v>
      </c>
      <c r="N1073" s="14" t="s">
        <v>446</v>
      </c>
      <c r="O1073" s="14" t="s">
        <v>453</v>
      </c>
    </row>
    <row r="1074" spans="1:15" ht="45" x14ac:dyDescent="0.2">
      <c r="A1074" s="2" t="s">
        <v>2692</v>
      </c>
      <c r="B1074" s="2" t="s">
        <v>2693</v>
      </c>
      <c r="C1074" s="2" t="s">
        <v>281</v>
      </c>
      <c r="D1074" s="2" t="s">
        <v>442</v>
      </c>
      <c r="E1074" s="4">
        <v>9.39</v>
      </c>
      <c r="F1074" s="4">
        <v>25.82</v>
      </c>
      <c r="G1074" s="3">
        <v>3</v>
      </c>
      <c r="H1074" s="6">
        <v>5</v>
      </c>
      <c r="I1074" s="3">
        <v>1</v>
      </c>
      <c r="J1074" s="13" t="str">
        <f>HYPERLINK("https://amazon.com/dp/B0F212TN9N","Amazon - B0F212TN9N")</f>
        <v>Amazon - B0F212TN9N</v>
      </c>
      <c r="K1074" s="14" t="s">
        <v>443</v>
      </c>
      <c r="L1074" s="14" t="s">
        <v>303</v>
      </c>
      <c r="M1074" s="14" t="s">
        <v>445</v>
      </c>
      <c r="N1074" s="14" t="s">
        <v>452</v>
      </c>
      <c r="O1074" s="14" t="s">
        <v>303</v>
      </c>
    </row>
    <row r="1075" spans="1:15" ht="30" x14ac:dyDescent="0.2">
      <c r="A1075" s="2" t="s">
        <v>2694</v>
      </c>
      <c r="B1075" s="2" t="s">
        <v>2695</v>
      </c>
      <c r="C1075" s="2" t="s">
        <v>122</v>
      </c>
      <c r="D1075" s="2" t="s">
        <v>450</v>
      </c>
      <c r="E1075" s="4">
        <v>11.64</v>
      </c>
      <c r="F1075" s="4">
        <v>25.46</v>
      </c>
      <c r="G1075" s="3">
        <v>2</v>
      </c>
      <c r="H1075" s="6">
        <v>4.4000000000000004</v>
      </c>
      <c r="I1075" s="3">
        <v>3</v>
      </c>
      <c r="J1075" s="13" t="str">
        <f>HYPERLINK("https://amazon.com/dp/B0CMPGM2BC","Amazon - B0CMPGM2BC")</f>
        <v>Amazon - B0CMPGM2BC</v>
      </c>
      <c r="K1075" s="14" t="s">
        <v>443</v>
      </c>
      <c r="L1075" s="14" t="s">
        <v>1725</v>
      </c>
      <c r="M1075" s="14" t="s">
        <v>462</v>
      </c>
      <c r="N1075" s="14" t="s">
        <v>446</v>
      </c>
      <c r="O1075" s="14" t="s">
        <v>453</v>
      </c>
    </row>
    <row r="1076" spans="1:15" ht="30" x14ac:dyDescent="0.2">
      <c r="A1076" s="2" t="s">
        <v>2696</v>
      </c>
      <c r="B1076" s="2" t="s">
        <v>2697</v>
      </c>
      <c r="C1076" s="2" t="s">
        <v>151</v>
      </c>
      <c r="D1076" s="2" t="s">
        <v>450</v>
      </c>
      <c r="E1076" s="4">
        <v>11.18</v>
      </c>
      <c r="F1076" s="4">
        <v>25</v>
      </c>
      <c r="G1076" s="3">
        <v>2</v>
      </c>
      <c r="H1076" s="6">
        <v>0</v>
      </c>
      <c r="I1076" s="3">
        <v>0</v>
      </c>
      <c r="J1076" s="13" t="str">
        <f>HYPERLINK("https://amazon.com/dp/B0DBRGSRVJ","Amazon - B0DBRGSRVJ")</f>
        <v>Amazon - B0DBRGSRVJ</v>
      </c>
      <c r="K1076" s="14" t="s">
        <v>443</v>
      </c>
      <c r="L1076" s="14" t="s">
        <v>502</v>
      </c>
      <c r="M1076" s="14" t="s">
        <v>462</v>
      </c>
      <c r="N1076" s="14" t="s">
        <v>446</v>
      </c>
      <c r="O1076" s="14" t="s">
        <v>543</v>
      </c>
    </row>
    <row r="1077" spans="1:15" ht="30" x14ac:dyDescent="0.2">
      <c r="A1077" s="2" t="s">
        <v>2698</v>
      </c>
      <c r="B1077" s="2" t="s">
        <v>2699</v>
      </c>
      <c r="C1077" s="2" t="s">
        <v>248</v>
      </c>
      <c r="D1077" s="2" t="s">
        <v>450</v>
      </c>
      <c r="E1077" s="4">
        <v>22.79</v>
      </c>
      <c r="F1077" s="4">
        <v>22.48</v>
      </c>
      <c r="G1077" s="3">
        <v>1</v>
      </c>
      <c r="H1077" s="6">
        <v>0</v>
      </c>
      <c r="I1077" s="3">
        <v>0</v>
      </c>
      <c r="J1077" s="13" t="str">
        <f>HYPERLINK("https://amazon.com/dp/B08NF3CFL2","Amazon - B08NF3CFL2")</f>
        <v>Amazon - B08NF3CFL2</v>
      </c>
      <c r="K1077" s="14" t="s">
        <v>443</v>
      </c>
      <c r="L1077" s="14" t="s">
        <v>1725</v>
      </c>
      <c r="M1077" s="14" t="s">
        <v>511</v>
      </c>
      <c r="N1077" s="14" t="s">
        <v>446</v>
      </c>
      <c r="O1077" s="14" t="s">
        <v>543</v>
      </c>
    </row>
    <row r="1078" spans="1:15" ht="30" x14ac:dyDescent="0.2">
      <c r="A1078" s="2" t="s">
        <v>2700</v>
      </c>
      <c r="B1078" s="2" t="s">
        <v>2701</v>
      </c>
      <c r="C1078" s="2" t="s">
        <v>282</v>
      </c>
      <c r="D1078" s="2" t="s">
        <v>450</v>
      </c>
      <c r="E1078" s="4">
        <v>12.99</v>
      </c>
      <c r="F1078" s="4">
        <v>22.02</v>
      </c>
      <c r="G1078" s="3">
        <v>2</v>
      </c>
      <c r="H1078" s="6">
        <v>1</v>
      </c>
      <c r="I1078" s="3">
        <v>1</v>
      </c>
      <c r="J1078" s="13" t="str">
        <f>HYPERLINK("https://amazon.com/dp/B0F6C2CN27","Amazon - B0F6C2CN27")</f>
        <v>Amazon - B0F6C2CN27</v>
      </c>
      <c r="K1078" s="14" t="s">
        <v>443</v>
      </c>
      <c r="L1078" s="14" t="s">
        <v>451</v>
      </c>
      <c r="M1078" s="14" t="s">
        <v>303</v>
      </c>
      <c r="N1078" s="14" t="s">
        <v>452</v>
      </c>
      <c r="O1078" s="14" t="s">
        <v>1302</v>
      </c>
    </row>
    <row r="1079" spans="1:15" ht="30" x14ac:dyDescent="0.2">
      <c r="A1079" s="2" t="s">
        <v>2702</v>
      </c>
      <c r="B1079" s="2" t="s">
        <v>2703</v>
      </c>
      <c r="C1079" s="2" t="s">
        <v>283</v>
      </c>
      <c r="D1079" s="2" t="s">
        <v>823</v>
      </c>
      <c r="E1079" s="4">
        <v>9.99</v>
      </c>
      <c r="F1079" s="4">
        <v>21.6</v>
      </c>
      <c r="G1079" s="3">
        <v>2</v>
      </c>
      <c r="H1079" s="6">
        <v>0</v>
      </c>
      <c r="I1079" s="3">
        <v>0</v>
      </c>
      <c r="J1079" s="13" t="str">
        <f>HYPERLINK("https://amazon.com/dp/B0C74WJJPW","Amazon - B0C74WJJPW")</f>
        <v>Amazon - B0C74WJJPW</v>
      </c>
      <c r="K1079" s="14" t="s">
        <v>443</v>
      </c>
      <c r="L1079" s="14" t="s">
        <v>451</v>
      </c>
      <c r="M1079" s="14" t="s">
        <v>303</v>
      </c>
      <c r="N1079" s="14" t="s">
        <v>446</v>
      </c>
      <c r="O1079" s="14" t="s">
        <v>303</v>
      </c>
    </row>
    <row r="1080" spans="1:15" ht="45" x14ac:dyDescent="0.2">
      <c r="A1080" s="2" t="s">
        <v>2704</v>
      </c>
      <c r="B1080" s="2" t="s">
        <v>2705</v>
      </c>
      <c r="C1080" s="2" t="s">
        <v>284</v>
      </c>
      <c r="D1080" s="2" t="s">
        <v>472</v>
      </c>
      <c r="E1080" s="4">
        <v>20.99</v>
      </c>
      <c r="F1080" s="4">
        <v>21.39</v>
      </c>
      <c r="G1080" s="3">
        <v>1</v>
      </c>
      <c r="H1080" s="6">
        <v>4.3</v>
      </c>
      <c r="I1080" s="3">
        <v>11</v>
      </c>
      <c r="J1080" s="13" t="str">
        <f>HYPERLINK("https://amazon.com/dp/B0F9L6BVHC","Amazon - B0F9L6BVHC")</f>
        <v>Amazon - B0F9L6BVHC</v>
      </c>
      <c r="K1080" s="14" t="s">
        <v>443</v>
      </c>
      <c r="L1080" s="14" t="s">
        <v>461</v>
      </c>
      <c r="M1080" s="14" t="s">
        <v>303</v>
      </c>
      <c r="N1080" s="14" t="s">
        <v>446</v>
      </c>
      <c r="O1080" s="14" t="s">
        <v>453</v>
      </c>
    </row>
    <row r="1081" spans="1:15" ht="30" x14ac:dyDescent="0.2">
      <c r="A1081" s="2" t="s">
        <v>2706</v>
      </c>
      <c r="B1081" s="2" t="s">
        <v>2707</v>
      </c>
      <c r="C1081" s="2" t="s">
        <v>285</v>
      </c>
      <c r="D1081" s="2" t="s">
        <v>450</v>
      </c>
      <c r="E1081" s="4">
        <v>12.99</v>
      </c>
      <c r="F1081" s="4">
        <v>20.97</v>
      </c>
      <c r="G1081" s="3">
        <v>2</v>
      </c>
      <c r="H1081" s="6">
        <v>3.6</v>
      </c>
      <c r="I1081" s="3">
        <v>62</v>
      </c>
      <c r="J1081" s="13" t="str">
        <f>HYPERLINK("https://amazon.com/dp/B01MSPT4BG","Amazon - B01MSPT4BG")</f>
        <v>Amazon - B01MSPT4BG</v>
      </c>
      <c r="K1081" s="14" t="s">
        <v>443</v>
      </c>
      <c r="L1081" s="14" t="s">
        <v>451</v>
      </c>
      <c r="M1081" s="14" t="s">
        <v>303</v>
      </c>
      <c r="N1081" s="14" t="s">
        <v>446</v>
      </c>
      <c r="O1081" s="14" t="s">
        <v>985</v>
      </c>
    </row>
    <row r="1082" spans="1:15" ht="30" x14ac:dyDescent="0.2">
      <c r="A1082" s="2" t="s">
        <v>2708</v>
      </c>
      <c r="B1082" s="2" t="s">
        <v>2709</v>
      </c>
      <c r="C1082" s="2" t="s">
        <v>40</v>
      </c>
      <c r="D1082" s="2" t="s">
        <v>472</v>
      </c>
      <c r="E1082" s="4">
        <v>39.99</v>
      </c>
      <c r="F1082" s="4">
        <v>20.61</v>
      </c>
      <c r="G1082" s="3">
        <v>1</v>
      </c>
      <c r="H1082" s="6">
        <v>4.5</v>
      </c>
      <c r="I1082" s="3">
        <v>34</v>
      </c>
      <c r="J1082" s="13" t="str">
        <f>HYPERLINK("https://amazon.com/dp/B0D1RGVN7P","Amazon - B0D1RGVN7P")</f>
        <v>Amazon - B0D1RGVN7P</v>
      </c>
      <c r="K1082" s="14" t="s">
        <v>443</v>
      </c>
      <c r="L1082" s="14" t="s">
        <v>461</v>
      </c>
      <c r="M1082" s="14" t="s">
        <v>303</v>
      </c>
      <c r="N1082" s="14" t="s">
        <v>473</v>
      </c>
      <c r="O1082" s="14" t="s">
        <v>453</v>
      </c>
    </row>
    <row r="1083" spans="1:15" ht="45" x14ac:dyDescent="0.2">
      <c r="A1083" s="2" t="s">
        <v>2710</v>
      </c>
      <c r="B1083" s="2" t="s">
        <v>2711</v>
      </c>
      <c r="C1083" s="2" t="s">
        <v>223</v>
      </c>
      <c r="D1083" s="2" t="s">
        <v>450</v>
      </c>
      <c r="E1083" s="4">
        <v>18.989999999999998</v>
      </c>
      <c r="F1083" s="4">
        <v>20.46</v>
      </c>
      <c r="G1083" s="3">
        <v>1</v>
      </c>
      <c r="H1083" s="6">
        <v>3.6</v>
      </c>
      <c r="I1083" s="3">
        <v>33</v>
      </c>
      <c r="J1083" s="13" t="str">
        <f>HYPERLINK("https://amazon.com/dp/B0CRRJPDN4","Amazon - B0CRRJPDN4")</f>
        <v>Amazon - B0CRRJPDN4</v>
      </c>
      <c r="K1083" s="14" t="s">
        <v>443</v>
      </c>
      <c r="L1083" s="14" t="s">
        <v>451</v>
      </c>
      <c r="M1083" s="14" t="s">
        <v>445</v>
      </c>
      <c r="N1083" s="14" t="s">
        <v>446</v>
      </c>
      <c r="O1083" s="14" t="s">
        <v>543</v>
      </c>
    </row>
    <row r="1084" spans="1:15" ht="30" x14ac:dyDescent="0.2">
      <c r="A1084" s="2" t="s">
        <v>2712</v>
      </c>
      <c r="B1084" s="2" t="s">
        <v>2713</v>
      </c>
      <c r="C1084" s="2" t="s">
        <v>40</v>
      </c>
      <c r="D1084" s="2" t="s">
        <v>472</v>
      </c>
      <c r="E1084" s="4">
        <v>20.99</v>
      </c>
      <c r="F1084" s="4">
        <v>20.38</v>
      </c>
      <c r="G1084" s="3">
        <v>1</v>
      </c>
      <c r="H1084" s="6">
        <v>4</v>
      </c>
      <c r="I1084" s="3">
        <v>1</v>
      </c>
      <c r="J1084" s="13" t="str">
        <f>HYPERLINK("https://amazon.com/dp/B0C38SVCCV","Amazon - B0C38SVCCV")</f>
        <v>Amazon - B0C38SVCCV</v>
      </c>
      <c r="K1084" s="14" t="s">
        <v>443</v>
      </c>
      <c r="L1084" s="14" t="s">
        <v>303</v>
      </c>
      <c r="M1084" s="14" t="s">
        <v>503</v>
      </c>
      <c r="N1084" s="14" t="s">
        <v>446</v>
      </c>
      <c r="O1084" s="14" t="s">
        <v>303</v>
      </c>
    </row>
    <row r="1085" spans="1:15" ht="30" x14ac:dyDescent="0.2">
      <c r="A1085" s="2" t="s">
        <v>2714</v>
      </c>
      <c r="B1085" s="2" t="s">
        <v>2715</v>
      </c>
      <c r="C1085" s="2" t="s">
        <v>139</v>
      </c>
      <c r="D1085" s="2" t="s">
        <v>450</v>
      </c>
      <c r="E1085" s="4">
        <v>10.44</v>
      </c>
      <c r="F1085" s="4">
        <v>20.2</v>
      </c>
      <c r="G1085" s="3">
        <v>2</v>
      </c>
      <c r="H1085" s="6">
        <v>0</v>
      </c>
      <c r="I1085" s="3">
        <v>0</v>
      </c>
      <c r="J1085" s="13" t="str">
        <f>HYPERLINK("https://amazon.com/dp/B0CCW86DF4","Amazon - B0CCW86DF4")</f>
        <v>Amazon - B0CCW86DF4</v>
      </c>
      <c r="K1085" s="14" t="s">
        <v>443</v>
      </c>
      <c r="L1085" s="14" t="s">
        <v>451</v>
      </c>
      <c r="M1085" s="14" t="s">
        <v>565</v>
      </c>
      <c r="N1085" s="14" t="s">
        <v>446</v>
      </c>
      <c r="O1085" s="14" t="s">
        <v>578</v>
      </c>
    </row>
    <row r="1086" spans="1:15" ht="30" x14ac:dyDescent="0.2">
      <c r="A1086" s="2" t="s">
        <v>2716</v>
      </c>
      <c r="B1086" s="2" t="s">
        <v>2717</v>
      </c>
      <c r="C1086" s="2" t="s">
        <v>40</v>
      </c>
      <c r="D1086" s="2" t="s">
        <v>442</v>
      </c>
      <c r="E1086" s="4">
        <v>39.99</v>
      </c>
      <c r="F1086" s="4">
        <v>20.2</v>
      </c>
      <c r="G1086" s="3">
        <v>1</v>
      </c>
      <c r="H1086" s="6">
        <v>4.5</v>
      </c>
      <c r="I1086" s="3">
        <v>34</v>
      </c>
      <c r="J1086" s="13" t="str">
        <f>HYPERLINK("https://amazon.com/dp/B0D1N9HZWX","Amazon - B0D1N9HZWX")</f>
        <v>Amazon - B0D1N9HZWX</v>
      </c>
      <c r="K1086" s="14" t="s">
        <v>443</v>
      </c>
      <c r="L1086" s="14" t="s">
        <v>303</v>
      </c>
      <c r="M1086" s="14" t="s">
        <v>303</v>
      </c>
      <c r="N1086" s="14" t="s">
        <v>473</v>
      </c>
      <c r="O1086" s="14" t="s">
        <v>453</v>
      </c>
    </row>
    <row r="1087" spans="1:15" ht="30" x14ac:dyDescent="0.2">
      <c r="A1087" s="2" t="s">
        <v>2718</v>
      </c>
      <c r="B1087" s="2" t="s">
        <v>2719</v>
      </c>
      <c r="C1087" s="2" t="s">
        <v>211</v>
      </c>
      <c r="D1087" s="2" t="s">
        <v>450</v>
      </c>
      <c r="E1087" s="4">
        <v>19</v>
      </c>
      <c r="F1087" s="4">
        <v>20.149999999999999</v>
      </c>
      <c r="G1087" s="3">
        <v>1</v>
      </c>
      <c r="H1087" s="6">
        <v>5</v>
      </c>
      <c r="I1087" s="3">
        <v>1</v>
      </c>
      <c r="J1087" s="13" t="str">
        <f>HYPERLINK("https://amazon.com/dp/B0C1NX2MZD","Amazon - B0C1NX2MZD")</f>
        <v>Amazon - B0C1NX2MZD</v>
      </c>
      <c r="K1087" s="14" t="s">
        <v>443</v>
      </c>
      <c r="L1087" s="14" t="s">
        <v>303</v>
      </c>
      <c r="M1087" s="14" t="s">
        <v>511</v>
      </c>
      <c r="N1087" s="14" t="s">
        <v>446</v>
      </c>
      <c r="O1087" s="14" t="s">
        <v>745</v>
      </c>
    </row>
    <row r="1088" spans="1:15" ht="30" x14ac:dyDescent="0.2">
      <c r="A1088" s="2" t="s">
        <v>2720</v>
      </c>
      <c r="B1088" s="2" t="s">
        <v>2721</v>
      </c>
      <c r="C1088" s="2" t="s">
        <v>255</v>
      </c>
      <c r="D1088" s="2" t="s">
        <v>450</v>
      </c>
      <c r="E1088" s="4">
        <v>16.989999999999998</v>
      </c>
      <c r="F1088" s="4">
        <v>19.170000000000002</v>
      </c>
      <c r="G1088" s="3">
        <v>1</v>
      </c>
      <c r="H1088" s="6">
        <v>0</v>
      </c>
      <c r="I1088" s="3">
        <v>0</v>
      </c>
      <c r="J1088" s="13" t="str">
        <f>HYPERLINK("https://amazon.com/dp/B0DGPPZX3D","Amazon - B0DGPPZX3D")</f>
        <v>Amazon - B0DGPPZX3D</v>
      </c>
      <c r="K1088" s="14" t="s">
        <v>443</v>
      </c>
      <c r="L1088" s="14" t="s">
        <v>303</v>
      </c>
      <c r="M1088" s="14" t="s">
        <v>303</v>
      </c>
      <c r="N1088" s="14" t="s">
        <v>446</v>
      </c>
      <c r="O1088" s="14" t="s">
        <v>303</v>
      </c>
    </row>
    <row r="1089" spans="1:15" ht="30" x14ac:dyDescent="0.2">
      <c r="A1089" s="2" t="s">
        <v>2722</v>
      </c>
      <c r="B1089" s="2" t="s">
        <v>2723</v>
      </c>
      <c r="C1089" s="2" t="s">
        <v>271</v>
      </c>
      <c r="D1089" s="2" t="s">
        <v>450</v>
      </c>
      <c r="E1089" s="4">
        <v>15.78</v>
      </c>
      <c r="F1089" s="4">
        <v>18.920000000000002</v>
      </c>
      <c r="G1089" s="3">
        <v>1</v>
      </c>
      <c r="H1089" s="6">
        <v>0</v>
      </c>
      <c r="I1089" s="3">
        <v>0</v>
      </c>
      <c r="J1089" s="13" t="str">
        <f>HYPERLINK("https://amazon.com/dp/B09MB5Y4MS","Amazon - B09MB5Y4MS")</f>
        <v>Amazon - B09MB5Y4MS</v>
      </c>
      <c r="K1089" s="14" t="s">
        <v>443</v>
      </c>
      <c r="L1089" s="14" t="s">
        <v>303</v>
      </c>
      <c r="M1089" s="14" t="s">
        <v>303</v>
      </c>
      <c r="N1089" s="14" t="s">
        <v>446</v>
      </c>
      <c r="O1089" s="14" t="s">
        <v>303</v>
      </c>
    </row>
    <row r="1090" spans="1:15" ht="45" x14ac:dyDescent="0.2">
      <c r="A1090" s="2" t="s">
        <v>2724</v>
      </c>
      <c r="B1090" s="2" t="s">
        <v>2725</v>
      </c>
      <c r="C1090" s="2" t="s">
        <v>55</v>
      </c>
      <c r="D1090" s="2" t="s">
        <v>472</v>
      </c>
      <c r="E1090" s="4">
        <v>15.99</v>
      </c>
      <c r="F1090" s="4">
        <v>18.54</v>
      </c>
      <c r="G1090" s="3">
        <v>1</v>
      </c>
      <c r="H1090" s="6">
        <v>1</v>
      </c>
      <c r="I1090" s="3">
        <v>1</v>
      </c>
      <c r="J1090" s="13" t="str">
        <f>HYPERLINK("https://amazon.com/dp/B0D1FNRCPV","Amazon - B0D1FNRCPV")</f>
        <v>Amazon - B0D1FNRCPV</v>
      </c>
      <c r="K1090" s="14" t="s">
        <v>443</v>
      </c>
      <c r="L1090" s="14" t="s">
        <v>303</v>
      </c>
      <c r="M1090" s="14" t="s">
        <v>677</v>
      </c>
      <c r="N1090" s="14" t="s">
        <v>446</v>
      </c>
      <c r="O1090" s="14" t="s">
        <v>303</v>
      </c>
    </row>
    <row r="1091" spans="1:15" ht="30" x14ac:dyDescent="0.2">
      <c r="A1091" s="2" t="s">
        <v>2726</v>
      </c>
      <c r="B1091" s="2" t="s">
        <v>2727</v>
      </c>
      <c r="C1091" s="2" t="s">
        <v>286</v>
      </c>
      <c r="D1091" s="2" t="s">
        <v>450</v>
      </c>
      <c r="E1091" s="4">
        <v>11.77</v>
      </c>
      <c r="F1091" s="4">
        <v>18.39</v>
      </c>
      <c r="G1091" s="3">
        <v>1</v>
      </c>
      <c r="H1091" s="6">
        <v>0</v>
      </c>
      <c r="I1091" s="3">
        <v>0</v>
      </c>
      <c r="J1091" s="13" t="str">
        <f>HYPERLINK("https://amazon.com/dp/B0DP2M9559","Amazon - B0DP2M9559")</f>
        <v>Amazon - B0DP2M9559</v>
      </c>
      <c r="K1091" s="14" t="s">
        <v>443</v>
      </c>
      <c r="L1091" s="14" t="s">
        <v>303</v>
      </c>
      <c r="M1091" s="14" t="s">
        <v>303</v>
      </c>
      <c r="N1091" s="14" t="s">
        <v>446</v>
      </c>
      <c r="O1091" s="14" t="s">
        <v>303</v>
      </c>
    </row>
    <row r="1092" spans="1:15" ht="45" x14ac:dyDescent="0.2">
      <c r="A1092" s="2" t="s">
        <v>2728</v>
      </c>
      <c r="B1092" s="2" t="s">
        <v>2729</v>
      </c>
      <c r="C1092" s="2" t="s">
        <v>288</v>
      </c>
      <c r="D1092" s="2" t="s">
        <v>823</v>
      </c>
      <c r="E1092" s="4">
        <v>17.09</v>
      </c>
      <c r="F1092" s="4">
        <v>18.07</v>
      </c>
      <c r="G1092" s="3">
        <v>1</v>
      </c>
      <c r="H1092" s="6">
        <v>4</v>
      </c>
      <c r="I1092" s="3">
        <v>2</v>
      </c>
      <c r="J1092" s="13" t="str">
        <f>HYPERLINK("https://amazon.com/dp/B0CM3CLZMD","Amazon - B0CM3CLZMD")</f>
        <v>Amazon - B0CM3CLZMD</v>
      </c>
      <c r="K1092" s="14" t="s">
        <v>443</v>
      </c>
      <c r="L1092" s="14" t="s">
        <v>1725</v>
      </c>
      <c r="M1092" s="14" t="s">
        <v>445</v>
      </c>
      <c r="N1092" s="14" t="s">
        <v>446</v>
      </c>
      <c r="O1092" s="14" t="s">
        <v>303</v>
      </c>
    </row>
    <row r="1093" spans="1:15" ht="45" x14ac:dyDescent="0.2">
      <c r="A1093" s="2" t="s">
        <v>2730</v>
      </c>
      <c r="B1093" s="2" t="s">
        <v>2731</v>
      </c>
      <c r="C1093" s="2" t="s">
        <v>262</v>
      </c>
      <c r="D1093" s="2" t="s">
        <v>450</v>
      </c>
      <c r="E1093" s="4">
        <v>18.989999999999998</v>
      </c>
      <c r="F1093" s="4">
        <v>17.93</v>
      </c>
      <c r="G1093" s="3">
        <v>1</v>
      </c>
      <c r="H1093" s="6">
        <v>5</v>
      </c>
      <c r="I1093" s="3">
        <v>1</v>
      </c>
      <c r="J1093" s="13" t="str">
        <f>HYPERLINK("https://amazon.com/dp/B0BYX3PGP9","Amazon - B0BYX3PGP9")</f>
        <v>Amazon - B0BYX3PGP9</v>
      </c>
      <c r="K1093" s="14" t="s">
        <v>443</v>
      </c>
      <c r="L1093" s="14" t="s">
        <v>451</v>
      </c>
      <c r="M1093" s="14" t="s">
        <v>462</v>
      </c>
      <c r="N1093" s="14" t="s">
        <v>446</v>
      </c>
      <c r="O1093" s="14" t="s">
        <v>453</v>
      </c>
    </row>
    <row r="1094" spans="1:15" ht="45" x14ac:dyDescent="0.2">
      <c r="A1094" s="2" t="s">
        <v>2732</v>
      </c>
      <c r="B1094" s="2" t="s">
        <v>2733</v>
      </c>
      <c r="C1094" s="2" t="s">
        <v>278</v>
      </c>
      <c r="D1094" s="2" t="s">
        <v>450</v>
      </c>
      <c r="E1094" s="4">
        <v>16.190000000000001</v>
      </c>
      <c r="F1094" s="4">
        <v>17.87</v>
      </c>
      <c r="G1094" s="3">
        <v>1</v>
      </c>
      <c r="H1094" s="6">
        <v>4.0999999999999996</v>
      </c>
      <c r="I1094" s="3">
        <v>6</v>
      </c>
      <c r="J1094" s="13" t="str">
        <f>HYPERLINK("https://amazon.com/dp/B09BKXTQXN","Amazon - B09BKXTQXN")</f>
        <v>Amazon - B09BKXTQXN</v>
      </c>
      <c r="K1094" s="14" t="s">
        <v>443</v>
      </c>
      <c r="L1094" s="14" t="s">
        <v>451</v>
      </c>
      <c r="M1094" s="14" t="s">
        <v>565</v>
      </c>
      <c r="N1094" s="14" t="s">
        <v>446</v>
      </c>
      <c r="O1094" s="14" t="s">
        <v>578</v>
      </c>
    </row>
    <row r="1095" spans="1:15" ht="30" x14ac:dyDescent="0.2">
      <c r="A1095" s="2" t="s">
        <v>2734</v>
      </c>
      <c r="B1095" s="2" t="s">
        <v>2735</v>
      </c>
      <c r="C1095" s="2" t="s">
        <v>289</v>
      </c>
      <c r="D1095" s="2" t="s">
        <v>442</v>
      </c>
      <c r="E1095" s="4">
        <v>9.99</v>
      </c>
      <c r="F1095" s="4">
        <v>17.78</v>
      </c>
      <c r="G1095" s="3">
        <v>2</v>
      </c>
      <c r="H1095" s="6">
        <v>0</v>
      </c>
      <c r="I1095" s="3">
        <v>0</v>
      </c>
      <c r="J1095" s="13" t="str">
        <f>HYPERLINK("https://amazon.com/dp/B0DN1BBTTB","Amazon - B0DN1BBTTB")</f>
        <v>Amazon - B0DN1BBTTB</v>
      </c>
      <c r="K1095" s="14" t="s">
        <v>443</v>
      </c>
      <c r="L1095" s="14" t="s">
        <v>303</v>
      </c>
      <c r="M1095" s="14" t="s">
        <v>303</v>
      </c>
      <c r="N1095" s="14" t="s">
        <v>446</v>
      </c>
      <c r="O1095" s="14" t="s">
        <v>303</v>
      </c>
    </row>
    <row r="1096" spans="1:15" ht="45" x14ac:dyDescent="0.2">
      <c r="A1096" s="2" t="s">
        <v>2736</v>
      </c>
      <c r="B1096" s="2" t="s">
        <v>2737</v>
      </c>
      <c r="C1096" s="2" t="s">
        <v>290</v>
      </c>
      <c r="D1096" s="2" t="s">
        <v>472</v>
      </c>
      <c r="E1096" s="4">
        <v>14.95</v>
      </c>
      <c r="F1096" s="4">
        <v>16.940000000000001</v>
      </c>
      <c r="G1096" s="3">
        <v>1</v>
      </c>
      <c r="H1096" s="6">
        <v>2.8</v>
      </c>
      <c r="I1096" s="3">
        <v>3</v>
      </c>
      <c r="J1096" s="13" t="str">
        <f>HYPERLINK("https://amazon.com/dp/B0BZVHZVDC","Amazon - B0BZVHZVDC")</f>
        <v>Amazon - B0BZVHZVDC</v>
      </c>
      <c r="K1096" s="14" t="s">
        <v>443</v>
      </c>
      <c r="L1096" s="14" t="s">
        <v>444</v>
      </c>
      <c r="M1096" s="14" t="s">
        <v>303</v>
      </c>
      <c r="N1096" s="14" t="s">
        <v>452</v>
      </c>
      <c r="O1096" s="14" t="s">
        <v>479</v>
      </c>
    </row>
    <row r="1097" spans="1:15" ht="30" x14ac:dyDescent="0.2">
      <c r="A1097" s="2" t="s">
        <v>2738</v>
      </c>
      <c r="B1097" s="2" t="s">
        <v>2739</v>
      </c>
      <c r="C1097" s="2" t="s">
        <v>291</v>
      </c>
      <c r="D1097" s="2" t="s">
        <v>450</v>
      </c>
      <c r="E1097" s="4">
        <v>14.46</v>
      </c>
      <c r="F1097" s="4">
        <v>16.940000000000001</v>
      </c>
      <c r="G1097" s="3">
        <v>1</v>
      </c>
      <c r="H1097" s="6">
        <v>0</v>
      </c>
      <c r="I1097" s="3">
        <v>0</v>
      </c>
      <c r="J1097" s="13" t="str">
        <f>HYPERLINK("https://amazon.com/dp/B0CDH43CHJ","Amazon - B0CDH43CHJ")</f>
        <v>Amazon - B0CDH43CHJ</v>
      </c>
      <c r="K1097" s="14" t="s">
        <v>443</v>
      </c>
      <c r="L1097" s="14" t="s">
        <v>303</v>
      </c>
      <c r="M1097" s="14" t="s">
        <v>303</v>
      </c>
      <c r="N1097" s="14" t="s">
        <v>446</v>
      </c>
      <c r="O1097" s="14" t="s">
        <v>453</v>
      </c>
    </row>
    <row r="1098" spans="1:15" ht="45" x14ac:dyDescent="0.2">
      <c r="A1098" s="2" t="s">
        <v>2740</v>
      </c>
      <c r="B1098" s="2" t="s">
        <v>2741</v>
      </c>
      <c r="C1098" s="2" t="s">
        <v>292</v>
      </c>
      <c r="D1098" s="2" t="s">
        <v>450</v>
      </c>
      <c r="E1098" s="4">
        <v>25.99</v>
      </c>
      <c r="F1098" s="4">
        <v>16.54</v>
      </c>
      <c r="G1098" s="3">
        <v>1</v>
      </c>
      <c r="H1098" s="6">
        <v>0</v>
      </c>
      <c r="I1098" s="3">
        <v>0</v>
      </c>
      <c r="J1098" s="13" t="str">
        <f>HYPERLINK("https://amazon.com/dp/B0G2RQH6K4","Amazon - B0G2RQH6K4")</f>
        <v>Amazon - B0G2RQH6K4</v>
      </c>
      <c r="K1098" s="14" t="s">
        <v>443</v>
      </c>
      <c r="L1098" s="14" t="s">
        <v>451</v>
      </c>
      <c r="M1098" s="14" t="s">
        <v>303</v>
      </c>
      <c r="N1098" s="14" t="s">
        <v>452</v>
      </c>
      <c r="O1098" s="14" t="s">
        <v>608</v>
      </c>
    </row>
    <row r="1099" spans="1:15" x14ac:dyDescent="0.2">
      <c r="A1099" s="2" t="s">
        <v>2742</v>
      </c>
      <c r="B1099" s="2" t="s">
        <v>2743</v>
      </c>
      <c r="C1099" s="2" t="s">
        <v>293</v>
      </c>
      <c r="D1099" s="2" t="s">
        <v>442</v>
      </c>
      <c r="E1099" s="4">
        <v>9.4</v>
      </c>
      <c r="F1099" s="4">
        <v>16.27</v>
      </c>
      <c r="G1099" s="3">
        <v>2</v>
      </c>
      <c r="H1099" s="6">
        <v>5</v>
      </c>
      <c r="I1099" s="3">
        <v>1</v>
      </c>
      <c r="J1099" s="13" t="str">
        <f>HYPERLINK("https://amazon.com/dp/B08X1HQSNG","Amazon - B08X1HQSNG")</f>
        <v>Amazon - B08X1HQSNG</v>
      </c>
      <c r="K1099" s="14" t="s">
        <v>443</v>
      </c>
      <c r="L1099" s="14" t="s">
        <v>303</v>
      </c>
      <c r="M1099" s="14" t="s">
        <v>303</v>
      </c>
      <c r="N1099" s="14" t="s">
        <v>446</v>
      </c>
      <c r="O1099" s="14" t="s">
        <v>303</v>
      </c>
    </row>
    <row r="1100" spans="1:15" ht="30" x14ac:dyDescent="0.2">
      <c r="A1100" s="2" t="s">
        <v>2744</v>
      </c>
      <c r="B1100" s="2" t="s">
        <v>2745</v>
      </c>
      <c r="C1100" s="2" t="s">
        <v>271</v>
      </c>
      <c r="D1100" s="2" t="s">
        <v>450</v>
      </c>
      <c r="E1100" s="4">
        <v>13.62</v>
      </c>
      <c r="F1100" s="4">
        <v>16.04</v>
      </c>
      <c r="G1100" s="3">
        <v>1</v>
      </c>
      <c r="H1100" s="6">
        <v>2.8</v>
      </c>
      <c r="I1100" s="3">
        <v>3</v>
      </c>
      <c r="J1100" s="13" t="str">
        <f>HYPERLINK("https://amazon.com/dp/B0DD47VS99","Amazon - B0DD47VS99")</f>
        <v>Amazon - B0DD47VS99</v>
      </c>
      <c r="K1100" s="14" t="s">
        <v>443</v>
      </c>
      <c r="L1100" s="14" t="s">
        <v>1725</v>
      </c>
      <c r="M1100" s="14" t="s">
        <v>565</v>
      </c>
      <c r="N1100" s="14" t="s">
        <v>446</v>
      </c>
      <c r="O1100" s="14" t="s">
        <v>578</v>
      </c>
    </row>
    <row r="1101" spans="1:15" ht="45" x14ac:dyDescent="0.2">
      <c r="A1101" s="2" t="s">
        <v>2746</v>
      </c>
      <c r="B1101" s="2" t="s">
        <v>2747</v>
      </c>
      <c r="C1101" s="2" t="s">
        <v>235</v>
      </c>
      <c r="D1101" s="2" t="s">
        <v>472</v>
      </c>
      <c r="E1101" s="4">
        <v>14.79</v>
      </c>
      <c r="F1101" s="4">
        <v>15.37</v>
      </c>
      <c r="G1101" s="3">
        <v>1</v>
      </c>
      <c r="H1101" s="6">
        <v>0</v>
      </c>
      <c r="I1101" s="3">
        <v>0</v>
      </c>
      <c r="J1101" s="13" t="str">
        <f>HYPERLINK("https://amazon.com/dp/B0CZ3W6W7B","Amazon - B0CZ3W6W7B")</f>
        <v>Amazon - B0CZ3W6W7B</v>
      </c>
      <c r="K1101" s="14" t="s">
        <v>443</v>
      </c>
      <c r="L1101" s="14" t="s">
        <v>461</v>
      </c>
      <c r="M1101" s="14" t="s">
        <v>303</v>
      </c>
      <c r="N1101" s="14" t="s">
        <v>452</v>
      </c>
      <c r="O1101" s="14" t="s">
        <v>303</v>
      </c>
    </row>
    <row r="1102" spans="1:15" ht="30" x14ac:dyDescent="0.2">
      <c r="A1102" s="2" t="s">
        <v>2748</v>
      </c>
      <c r="B1102" s="2" t="s">
        <v>2749</v>
      </c>
      <c r="C1102" s="2" t="s">
        <v>280</v>
      </c>
      <c r="D1102" s="2" t="s">
        <v>450</v>
      </c>
      <c r="E1102" s="4">
        <v>8.5399999999999991</v>
      </c>
      <c r="F1102" s="4">
        <v>15.15</v>
      </c>
      <c r="G1102" s="3">
        <v>2</v>
      </c>
      <c r="H1102" s="6">
        <v>0</v>
      </c>
      <c r="I1102" s="3">
        <v>0</v>
      </c>
      <c r="J1102" s="13" t="str">
        <f>HYPERLINK("https://amazon.com/dp/B0CKRTVL2R","Amazon - B0CKRTVL2R")</f>
        <v>Amazon - B0CKRTVL2R</v>
      </c>
      <c r="K1102" s="14" t="s">
        <v>443</v>
      </c>
      <c r="L1102" s="14" t="s">
        <v>303</v>
      </c>
      <c r="M1102" s="14" t="s">
        <v>303</v>
      </c>
      <c r="N1102" s="14" t="s">
        <v>446</v>
      </c>
      <c r="O1102" s="14" t="s">
        <v>745</v>
      </c>
    </row>
    <row r="1103" spans="1:15" ht="30" x14ac:dyDescent="0.2">
      <c r="A1103" s="2" t="s">
        <v>2750</v>
      </c>
      <c r="B1103" s="2" t="s">
        <v>2751</v>
      </c>
      <c r="C1103" s="2" t="s">
        <v>294</v>
      </c>
      <c r="D1103" s="2" t="s">
        <v>450</v>
      </c>
      <c r="E1103" s="4">
        <v>12.99</v>
      </c>
      <c r="F1103" s="4">
        <v>14.93</v>
      </c>
      <c r="G1103" s="3">
        <v>1</v>
      </c>
      <c r="H1103" s="6">
        <v>3.2</v>
      </c>
      <c r="I1103" s="3">
        <v>12</v>
      </c>
      <c r="J1103" s="13" t="str">
        <f>HYPERLINK("https://amazon.com/dp/B07RDB8SDN","Amazon - B07RDB8SDN")</f>
        <v>Amazon - B07RDB8SDN</v>
      </c>
      <c r="K1103" s="14" t="s">
        <v>443</v>
      </c>
      <c r="L1103" s="14" t="s">
        <v>303</v>
      </c>
      <c r="M1103" s="14" t="s">
        <v>303</v>
      </c>
      <c r="N1103" s="14" t="s">
        <v>446</v>
      </c>
      <c r="O1103" s="14" t="s">
        <v>543</v>
      </c>
    </row>
    <row r="1104" spans="1:15" ht="45" x14ac:dyDescent="0.2">
      <c r="A1104" s="2" t="s">
        <v>2752</v>
      </c>
      <c r="B1104" s="2" t="s">
        <v>2753</v>
      </c>
      <c r="C1104" s="2" t="s">
        <v>295</v>
      </c>
      <c r="D1104" s="2" t="s">
        <v>823</v>
      </c>
      <c r="E1104" s="4">
        <v>9.99</v>
      </c>
      <c r="F1104" s="4">
        <v>14.66</v>
      </c>
      <c r="G1104" s="3">
        <v>2</v>
      </c>
      <c r="H1104" s="6">
        <v>2.9</v>
      </c>
      <c r="I1104" s="3">
        <v>56</v>
      </c>
      <c r="J1104" s="13" t="str">
        <f>HYPERLINK("https://amazon.com/dp/B09DPPM9D7","Amazon - B09DPPM9D7")</f>
        <v>Amazon - B09DPPM9D7</v>
      </c>
      <c r="K1104" s="14" t="s">
        <v>443</v>
      </c>
      <c r="L1104" s="14" t="s">
        <v>451</v>
      </c>
      <c r="M1104" s="14" t="s">
        <v>303</v>
      </c>
      <c r="N1104" s="14" t="s">
        <v>446</v>
      </c>
      <c r="O1104" s="14" t="s">
        <v>578</v>
      </c>
    </row>
    <row r="1105" spans="1:15" ht="45" x14ac:dyDescent="0.2">
      <c r="A1105" s="2" t="s">
        <v>2754</v>
      </c>
      <c r="B1105" s="2" t="s">
        <v>2755</v>
      </c>
      <c r="C1105" s="2" t="s">
        <v>296</v>
      </c>
      <c r="D1105" s="2" t="s">
        <v>472</v>
      </c>
      <c r="E1105" s="4">
        <v>13.89</v>
      </c>
      <c r="F1105" s="4">
        <v>14.26</v>
      </c>
      <c r="G1105" s="3">
        <v>1</v>
      </c>
      <c r="H1105" s="6">
        <v>0</v>
      </c>
      <c r="I1105" s="3">
        <v>0</v>
      </c>
      <c r="J1105" s="13" t="str">
        <f>HYPERLINK("https://amazon.com/dp/B0CZDNJLWH","Amazon - B0CZDNJLWH")</f>
        <v>Amazon - B0CZDNJLWH</v>
      </c>
      <c r="K1105" s="14" t="s">
        <v>443</v>
      </c>
      <c r="L1105" s="14" t="s">
        <v>303</v>
      </c>
      <c r="M1105" s="14" t="s">
        <v>303</v>
      </c>
      <c r="N1105" s="14" t="s">
        <v>446</v>
      </c>
      <c r="O1105" s="14" t="s">
        <v>479</v>
      </c>
    </row>
    <row r="1106" spans="1:15" ht="30" x14ac:dyDescent="0.2">
      <c r="A1106" s="2" t="s">
        <v>2756</v>
      </c>
      <c r="B1106" s="2" t="s">
        <v>2757</v>
      </c>
      <c r="C1106" s="2" t="s">
        <v>151</v>
      </c>
      <c r="D1106" s="2" t="s">
        <v>450</v>
      </c>
      <c r="E1106" s="4">
        <v>12.03</v>
      </c>
      <c r="F1106" s="4">
        <v>14.02</v>
      </c>
      <c r="G1106" s="3">
        <v>1</v>
      </c>
      <c r="H1106" s="6">
        <v>0</v>
      </c>
      <c r="I1106" s="3">
        <v>0</v>
      </c>
      <c r="J1106" s="13" t="str">
        <f>HYPERLINK("https://amazon.com/dp/B0BBXG3K7H","Amazon - B0BBXG3K7H")</f>
        <v>Amazon - B0BBXG3K7H</v>
      </c>
      <c r="K1106" s="14" t="s">
        <v>443</v>
      </c>
      <c r="L1106" s="14" t="s">
        <v>303</v>
      </c>
      <c r="M1106" s="14" t="s">
        <v>565</v>
      </c>
      <c r="N1106" s="14" t="s">
        <v>446</v>
      </c>
      <c r="O1106" s="14" t="s">
        <v>303</v>
      </c>
    </row>
    <row r="1107" spans="1:15" ht="30" x14ac:dyDescent="0.2">
      <c r="A1107" s="2" t="s">
        <v>2758</v>
      </c>
      <c r="B1107" s="2" t="s">
        <v>2661</v>
      </c>
      <c r="C1107" s="2" t="s">
        <v>255</v>
      </c>
      <c r="D1107" s="2" t="s">
        <v>442</v>
      </c>
      <c r="E1107" s="4">
        <v>17.989999999999998</v>
      </c>
      <c r="F1107" s="4">
        <v>13.48</v>
      </c>
      <c r="G1107" s="3">
        <v>1</v>
      </c>
      <c r="H1107" s="6">
        <v>0</v>
      </c>
      <c r="I1107" s="3">
        <v>0</v>
      </c>
      <c r="J1107" s="13" t="str">
        <f>HYPERLINK("https://amazon.com/dp/B0DGPXTZJQ","Amazon - B0DGPXTZJQ")</f>
        <v>Amazon - B0DGPXTZJQ</v>
      </c>
      <c r="K1107" s="14" t="s">
        <v>443</v>
      </c>
      <c r="L1107" s="14" t="s">
        <v>303</v>
      </c>
      <c r="M1107" s="14" t="s">
        <v>303</v>
      </c>
      <c r="N1107" s="14" t="s">
        <v>446</v>
      </c>
      <c r="O1107" s="14" t="s">
        <v>303</v>
      </c>
    </row>
    <row r="1108" spans="1:15" ht="30" x14ac:dyDescent="0.2">
      <c r="A1108" s="2" t="s">
        <v>2759</v>
      </c>
      <c r="B1108" s="2" t="s">
        <v>2760</v>
      </c>
      <c r="C1108" s="2" t="s">
        <v>122</v>
      </c>
      <c r="D1108" s="2" t="s">
        <v>450</v>
      </c>
      <c r="E1108" s="4">
        <v>11.34</v>
      </c>
      <c r="F1108" s="4">
        <v>13.37</v>
      </c>
      <c r="G1108" s="3">
        <v>1</v>
      </c>
      <c r="H1108" s="6">
        <v>2.2999999999999998</v>
      </c>
      <c r="I1108" s="3">
        <v>4</v>
      </c>
      <c r="J1108" s="13" t="str">
        <f>HYPERLINK("https://amazon.com/dp/B08B8HXBCP","Amazon - B08B8HXBCP")</f>
        <v>Amazon - B08B8HXBCP</v>
      </c>
      <c r="K1108" s="14" t="s">
        <v>443</v>
      </c>
      <c r="L1108" s="14" t="s">
        <v>1725</v>
      </c>
      <c r="M1108" s="14" t="s">
        <v>462</v>
      </c>
      <c r="N1108" s="14" t="s">
        <v>446</v>
      </c>
      <c r="O1108" s="14" t="s">
        <v>453</v>
      </c>
    </row>
    <row r="1109" spans="1:15" x14ac:dyDescent="0.2">
      <c r="A1109" s="2" t="s">
        <v>2761</v>
      </c>
      <c r="B1109" s="2" t="s">
        <v>2762</v>
      </c>
      <c r="C1109" s="2" t="s">
        <v>297</v>
      </c>
      <c r="D1109" s="2" t="s">
        <v>442</v>
      </c>
      <c r="E1109" s="4">
        <v>9.09</v>
      </c>
      <c r="F1109" s="4">
        <v>12.37</v>
      </c>
      <c r="G1109" s="3">
        <v>1</v>
      </c>
      <c r="H1109" s="6">
        <v>0</v>
      </c>
      <c r="I1109" s="3">
        <v>0</v>
      </c>
      <c r="J1109" s="13" t="str">
        <f>HYPERLINK("https://amazon.com/dp/B08ZS1S4K8","Amazon - B08ZS1S4K8")</f>
        <v>Amazon - B08ZS1S4K8</v>
      </c>
      <c r="K1109" s="14" t="s">
        <v>443</v>
      </c>
      <c r="L1109" s="14" t="s">
        <v>303</v>
      </c>
      <c r="M1109" s="14" t="s">
        <v>303</v>
      </c>
      <c r="N1109" s="14" t="s">
        <v>446</v>
      </c>
      <c r="O1109" s="14" t="s">
        <v>303</v>
      </c>
    </row>
    <row r="1110" spans="1:15" ht="30" x14ac:dyDescent="0.2">
      <c r="A1110" s="2" t="s">
        <v>2763</v>
      </c>
      <c r="B1110" s="2" t="s">
        <v>2764</v>
      </c>
      <c r="C1110" s="2" t="s">
        <v>223</v>
      </c>
      <c r="D1110" s="2" t="s">
        <v>450</v>
      </c>
      <c r="E1110" s="4">
        <v>19.989999999999998</v>
      </c>
      <c r="F1110" s="4">
        <v>11.72</v>
      </c>
      <c r="G1110" s="3">
        <v>1</v>
      </c>
      <c r="H1110" s="6">
        <v>3.6</v>
      </c>
      <c r="I1110" s="3">
        <v>33</v>
      </c>
      <c r="J1110" s="13" t="str">
        <f>HYPERLINK("https://amazon.com/dp/B0CRRGTJ4N","Amazon - B0CRRGTJ4N")</f>
        <v>Amazon - B0CRRGTJ4N</v>
      </c>
      <c r="K1110" s="14" t="s">
        <v>443</v>
      </c>
      <c r="L1110" s="14" t="s">
        <v>303</v>
      </c>
      <c r="M1110" s="14" t="s">
        <v>303</v>
      </c>
      <c r="N1110" s="14" t="s">
        <v>446</v>
      </c>
      <c r="O1110" s="14" t="s">
        <v>745</v>
      </c>
    </row>
    <row r="1111" spans="1:15" ht="30" x14ac:dyDescent="0.2">
      <c r="A1111" s="2" t="s">
        <v>2765</v>
      </c>
      <c r="B1111" s="2" t="s">
        <v>2766</v>
      </c>
      <c r="C1111" s="2" t="s">
        <v>280</v>
      </c>
      <c r="D1111" s="2" t="s">
        <v>450</v>
      </c>
      <c r="E1111" s="4">
        <v>8.3000000000000007</v>
      </c>
      <c r="F1111" s="4">
        <v>11.51</v>
      </c>
      <c r="G1111" s="3">
        <v>1</v>
      </c>
      <c r="H1111" s="6">
        <v>0</v>
      </c>
      <c r="I1111" s="3">
        <v>0</v>
      </c>
      <c r="J1111" s="13" t="str">
        <f>HYPERLINK("https://amazon.com/dp/B0CKRRQ5W4","Amazon - B0CKRRQ5W4")</f>
        <v>Amazon - B0CKRRQ5W4</v>
      </c>
      <c r="K1111" s="14" t="s">
        <v>443</v>
      </c>
      <c r="L1111" s="14" t="s">
        <v>303</v>
      </c>
      <c r="M1111" s="14" t="s">
        <v>303</v>
      </c>
      <c r="N1111" s="14" t="s">
        <v>446</v>
      </c>
      <c r="O1111" s="14" t="s">
        <v>453</v>
      </c>
    </row>
    <row r="1112" spans="1:15" ht="30" x14ac:dyDescent="0.2">
      <c r="A1112" s="2" t="s">
        <v>2767</v>
      </c>
      <c r="B1112" s="2" t="s">
        <v>2768</v>
      </c>
      <c r="C1112" s="2" t="s">
        <v>298</v>
      </c>
      <c r="D1112" s="2" t="s">
        <v>450</v>
      </c>
      <c r="E1112" s="4">
        <v>11.01</v>
      </c>
      <c r="F1112" s="4">
        <v>11.3</v>
      </c>
      <c r="G1112" s="3">
        <v>1</v>
      </c>
      <c r="H1112" s="6">
        <v>1</v>
      </c>
      <c r="I1112" s="3">
        <v>1</v>
      </c>
      <c r="J1112" s="13" t="str">
        <f>HYPERLINK("https://amazon.com/dp/B0CDQ3JW1Y","Amazon - B0CDQ3JW1Y")</f>
        <v>Amazon - B0CDQ3JW1Y</v>
      </c>
      <c r="K1112" s="14" t="s">
        <v>443</v>
      </c>
      <c r="L1112" s="14" t="s">
        <v>303</v>
      </c>
      <c r="M1112" s="14" t="s">
        <v>565</v>
      </c>
      <c r="N1112" s="14" t="s">
        <v>446</v>
      </c>
      <c r="O1112" s="14" t="s">
        <v>578</v>
      </c>
    </row>
    <row r="1113" spans="1:15" ht="30" x14ac:dyDescent="0.2">
      <c r="A1113" s="2" t="s">
        <v>2769</v>
      </c>
      <c r="B1113" s="2" t="s">
        <v>2770</v>
      </c>
      <c r="C1113" s="2" t="s">
        <v>287</v>
      </c>
      <c r="D1113" s="2" t="s">
        <v>442</v>
      </c>
      <c r="E1113" s="4">
        <v>18.91</v>
      </c>
      <c r="F1113" s="4">
        <v>10.69</v>
      </c>
      <c r="G1113" s="3">
        <v>1</v>
      </c>
      <c r="H1113" s="6">
        <v>0</v>
      </c>
      <c r="I1113" s="3">
        <v>0</v>
      </c>
      <c r="J1113" s="13" t="str">
        <f>HYPERLINK("https://amazon.com/dp/B0F27HZ5JF","Amazon - B0F27HZ5JF")</f>
        <v>Amazon - B0F27HZ5JF</v>
      </c>
      <c r="K1113" s="14" t="s">
        <v>443</v>
      </c>
      <c r="L1113" s="14" t="s">
        <v>303</v>
      </c>
      <c r="M1113" s="14" t="s">
        <v>303</v>
      </c>
      <c r="N1113" s="14" t="s">
        <v>446</v>
      </c>
      <c r="O1113" s="14" t="s">
        <v>303</v>
      </c>
    </row>
    <row r="1114" spans="1:15" ht="45" x14ac:dyDescent="0.2">
      <c r="A1114" s="2" t="s">
        <v>2771</v>
      </c>
      <c r="B1114" s="2" t="s">
        <v>2772</v>
      </c>
      <c r="C1114" s="2" t="s">
        <v>278</v>
      </c>
      <c r="D1114" s="2" t="s">
        <v>450</v>
      </c>
      <c r="E1114" s="4">
        <v>17.09</v>
      </c>
      <c r="F1114" s="4">
        <v>9.52</v>
      </c>
      <c r="G1114" s="3">
        <v>1</v>
      </c>
      <c r="H1114" s="6">
        <v>4.0999999999999996</v>
      </c>
      <c r="I1114" s="3">
        <v>6</v>
      </c>
      <c r="J1114" s="13" t="str">
        <f>HYPERLINK("https://amazon.com/dp/B09BKW24YN","Amazon - B09BKW24YN")</f>
        <v>Amazon - B09BKW24YN</v>
      </c>
      <c r="K1114" s="14" t="s">
        <v>443</v>
      </c>
      <c r="L1114" s="14" t="s">
        <v>451</v>
      </c>
      <c r="M1114" s="14" t="s">
        <v>565</v>
      </c>
      <c r="N1114" s="14" t="s">
        <v>446</v>
      </c>
      <c r="O1114" s="14" t="s">
        <v>543</v>
      </c>
    </row>
    <row r="1115" spans="1:15" ht="30" x14ac:dyDescent="0.2">
      <c r="A1115" s="2" t="s">
        <v>2773</v>
      </c>
      <c r="B1115" s="2" t="s">
        <v>2774</v>
      </c>
      <c r="C1115" s="2" t="s">
        <v>122</v>
      </c>
      <c r="D1115" s="2" t="s">
        <v>450</v>
      </c>
      <c r="E1115" s="4">
        <v>11.83</v>
      </c>
      <c r="F1115" s="4">
        <v>8.3800000000000008</v>
      </c>
      <c r="G1115" s="3">
        <v>1</v>
      </c>
      <c r="H1115" s="6">
        <v>0</v>
      </c>
      <c r="I1115" s="3">
        <v>0</v>
      </c>
      <c r="J1115" s="13" t="str">
        <f>HYPERLINK("https://amazon.com/dp/B0CH8XVVD2","Amazon - B0CH8XVVD2")</f>
        <v>Amazon - B0CH8XVVD2</v>
      </c>
      <c r="K1115" s="14" t="s">
        <v>443</v>
      </c>
      <c r="L1115" s="14" t="s">
        <v>303</v>
      </c>
      <c r="M1115" s="14" t="s">
        <v>565</v>
      </c>
      <c r="N1115" s="14" t="s">
        <v>446</v>
      </c>
      <c r="O1115" s="14" t="s">
        <v>543</v>
      </c>
    </row>
    <row r="1116" spans="1:15" x14ac:dyDescent="0.2">
      <c r="A1116" s="2" t="s">
        <v>2775</v>
      </c>
      <c r="B1116" s="2" t="s">
        <v>2776</v>
      </c>
      <c r="C1116" s="2" t="s">
        <v>299</v>
      </c>
      <c r="D1116" s="2" t="s">
        <v>450</v>
      </c>
      <c r="E1116" s="4">
        <v>10.24</v>
      </c>
      <c r="F1116" s="4">
        <v>7.58</v>
      </c>
      <c r="G1116" s="3">
        <v>1</v>
      </c>
      <c r="H1116" s="6">
        <v>1</v>
      </c>
      <c r="I1116" s="3">
        <v>1</v>
      </c>
      <c r="J1116" s="13" t="str">
        <f>HYPERLINK("https://amazon.com/dp/B0DFBYXVDD","Amazon - B0DFBYXVDD")</f>
        <v>Amazon - B0DFBYXVDD</v>
      </c>
      <c r="K1116" s="14" t="s">
        <v>443</v>
      </c>
      <c r="L1116" s="14" t="s">
        <v>303</v>
      </c>
      <c r="M1116" s="14" t="s">
        <v>303</v>
      </c>
      <c r="N1116" s="14" t="s">
        <v>446</v>
      </c>
      <c r="O1116" s="14" t="s">
        <v>303</v>
      </c>
    </row>
    <row r="1117" spans="1:15" ht="30" x14ac:dyDescent="0.2">
      <c r="A1117" s="2" t="s">
        <v>2777</v>
      </c>
      <c r="B1117" s="2" t="s">
        <v>2770</v>
      </c>
      <c r="C1117" s="2" t="s">
        <v>287</v>
      </c>
      <c r="D1117" s="2" t="s">
        <v>442</v>
      </c>
      <c r="E1117" s="4">
        <v>8.43</v>
      </c>
      <c r="F1117" s="4">
        <v>7.56</v>
      </c>
      <c r="G1117" s="3">
        <v>1</v>
      </c>
      <c r="H1117" s="6">
        <v>0</v>
      </c>
      <c r="I1117" s="3">
        <v>0</v>
      </c>
      <c r="J1117" s="13" t="str">
        <f>HYPERLINK("https://amazon.com/dp/B0F27JTJZQ","Amazon - B0F27JTJZQ")</f>
        <v>Amazon - B0F27JTJZQ</v>
      </c>
      <c r="K1117" s="14" t="s">
        <v>443</v>
      </c>
      <c r="L1117" s="14" t="s">
        <v>303</v>
      </c>
      <c r="M1117" s="14" t="s">
        <v>303</v>
      </c>
      <c r="N1117" s="14" t="s">
        <v>446</v>
      </c>
      <c r="O1117" s="14" t="s">
        <v>303</v>
      </c>
    </row>
    <row r="1118" spans="1:15" ht="30" x14ac:dyDescent="0.2">
      <c r="A1118" s="2" t="s">
        <v>2778</v>
      </c>
      <c r="B1118" s="2" t="s">
        <v>2779</v>
      </c>
      <c r="C1118" s="2" t="s">
        <v>300</v>
      </c>
      <c r="D1118" s="2" t="s">
        <v>442</v>
      </c>
      <c r="E1118" s="4">
        <v>7.99</v>
      </c>
      <c r="F1118" s="4">
        <v>5.91</v>
      </c>
      <c r="G1118" s="3">
        <v>1</v>
      </c>
      <c r="H1118" s="6">
        <v>0</v>
      </c>
      <c r="I1118" s="3">
        <v>0</v>
      </c>
      <c r="J1118" s="13" t="str">
        <f>HYPERLINK("https://amazon.com/dp/B0GG9LFJPJ","Amazon - B0GG9LFJPJ")</f>
        <v>Amazon - B0GG9LFJPJ</v>
      </c>
      <c r="K1118" s="14" t="s">
        <v>443</v>
      </c>
      <c r="L1118" s="14" t="s">
        <v>303</v>
      </c>
      <c r="M1118" s="14" t="s">
        <v>303</v>
      </c>
      <c r="N1118" s="14" t="s">
        <v>446</v>
      </c>
      <c r="O1118" s="14" t="s">
        <v>303</v>
      </c>
    </row>
    <row r="1119" spans="1:15" ht="45" x14ac:dyDescent="0.2">
      <c r="A1119" s="2" t="s">
        <v>2780</v>
      </c>
      <c r="B1119" s="2" t="s">
        <v>2781</v>
      </c>
      <c r="C1119" s="2" t="s">
        <v>301</v>
      </c>
      <c r="D1119" s="2" t="s">
        <v>442</v>
      </c>
      <c r="E1119" s="4">
        <v>9.65</v>
      </c>
      <c r="F1119" s="4">
        <v>5.0999999999999996</v>
      </c>
      <c r="G1119" s="3">
        <v>1</v>
      </c>
      <c r="H1119" s="6">
        <v>0</v>
      </c>
      <c r="I1119" s="3">
        <v>0</v>
      </c>
      <c r="J1119" s="13" t="str">
        <f>HYPERLINK("https://amazon.com/dp/B0GLQ5LGC9","Amazon - B0GLQ5LGC9")</f>
        <v>Amazon - B0GLQ5LGC9</v>
      </c>
      <c r="K1119" s="14" t="s">
        <v>443</v>
      </c>
      <c r="L1119" s="14" t="s">
        <v>303</v>
      </c>
      <c r="M1119" s="14" t="s">
        <v>303</v>
      </c>
      <c r="N1119" s="14" t="s">
        <v>446</v>
      </c>
      <c r="O1119" s="14" t="s">
        <v>543</v>
      </c>
    </row>
    <row r="1120" spans="1:15" ht="45" x14ac:dyDescent="0.2">
      <c r="A1120" s="2" t="s">
        <v>2782</v>
      </c>
      <c r="B1120" s="2" t="s">
        <v>2783</v>
      </c>
      <c r="C1120" s="2" t="s">
        <v>40</v>
      </c>
      <c r="D1120" s="2" t="s">
        <v>472</v>
      </c>
      <c r="E1120" s="4">
        <v>276.99</v>
      </c>
      <c r="F1120" s="14"/>
      <c r="G1120" s="3">
        <v>0</v>
      </c>
      <c r="H1120" s="6">
        <v>4.0999999999999996</v>
      </c>
      <c r="I1120" s="3">
        <v>2</v>
      </c>
      <c r="J1120" s="13" t="str">
        <f>HYPERLINK("https://amazon.com/dp/B09KSYJ48V","Amazon - B09KSYJ48V")</f>
        <v>Amazon - B09KSYJ48V</v>
      </c>
      <c r="K1120" s="14" t="s">
        <v>443</v>
      </c>
      <c r="L1120" s="14" t="s">
        <v>456</v>
      </c>
      <c r="M1120" s="14" t="s">
        <v>773</v>
      </c>
      <c r="N1120" s="14" t="s">
        <v>446</v>
      </c>
      <c r="O1120" s="14" t="s">
        <v>629</v>
      </c>
    </row>
    <row r="1121" spans="1:15" ht="45" x14ac:dyDescent="0.2">
      <c r="A1121" s="2" t="s">
        <v>2784</v>
      </c>
      <c r="B1121" s="2" t="s">
        <v>2785</v>
      </c>
      <c r="C1121" s="2" t="s">
        <v>159</v>
      </c>
      <c r="D1121" s="2" t="s">
        <v>442</v>
      </c>
      <c r="E1121" s="4">
        <v>17.5</v>
      </c>
      <c r="F1121" s="14"/>
      <c r="G1121" s="3">
        <v>0</v>
      </c>
      <c r="H1121" s="6">
        <v>0</v>
      </c>
      <c r="I1121" s="3">
        <v>0</v>
      </c>
      <c r="J1121" s="13" t="str">
        <f>HYPERLINK("https://amazon.com/dp/B0F98KMM3C","Amazon - B0F98KMM3C")</f>
        <v>Amazon - B0F98KMM3C</v>
      </c>
      <c r="K1121" s="14" t="s">
        <v>443</v>
      </c>
      <c r="L1121" s="14" t="s">
        <v>456</v>
      </c>
      <c r="M1121" s="14" t="s">
        <v>303</v>
      </c>
      <c r="N1121" s="14" t="s">
        <v>446</v>
      </c>
      <c r="O1121" s="14" t="s">
        <v>453</v>
      </c>
    </row>
    <row r="1122" spans="1:15" ht="45" x14ac:dyDescent="0.2">
      <c r="A1122" s="2" t="s">
        <v>2786</v>
      </c>
      <c r="B1122" s="2" t="s">
        <v>2787</v>
      </c>
      <c r="C1122" s="2" t="s">
        <v>14</v>
      </c>
      <c r="D1122" s="2" t="s">
        <v>472</v>
      </c>
      <c r="E1122" s="4">
        <v>229.88</v>
      </c>
      <c r="F1122" s="14"/>
      <c r="G1122" s="3">
        <v>0</v>
      </c>
      <c r="H1122" s="6">
        <v>0</v>
      </c>
      <c r="I1122" s="3">
        <v>0</v>
      </c>
      <c r="J1122" s="13" t="str">
        <f>HYPERLINK("https://amazon.com/dp/B0GH67SNRL","Amazon - B0GH67SNRL")</f>
        <v>Amazon - B0GH67SNRL</v>
      </c>
      <c r="K1122" s="14" t="s">
        <v>443</v>
      </c>
      <c r="L1122" s="14" t="s">
        <v>461</v>
      </c>
      <c r="M1122" s="14" t="s">
        <v>866</v>
      </c>
      <c r="N1122" s="14" t="s">
        <v>446</v>
      </c>
      <c r="O1122" s="14" t="s">
        <v>742</v>
      </c>
    </row>
    <row r="1123" spans="1:15" ht="45" x14ac:dyDescent="0.2">
      <c r="A1123" s="2" t="s">
        <v>2788</v>
      </c>
      <c r="B1123" s="2" t="s">
        <v>2789</v>
      </c>
      <c r="C1123" s="2" t="s">
        <v>113</v>
      </c>
      <c r="D1123" s="2" t="s">
        <v>442</v>
      </c>
      <c r="E1123" s="4">
        <v>26.99</v>
      </c>
      <c r="F1123" s="14"/>
      <c r="G1123" s="3">
        <v>0</v>
      </c>
      <c r="H1123" s="6">
        <v>4.4000000000000004</v>
      </c>
      <c r="I1123" s="3">
        <v>693</v>
      </c>
      <c r="J1123" s="13" t="str">
        <f>HYPERLINK("https://amazon.com/dp/B0CL2CQXP2","Amazon - B0CL2CQXP2")</f>
        <v>Amazon - B0CL2CQXP2</v>
      </c>
      <c r="K1123" s="14" t="s">
        <v>443</v>
      </c>
      <c r="L1123" s="14" t="s">
        <v>461</v>
      </c>
      <c r="M1123" s="14" t="s">
        <v>303</v>
      </c>
      <c r="N1123" s="14" t="s">
        <v>446</v>
      </c>
      <c r="O1123" s="14" t="s">
        <v>453</v>
      </c>
    </row>
    <row r="1124" spans="1:15" ht="45" x14ac:dyDescent="0.2">
      <c r="A1124" s="2" t="s">
        <v>2790</v>
      </c>
      <c r="B1124" s="2" t="s">
        <v>2791</v>
      </c>
      <c r="C1124" s="2" t="s">
        <v>40</v>
      </c>
      <c r="D1124" s="2" t="s">
        <v>472</v>
      </c>
      <c r="E1124" s="4">
        <v>275.99</v>
      </c>
      <c r="F1124" s="14"/>
      <c r="G1124" s="3">
        <v>0</v>
      </c>
      <c r="H1124" s="6">
        <v>4.0999999999999996</v>
      </c>
      <c r="I1124" s="3">
        <v>26</v>
      </c>
      <c r="J1124" s="13" t="str">
        <f>HYPERLINK("https://amazon.com/dp/B09KTLJDSG","Amazon - B09KTLJDSG")</f>
        <v>Amazon - B09KTLJDSG</v>
      </c>
      <c r="K1124" s="14" t="s">
        <v>443</v>
      </c>
      <c r="L1124" s="14" t="s">
        <v>456</v>
      </c>
      <c r="M1124" s="14" t="s">
        <v>503</v>
      </c>
      <c r="N1124" s="14" t="s">
        <v>446</v>
      </c>
      <c r="O1124" s="14" t="s">
        <v>629</v>
      </c>
    </row>
    <row r="1125" spans="1:15" ht="45" x14ac:dyDescent="0.2">
      <c r="A1125" s="2" t="s">
        <v>2792</v>
      </c>
      <c r="B1125" s="2" t="s">
        <v>2793</v>
      </c>
      <c r="C1125" s="2" t="s">
        <v>40</v>
      </c>
      <c r="D1125" s="2" t="s">
        <v>472</v>
      </c>
      <c r="E1125" s="4">
        <v>275.99</v>
      </c>
      <c r="F1125" s="14"/>
      <c r="G1125" s="3">
        <v>0</v>
      </c>
      <c r="H1125" s="6">
        <v>4</v>
      </c>
      <c r="I1125" s="3">
        <v>2</v>
      </c>
      <c r="J1125" s="13" t="str">
        <f>HYPERLINK("https://amazon.com/dp/B09KT9RR74","Amazon - B09KT9RR74")</f>
        <v>Amazon - B09KT9RR74</v>
      </c>
      <c r="K1125" s="14" t="s">
        <v>443</v>
      </c>
      <c r="L1125" s="14" t="s">
        <v>456</v>
      </c>
      <c r="M1125" s="14" t="s">
        <v>503</v>
      </c>
      <c r="N1125" s="14" t="s">
        <v>446</v>
      </c>
      <c r="O1125" s="14" t="s">
        <v>629</v>
      </c>
    </row>
    <row r="1126" spans="1:15" ht="30" x14ac:dyDescent="0.2">
      <c r="A1126" s="2" t="s">
        <v>2794</v>
      </c>
      <c r="B1126" s="2" t="s">
        <v>2795</v>
      </c>
      <c r="C1126" s="2" t="s">
        <v>29</v>
      </c>
      <c r="D1126" s="2" t="s">
        <v>472</v>
      </c>
      <c r="E1126" s="4">
        <v>278.98</v>
      </c>
      <c r="F1126" s="14"/>
      <c r="G1126" s="3">
        <v>0</v>
      </c>
      <c r="H1126" s="6">
        <v>5</v>
      </c>
      <c r="I1126" s="3">
        <v>2</v>
      </c>
      <c r="J1126" s="13" t="str">
        <f>HYPERLINK("https://amazon.com/dp/B0FDQC9RVJ","Amazon - B0FDQC9RVJ")</f>
        <v>Amazon - B0FDQC9RVJ</v>
      </c>
      <c r="K1126" s="14" t="s">
        <v>443</v>
      </c>
      <c r="L1126" s="14" t="s">
        <v>667</v>
      </c>
      <c r="M1126" s="14" t="s">
        <v>503</v>
      </c>
      <c r="N1126" s="14" t="s">
        <v>446</v>
      </c>
      <c r="O1126" s="14" t="s">
        <v>517</v>
      </c>
    </row>
    <row r="1127" spans="1:15" ht="45" x14ac:dyDescent="0.2">
      <c r="A1127" s="2" t="s">
        <v>2796</v>
      </c>
      <c r="B1127" s="2" t="s">
        <v>2797</v>
      </c>
      <c r="C1127" s="2" t="s">
        <v>15</v>
      </c>
      <c r="D1127" s="2" t="s">
        <v>442</v>
      </c>
      <c r="E1127" s="4">
        <v>149.99</v>
      </c>
      <c r="F1127" s="14"/>
      <c r="G1127" s="3">
        <v>0</v>
      </c>
      <c r="H1127" s="6">
        <v>4.5999999999999996</v>
      </c>
      <c r="I1127" s="3">
        <v>65</v>
      </c>
      <c r="J1127" s="13" t="str">
        <f>HYPERLINK("https://amazon.com/dp/B0GJRH8578","Amazon - B0GJRH8578")</f>
        <v>Amazon - B0GJRH8578</v>
      </c>
      <c r="K1127" s="14" t="s">
        <v>443</v>
      </c>
      <c r="L1127" s="14" t="s">
        <v>461</v>
      </c>
      <c r="M1127" s="14" t="s">
        <v>457</v>
      </c>
      <c r="N1127" s="14" t="s">
        <v>446</v>
      </c>
      <c r="O1127" s="14" t="s">
        <v>487</v>
      </c>
    </row>
    <row r="1128" spans="1:15" ht="45" x14ac:dyDescent="0.2">
      <c r="A1128" s="2" t="s">
        <v>2798</v>
      </c>
      <c r="B1128" s="2" t="s">
        <v>2799</v>
      </c>
      <c r="C1128" s="2" t="s">
        <v>163</v>
      </c>
      <c r="D1128" s="2" t="s">
        <v>442</v>
      </c>
      <c r="E1128" s="4">
        <v>149.99</v>
      </c>
      <c r="F1128" s="14"/>
      <c r="G1128" s="3">
        <v>0</v>
      </c>
      <c r="H1128" s="6">
        <v>4.7</v>
      </c>
      <c r="I1128" s="3">
        <v>9</v>
      </c>
      <c r="J1128" s="13" t="str">
        <f>HYPERLINK("https://amazon.com/dp/B0G4L9PP65","Amazon - B0G4L9PP65")</f>
        <v>Amazon - B0G4L9PP65</v>
      </c>
      <c r="K1128" s="14" t="s">
        <v>443</v>
      </c>
      <c r="L1128" s="14" t="s">
        <v>461</v>
      </c>
      <c r="M1128" s="14" t="s">
        <v>511</v>
      </c>
      <c r="N1128" s="14" t="s">
        <v>446</v>
      </c>
      <c r="O1128" s="14" t="s">
        <v>578</v>
      </c>
    </row>
    <row r="1129" spans="1:15" ht="30" x14ac:dyDescent="0.2">
      <c r="A1129" s="2" t="s">
        <v>2800</v>
      </c>
      <c r="B1129" s="2" t="s">
        <v>2801</v>
      </c>
      <c r="C1129" s="2" t="s">
        <v>312</v>
      </c>
      <c r="D1129" s="2" t="s">
        <v>823</v>
      </c>
      <c r="E1129" s="4">
        <v>45.99</v>
      </c>
      <c r="F1129" s="14"/>
      <c r="G1129" s="3">
        <v>0</v>
      </c>
      <c r="H1129" s="6">
        <v>2.9</v>
      </c>
      <c r="I1129" s="3">
        <v>3</v>
      </c>
      <c r="J1129" s="13" t="str">
        <f>HYPERLINK("https://amazon.com/dp/B0FR1JJ8PR","Amazon - B0FR1JJ8PR")</f>
        <v>Amazon - B0FR1JJ8PR</v>
      </c>
      <c r="K1129" s="14" t="s">
        <v>443</v>
      </c>
      <c r="L1129" s="14" t="s">
        <v>451</v>
      </c>
      <c r="M1129" s="14" t="s">
        <v>303</v>
      </c>
      <c r="N1129" s="14" t="s">
        <v>446</v>
      </c>
      <c r="O1129" s="14" t="s">
        <v>303</v>
      </c>
    </row>
    <row r="1130" spans="1:15" ht="30" x14ac:dyDescent="0.2">
      <c r="A1130" s="2" t="s">
        <v>2802</v>
      </c>
      <c r="B1130" s="2" t="s">
        <v>612</v>
      </c>
      <c r="C1130" s="2" t="s">
        <v>49</v>
      </c>
      <c r="D1130" s="2" t="s">
        <v>478</v>
      </c>
      <c r="E1130" s="4">
        <v>29.9</v>
      </c>
      <c r="F1130" s="14"/>
      <c r="G1130" s="3">
        <v>0</v>
      </c>
      <c r="H1130" s="6">
        <v>4.5</v>
      </c>
      <c r="I1130" s="3">
        <v>2500</v>
      </c>
      <c r="J1130" s="13" t="str">
        <f>HYPERLINK("https://amazon.com/dp/B0C2P7TP2V","Amazon - B0C2P7TP2V")</f>
        <v>Amazon - B0C2P7TP2V</v>
      </c>
      <c r="K1130" s="14" t="s">
        <v>514</v>
      </c>
      <c r="L1130" s="14" t="s">
        <v>456</v>
      </c>
      <c r="M1130" s="14" t="s">
        <v>445</v>
      </c>
      <c r="N1130" s="14" t="s">
        <v>446</v>
      </c>
      <c r="O1130" s="14" t="s">
        <v>453</v>
      </c>
    </row>
    <row r="1131" spans="1:15" ht="45" x14ac:dyDescent="0.2">
      <c r="A1131" s="2" t="s">
        <v>2803</v>
      </c>
      <c r="B1131" s="2" t="s">
        <v>2804</v>
      </c>
      <c r="C1131" s="2" t="s">
        <v>65</v>
      </c>
      <c r="D1131" s="2" t="s">
        <v>450</v>
      </c>
      <c r="E1131" s="4">
        <v>19.98</v>
      </c>
      <c r="F1131" s="14"/>
      <c r="G1131" s="3">
        <v>0</v>
      </c>
      <c r="H1131" s="6">
        <v>4.8</v>
      </c>
      <c r="I1131" s="3">
        <v>22</v>
      </c>
      <c r="J1131" s="13" t="str">
        <f>HYPERLINK("https://amazon.com/dp/B0G58PZKWG","Amazon - B0G58PZKWG")</f>
        <v>Amazon - B0G58PZKWG</v>
      </c>
      <c r="K1131" s="14" t="s">
        <v>443</v>
      </c>
      <c r="L1131" s="14" t="s">
        <v>451</v>
      </c>
      <c r="M1131" s="14" t="s">
        <v>303</v>
      </c>
      <c r="N1131" s="14" t="s">
        <v>452</v>
      </c>
      <c r="O1131" s="14" t="s">
        <v>453</v>
      </c>
    </row>
    <row r="1132" spans="1:15" ht="45" x14ac:dyDescent="0.2">
      <c r="A1132" s="2" t="s">
        <v>2805</v>
      </c>
      <c r="B1132" s="2" t="s">
        <v>2806</v>
      </c>
      <c r="C1132" s="2" t="s">
        <v>16</v>
      </c>
      <c r="D1132" s="2" t="s">
        <v>450</v>
      </c>
      <c r="E1132" s="4">
        <v>39.99</v>
      </c>
      <c r="F1132" s="14"/>
      <c r="G1132" s="3">
        <v>0</v>
      </c>
      <c r="H1132" s="6">
        <v>4.4000000000000004</v>
      </c>
      <c r="I1132" s="3">
        <v>692</v>
      </c>
      <c r="J1132" s="13" t="str">
        <f>HYPERLINK("https://amazon.com/dp/B0CNPLSNBN","Amazon - B0CNPLSNBN")</f>
        <v>Amazon - B0CNPLSNBN</v>
      </c>
      <c r="K1132" s="14" t="s">
        <v>443</v>
      </c>
      <c r="L1132" s="14" t="s">
        <v>2807</v>
      </c>
      <c r="M1132" s="14" t="s">
        <v>445</v>
      </c>
      <c r="N1132" s="14" t="s">
        <v>452</v>
      </c>
      <c r="O1132" s="14" t="s">
        <v>303</v>
      </c>
    </row>
    <row r="1133" spans="1:15" ht="45" x14ac:dyDescent="0.2">
      <c r="A1133" s="2" t="s">
        <v>2808</v>
      </c>
      <c r="B1133" s="2" t="s">
        <v>2809</v>
      </c>
      <c r="C1133" s="2" t="s">
        <v>14</v>
      </c>
      <c r="D1133" s="2" t="s">
        <v>472</v>
      </c>
      <c r="E1133" s="4">
        <v>859.88</v>
      </c>
      <c r="F1133" s="14"/>
      <c r="G1133" s="3">
        <v>0</v>
      </c>
      <c r="H1133" s="6">
        <v>4.4000000000000004</v>
      </c>
      <c r="I1133" s="3">
        <v>70</v>
      </c>
      <c r="J1133" s="13" t="str">
        <f>HYPERLINK("https://amazon.com/dp/B0DPFC9ZQ9","Amazon - B0DPFC9ZQ9")</f>
        <v>Amazon - B0DPFC9ZQ9</v>
      </c>
      <c r="K1133" s="14" t="s">
        <v>443</v>
      </c>
      <c r="L1133" s="14" t="s">
        <v>303</v>
      </c>
      <c r="M1133" s="14" t="s">
        <v>303</v>
      </c>
      <c r="N1133" s="14" t="s">
        <v>446</v>
      </c>
      <c r="O1133" s="14" t="s">
        <v>570</v>
      </c>
    </row>
    <row r="1134" spans="1:15" ht="45" x14ac:dyDescent="0.2">
      <c r="A1134" s="2" t="s">
        <v>2810</v>
      </c>
      <c r="B1134" s="2" t="s">
        <v>2351</v>
      </c>
      <c r="C1134" s="2" t="s">
        <v>228</v>
      </c>
      <c r="D1134" s="2" t="s">
        <v>450</v>
      </c>
      <c r="E1134" s="4">
        <v>9.99</v>
      </c>
      <c r="F1134" s="14"/>
      <c r="G1134" s="3">
        <v>0</v>
      </c>
      <c r="H1134" s="6">
        <v>4.2</v>
      </c>
      <c r="I1134" s="3">
        <v>61</v>
      </c>
      <c r="J1134" s="13" t="str">
        <f>HYPERLINK("https://amazon.com/dp/B0F2J14263","Amazon - B0F2J14263")</f>
        <v>Amazon - B0F2J14263</v>
      </c>
      <c r="K1134" s="14" t="s">
        <v>443</v>
      </c>
      <c r="L1134" s="14" t="s">
        <v>451</v>
      </c>
      <c r="M1134" s="14" t="s">
        <v>303</v>
      </c>
      <c r="N1134" s="14" t="s">
        <v>446</v>
      </c>
      <c r="O1134" s="14" t="s">
        <v>453</v>
      </c>
    </row>
    <row r="1135" spans="1:15" ht="45" x14ac:dyDescent="0.2">
      <c r="A1135" s="2" t="s">
        <v>2811</v>
      </c>
      <c r="B1135" s="2" t="s">
        <v>2812</v>
      </c>
      <c r="C1135" s="2" t="s">
        <v>9</v>
      </c>
      <c r="D1135" s="2" t="s">
        <v>823</v>
      </c>
      <c r="E1135" s="4">
        <v>36.99</v>
      </c>
      <c r="F1135" s="14"/>
      <c r="G1135" s="3">
        <v>0</v>
      </c>
      <c r="H1135" s="6">
        <v>4.2</v>
      </c>
      <c r="I1135" s="3">
        <v>21830</v>
      </c>
      <c r="J1135" s="13" t="str">
        <f>HYPERLINK("https://amazon.com/dp/B01MYTHWK4","Amazon - B01MYTHWK4")</f>
        <v>Amazon - B01MYTHWK4</v>
      </c>
      <c r="K1135" s="14" t="s">
        <v>443</v>
      </c>
      <c r="L1135" s="14" t="s">
        <v>451</v>
      </c>
      <c r="M1135" s="14" t="s">
        <v>303</v>
      </c>
      <c r="N1135" s="14" t="s">
        <v>446</v>
      </c>
      <c r="O1135" s="14" t="s">
        <v>745</v>
      </c>
    </row>
    <row r="1136" spans="1:15" ht="30" x14ac:dyDescent="0.2">
      <c r="A1136" s="2" t="s">
        <v>2813</v>
      </c>
      <c r="B1136" s="2" t="s">
        <v>2814</v>
      </c>
      <c r="C1136" s="2" t="s">
        <v>66</v>
      </c>
      <c r="D1136" s="2" t="s">
        <v>472</v>
      </c>
      <c r="E1136" s="4">
        <v>248.66</v>
      </c>
      <c r="F1136" s="14"/>
      <c r="G1136" s="3">
        <v>0</v>
      </c>
      <c r="H1136" s="6">
        <v>4.2</v>
      </c>
      <c r="I1136" s="3">
        <v>8</v>
      </c>
      <c r="J1136" s="13" t="str">
        <f>HYPERLINK("https://amazon.com/dp/B0FLPY94WG","Amazon - B0FLPY94WG")</f>
        <v>Amazon - B0FLPY94WG</v>
      </c>
      <c r="K1136" s="14" t="s">
        <v>443</v>
      </c>
      <c r="L1136" s="14" t="s">
        <v>456</v>
      </c>
      <c r="M1136" s="14" t="s">
        <v>688</v>
      </c>
      <c r="N1136" s="14" t="s">
        <v>446</v>
      </c>
      <c r="O1136" s="14" t="s">
        <v>517</v>
      </c>
    </row>
    <row r="1137" spans="1:15" ht="30" x14ac:dyDescent="0.2">
      <c r="A1137" s="2" t="s">
        <v>2815</v>
      </c>
      <c r="B1137" s="2" t="s">
        <v>2816</v>
      </c>
      <c r="C1137" s="2" t="s">
        <v>42</v>
      </c>
      <c r="D1137" s="2" t="s">
        <v>472</v>
      </c>
      <c r="E1137" s="4">
        <v>725.99</v>
      </c>
      <c r="F1137" s="14"/>
      <c r="G1137" s="3">
        <v>0</v>
      </c>
      <c r="H1137" s="6">
        <v>0</v>
      </c>
      <c r="I1137" s="3">
        <v>0</v>
      </c>
      <c r="J1137" s="13" t="str">
        <f>HYPERLINK("https://amazon.com/dp/B0GKN7LJ1K","Amazon - B0GKN7LJ1K")</f>
        <v>Amazon - B0GKN7LJ1K</v>
      </c>
      <c r="K1137" s="14" t="s">
        <v>443</v>
      </c>
      <c r="L1137" s="14" t="s">
        <v>502</v>
      </c>
      <c r="M1137" s="14" t="s">
        <v>303</v>
      </c>
      <c r="N1137" s="14" t="s">
        <v>446</v>
      </c>
      <c r="O1137" s="14" t="s">
        <v>570</v>
      </c>
    </row>
    <row r="1138" spans="1:15" ht="45" x14ac:dyDescent="0.2">
      <c r="A1138" s="2" t="s">
        <v>2817</v>
      </c>
      <c r="B1138" s="2" t="s">
        <v>2818</v>
      </c>
      <c r="C1138" s="2" t="s">
        <v>16</v>
      </c>
      <c r="D1138" s="2" t="s">
        <v>442</v>
      </c>
      <c r="E1138" s="4">
        <v>94.99</v>
      </c>
      <c r="F1138" s="14"/>
      <c r="G1138" s="3">
        <v>0</v>
      </c>
      <c r="H1138" s="6">
        <v>4.7</v>
      </c>
      <c r="I1138" s="3">
        <v>22</v>
      </c>
      <c r="J1138" s="13" t="str">
        <f>HYPERLINK("https://amazon.com/dp/B0CJ939D78","Amazon - B0CJ939D78")</f>
        <v>Amazon - B0CJ939D78</v>
      </c>
      <c r="K1138" s="14" t="s">
        <v>443</v>
      </c>
      <c r="L1138" s="14" t="s">
        <v>483</v>
      </c>
      <c r="M1138" s="14" t="s">
        <v>303</v>
      </c>
      <c r="N1138" s="14" t="s">
        <v>452</v>
      </c>
      <c r="O1138" s="14" t="s">
        <v>487</v>
      </c>
    </row>
    <row r="1139" spans="1:15" ht="30" x14ac:dyDescent="0.2">
      <c r="A1139" s="2" t="s">
        <v>2819</v>
      </c>
      <c r="B1139" s="2" t="s">
        <v>2820</v>
      </c>
      <c r="C1139" s="2" t="s">
        <v>11</v>
      </c>
      <c r="D1139" s="2" t="s">
        <v>472</v>
      </c>
      <c r="E1139" s="4">
        <v>285.99</v>
      </c>
      <c r="F1139" s="14"/>
      <c r="G1139" s="3">
        <v>0</v>
      </c>
      <c r="H1139" s="6">
        <v>3.9</v>
      </c>
      <c r="I1139" s="3">
        <v>109</v>
      </c>
      <c r="J1139" s="13" t="str">
        <f>HYPERLINK("https://amazon.com/dp/B0CMCGDH59","Amazon - B0CMCGDH59")</f>
        <v>Amazon - B0CMCGDH59</v>
      </c>
      <c r="K1139" s="14" t="s">
        <v>443</v>
      </c>
      <c r="L1139" s="14" t="s">
        <v>456</v>
      </c>
      <c r="M1139" s="14" t="s">
        <v>303</v>
      </c>
      <c r="N1139" s="14" t="s">
        <v>446</v>
      </c>
      <c r="O1139" s="14" t="s">
        <v>303</v>
      </c>
    </row>
    <row r="1140" spans="1:15" ht="45" x14ac:dyDescent="0.2">
      <c r="A1140" s="2" t="s">
        <v>2821</v>
      </c>
      <c r="B1140" s="2" t="s">
        <v>2822</v>
      </c>
      <c r="C1140" s="2" t="s">
        <v>64</v>
      </c>
      <c r="D1140" s="2" t="s">
        <v>442</v>
      </c>
      <c r="E1140" s="4">
        <v>79.989999999999995</v>
      </c>
      <c r="F1140" s="14"/>
      <c r="G1140" s="3">
        <v>0</v>
      </c>
      <c r="H1140" s="6">
        <v>0</v>
      </c>
      <c r="I1140" s="3">
        <v>0</v>
      </c>
      <c r="J1140" s="13" t="str">
        <f>HYPERLINK("https://amazon.com/dp/B0GK8W9JSV","Amazon - B0GK8W9JSV")</f>
        <v>Amazon - B0GK8W9JSV</v>
      </c>
      <c r="K1140" s="14" t="s">
        <v>443</v>
      </c>
      <c r="L1140" s="14" t="s">
        <v>461</v>
      </c>
      <c r="M1140" s="14" t="s">
        <v>445</v>
      </c>
      <c r="N1140" s="14" t="s">
        <v>446</v>
      </c>
      <c r="O1140" s="14" t="s">
        <v>447</v>
      </c>
    </row>
    <row r="1141" spans="1:15" ht="45" x14ac:dyDescent="0.2">
      <c r="A1141" s="2" t="s">
        <v>2823</v>
      </c>
      <c r="B1141" s="2" t="s">
        <v>2824</v>
      </c>
      <c r="C1141" s="2" t="s">
        <v>33</v>
      </c>
      <c r="D1141" s="2" t="s">
        <v>472</v>
      </c>
      <c r="E1141" s="4">
        <v>279.99</v>
      </c>
      <c r="F1141" s="14"/>
      <c r="G1141" s="3">
        <v>0</v>
      </c>
      <c r="H1141" s="6">
        <v>5</v>
      </c>
      <c r="I1141" s="3">
        <v>3</v>
      </c>
      <c r="J1141" s="13" t="str">
        <f>HYPERLINK("https://amazon.com/dp/B0F2HJD3C6","Amazon - B0F2HJD3C6")</f>
        <v>Amazon - B0F2HJD3C6</v>
      </c>
      <c r="K1141" s="14" t="s">
        <v>443</v>
      </c>
      <c r="L1141" s="14" t="s">
        <v>667</v>
      </c>
      <c r="M1141" s="14" t="s">
        <v>503</v>
      </c>
      <c r="N1141" s="14" t="s">
        <v>446</v>
      </c>
      <c r="O1141" s="14" t="s">
        <v>917</v>
      </c>
    </row>
    <row r="1142" spans="1:15" ht="30" x14ac:dyDescent="0.2">
      <c r="A1142" s="2" t="s">
        <v>2825</v>
      </c>
      <c r="B1142" s="2" t="s">
        <v>2826</v>
      </c>
      <c r="C1142" s="2" t="s">
        <v>261</v>
      </c>
      <c r="D1142" s="2" t="s">
        <v>450</v>
      </c>
      <c r="E1142" s="4">
        <v>21.59</v>
      </c>
      <c r="F1142" s="14"/>
      <c r="G1142" s="3">
        <v>0</v>
      </c>
      <c r="H1142" s="6">
        <v>0</v>
      </c>
      <c r="I1142" s="3">
        <v>0</v>
      </c>
      <c r="J1142" s="13" t="str">
        <f>HYPERLINK("https://amazon.com/dp/B09B71CBPR","Amazon - B09B71CBPR")</f>
        <v>Amazon - B09B71CBPR</v>
      </c>
      <c r="K1142" s="14" t="s">
        <v>443</v>
      </c>
      <c r="L1142" s="14" t="s">
        <v>1725</v>
      </c>
      <c r="M1142" s="14" t="s">
        <v>511</v>
      </c>
      <c r="N1142" s="14" t="s">
        <v>446</v>
      </c>
      <c r="O1142" s="14" t="s">
        <v>543</v>
      </c>
    </row>
    <row r="1143" spans="1:15" ht="45" x14ac:dyDescent="0.2">
      <c r="A1143" s="2" t="s">
        <v>2827</v>
      </c>
      <c r="B1143" s="2" t="s">
        <v>2828</v>
      </c>
      <c r="C1143" s="2" t="s">
        <v>79</v>
      </c>
      <c r="D1143" s="2" t="s">
        <v>472</v>
      </c>
      <c r="E1143" s="4">
        <v>699.99</v>
      </c>
      <c r="F1143" s="14"/>
      <c r="G1143" s="3">
        <v>0</v>
      </c>
      <c r="H1143" s="6">
        <v>0</v>
      </c>
      <c r="I1143" s="3">
        <v>0</v>
      </c>
      <c r="J1143" s="13" t="str">
        <f>HYPERLINK("https://amazon.com/dp/B0FHJ4QFVP","Amazon - B0FHJ4QFVP")</f>
        <v>Amazon - B0FHJ4QFVP</v>
      </c>
      <c r="K1143" s="14" t="s">
        <v>443</v>
      </c>
      <c r="L1143" s="14" t="s">
        <v>502</v>
      </c>
      <c r="M1143" s="14" t="s">
        <v>303</v>
      </c>
      <c r="N1143" s="14" t="s">
        <v>446</v>
      </c>
      <c r="O1143" s="14" t="s">
        <v>517</v>
      </c>
    </row>
    <row r="1144" spans="1:15" ht="45" x14ac:dyDescent="0.2">
      <c r="A1144" s="2" t="s">
        <v>2829</v>
      </c>
      <c r="B1144" s="2" t="s">
        <v>2830</v>
      </c>
      <c r="C1144" s="2" t="s">
        <v>11</v>
      </c>
      <c r="D1144" s="2" t="s">
        <v>472</v>
      </c>
      <c r="E1144" s="4">
        <v>285.99</v>
      </c>
      <c r="F1144" s="14"/>
      <c r="G1144" s="3">
        <v>0</v>
      </c>
      <c r="H1144" s="6">
        <v>0</v>
      </c>
      <c r="I1144" s="3">
        <v>0</v>
      </c>
      <c r="J1144" s="13" t="str">
        <f>HYPERLINK("https://amazon.com/dp/B0GR1XCFWR","Amazon - B0GR1XCFWR")</f>
        <v>Amazon - B0GR1XCFWR</v>
      </c>
      <c r="K1144" s="14" t="s">
        <v>443</v>
      </c>
      <c r="L1144" s="14" t="s">
        <v>451</v>
      </c>
      <c r="M1144" s="14" t="s">
        <v>303</v>
      </c>
      <c r="N1144" s="14" t="s">
        <v>446</v>
      </c>
      <c r="O1144" s="14" t="s">
        <v>778</v>
      </c>
    </row>
    <row r="1145" spans="1:15" ht="45" x14ac:dyDescent="0.2">
      <c r="A1145" s="2" t="s">
        <v>2831</v>
      </c>
      <c r="B1145" s="2" t="s">
        <v>2832</v>
      </c>
      <c r="C1145" s="2" t="s">
        <v>221</v>
      </c>
      <c r="D1145" s="2" t="s">
        <v>450</v>
      </c>
      <c r="E1145" s="4">
        <v>32.99</v>
      </c>
      <c r="F1145" s="14"/>
      <c r="G1145" s="3">
        <v>0</v>
      </c>
      <c r="H1145" s="6">
        <v>4.2</v>
      </c>
      <c r="I1145" s="3">
        <v>275</v>
      </c>
      <c r="J1145" s="13" t="str">
        <f>HYPERLINK("https://amazon.com/dp/B0DP4QDX8M","Amazon - B0DP4QDX8M")</f>
        <v>Amazon - B0DP4QDX8M</v>
      </c>
      <c r="K1145" s="14" t="s">
        <v>443</v>
      </c>
      <c r="L1145" s="14" t="s">
        <v>451</v>
      </c>
      <c r="M1145" s="14" t="s">
        <v>303</v>
      </c>
      <c r="N1145" s="14" t="s">
        <v>452</v>
      </c>
      <c r="O1145" s="14" t="s">
        <v>629</v>
      </c>
    </row>
    <row r="1146" spans="1:15" ht="45" x14ac:dyDescent="0.2">
      <c r="A1146" s="2" t="s">
        <v>2833</v>
      </c>
      <c r="B1146" s="2" t="s">
        <v>2834</v>
      </c>
      <c r="C1146" s="2" t="s">
        <v>33</v>
      </c>
      <c r="D1146" s="2" t="s">
        <v>472</v>
      </c>
      <c r="E1146" s="4">
        <v>699.99</v>
      </c>
      <c r="F1146" s="14"/>
      <c r="G1146" s="3">
        <v>0</v>
      </c>
      <c r="H1146" s="6">
        <v>5</v>
      </c>
      <c r="I1146" s="3">
        <v>3</v>
      </c>
      <c r="J1146" s="13" t="str">
        <f>HYPERLINK("https://amazon.com/dp/B0CQRJ7MP1","Amazon - B0CQRJ7MP1")</f>
        <v>Amazon - B0CQRJ7MP1</v>
      </c>
      <c r="K1146" s="14" t="s">
        <v>443</v>
      </c>
      <c r="L1146" s="14" t="s">
        <v>564</v>
      </c>
      <c r="M1146" s="14" t="s">
        <v>565</v>
      </c>
      <c r="N1146" s="14" t="s">
        <v>446</v>
      </c>
      <c r="O1146" s="14" t="s">
        <v>303</v>
      </c>
    </row>
    <row r="1147" spans="1:15" ht="45" x14ac:dyDescent="0.2">
      <c r="A1147" s="2" t="s">
        <v>2835</v>
      </c>
      <c r="B1147" s="2" t="s">
        <v>2836</v>
      </c>
      <c r="C1147" s="2" t="s">
        <v>222</v>
      </c>
      <c r="D1147" s="2" t="s">
        <v>472</v>
      </c>
      <c r="E1147" s="4">
        <v>240</v>
      </c>
      <c r="F1147" s="14"/>
      <c r="G1147" s="3">
        <v>0</v>
      </c>
      <c r="H1147" s="6">
        <v>4.0999999999999996</v>
      </c>
      <c r="I1147" s="3">
        <v>6</v>
      </c>
      <c r="J1147" s="13" t="str">
        <f>HYPERLINK("https://amazon.com/dp/B0FQK1QNT3","Amazon - B0FQK1QNT3")</f>
        <v>Amazon - B0FQK1QNT3</v>
      </c>
      <c r="K1147" s="14" t="s">
        <v>443</v>
      </c>
      <c r="L1147" s="14" t="s">
        <v>456</v>
      </c>
      <c r="M1147" s="14" t="s">
        <v>303</v>
      </c>
      <c r="N1147" s="14" t="s">
        <v>446</v>
      </c>
      <c r="O1147" s="14" t="s">
        <v>809</v>
      </c>
    </row>
    <row r="1148" spans="1:15" ht="30" x14ac:dyDescent="0.2">
      <c r="A1148" s="2" t="s">
        <v>2837</v>
      </c>
      <c r="B1148" s="2" t="s">
        <v>2838</v>
      </c>
      <c r="C1148" s="2" t="s">
        <v>411</v>
      </c>
      <c r="D1148" s="2" t="s">
        <v>472</v>
      </c>
      <c r="E1148" s="4">
        <v>159.99</v>
      </c>
      <c r="F1148" s="14"/>
      <c r="G1148" s="3">
        <v>0</v>
      </c>
      <c r="H1148" s="6">
        <v>0</v>
      </c>
      <c r="I1148" s="3">
        <v>0</v>
      </c>
      <c r="J1148" s="13" t="str">
        <f>HYPERLINK("https://amazon.com/dp/B0F4D79RKT","Amazon - B0F4D79RKT")</f>
        <v>Amazon - B0F4D79RKT</v>
      </c>
      <c r="K1148" s="14" t="s">
        <v>443</v>
      </c>
      <c r="L1148" s="14" t="s">
        <v>667</v>
      </c>
      <c r="M1148" s="14" t="s">
        <v>503</v>
      </c>
      <c r="N1148" s="14" t="s">
        <v>446</v>
      </c>
      <c r="O1148" s="14" t="s">
        <v>742</v>
      </c>
    </row>
    <row r="1149" spans="1:15" ht="45" x14ac:dyDescent="0.2">
      <c r="A1149" s="2" t="s">
        <v>2839</v>
      </c>
      <c r="B1149" s="2" t="s">
        <v>2840</v>
      </c>
      <c r="C1149" s="2" t="s">
        <v>33</v>
      </c>
      <c r="D1149" s="2" t="s">
        <v>472</v>
      </c>
      <c r="E1149" s="4">
        <v>259.99</v>
      </c>
      <c r="F1149" s="14"/>
      <c r="G1149" s="3">
        <v>0</v>
      </c>
      <c r="H1149" s="6">
        <v>4.5999999999999996</v>
      </c>
      <c r="I1149" s="3">
        <v>4</v>
      </c>
      <c r="J1149" s="13" t="str">
        <f>HYPERLINK("https://amazon.com/dp/B0CRYQXBMT","Amazon - B0CRYQXBMT")</f>
        <v>Amazon - B0CRYQXBMT</v>
      </c>
      <c r="K1149" s="14" t="s">
        <v>443</v>
      </c>
      <c r="L1149" s="14" t="s">
        <v>461</v>
      </c>
      <c r="M1149" s="14" t="s">
        <v>677</v>
      </c>
      <c r="N1149" s="14" t="s">
        <v>446</v>
      </c>
      <c r="O1149" s="14" t="s">
        <v>809</v>
      </c>
    </row>
    <row r="1150" spans="1:15" ht="45" x14ac:dyDescent="0.2">
      <c r="A1150" s="2" t="s">
        <v>2841</v>
      </c>
      <c r="B1150" s="2" t="s">
        <v>2842</v>
      </c>
      <c r="C1150" s="2" t="s">
        <v>23</v>
      </c>
      <c r="D1150" s="2" t="s">
        <v>472</v>
      </c>
      <c r="E1150" s="4">
        <v>735</v>
      </c>
      <c r="F1150" s="14"/>
      <c r="G1150" s="3">
        <v>0</v>
      </c>
      <c r="H1150" s="6">
        <v>4</v>
      </c>
      <c r="I1150" s="3">
        <v>21</v>
      </c>
      <c r="J1150" s="13" t="str">
        <f>HYPERLINK("https://amazon.com/dp/B0CY83QTD4","Amazon - B0CY83QTD4")</f>
        <v>Amazon - B0CY83QTD4</v>
      </c>
      <c r="K1150" s="14" t="s">
        <v>443</v>
      </c>
      <c r="L1150" s="14" t="s">
        <v>502</v>
      </c>
      <c r="M1150" s="14" t="s">
        <v>303</v>
      </c>
      <c r="N1150" s="14" t="s">
        <v>446</v>
      </c>
      <c r="O1150" s="14" t="s">
        <v>856</v>
      </c>
    </row>
    <row r="1151" spans="1:15" x14ac:dyDescent="0.2">
      <c r="A1151" s="2" t="s">
        <v>2843</v>
      </c>
      <c r="B1151" s="2" t="s">
        <v>2844</v>
      </c>
      <c r="C1151" s="2" t="s">
        <v>137</v>
      </c>
      <c r="D1151" s="2" t="s">
        <v>442</v>
      </c>
      <c r="E1151" s="4">
        <v>116.98</v>
      </c>
      <c r="F1151" s="14"/>
      <c r="G1151" s="3">
        <v>0</v>
      </c>
      <c r="H1151" s="6">
        <v>0</v>
      </c>
      <c r="I1151" s="3">
        <v>0</v>
      </c>
      <c r="J1151" s="13" t="str">
        <f>HYPERLINK("https://amazon.com/dp/B09TBR5PZW","Amazon - B09TBR5PZW")</f>
        <v>Amazon - B09TBR5PZW</v>
      </c>
      <c r="K1151" s="14" t="s">
        <v>443</v>
      </c>
      <c r="L1151" s="14" t="s">
        <v>303</v>
      </c>
      <c r="M1151" s="14" t="s">
        <v>303</v>
      </c>
      <c r="N1151" s="14" t="s">
        <v>446</v>
      </c>
      <c r="O1151" s="14" t="s">
        <v>453</v>
      </c>
    </row>
    <row r="1152" spans="1:15" x14ac:dyDescent="0.2">
      <c r="A1152" s="2" t="s">
        <v>2845</v>
      </c>
      <c r="B1152" s="2" t="s">
        <v>2846</v>
      </c>
      <c r="C1152" s="2" t="s">
        <v>137</v>
      </c>
      <c r="D1152" s="2" t="s">
        <v>442</v>
      </c>
      <c r="E1152" s="4">
        <v>495.14</v>
      </c>
      <c r="F1152" s="14"/>
      <c r="G1152" s="3">
        <v>0</v>
      </c>
      <c r="H1152" s="6">
        <v>3.6</v>
      </c>
      <c r="I1152" s="3">
        <v>6</v>
      </c>
      <c r="J1152" s="13" t="str">
        <f>HYPERLINK("https://amazon.com/dp/B0DKR99QBW","Amazon - B0DKR99QBW")</f>
        <v>Amazon - B0DKR99QBW</v>
      </c>
      <c r="K1152" s="14" t="s">
        <v>443</v>
      </c>
      <c r="L1152" s="14" t="s">
        <v>461</v>
      </c>
      <c r="M1152" s="14" t="s">
        <v>303</v>
      </c>
      <c r="N1152" s="14" t="s">
        <v>446</v>
      </c>
      <c r="O1152" s="14" t="s">
        <v>447</v>
      </c>
    </row>
    <row r="1153" spans="1:15" ht="45" x14ac:dyDescent="0.2">
      <c r="A1153" s="2" t="s">
        <v>2847</v>
      </c>
      <c r="B1153" s="2" t="s">
        <v>2848</v>
      </c>
      <c r="C1153" s="2" t="s">
        <v>51</v>
      </c>
      <c r="D1153" s="2" t="s">
        <v>450</v>
      </c>
      <c r="E1153" s="4">
        <v>899.98</v>
      </c>
      <c r="F1153" s="14"/>
      <c r="G1153" s="3">
        <v>0</v>
      </c>
      <c r="H1153" s="6">
        <v>5</v>
      </c>
      <c r="I1153" s="3">
        <v>1</v>
      </c>
      <c r="J1153" s="13" t="str">
        <f>HYPERLINK("https://amazon.com/dp/B0C762VM9D","Amazon - B0C762VM9D")</f>
        <v>Amazon - B0C762VM9D</v>
      </c>
      <c r="K1153" s="14" t="s">
        <v>482</v>
      </c>
      <c r="L1153" s="14" t="s">
        <v>451</v>
      </c>
      <c r="M1153" s="14" t="s">
        <v>484</v>
      </c>
      <c r="N1153" s="14" t="s">
        <v>446</v>
      </c>
      <c r="O1153" s="14" t="s">
        <v>447</v>
      </c>
    </row>
    <row r="1154" spans="1:15" ht="45" x14ac:dyDescent="0.2">
      <c r="A1154" s="2" t="s">
        <v>2849</v>
      </c>
      <c r="B1154" s="2" t="s">
        <v>2850</v>
      </c>
      <c r="C1154" s="2" t="s">
        <v>145</v>
      </c>
      <c r="D1154" s="2" t="s">
        <v>442</v>
      </c>
      <c r="E1154" s="4">
        <v>38.979999999999997</v>
      </c>
      <c r="F1154" s="14"/>
      <c r="G1154" s="3">
        <v>0</v>
      </c>
      <c r="H1154" s="6">
        <v>4.5</v>
      </c>
      <c r="I1154" s="3">
        <v>4</v>
      </c>
      <c r="J1154" s="13" t="str">
        <f>HYPERLINK("https://amazon.com/dp/B0GK66FSZF","Amazon - B0GK66FSZF")</f>
        <v>Amazon - B0GK66FSZF</v>
      </c>
      <c r="K1154" s="14" t="s">
        <v>443</v>
      </c>
      <c r="L1154" s="14" t="s">
        <v>667</v>
      </c>
      <c r="M1154" s="14" t="s">
        <v>303</v>
      </c>
      <c r="N1154" s="14" t="s">
        <v>446</v>
      </c>
      <c r="O1154" s="14" t="s">
        <v>543</v>
      </c>
    </row>
    <row r="1155" spans="1:15" ht="45" x14ac:dyDescent="0.2">
      <c r="A1155" s="2" t="s">
        <v>2851</v>
      </c>
      <c r="B1155" s="2" t="s">
        <v>2852</v>
      </c>
      <c r="C1155" s="2" t="s">
        <v>13</v>
      </c>
      <c r="D1155" s="2" t="s">
        <v>472</v>
      </c>
      <c r="E1155" s="4">
        <v>999.99</v>
      </c>
      <c r="F1155" s="14"/>
      <c r="G1155" s="3">
        <v>0</v>
      </c>
      <c r="H1155" s="6">
        <v>3.9</v>
      </c>
      <c r="I1155" s="3">
        <v>59</v>
      </c>
      <c r="J1155" s="13" t="str">
        <f>HYPERLINK("https://amazon.com/dp/B097K65VZD","Amazon - B097K65VZD")</f>
        <v>Amazon - B097K65VZD</v>
      </c>
      <c r="K1155" s="14" t="s">
        <v>443</v>
      </c>
      <c r="L1155" s="14" t="s">
        <v>303</v>
      </c>
      <c r="M1155" s="14" t="s">
        <v>303</v>
      </c>
      <c r="N1155" s="14" t="s">
        <v>446</v>
      </c>
      <c r="O1155" s="14" t="s">
        <v>517</v>
      </c>
    </row>
    <row r="1156" spans="1:15" ht="45" x14ac:dyDescent="0.2">
      <c r="A1156" s="2" t="s">
        <v>2853</v>
      </c>
      <c r="B1156" s="2" t="s">
        <v>2854</v>
      </c>
      <c r="C1156" s="2" t="s">
        <v>13</v>
      </c>
      <c r="D1156" s="2" t="s">
        <v>472</v>
      </c>
      <c r="E1156" s="4">
        <v>659.99</v>
      </c>
      <c r="F1156" s="14"/>
      <c r="G1156" s="3">
        <v>0</v>
      </c>
      <c r="H1156" s="6">
        <v>0</v>
      </c>
      <c r="I1156" s="3">
        <v>0</v>
      </c>
      <c r="J1156" s="13" t="str">
        <f>HYPERLINK("https://amazon.com/dp/B0FXXH9WCT","Amazon - B0FXXH9WCT")</f>
        <v>Amazon - B0FXXH9WCT</v>
      </c>
      <c r="K1156" s="14" t="s">
        <v>443</v>
      </c>
      <c r="L1156" s="14" t="s">
        <v>461</v>
      </c>
      <c r="M1156" s="14" t="s">
        <v>565</v>
      </c>
      <c r="N1156" s="14" t="s">
        <v>446</v>
      </c>
      <c r="O1156" s="14" t="s">
        <v>725</v>
      </c>
    </row>
    <row r="1157" spans="1:15" ht="45" x14ac:dyDescent="0.2">
      <c r="A1157" s="2" t="s">
        <v>2855</v>
      </c>
      <c r="B1157" s="2" t="s">
        <v>2856</v>
      </c>
      <c r="C1157" s="2" t="s">
        <v>394</v>
      </c>
      <c r="D1157" s="2" t="s">
        <v>450</v>
      </c>
      <c r="E1157" s="4">
        <v>14.99</v>
      </c>
      <c r="F1157" s="14"/>
      <c r="G1157" s="3">
        <v>0</v>
      </c>
      <c r="H1157" s="6">
        <v>5</v>
      </c>
      <c r="I1157" s="3">
        <v>1</v>
      </c>
      <c r="J1157" s="13" t="str">
        <f>HYPERLINK("https://amazon.com/dp/B0CXT1RY3L","Amazon - B0CXT1RY3L")</f>
        <v>Amazon - B0CXT1RY3L</v>
      </c>
      <c r="K1157" s="14" t="s">
        <v>443</v>
      </c>
      <c r="L1157" s="14" t="s">
        <v>451</v>
      </c>
      <c r="M1157" s="14" t="s">
        <v>445</v>
      </c>
      <c r="N1157" s="14" t="s">
        <v>446</v>
      </c>
      <c r="O1157" s="14" t="s">
        <v>453</v>
      </c>
    </row>
    <row r="1158" spans="1:15" ht="45" x14ac:dyDescent="0.2">
      <c r="A1158" s="2" t="s">
        <v>2857</v>
      </c>
      <c r="B1158" s="2" t="s">
        <v>2858</v>
      </c>
      <c r="C1158" s="2" t="s">
        <v>335</v>
      </c>
      <c r="D1158" s="2" t="s">
        <v>472</v>
      </c>
      <c r="E1158" s="4">
        <v>249.99</v>
      </c>
      <c r="F1158" s="14"/>
      <c r="G1158" s="3">
        <v>0</v>
      </c>
      <c r="H1158" s="6">
        <v>5</v>
      </c>
      <c r="I1158" s="3">
        <v>2</v>
      </c>
      <c r="J1158" s="13" t="str">
        <f>HYPERLINK("https://amazon.com/dp/B0GJZV5NWK","Amazon - B0GJZV5NWK")</f>
        <v>Amazon - B0GJZV5NWK</v>
      </c>
      <c r="K1158" s="14" t="s">
        <v>443</v>
      </c>
      <c r="L1158" s="14" t="s">
        <v>456</v>
      </c>
      <c r="M1158" s="14" t="s">
        <v>303</v>
      </c>
      <c r="N1158" s="14" t="s">
        <v>452</v>
      </c>
      <c r="O1158" s="14" t="s">
        <v>517</v>
      </c>
    </row>
    <row r="1159" spans="1:15" ht="45" x14ac:dyDescent="0.2">
      <c r="A1159" s="2" t="s">
        <v>2859</v>
      </c>
      <c r="B1159" s="2" t="s">
        <v>2860</v>
      </c>
      <c r="C1159" s="2" t="s">
        <v>262</v>
      </c>
      <c r="D1159" s="2" t="s">
        <v>450</v>
      </c>
      <c r="E1159" s="4">
        <v>22.99</v>
      </c>
      <c r="F1159" s="14"/>
      <c r="G1159" s="3">
        <v>0</v>
      </c>
      <c r="H1159" s="6">
        <v>5</v>
      </c>
      <c r="I1159" s="3">
        <v>1</v>
      </c>
      <c r="J1159" s="13" t="str">
        <f>HYPERLINK("https://amazon.com/dp/B0BYX2KPDF","Amazon - B0BYX2KPDF")</f>
        <v>Amazon - B0BYX2KPDF</v>
      </c>
      <c r="K1159" s="14" t="s">
        <v>443</v>
      </c>
      <c r="L1159" s="14" t="s">
        <v>451</v>
      </c>
      <c r="M1159" s="14" t="s">
        <v>462</v>
      </c>
      <c r="N1159" s="14" t="s">
        <v>446</v>
      </c>
      <c r="O1159" s="14" t="s">
        <v>608</v>
      </c>
    </row>
    <row r="1160" spans="1:15" ht="30" x14ac:dyDescent="0.2">
      <c r="A1160" s="2" t="s">
        <v>2861</v>
      </c>
      <c r="B1160" s="2" t="s">
        <v>2862</v>
      </c>
      <c r="C1160" s="2" t="s">
        <v>279</v>
      </c>
      <c r="D1160" s="2" t="s">
        <v>450</v>
      </c>
      <c r="E1160" s="4">
        <v>15.05</v>
      </c>
      <c r="F1160" s="14"/>
      <c r="G1160" s="3">
        <v>0</v>
      </c>
      <c r="H1160" s="6">
        <v>0</v>
      </c>
      <c r="I1160" s="3">
        <v>0</v>
      </c>
      <c r="J1160" s="13" t="str">
        <f>HYPERLINK("https://amazon.com/dp/B0CL51QQD7","Amazon - B0CL51QQD7")</f>
        <v>Amazon - B0CL51QQD7</v>
      </c>
      <c r="K1160" s="14" t="s">
        <v>443</v>
      </c>
      <c r="L1160" s="14" t="s">
        <v>1725</v>
      </c>
      <c r="M1160" s="14" t="s">
        <v>715</v>
      </c>
      <c r="N1160" s="14" t="s">
        <v>446</v>
      </c>
      <c r="O1160" s="14" t="s">
        <v>453</v>
      </c>
    </row>
    <row r="1161" spans="1:15" ht="45" x14ac:dyDescent="0.2">
      <c r="A1161" s="2" t="s">
        <v>2863</v>
      </c>
      <c r="B1161" s="2" t="s">
        <v>2864</v>
      </c>
      <c r="C1161" s="2" t="s">
        <v>158</v>
      </c>
      <c r="D1161" s="2" t="s">
        <v>442</v>
      </c>
      <c r="E1161" s="4">
        <v>208</v>
      </c>
      <c r="F1161" s="14"/>
      <c r="G1161" s="3">
        <v>0</v>
      </c>
      <c r="H1161" s="6">
        <v>0</v>
      </c>
      <c r="I1161" s="3">
        <v>0</v>
      </c>
      <c r="J1161" s="13" t="str">
        <f>HYPERLINK("https://amazon.com/dp/B0G239JCXJ","Amazon - B0G239JCXJ")</f>
        <v>Amazon - B0G239JCXJ</v>
      </c>
      <c r="K1161" s="14" t="s">
        <v>482</v>
      </c>
      <c r="L1161" s="14" t="s">
        <v>461</v>
      </c>
      <c r="M1161" s="14" t="s">
        <v>577</v>
      </c>
      <c r="N1161" s="14" t="s">
        <v>446</v>
      </c>
      <c r="O1161" s="14" t="s">
        <v>494</v>
      </c>
    </row>
    <row r="1162" spans="1:15" ht="45" x14ac:dyDescent="0.2">
      <c r="A1162" s="2" t="s">
        <v>2865</v>
      </c>
      <c r="B1162" s="2" t="s">
        <v>2866</v>
      </c>
      <c r="C1162" s="2" t="s">
        <v>13</v>
      </c>
      <c r="D1162" s="2" t="s">
        <v>472</v>
      </c>
      <c r="E1162" s="4">
        <v>999.99</v>
      </c>
      <c r="F1162" s="14"/>
      <c r="G1162" s="3">
        <v>0</v>
      </c>
      <c r="H1162" s="6">
        <v>3.9</v>
      </c>
      <c r="I1162" s="3">
        <v>59</v>
      </c>
      <c r="J1162" s="13" t="str">
        <f>HYPERLINK("https://amazon.com/dp/B0953RZPWP","Amazon - B0953RZPWP")</f>
        <v>Amazon - B0953RZPWP</v>
      </c>
      <c r="K1162" s="14" t="s">
        <v>443</v>
      </c>
      <c r="L1162" s="14" t="s">
        <v>667</v>
      </c>
      <c r="M1162" s="14" t="s">
        <v>303</v>
      </c>
      <c r="N1162" s="14" t="s">
        <v>446</v>
      </c>
      <c r="O1162" s="14" t="s">
        <v>570</v>
      </c>
    </row>
    <row r="1163" spans="1:15" ht="45" x14ac:dyDescent="0.2">
      <c r="A1163" s="2" t="s">
        <v>2867</v>
      </c>
      <c r="B1163" s="2" t="s">
        <v>2868</v>
      </c>
      <c r="C1163" s="2" t="s">
        <v>23</v>
      </c>
      <c r="D1163" s="2" t="s">
        <v>472</v>
      </c>
      <c r="E1163" s="4">
        <v>383.4</v>
      </c>
      <c r="F1163" s="14"/>
      <c r="G1163" s="3">
        <v>0</v>
      </c>
      <c r="H1163" s="6">
        <v>4.2</v>
      </c>
      <c r="I1163" s="3">
        <v>12</v>
      </c>
      <c r="J1163" s="13" t="str">
        <f>HYPERLINK("https://amazon.com/dp/B0CS62GR4D","Amazon - B0CS62GR4D")</f>
        <v>Amazon - B0CS62GR4D</v>
      </c>
      <c r="K1163" s="14" t="s">
        <v>443</v>
      </c>
      <c r="L1163" s="14" t="s">
        <v>461</v>
      </c>
      <c r="M1163" s="14" t="s">
        <v>303</v>
      </c>
      <c r="N1163" s="14" t="s">
        <v>446</v>
      </c>
      <c r="O1163" s="14" t="s">
        <v>517</v>
      </c>
    </row>
    <row r="1164" spans="1:15" ht="45" x14ac:dyDescent="0.2">
      <c r="A1164" s="2" t="s">
        <v>2869</v>
      </c>
      <c r="B1164" s="2" t="s">
        <v>2870</v>
      </c>
      <c r="C1164" s="2" t="s">
        <v>13</v>
      </c>
      <c r="D1164" s="2" t="s">
        <v>472</v>
      </c>
      <c r="E1164" s="4">
        <v>399.99</v>
      </c>
      <c r="F1164" s="14"/>
      <c r="G1164" s="3">
        <v>0</v>
      </c>
      <c r="H1164" s="6">
        <v>4.4000000000000004</v>
      </c>
      <c r="I1164" s="3">
        <v>83</v>
      </c>
      <c r="J1164" s="13" t="str">
        <f>HYPERLINK("https://amazon.com/dp/B07T7GDP42","Amazon - B07T7GDP42")</f>
        <v>Amazon - B07T7GDP42</v>
      </c>
      <c r="K1164" s="14" t="s">
        <v>443</v>
      </c>
      <c r="L1164" s="14" t="s">
        <v>667</v>
      </c>
      <c r="M1164" s="14" t="s">
        <v>303</v>
      </c>
      <c r="N1164" s="14" t="s">
        <v>446</v>
      </c>
      <c r="O1164" s="14" t="s">
        <v>570</v>
      </c>
    </row>
    <row r="1165" spans="1:15" ht="45" x14ac:dyDescent="0.2">
      <c r="A1165" s="2" t="s">
        <v>2871</v>
      </c>
      <c r="B1165" s="2" t="s">
        <v>2872</v>
      </c>
      <c r="C1165" s="2" t="s">
        <v>310</v>
      </c>
      <c r="D1165" s="2" t="s">
        <v>472</v>
      </c>
      <c r="E1165" s="4">
        <v>338</v>
      </c>
      <c r="F1165" s="14"/>
      <c r="G1165" s="3">
        <v>0</v>
      </c>
      <c r="H1165" s="6">
        <v>5</v>
      </c>
      <c r="I1165" s="3">
        <v>1</v>
      </c>
      <c r="J1165" s="13" t="str">
        <f>HYPERLINK("https://amazon.com/dp/B0FZHMSV2C","Amazon - B0FZHMSV2C")</f>
        <v>Amazon - B0FZHMSV2C</v>
      </c>
      <c r="K1165" s="14" t="s">
        <v>443</v>
      </c>
      <c r="L1165" s="14" t="s">
        <v>502</v>
      </c>
      <c r="M1165" s="14" t="s">
        <v>503</v>
      </c>
      <c r="N1165" s="14" t="s">
        <v>446</v>
      </c>
      <c r="O1165" s="14" t="s">
        <v>517</v>
      </c>
    </row>
    <row r="1166" spans="1:15" ht="45" x14ac:dyDescent="0.2">
      <c r="A1166" s="2" t="s">
        <v>2873</v>
      </c>
      <c r="B1166" s="2" t="s">
        <v>2874</v>
      </c>
      <c r="C1166" s="2" t="s">
        <v>310</v>
      </c>
      <c r="D1166" s="2" t="s">
        <v>472</v>
      </c>
      <c r="E1166" s="4">
        <v>499</v>
      </c>
      <c r="F1166" s="14"/>
      <c r="G1166" s="3">
        <v>0</v>
      </c>
      <c r="H1166" s="6">
        <v>5</v>
      </c>
      <c r="I1166" s="3">
        <v>2</v>
      </c>
      <c r="J1166" s="13" t="str">
        <f>HYPERLINK("https://amazon.com/dp/B0FZHRPT8Y","Amazon - B0FZHRPT8Y")</f>
        <v>Amazon - B0FZHRPT8Y</v>
      </c>
      <c r="K1166" s="14" t="s">
        <v>443</v>
      </c>
      <c r="L1166" s="14" t="s">
        <v>564</v>
      </c>
      <c r="M1166" s="14" t="s">
        <v>565</v>
      </c>
      <c r="N1166" s="14" t="s">
        <v>446</v>
      </c>
      <c r="O1166" s="14" t="s">
        <v>570</v>
      </c>
    </row>
    <row r="1167" spans="1:15" ht="30" x14ac:dyDescent="0.2">
      <c r="A1167" s="2" t="s">
        <v>2875</v>
      </c>
      <c r="B1167" s="2" t="s">
        <v>2876</v>
      </c>
      <c r="C1167" s="2" t="s">
        <v>218</v>
      </c>
      <c r="D1167" s="2" t="s">
        <v>450</v>
      </c>
      <c r="E1167" s="4">
        <v>27.99</v>
      </c>
      <c r="F1167" s="14"/>
      <c r="G1167" s="3">
        <v>0</v>
      </c>
      <c r="H1167" s="6">
        <v>0</v>
      </c>
      <c r="I1167" s="3">
        <v>0</v>
      </c>
      <c r="J1167" s="13" t="str">
        <f>HYPERLINK("https://amazon.com/dp/B0D1VPC7VZ","Amazon - B0D1VPC7VZ")</f>
        <v>Amazon - B0D1VPC7VZ</v>
      </c>
      <c r="K1167" s="14" t="s">
        <v>443</v>
      </c>
      <c r="L1167" s="14" t="s">
        <v>303</v>
      </c>
      <c r="M1167" s="14" t="s">
        <v>303</v>
      </c>
      <c r="N1167" s="14" t="s">
        <v>452</v>
      </c>
      <c r="O1167" s="14" t="s">
        <v>543</v>
      </c>
    </row>
    <row r="1168" spans="1:15" ht="45" x14ac:dyDescent="0.2">
      <c r="A1168" s="2" t="s">
        <v>2877</v>
      </c>
      <c r="B1168" s="2" t="s">
        <v>2878</v>
      </c>
      <c r="C1168" s="2" t="s">
        <v>310</v>
      </c>
      <c r="D1168" s="2" t="s">
        <v>472</v>
      </c>
      <c r="E1168" s="4">
        <v>399</v>
      </c>
      <c r="F1168" s="14"/>
      <c r="G1168" s="3">
        <v>0</v>
      </c>
      <c r="H1168" s="6">
        <v>5</v>
      </c>
      <c r="I1168" s="3">
        <v>1</v>
      </c>
      <c r="J1168" s="13" t="str">
        <f>HYPERLINK("https://amazon.com/dp/B0FZHGYJ42","Amazon - B0FZHGYJ42")</f>
        <v>Amazon - B0FZHGYJ42</v>
      </c>
      <c r="K1168" s="14" t="s">
        <v>443</v>
      </c>
      <c r="L1168" s="14" t="s">
        <v>461</v>
      </c>
      <c r="M1168" s="14" t="s">
        <v>503</v>
      </c>
      <c r="N1168" s="14" t="s">
        <v>446</v>
      </c>
      <c r="O1168" s="14" t="s">
        <v>517</v>
      </c>
    </row>
    <row r="1169" spans="1:15" ht="30" x14ac:dyDescent="0.2">
      <c r="A1169" s="2" t="s">
        <v>2879</v>
      </c>
      <c r="B1169" s="2" t="s">
        <v>2880</v>
      </c>
      <c r="C1169" s="2" t="s">
        <v>137</v>
      </c>
      <c r="D1169" s="2" t="s">
        <v>442</v>
      </c>
      <c r="E1169" s="4">
        <v>716.59</v>
      </c>
      <c r="F1169" s="14"/>
      <c r="G1169" s="3">
        <v>0</v>
      </c>
      <c r="H1169" s="6">
        <v>3.6</v>
      </c>
      <c r="I1169" s="3">
        <v>6</v>
      </c>
      <c r="J1169" s="13" t="str">
        <f>HYPERLINK("https://amazon.com/dp/B09GC5Z4GD","Amazon - B09GC5Z4GD")</f>
        <v>Amazon - B09GC5Z4GD</v>
      </c>
      <c r="K1169" s="14" t="s">
        <v>443</v>
      </c>
      <c r="L1169" s="14" t="s">
        <v>1299</v>
      </c>
      <c r="M1169" s="14" t="s">
        <v>484</v>
      </c>
      <c r="N1169" s="14" t="s">
        <v>446</v>
      </c>
      <c r="O1169" s="14" t="s">
        <v>447</v>
      </c>
    </row>
    <row r="1170" spans="1:15" ht="45" x14ac:dyDescent="0.2">
      <c r="A1170" s="2" t="s">
        <v>2881</v>
      </c>
      <c r="B1170" s="2" t="s">
        <v>2882</v>
      </c>
      <c r="C1170" s="2" t="s">
        <v>104</v>
      </c>
      <c r="D1170" s="2" t="s">
        <v>472</v>
      </c>
      <c r="E1170" s="4">
        <v>329.99</v>
      </c>
      <c r="F1170" s="14"/>
      <c r="G1170" s="3">
        <v>0</v>
      </c>
      <c r="H1170" s="6">
        <v>0</v>
      </c>
      <c r="I1170" s="3">
        <v>0</v>
      </c>
      <c r="J1170" s="13" t="str">
        <f>HYPERLINK("https://amazon.com/dp/B0FWB82H9C","Amazon - B0FWB82H9C")</f>
        <v>Amazon - B0FWB82H9C</v>
      </c>
      <c r="K1170" s="14" t="s">
        <v>443</v>
      </c>
      <c r="L1170" s="14" t="s">
        <v>667</v>
      </c>
      <c r="M1170" s="14" t="s">
        <v>303</v>
      </c>
      <c r="N1170" s="14" t="s">
        <v>446</v>
      </c>
      <c r="O1170" s="14" t="s">
        <v>517</v>
      </c>
    </row>
    <row r="1171" spans="1:15" ht="30" x14ac:dyDescent="0.2">
      <c r="A1171" s="2" t="s">
        <v>2883</v>
      </c>
      <c r="B1171" s="2" t="s">
        <v>2884</v>
      </c>
      <c r="C1171" s="2" t="s">
        <v>334</v>
      </c>
      <c r="D1171" s="2" t="s">
        <v>442</v>
      </c>
      <c r="E1171" s="4">
        <v>10.49</v>
      </c>
      <c r="F1171" s="14"/>
      <c r="G1171" s="3">
        <v>0</v>
      </c>
      <c r="H1171" s="6">
        <v>0</v>
      </c>
      <c r="I1171" s="3">
        <v>0</v>
      </c>
      <c r="J1171" s="13" t="str">
        <f>HYPERLINK("https://amazon.com/dp/B0DSL994B3","Amazon - B0DSL994B3")</f>
        <v>Amazon - B0DSL994B3</v>
      </c>
      <c r="K1171" s="14" t="s">
        <v>443</v>
      </c>
      <c r="L1171" s="14" t="s">
        <v>303</v>
      </c>
      <c r="M1171" s="14" t="s">
        <v>303</v>
      </c>
      <c r="N1171" s="14" t="s">
        <v>446</v>
      </c>
      <c r="O1171" s="14" t="s">
        <v>303</v>
      </c>
    </row>
    <row r="1172" spans="1:15" ht="45" x14ac:dyDescent="0.2">
      <c r="A1172" s="2" t="s">
        <v>2885</v>
      </c>
      <c r="B1172" s="2" t="s">
        <v>2886</v>
      </c>
      <c r="C1172" s="2" t="s">
        <v>108</v>
      </c>
      <c r="D1172" s="2" t="s">
        <v>472</v>
      </c>
      <c r="E1172" s="4">
        <v>569.99</v>
      </c>
      <c r="F1172" s="14"/>
      <c r="G1172" s="3">
        <v>0</v>
      </c>
      <c r="H1172" s="6">
        <v>5</v>
      </c>
      <c r="I1172" s="3">
        <v>1</v>
      </c>
      <c r="J1172" s="13" t="str">
        <f>HYPERLINK("https://amazon.com/dp/B0DJ7PQ6BP","Amazon - B0DJ7PQ6BP")</f>
        <v>Amazon - B0DJ7PQ6BP</v>
      </c>
      <c r="K1172" s="14" t="s">
        <v>443</v>
      </c>
      <c r="L1172" s="14" t="s">
        <v>461</v>
      </c>
      <c r="M1172" s="14" t="s">
        <v>565</v>
      </c>
      <c r="N1172" s="14" t="s">
        <v>446</v>
      </c>
      <c r="O1172" s="14" t="s">
        <v>504</v>
      </c>
    </row>
    <row r="1173" spans="1:15" ht="45" x14ac:dyDescent="0.2">
      <c r="A1173" s="2" t="s">
        <v>2887</v>
      </c>
      <c r="B1173" s="2" t="s">
        <v>2888</v>
      </c>
      <c r="C1173" s="2" t="s">
        <v>325</v>
      </c>
      <c r="D1173" s="2" t="s">
        <v>450</v>
      </c>
      <c r="E1173" s="4">
        <v>36.979999999999997</v>
      </c>
      <c r="F1173" s="14"/>
      <c r="G1173" s="3">
        <v>0</v>
      </c>
      <c r="H1173" s="6">
        <v>3.6</v>
      </c>
      <c r="I1173" s="3">
        <v>16</v>
      </c>
      <c r="J1173" s="13" t="str">
        <f>HYPERLINK("https://amazon.com/dp/B0DNYYDCJL","Amazon - B0DNYYDCJL")</f>
        <v>Amazon - B0DNYYDCJL</v>
      </c>
      <c r="K1173" s="14" t="s">
        <v>443</v>
      </c>
      <c r="L1173" s="14" t="s">
        <v>451</v>
      </c>
      <c r="M1173" s="14" t="s">
        <v>303</v>
      </c>
      <c r="N1173" s="14" t="s">
        <v>446</v>
      </c>
      <c r="O1173" s="14" t="s">
        <v>453</v>
      </c>
    </row>
    <row r="1174" spans="1:15" ht="45" x14ac:dyDescent="0.2">
      <c r="A1174" s="2" t="s">
        <v>2889</v>
      </c>
      <c r="B1174" s="2" t="s">
        <v>2890</v>
      </c>
      <c r="C1174" s="2" t="s">
        <v>387</v>
      </c>
      <c r="D1174" s="2" t="s">
        <v>450</v>
      </c>
      <c r="E1174" s="4">
        <v>15.99</v>
      </c>
      <c r="F1174" s="14"/>
      <c r="G1174" s="3">
        <v>0</v>
      </c>
      <c r="H1174" s="6">
        <v>0</v>
      </c>
      <c r="I1174" s="3">
        <v>0</v>
      </c>
      <c r="J1174" s="13" t="str">
        <f>HYPERLINK("https://amazon.com/dp/B0G4DLHWDH","Amazon - B0G4DLHWDH")</f>
        <v>Amazon - B0G4DLHWDH</v>
      </c>
      <c r="K1174" s="14" t="s">
        <v>443</v>
      </c>
      <c r="L1174" s="14" t="s">
        <v>451</v>
      </c>
      <c r="M1174" s="14" t="s">
        <v>445</v>
      </c>
      <c r="N1174" s="14" t="s">
        <v>452</v>
      </c>
      <c r="O1174" s="14" t="s">
        <v>578</v>
      </c>
    </row>
    <row r="1175" spans="1:15" ht="30" x14ac:dyDescent="0.2">
      <c r="A1175" s="2" t="s">
        <v>2891</v>
      </c>
      <c r="B1175" s="2" t="s">
        <v>2892</v>
      </c>
      <c r="C1175" s="2" t="s">
        <v>149</v>
      </c>
      <c r="D1175" s="2" t="s">
        <v>472</v>
      </c>
      <c r="E1175" s="4">
        <v>319.99</v>
      </c>
      <c r="F1175" s="14"/>
      <c r="G1175" s="3">
        <v>0</v>
      </c>
      <c r="H1175" s="6">
        <v>5</v>
      </c>
      <c r="I1175" s="3">
        <v>1</v>
      </c>
      <c r="J1175" s="13" t="str">
        <f>HYPERLINK("https://amazon.com/dp/B0DKJXTNRS","Amazon - B0DKJXTNRS")</f>
        <v>Amazon - B0DKJXTNRS</v>
      </c>
      <c r="K1175" s="14" t="s">
        <v>443</v>
      </c>
      <c r="L1175" s="14" t="s">
        <v>303</v>
      </c>
      <c r="M1175" s="14" t="s">
        <v>303</v>
      </c>
      <c r="N1175" s="14" t="s">
        <v>446</v>
      </c>
      <c r="O1175" s="14" t="s">
        <v>303</v>
      </c>
    </row>
    <row r="1176" spans="1:15" ht="45" x14ac:dyDescent="0.2">
      <c r="A1176" s="2" t="s">
        <v>2893</v>
      </c>
      <c r="B1176" s="2" t="s">
        <v>2894</v>
      </c>
      <c r="C1176" s="2" t="s">
        <v>104</v>
      </c>
      <c r="D1176" s="2" t="s">
        <v>472</v>
      </c>
      <c r="E1176" s="4">
        <v>289.99</v>
      </c>
      <c r="F1176" s="14"/>
      <c r="G1176" s="3">
        <v>0</v>
      </c>
      <c r="H1176" s="6">
        <v>0</v>
      </c>
      <c r="I1176" s="3">
        <v>0</v>
      </c>
      <c r="J1176" s="13" t="str">
        <f>HYPERLINK("https://amazon.com/dp/B0FWBB6W27","Amazon - B0FWBB6W27")</f>
        <v>Amazon - B0FWBB6W27</v>
      </c>
      <c r="K1176" s="14" t="s">
        <v>443</v>
      </c>
      <c r="L1176" s="14" t="s">
        <v>667</v>
      </c>
      <c r="M1176" s="14" t="s">
        <v>303</v>
      </c>
      <c r="N1176" s="14" t="s">
        <v>446</v>
      </c>
      <c r="O1176" s="14" t="s">
        <v>517</v>
      </c>
    </row>
    <row r="1177" spans="1:15" ht="45" x14ac:dyDescent="0.2">
      <c r="A1177" s="2" t="s">
        <v>2895</v>
      </c>
      <c r="B1177" s="2" t="s">
        <v>2896</v>
      </c>
      <c r="C1177" s="2" t="s">
        <v>16</v>
      </c>
      <c r="D1177" s="2" t="s">
        <v>442</v>
      </c>
      <c r="E1177" s="4">
        <v>69.989999999999995</v>
      </c>
      <c r="F1177" s="14"/>
      <c r="G1177" s="3">
        <v>0</v>
      </c>
      <c r="H1177" s="6">
        <v>0</v>
      </c>
      <c r="I1177" s="3">
        <v>0</v>
      </c>
      <c r="J1177" s="13" t="str">
        <f>HYPERLINK("https://amazon.com/dp/B0GLHF64SG","Amazon - B0GLHF64SG")</f>
        <v>Amazon - B0GLHF64SG</v>
      </c>
      <c r="K1177" s="14" t="s">
        <v>443</v>
      </c>
      <c r="L1177" s="14" t="s">
        <v>303</v>
      </c>
      <c r="M1177" s="14" t="s">
        <v>462</v>
      </c>
      <c r="N1177" s="14" t="s">
        <v>446</v>
      </c>
      <c r="O1177" s="14" t="s">
        <v>447</v>
      </c>
    </row>
    <row r="1178" spans="1:15" ht="45" x14ac:dyDescent="0.2">
      <c r="A1178" s="2" t="s">
        <v>2897</v>
      </c>
      <c r="B1178" s="2" t="s">
        <v>2898</v>
      </c>
      <c r="C1178" s="2" t="s">
        <v>55</v>
      </c>
      <c r="D1178" s="2" t="s">
        <v>472</v>
      </c>
      <c r="E1178" s="4">
        <v>399.99</v>
      </c>
      <c r="F1178" s="14"/>
      <c r="G1178" s="3">
        <v>0</v>
      </c>
      <c r="H1178" s="6">
        <v>3</v>
      </c>
      <c r="I1178" s="3">
        <v>2</v>
      </c>
      <c r="J1178" s="13" t="str">
        <f>HYPERLINK("https://amazon.com/dp/B0C458FHZG","Amazon - B0C458FHZG")</f>
        <v>Amazon - B0C458FHZG</v>
      </c>
      <c r="K1178" s="14" t="s">
        <v>443</v>
      </c>
      <c r="L1178" s="14" t="s">
        <v>502</v>
      </c>
      <c r="M1178" s="14" t="s">
        <v>303</v>
      </c>
      <c r="N1178" s="14" t="s">
        <v>446</v>
      </c>
      <c r="O1178" s="14" t="s">
        <v>570</v>
      </c>
    </row>
    <row r="1179" spans="1:15" ht="45" x14ac:dyDescent="0.2">
      <c r="A1179" s="2" t="s">
        <v>2899</v>
      </c>
      <c r="B1179" s="2" t="s">
        <v>2900</v>
      </c>
      <c r="C1179" s="2" t="s">
        <v>55</v>
      </c>
      <c r="D1179" s="2" t="s">
        <v>472</v>
      </c>
      <c r="E1179" s="4">
        <v>399.99</v>
      </c>
      <c r="F1179" s="14"/>
      <c r="G1179" s="3">
        <v>0</v>
      </c>
      <c r="H1179" s="6">
        <v>3.8</v>
      </c>
      <c r="I1179" s="3">
        <v>2</v>
      </c>
      <c r="J1179" s="13" t="str">
        <f>HYPERLINK("https://amazon.com/dp/B0CXHZXNXG","Amazon - B0CXHZXNXG")</f>
        <v>Amazon - B0CXHZXNXG</v>
      </c>
      <c r="K1179" s="14" t="s">
        <v>443</v>
      </c>
      <c r="L1179" s="14" t="s">
        <v>502</v>
      </c>
      <c r="M1179" s="14" t="s">
        <v>303</v>
      </c>
      <c r="N1179" s="14" t="s">
        <v>446</v>
      </c>
      <c r="O1179" s="14" t="s">
        <v>517</v>
      </c>
    </row>
    <row r="1180" spans="1:15" ht="45" x14ac:dyDescent="0.2">
      <c r="A1180" s="2" t="s">
        <v>2901</v>
      </c>
      <c r="B1180" s="2" t="s">
        <v>2902</v>
      </c>
      <c r="C1180" s="2" t="s">
        <v>418</v>
      </c>
      <c r="D1180" s="2" t="s">
        <v>472</v>
      </c>
      <c r="E1180" s="4">
        <v>54.99</v>
      </c>
      <c r="F1180" s="14"/>
      <c r="G1180" s="3">
        <v>0</v>
      </c>
      <c r="H1180" s="6">
        <v>0</v>
      </c>
      <c r="I1180" s="3">
        <v>0</v>
      </c>
      <c r="J1180" s="13" t="str">
        <f>HYPERLINK("https://amazon.com/dp/B0FLWS2HBV","Amazon - B0FLWS2HBV")</f>
        <v>Amazon - B0FLWS2HBV</v>
      </c>
      <c r="K1180" s="14" t="s">
        <v>443</v>
      </c>
      <c r="L1180" s="14" t="s">
        <v>461</v>
      </c>
      <c r="M1180" s="14" t="s">
        <v>303</v>
      </c>
      <c r="N1180" s="14" t="s">
        <v>446</v>
      </c>
      <c r="O1180" s="14" t="s">
        <v>453</v>
      </c>
    </row>
    <row r="1181" spans="1:15" ht="45" x14ac:dyDescent="0.2">
      <c r="A1181" s="2" t="s">
        <v>2903</v>
      </c>
      <c r="B1181" s="2" t="s">
        <v>2904</v>
      </c>
      <c r="C1181" s="2" t="s">
        <v>64</v>
      </c>
      <c r="D1181" s="2" t="s">
        <v>442</v>
      </c>
      <c r="E1181" s="4">
        <v>114.99</v>
      </c>
      <c r="F1181" s="14"/>
      <c r="G1181" s="3">
        <v>0</v>
      </c>
      <c r="H1181" s="6">
        <v>0</v>
      </c>
      <c r="I1181" s="3">
        <v>0</v>
      </c>
      <c r="J1181" s="13" t="str">
        <f>HYPERLINK("https://amazon.com/dp/B0GK8HGMLP","Amazon - B0GK8HGMLP")</f>
        <v>Amazon - B0GK8HGMLP</v>
      </c>
      <c r="K1181" s="14" t="s">
        <v>443</v>
      </c>
      <c r="L1181" s="14" t="s">
        <v>461</v>
      </c>
      <c r="M1181" s="14" t="s">
        <v>445</v>
      </c>
      <c r="N1181" s="14" t="s">
        <v>452</v>
      </c>
      <c r="O1181" s="14" t="s">
        <v>447</v>
      </c>
    </row>
    <row r="1182" spans="1:15" ht="45" x14ac:dyDescent="0.2">
      <c r="A1182" s="2" t="s">
        <v>2905</v>
      </c>
      <c r="B1182" s="2" t="s">
        <v>2906</v>
      </c>
      <c r="C1182" s="2" t="s">
        <v>55</v>
      </c>
      <c r="D1182" s="2" t="s">
        <v>472</v>
      </c>
      <c r="E1182" s="4">
        <v>599.99</v>
      </c>
      <c r="F1182" s="14"/>
      <c r="G1182" s="3">
        <v>0</v>
      </c>
      <c r="H1182" s="6">
        <v>3.9</v>
      </c>
      <c r="I1182" s="3">
        <v>59</v>
      </c>
      <c r="J1182" s="13" t="str">
        <f>HYPERLINK("https://amazon.com/dp/B0C2ZMPFDD","Amazon - B0C2ZMPFDD")</f>
        <v>Amazon - B0C2ZMPFDD</v>
      </c>
      <c r="K1182" s="14" t="s">
        <v>443</v>
      </c>
      <c r="L1182" s="14" t="s">
        <v>502</v>
      </c>
      <c r="M1182" s="14" t="s">
        <v>303</v>
      </c>
      <c r="N1182" s="14" t="s">
        <v>446</v>
      </c>
      <c r="O1182" s="14" t="s">
        <v>517</v>
      </c>
    </row>
    <row r="1183" spans="1:15" x14ac:dyDescent="0.2">
      <c r="A1183" s="2" t="s">
        <v>2907</v>
      </c>
      <c r="B1183" s="2" t="s">
        <v>2908</v>
      </c>
      <c r="C1183" s="2" t="s">
        <v>414</v>
      </c>
      <c r="D1183" s="2" t="s">
        <v>442</v>
      </c>
      <c r="E1183" s="4">
        <v>333.31</v>
      </c>
      <c r="F1183" s="14"/>
      <c r="G1183" s="3">
        <v>0</v>
      </c>
      <c r="H1183" s="6">
        <v>0</v>
      </c>
      <c r="I1183" s="3">
        <v>0</v>
      </c>
      <c r="J1183" s="13" t="str">
        <f>HYPERLINK("https://amazon.com/dp/B0F1LS9SDZ","Amazon - B0F1LS9SDZ")</f>
        <v>Amazon - B0F1LS9SDZ</v>
      </c>
      <c r="K1183" s="14" t="s">
        <v>443</v>
      </c>
      <c r="L1183" s="14" t="s">
        <v>303</v>
      </c>
      <c r="M1183" s="14" t="s">
        <v>303</v>
      </c>
      <c r="N1183" s="14" t="s">
        <v>446</v>
      </c>
      <c r="O1183" s="14" t="s">
        <v>303</v>
      </c>
    </row>
    <row r="1184" spans="1:15" ht="45" x14ac:dyDescent="0.2">
      <c r="A1184" s="2" t="s">
        <v>2909</v>
      </c>
      <c r="B1184" s="2" t="s">
        <v>2910</v>
      </c>
      <c r="C1184" s="2" t="s">
        <v>55</v>
      </c>
      <c r="D1184" s="2" t="s">
        <v>472</v>
      </c>
      <c r="E1184" s="4">
        <v>699.99</v>
      </c>
      <c r="F1184" s="14"/>
      <c r="G1184" s="3">
        <v>0</v>
      </c>
      <c r="H1184" s="6">
        <v>4</v>
      </c>
      <c r="I1184" s="3">
        <v>19</v>
      </c>
      <c r="J1184" s="13" t="str">
        <f>HYPERLINK("https://amazon.com/dp/B079FVGB5N","Amazon - B079FVGB5N")</f>
        <v>Amazon - B079FVGB5N</v>
      </c>
      <c r="K1184" s="14" t="s">
        <v>443</v>
      </c>
      <c r="L1184" s="14" t="s">
        <v>461</v>
      </c>
      <c r="M1184" s="14" t="s">
        <v>303</v>
      </c>
      <c r="N1184" s="14" t="s">
        <v>446</v>
      </c>
      <c r="O1184" s="14" t="s">
        <v>517</v>
      </c>
    </row>
    <row r="1185" spans="1:15" ht="30" x14ac:dyDescent="0.2">
      <c r="A1185" s="2" t="s">
        <v>2911</v>
      </c>
      <c r="B1185" s="2" t="s">
        <v>2912</v>
      </c>
      <c r="C1185" s="2" t="s">
        <v>55</v>
      </c>
      <c r="D1185" s="2" t="s">
        <v>472</v>
      </c>
      <c r="E1185" s="4">
        <v>999.99</v>
      </c>
      <c r="F1185" s="14"/>
      <c r="G1185" s="3">
        <v>0</v>
      </c>
      <c r="H1185" s="6">
        <v>3.7</v>
      </c>
      <c r="I1185" s="3">
        <v>37</v>
      </c>
      <c r="J1185" s="13" t="str">
        <f>HYPERLINK("https://amazon.com/dp/B0BX9GDLTV","Amazon - B0BX9GDLTV")</f>
        <v>Amazon - B0BX9GDLTV</v>
      </c>
      <c r="K1185" s="14" t="s">
        <v>443</v>
      </c>
      <c r="L1185" s="14" t="s">
        <v>461</v>
      </c>
      <c r="M1185" s="14" t="s">
        <v>303</v>
      </c>
      <c r="N1185" s="14" t="s">
        <v>446</v>
      </c>
      <c r="O1185" s="14" t="s">
        <v>570</v>
      </c>
    </row>
    <row r="1186" spans="1:15" ht="45" x14ac:dyDescent="0.2">
      <c r="A1186" s="2" t="s">
        <v>2913</v>
      </c>
      <c r="B1186" s="2" t="s">
        <v>2914</v>
      </c>
      <c r="C1186" s="2" t="s">
        <v>52</v>
      </c>
      <c r="D1186" s="2" t="s">
        <v>442</v>
      </c>
      <c r="E1186" s="4">
        <v>39.99</v>
      </c>
      <c r="F1186" s="14"/>
      <c r="G1186" s="3">
        <v>0</v>
      </c>
      <c r="H1186" s="6">
        <v>0</v>
      </c>
      <c r="I1186" s="3">
        <v>0</v>
      </c>
      <c r="J1186" s="13" t="str">
        <f>HYPERLINK("https://amazon.com/dp/B0GHXZPW62","Amazon - B0GHXZPW62")</f>
        <v>Amazon - B0GHXZPW62</v>
      </c>
      <c r="K1186" s="14" t="s">
        <v>443</v>
      </c>
      <c r="L1186" s="14" t="s">
        <v>461</v>
      </c>
      <c r="M1186" s="14" t="s">
        <v>303</v>
      </c>
      <c r="N1186" s="14" t="s">
        <v>446</v>
      </c>
      <c r="O1186" s="14" t="s">
        <v>453</v>
      </c>
    </row>
    <row r="1187" spans="1:15" ht="45" x14ac:dyDescent="0.2">
      <c r="A1187" s="2" t="s">
        <v>2915</v>
      </c>
      <c r="B1187" s="2" t="s">
        <v>2916</v>
      </c>
      <c r="C1187" s="2" t="s">
        <v>9</v>
      </c>
      <c r="D1187" s="2" t="s">
        <v>823</v>
      </c>
      <c r="E1187" s="4">
        <v>69.989999999999995</v>
      </c>
      <c r="F1187" s="14"/>
      <c r="G1187" s="3">
        <v>0</v>
      </c>
      <c r="H1187" s="6">
        <v>4.2</v>
      </c>
      <c r="I1187" s="3">
        <v>5646</v>
      </c>
      <c r="J1187" s="13" t="str">
        <f>HYPERLINK("https://amazon.com/dp/B07MV6X4M4","Amazon - B07MV6X4M4")</f>
        <v>Amazon - B07MV6X4M4</v>
      </c>
      <c r="K1187" s="14" t="s">
        <v>443</v>
      </c>
      <c r="L1187" s="14" t="s">
        <v>451</v>
      </c>
      <c r="M1187" s="14" t="s">
        <v>303</v>
      </c>
      <c r="N1187" s="14" t="s">
        <v>446</v>
      </c>
      <c r="O1187" s="14" t="s">
        <v>453</v>
      </c>
    </row>
    <row r="1188" spans="1:15" ht="45" x14ac:dyDescent="0.2">
      <c r="A1188" s="2" t="s">
        <v>2917</v>
      </c>
      <c r="B1188" s="2" t="s">
        <v>2918</v>
      </c>
      <c r="C1188" s="2" t="s">
        <v>13</v>
      </c>
      <c r="D1188" s="2" t="s">
        <v>472</v>
      </c>
      <c r="E1188" s="4">
        <v>329.99</v>
      </c>
      <c r="F1188" s="14"/>
      <c r="G1188" s="3">
        <v>0</v>
      </c>
      <c r="H1188" s="6">
        <v>0</v>
      </c>
      <c r="I1188" s="3">
        <v>0</v>
      </c>
      <c r="J1188" s="13" t="str">
        <f>HYPERLINK("https://amazon.com/dp/B0G38XJ18B","Amazon - B0G38XJ18B")</f>
        <v>Amazon - B0G38XJ18B</v>
      </c>
      <c r="K1188" s="14" t="s">
        <v>443</v>
      </c>
      <c r="L1188" s="14" t="s">
        <v>303</v>
      </c>
      <c r="M1188" s="14" t="s">
        <v>303</v>
      </c>
      <c r="N1188" s="14" t="s">
        <v>446</v>
      </c>
      <c r="O1188" s="14" t="s">
        <v>303</v>
      </c>
    </row>
    <row r="1189" spans="1:15" ht="45" x14ac:dyDescent="0.2">
      <c r="A1189" s="2" t="s">
        <v>2919</v>
      </c>
      <c r="B1189" s="2" t="s">
        <v>2920</v>
      </c>
      <c r="C1189" s="2" t="s">
        <v>43</v>
      </c>
      <c r="D1189" s="2" t="s">
        <v>472</v>
      </c>
      <c r="E1189" s="4">
        <v>329.99</v>
      </c>
      <c r="F1189" s="14"/>
      <c r="G1189" s="3">
        <v>0</v>
      </c>
      <c r="H1189" s="6">
        <v>4</v>
      </c>
      <c r="I1189" s="3">
        <v>39</v>
      </c>
      <c r="J1189" s="13" t="str">
        <f>HYPERLINK("https://amazon.com/dp/B0CBRW4N9Y","Amazon - B0CBRW4N9Y")</f>
        <v>Amazon - B0CBRW4N9Y</v>
      </c>
      <c r="K1189" s="14" t="s">
        <v>443</v>
      </c>
      <c r="L1189" s="14" t="s">
        <v>456</v>
      </c>
      <c r="M1189" s="14" t="s">
        <v>303</v>
      </c>
      <c r="N1189" s="14" t="s">
        <v>446</v>
      </c>
      <c r="O1189" s="14" t="s">
        <v>570</v>
      </c>
    </row>
    <row r="1190" spans="1:15" ht="45" x14ac:dyDescent="0.2">
      <c r="A1190" s="2" t="s">
        <v>2921</v>
      </c>
      <c r="B1190" s="2" t="s">
        <v>2922</v>
      </c>
      <c r="C1190" s="2" t="s">
        <v>13</v>
      </c>
      <c r="D1190" s="2" t="s">
        <v>472</v>
      </c>
      <c r="E1190" s="4">
        <v>569.91999999999996</v>
      </c>
      <c r="F1190" s="14"/>
      <c r="G1190" s="3">
        <v>0</v>
      </c>
      <c r="H1190" s="6">
        <v>4</v>
      </c>
      <c r="I1190" s="3">
        <v>15</v>
      </c>
      <c r="J1190" s="13" t="str">
        <f>HYPERLINK("https://amazon.com/dp/B08QYX32R7","Amazon - B08QYX32R7")</f>
        <v>Amazon - B08QYX32R7</v>
      </c>
      <c r="K1190" s="14" t="s">
        <v>443</v>
      </c>
      <c r="L1190" s="14" t="s">
        <v>667</v>
      </c>
      <c r="M1190" s="14" t="s">
        <v>303</v>
      </c>
      <c r="N1190" s="14" t="s">
        <v>446</v>
      </c>
      <c r="O1190" s="14" t="s">
        <v>570</v>
      </c>
    </row>
    <row r="1191" spans="1:15" ht="30" x14ac:dyDescent="0.2">
      <c r="A1191" s="2" t="s">
        <v>2923</v>
      </c>
      <c r="B1191" s="2" t="s">
        <v>2924</v>
      </c>
      <c r="C1191" s="2" t="s">
        <v>62</v>
      </c>
      <c r="D1191" s="2" t="s">
        <v>442</v>
      </c>
      <c r="E1191" s="4">
        <v>49</v>
      </c>
      <c r="F1191" s="14"/>
      <c r="G1191" s="3">
        <v>0</v>
      </c>
      <c r="H1191" s="6">
        <v>4.5999999999999996</v>
      </c>
      <c r="I1191" s="3">
        <v>57</v>
      </c>
      <c r="J1191" s="13" t="str">
        <f>HYPERLINK("https://amazon.com/dp/B089Q4DBPT","Amazon - B089Q4DBPT")</f>
        <v>Amazon - B089Q4DBPT</v>
      </c>
      <c r="K1191" s="14" t="s">
        <v>443</v>
      </c>
      <c r="L1191" s="14" t="s">
        <v>303</v>
      </c>
      <c r="M1191" s="14" t="s">
        <v>303</v>
      </c>
      <c r="N1191" s="14" t="s">
        <v>446</v>
      </c>
      <c r="O1191" s="14" t="s">
        <v>303</v>
      </c>
    </row>
    <row r="1192" spans="1:15" ht="45" x14ac:dyDescent="0.2">
      <c r="A1192" s="2" t="s">
        <v>2925</v>
      </c>
      <c r="B1192" s="2" t="s">
        <v>2926</v>
      </c>
      <c r="C1192" s="2" t="s">
        <v>50</v>
      </c>
      <c r="D1192" s="2" t="s">
        <v>472</v>
      </c>
      <c r="E1192" s="4">
        <v>879.99</v>
      </c>
      <c r="F1192" s="14"/>
      <c r="G1192" s="3">
        <v>0</v>
      </c>
      <c r="H1192" s="6">
        <v>4.7</v>
      </c>
      <c r="I1192" s="3">
        <v>5</v>
      </c>
      <c r="J1192" s="13" t="str">
        <f>HYPERLINK("https://amazon.com/dp/B0F2HS29VB","Amazon - B0F2HS29VB")</f>
        <v>Amazon - B0F2HS29VB</v>
      </c>
      <c r="K1192" s="14" t="s">
        <v>443</v>
      </c>
      <c r="L1192" s="14" t="s">
        <v>502</v>
      </c>
      <c r="M1192" s="14" t="s">
        <v>303</v>
      </c>
      <c r="N1192" s="14" t="s">
        <v>446</v>
      </c>
      <c r="O1192" s="14" t="s">
        <v>517</v>
      </c>
    </row>
    <row r="1193" spans="1:15" ht="45" x14ac:dyDescent="0.2">
      <c r="A1193" s="2" t="s">
        <v>2927</v>
      </c>
      <c r="B1193" s="2" t="s">
        <v>2928</v>
      </c>
      <c r="C1193" s="2" t="s">
        <v>13</v>
      </c>
      <c r="D1193" s="2" t="s">
        <v>472</v>
      </c>
      <c r="E1193" s="4">
        <v>599.99</v>
      </c>
      <c r="F1193" s="14"/>
      <c r="G1193" s="3">
        <v>0</v>
      </c>
      <c r="H1193" s="6">
        <v>0</v>
      </c>
      <c r="I1193" s="3">
        <v>0</v>
      </c>
      <c r="J1193" s="13" t="str">
        <f>HYPERLINK("https://amazon.com/dp/B0DXP75RHR","Amazon - B0DXP75RHR")</f>
        <v>Amazon - B0DXP75RHR</v>
      </c>
      <c r="K1193" s="14" t="s">
        <v>443</v>
      </c>
      <c r="L1193" s="14" t="s">
        <v>502</v>
      </c>
      <c r="M1193" s="14" t="s">
        <v>565</v>
      </c>
      <c r="N1193" s="14" t="s">
        <v>446</v>
      </c>
      <c r="O1193" s="14" t="s">
        <v>517</v>
      </c>
    </row>
    <row r="1194" spans="1:15" ht="30" x14ac:dyDescent="0.2">
      <c r="A1194" s="2" t="s">
        <v>2929</v>
      </c>
      <c r="B1194" s="2" t="s">
        <v>2930</v>
      </c>
      <c r="C1194" s="2" t="s">
        <v>29</v>
      </c>
      <c r="D1194" s="2" t="s">
        <v>472</v>
      </c>
      <c r="E1194" s="4">
        <v>389.99</v>
      </c>
      <c r="F1194" s="14"/>
      <c r="G1194" s="3">
        <v>0</v>
      </c>
      <c r="H1194" s="6">
        <v>4</v>
      </c>
      <c r="I1194" s="3">
        <v>14</v>
      </c>
      <c r="J1194" s="13" t="str">
        <f>HYPERLINK("https://amazon.com/dp/B0D6VQMF5T","Amazon - B0D6VQMF5T")</f>
        <v>Amazon - B0D6VQMF5T</v>
      </c>
      <c r="K1194" s="14" t="s">
        <v>443</v>
      </c>
      <c r="L1194" s="14" t="s">
        <v>667</v>
      </c>
      <c r="M1194" s="14" t="s">
        <v>303</v>
      </c>
      <c r="N1194" s="14" t="s">
        <v>446</v>
      </c>
      <c r="O1194" s="14" t="s">
        <v>517</v>
      </c>
    </row>
    <row r="1195" spans="1:15" ht="45" x14ac:dyDescent="0.2">
      <c r="A1195" s="2" t="s">
        <v>2931</v>
      </c>
      <c r="B1195" s="2" t="s">
        <v>2932</v>
      </c>
      <c r="C1195" s="2" t="s">
        <v>348</v>
      </c>
      <c r="D1195" s="2" t="s">
        <v>442</v>
      </c>
      <c r="E1195" s="4">
        <v>98.99</v>
      </c>
      <c r="F1195" s="14"/>
      <c r="G1195" s="3">
        <v>0</v>
      </c>
      <c r="H1195" s="6">
        <v>0</v>
      </c>
      <c r="I1195" s="3">
        <v>0</v>
      </c>
      <c r="J1195" s="13" t="str">
        <f>HYPERLINK("https://amazon.com/dp/B0GCHGS6DD","Amazon - B0GCHGS6DD")</f>
        <v>Amazon - B0GCHGS6DD</v>
      </c>
      <c r="K1195" s="14" t="s">
        <v>443</v>
      </c>
      <c r="L1195" s="14" t="s">
        <v>456</v>
      </c>
      <c r="M1195" s="14" t="s">
        <v>303</v>
      </c>
      <c r="N1195" s="14" t="s">
        <v>446</v>
      </c>
      <c r="O1195" s="14" t="s">
        <v>303</v>
      </c>
    </row>
    <row r="1196" spans="1:15" ht="45" x14ac:dyDescent="0.2">
      <c r="A1196" s="2" t="s">
        <v>2933</v>
      </c>
      <c r="B1196" s="2" t="s">
        <v>2934</v>
      </c>
      <c r="C1196" s="2" t="s">
        <v>199</v>
      </c>
      <c r="D1196" s="2" t="s">
        <v>442</v>
      </c>
      <c r="E1196" s="4">
        <v>218.49</v>
      </c>
      <c r="F1196" s="14"/>
      <c r="G1196" s="3">
        <v>0</v>
      </c>
      <c r="H1196" s="6">
        <v>4.5</v>
      </c>
      <c r="I1196" s="3">
        <v>31</v>
      </c>
      <c r="J1196" s="13" t="str">
        <f>HYPERLINK("https://amazon.com/dp/B0D4CFGXRL","Amazon - B0D4CFGXRL")</f>
        <v>Amazon - B0D4CFGXRL</v>
      </c>
      <c r="K1196" s="14" t="s">
        <v>443</v>
      </c>
      <c r="L1196" s="14" t="s">
        <v>461</v>
      </c>
      <c r="M1196" s="14" t="s">
        <v>484</v>
      </c>
      <c r="N1196" s="14" t="s">
        <v>446</v>
      </c>
      <c r="O1196" s="14" t="s">
        <v>303</v>
      </c>
    </row>
    <row r="1197" spans="1:15" ht="45" x14ac:dyDescent="0.2">
      <c r="A1197" s="2" t="s">
        <v>2935</v>
      </c>
      <c r="B1197" s="2" t="s">
        <v>2936</v>
      </c>
      <c r="C1197" s="2" t="s">
        <v>386</v>
      </c>
      <c r="D1197" s="2" t="s">
        <v>442</v>
      </c>
      <c r="E1197" s="4">
        <v>13.89</v>
      </c>
      <c r="F1197" s="14"/>
      <c r="G1197" s="3">
        <v>0</v>
      </c>
      <c r="H1197" s="6">
        <v>5</v>
      </c>
      <c r="I1197" s="3">
        <v>1</v>
      </c>
      <c r="J1197" s="13" t="str">
        <f>HYPERLINK("https://amazon.com/dp/B06XNWQ96Z","Amazon - B06XNWQ96Z")</f>
        <v>Amazon - B06XNWQ96Z</v>
      </c>
      <c r="K1197" s="14" t="s">
        <v>443</v>
      </c>
      <c r="L1197" s="14" t="s">
        <v>303</v>
      </c>
      <c r="M1197" s="14" t="s">
        <v>303</v>
      </c>
      <c r="N1197" s="14" t="s">
        <v>446</v>
      </c>
      <c r="O1197" s="14" t="s">
        <v>303</v>
      </c>
    </row>
    <row r="1198" spans="1:15" ht="45" x14ac:dyDescent="0.2">
      <c r="A1198" s="2" t="s">
        <v>2937</v>
      </c>
      <c r="B1198" s="2" t="s">
        <v>2938</v>
      </c>
      <c r="C1198" s="2" t="s">
        <v>14</v>
      </c>
      <c r="D1198" s="2" t="s">
        <v>472</v>
      </c>
      <c r="E1198" s="4">
        <v>999.99</v>
      </c>
      <c r="F1198" s="14"/>
      <c r="G1198" s="3">
        <v>0</v>
      </c>
      <c r="H1198" s="6">
        <v>4</v>
      </c>
      <c r="I1198" s="3">
        <v>34</v>
      </c>
      <c r="J1198" s="13" t="str">
        <f>HYPERLINK("https://amazon.com/dp/B0FPQQXHRW","Amazon - B0FPQQXHRW")</f>
        <v>Amazon - B0FPQQXHRW</v>
      </c>
      <c r="K1198" s="14" t="s">
        <v>443</v>
      </c>
      <c r="L1198" s="14" t="s">
        <v>303</v>
      </c>
      <c r="M1198" s="14" t="s">
        <v>303</v>
      </c>
      <c r="N1198" s="14" t="s">
        <v>446</v>
      </c>
      <c r="O1198" s="14" t="s">
        <v>303</v>
      </c>
    </row>
    <row r="1199" spans="1:15" ht="45" x14ac:dyDescent="0.2">
      <c r="A1199" s="2" t="s">
        <v>2939</v>
      </c>
      <c r="B1199" s="2" t="s">
        <v>2940</v>
      </c>
      <c r="C1199" s="2" t="s">
        <v>13</v>
      </c>
      <c r="D1199" s="2" t="s">
        <v>472</v>
      </c>
      <c r="E1199" s="4">
        <v>500</v>
      </c>
      <c r="F1199" s="14"/>
      <c r="G1199" s="3">
        <v>0</v>
      </c>
      <c r="H1199" s="6">
        <v>4.2</v>
      </c>
      <c r="I1199" s="3">
        <v>100</v>
      </c>
      <c r="J1199" s="13" t="str">
        <f>HYPERLINK("https://amazon.com/dp/B08LVGDVC1","Amazon - B08LVGDVC1")</f>
        <v>Amazon - B08LVGDVC1</v>
      </c>
      <c r="K1199" s="14" t="s">
        <v>443</v>
      </c>
      <c r="L1199" s="14" t="s">
        <v>667</v>
      </c>
      <c r="M1199" s="14" t="s">
        <v>303</v>
      </c>
      <c r="N1199" s="14" t="s">
        <v>446</v>
      </c>
      <c r="O1199" s="14" t="s">
        <v>1225</v>
      </c>
    </row>
    <row r="1200" spans="1:15" ht="45" x14ac:dyDescent="0.2">
      <c r="A1200" s="2" t="s">
        <v>2941</v>
      </c>
      <c r="B1200" s="2" t="s">
        <v>2942</v>
      </c>
      <c r="C1200" s="2" t="s">
        <v>23</v>
      </c>
      <c r="D1200" s="2" t="s">
        <v>472</v>
      </c>
      <c r="E1200" s="4">
        <v>421.6</v>
      </c>
      <c r="F1200" s="14"/>
      <c r="G1200" s="3">
        <v>0</v>
      </c>
      <c r="H1200" s="6">
        <v>4.2</v>
      </c>
      <c r="I1200" s="3">
        <v>12</v>
      </c>
      <c r="J1200" s="13" t="str">
        <f>HYPERLINK("https://amazon.com/dp/B0CS68V7GR","Amazon - B0CS68V7GR")</f>
        <v>Amazon - B0CS68V7GR</v>
      </c>
      <c r="K1200" s="14" t="s">
        <v>443</v>
      </c>
      <c r="L1200" s="14" t="s">
        <v>461</v>
      </c>
      <c r="M1200" s="14" t="s">
        <v>503</v>
      </c>
      <c r="N1200" s="14" t="s">
        <v>446</v>
      </c>
      <c r="O1200" s="14" t="s">
        <v>479</v>
      </c>
    </row>
    <row r="1201" spans="1:15" ht="45" x14ac:dyDescent="0.2">
      <c r="A1201" s="2" t="s">
        <v>2943</v>
      </c>
      <c r="B1201" s="2" t="s">
        <v>2944</v>
      </c>
      <c r="C1201" s="2" t="s">
        <v>14</v>
      </c>
      <c r="D1201" s="2" t="s">
        <v>472</v>
      </c>
      <c r="E1201" s="4">
        <v>859.99</v>
      </c>
      <c r="F1201" s="14"/>
      <c r="G1201" s="3">
        <v>0</v>
      </c>
      <c r="H1201" s="6">
        <v>4</v>
      </c>
      <c r="I1201" s="3">
        <v>34</v>
      </c>
      <c r="J1201" s="13" t="str">
        <f>HYPERLINK("https://amazon.com/dp/B0DSJGPDB6","Amazon - B0DSJGPDB6")</f>
        <v>Amazon - B0DSJGPDB6</v>
      </c>
      <c r="K1201" s="14" t="s">
        <v>443</v>
      </c>
      <c r="L1201" s="14" t="s">
        <v>564</v>
      </c>
      <c r="M1201" s="14" t="s">
        <v>565</v>
      </c>
      <c r="N1201" s="14" t="s">
        <v>446</v>
      </c>
      <c r="O1201" s="14" t="s">
        <v>517</v>
      </c>
    </row>
    <row r="1202" spans="1:15" ht="45" x14ac:dyDescent="0.2">
      <c r="A1202" s="2" t="s">
        <v>2945</v>
      </c>
      <c r="B1202" s="2" t="s">
        <v>2946</v>
      </c>
      <c r="C1202" s="2" t="s">
        <v>307</v>
      </c>
      <c r="D1202" s="2" t="s">
        <v>450</v>
      </c>
      <c r="E1202" s="4">
        <v>17.39</v>
      </c>
      <c r="F1202" s="14"/>
      <c r="G1202" s="3">
        <v>0</v>
      </c>
      <c r="H1202" s="6">
        <v>4.0999999999999996</v>
      </c>
      <c r="I1202" s="3">
        <v>44</v>
      </c>
      <c r="J1202" s="13" t="str">
        <f>HYPERLINK("https://amazon.com/dp/B0DCY6XC2Q","Amazon - B0DCY6XC2Q")</f>
        <v>Amazon - B0DCY6XC2Q</v>
      </c>
      <c r="K1202" s="14" t="s">
        <v>443</v>
      </c>
      <c r="L1202" s="14" t="s">
        <v>451</v>
      </c>
      <c r="M1202" s="14" t="s">
        <v>303</v>
      </c>
      <c r="N1202" s="14" t="s">
        <v>446</v>
      </c>
      <c r="O1202" s="14" t="s">
        <v>453</v>
      </c>
    </row>
    <row r="1203" spans="1:15" x14ac:dyDescent="0.2">
      <c r="A1203" s="2" t="s">
        <v>2947</v>
      </c>
      <c r="B1203" s="2" t="s">
        <v>2948</v>
      </c>
      <c r="C1203" s="2"/>
      <c r="D1203" s="2" t="s">
        <v>823</v>
      </c>
      <c r="E1203" s="4">
        <v>144.99</v>
      </c>
      <c r="F1203" s="14"/>
      <c r="G1203" s="3">
        <v>0</v>
      </c>
      <c r="H1203" s="6">
        <v>3.8</v>
      </c>
      <c r="I1203" s="3">
        <v>39</v>
      </c>
      <c r="J1203" s="13" t="str">
        <f>HYPERLINK("https://amazon.com/dp/B095Y27DNR","Amazon - B095Y27DNR")</f>
        <v>Amazon - B095Y27DNR</v>
      </c>
      <c r="K1203" s="14" t="s">
        <v>443</v>
      </c>
      <c r="L1203" s="14" t="s">
        <v>451</v>
      </c>
      <c r="M1203" s="14" t="s">
        <v>303</v>
      </c>
      <c r="N1203" s="14" t="s">
        <v>446</v>
      </c>
      <c r="O1203" s="14" t="s">
        <v>303</v>
      </c>
    </row>
    <row r="1204" spans="1:15" ht="45" x14ac:dyDescent="0.2">
      <c r="A1204" s="2" t="s">
        <v>2949</v>
      </c>
      <c r="B1204" s="2" t="s">
        <v>2950</v>
      </c>
      <c r="C1204" s="2" t="s">
        <v>118</v>
      </c>
      <c r="D1204" s="2" t="s">
        <v>450</v>
      </c>
      <c r="E1204" s="4">
        <v>19.98</v>
      </c>
      <c r="F1204" s="14"/>
      <c r="G1204" s="3">
        <v>0</v>
      </c>
      <c r="H1204" s="6">
        <v>4.5999999999999996</v>
      </c>
      <c r="I1204" s="3">
        <v>46</v>
      </c>
      <c r="J1204" s="13" t="str">
        <f>HYPERLINK("https://amazon.com/dp/B0CQRK7RQ4","Amazon - B0CQRK7RQ4")</f>
        <v>Amazon - B0CQRK7RQ4</v>
      </c>
      <c r="K1204" s="14" t="s">
        <v>443</v>
      </c>
      <c r="L1204" s="14" t="s">
        <v>451</v>
      </c>
      <c r="M1204" s="14" t="s">
        <v>303</v>
      </c>
      <c r="N1204" s="14" t="s">
        <v>446</v>
      </c>
      <c r="O1204" s="14" t="s">
        <v>453</v>
      </c>
    </row>
    <row r="1205" spans="1:15" ht="45" x14ac:dyDescent="0.2">
      <c r="A1205" s="2" t="s">
        <v>2951</v>
      </c>
      <c r="B1205" s="2" t="s">
        <v>2952</v>
      </c>
      <c r="C1205" s="2" t="s">
        <v>13</v>
      </c>
      <c r="D1205" s="2" t="s">
        <v>472</v>
      </c>
      <c r="E1205" s="4">
        <v>799.99</v>
      </c>
      <c r="F1205" s="14"/>
      <c r="G1205" s="3">
        <v>0</v>
      </c>
      <c r="H1205" s="6">
        <v>4.3</v>
      </c>
      <c r="I1205" s="3">
        <v>37</v>
      </c>
      <c r="J1205" s="13" t="str">
        <f>HYPERLINK("https://amazon.com/dp/B08NFVFC1M","Amazon - B08NFVFC1M")</f>
        <v>Amazon - B08NFVFC1M</v>
      </c>
      <c r="K1205" s="14" t="s">
        <v>443</v>
      </c>
      <c r="L1205" s="14" t="s">
        <v>461</v>
      </c>
      <c r="M1205" s="14" t="s">
        <v>303</v>
      </c>
      <c r="N1205" s="14" t="s">
        <v>446</v>
      </c>
      <c r="O1205" s="14" t="s">
        <v>1225</v>
      </c>
    </row>
    <row r="1206" spans="1:15" ht="45" x14ac:dyDescent="0.2">
      <c r="A1206" s="2" t="s">
        <v>2953</v>
      </c>
      <c r="B1206" s="2" t="s">
        <v>2954</v>
      </c>
      <c r="C1206" s="2" t="s">
        <v>13</v>
      </c>
      <c r="D1206" s="2" t="s">
        <v>472</v>
      </c>
      <c r="E1206" s="4">
        <v>299.99</v>
      </c>
      <c r="F1206" s="14"/>
      <c r="G1206" s="3">
        <v>0</v>
      </c>
      <c r="H1206" s="6">
        <v>4.4000000000000004</v>
      </c>
      <c r="I1206" s="3">
        <v>14</v>
      </c>
      <c r="J1206" s="13" t="str">
        <f>HYPERLINK("https://amazon.com/dp/B0B2VGF8L5","Amazon - B0B2VGF8L5")</f>
        <v>Amazon - B0B2VGF8L5</v>
      </c>
      <c r="K1206" s="14" t="s">
        <v>443</v>
      </c>
      <c r="L1206" s="14" t="s">
        <v>303</v>
      </c>
      <c r="M1206" s="14" t="s">
        <v>303</v>
      </c>
      <c r="N1206" s="14" t="s">
        <v>446</v>
      </c>
      <c r="O1206" s="14" t="s">
        <v>570</v>
      </c>
    </row>
    <row r="1207" spans="1:15" ht="30" x14ac:dyDescent="0.2">
      <c r="A1207" s="2" t="s">
        <v>2955</v>
      </c>
      <c r="B1207" s="2" t="s">
        <v>2956</v>
      </c>
      <c r="C1207" s="2" t="s">
        <v>13</v>
      </c>
      <c r="D1207" s="2" t="s">
        <v>472</v>
      </c>
      <c r="E1207" s="4">
        <v>439.99</v>
      </c>
      <c r="F1207" s="14"/>
      <c r="G1207" s="3">
        <v>0</v>
      </c>
      <c r="H1207" s="6">
        <v>4.3</v>
      </c>
      <c r="I1207" s="3">
        <v>37</v>
      </c>
      <c r="J1207" s="13" t="str">
        <f>HYPERLINK("https://amazon.com/dp/B0BJ733KVW","Amazon - B0BJ733KVW")</f>
        <v>Amazon - B0BJ733KVW</v>
      </c>
      <c r="K1207" s="14" t="s">
        <v>443</v>
      </c>
      <c r="L1207" s="14" t="s">
        <v>502</v>
      </c>
      <c r="M1207" s="14" t="s">
        <v>303</v>
      </c>
      <c r="N1207" s="14" t="s">
        <v>446</v>
      </c>
      <c r="O1207" s="14" t="s">
        <v>517</v>
      </c>
    </row>
    <row r="1208" spans="1:15" ht="45" x14ac:dyDescent="0.2">
      <c r="A1208" s="2" t="s">
        <v>2957</v>
      </c>
      <c r="B1208" s="2" t="s">
        <v>2958</v>
      </c>
      <c r="C1208" s="2" t="s">
        <v>338</v>
      </c>
      <c r="D1208" s="2" t="s">
        <v>442</v>
      </c>
      <c r="E1208" s="4">
        <v>48.99</v>
      </c>
      <c r="F1208" s="14"/>
      <c r="G1208" s="3">
        <v>0</v>
      </c>
      <c r="H1208" s="6">
        <v>0</v>
      </c>
      <c r="I1208" s="3">
        <v>0</v>
      </c>
      <c r="J1208" s="13" t="str">
        <f>HYPERLINK("https://amazon.com/dp/B0DKNK4RG9","Amazon - B0DKNK4RG9")</f>
        <v>Amazon - B0DKNK4RG9</v>
      </c>
      <c r="K1208" s="14" t="s">
        <v>443</v>
      </c>
      <c r="L1208" s="14" t="s">
        <v>444</v>
      </c>
      <c r="M1208" s="14" t="s">
        <v>303</v>
      </c>
      <c r="N1208" s="14" t="s">
        <v>446</v>
      </c>
      <c r="O1208" s="14" t="s">
        <v>608</v>
      </c>
    </row>
    <row r="1209" spans="1:15" ht="45" x14ac:dyDescent="0.2">
      <c r="A1209" s="2" t="s">
        <v>2959</v>
      </c>
      <c r="B1209" s="2" t="s">
        <v>2960</v>
      </c>
      <c r="C1209" s="2" t="s">
        <v>23</v>
      </c>
      <c r="D1209" s="2" t="s">
        <v>472</v>
      </c>
      <c r="E1209" s="4">
        <v>389.9</v>
      </c>
      <c r="F1209" s="14"/>
      <c r="G1209" s="3">
        <v>0</v>
      </c>
      <c r="H1209" s="6">
        <v>3.3</v>
      </c>
      <c r="I1209" s="3">
        <v>8</v>
      </c>
      <c r="J1209" s="13" t="str">
        <f>HYPERLINK("https://amazon.com/dp/B0F4L1ZK72","Amazon - B0F4L1ZK72")</f>
        <v>Amazon - B0F4L1ZK72</v>
      </c>
      <c r="K1209" s="14" t="s">
        <v>443</v>
      </c>
      <c r="L1209" s="14" t="s">
        <v>461</v>
      </c>
      <c r="M1209" s="14" t="s">
        <v>503</v>
      </c>
      <c r="N1209" s="14" t="s">
        <v>446</v>
      </c>
      <c r="O1209" s="14" t="s">
        <v>725</v>
      </c>
    </row>
    <row r="1210" spans="1:15" x14ac:dyDescent="0.2">
      <c r="A1210" s="2" t="s">
        <v>2961</v>
      </c>
      <c r="B1210" s="2" t="s">
        <v>2962</v>
      </c>
      <c r="C1210" s="2" t="s">
        <v>35</v>
      </c>
      <c r="D1210" s="2" t="s">
        <v>442</v>
      </c>
      <c r="E1210" s="4">
        <v>109.74</v>
      </c>
      <c r="F1210" s="14"/>
      <c r="G1210" s="3">
        <v>0</v>
      </c>
      <c r="H1210" s="6">
        <v>0</v>
      </c>
      <c r="I1210" s="3">
        <v>0</v>
      </c>
      <c r="J1210" s="13" t="str">
        <f>HYPERLINK("https://amazon.com/dp/B0FR5HTWXN","Amazon - B0FR5HTWXN")</f>
        <v>Amazon - B0FR5HTWXN</v>
      </c>
      <c r="K1210" s="14" t="s">
        <v>443</v>
      </c>
      <c r="L1210" s="14" t="s">
        <v>303</v>
      </c>
      <c r="M1210" s="14" t="s">
        <v>303</v>
      </c>
      <c r="N1210" s="14" t="s">
        <v>446</v>
      </c>
      <c r="O1210" s="14" t="s">
        <v>303</v>
      </c>
    </row>
    <row r="1211" spans="1:15" ht="45" x14ac:dyDescent="0.2">
      <c r="A1211" s="2" t="s">
        <v>2963</v>
      </c>
      <c r="B1211" s="2" t="s">
        <v>2964</v>
      </c>
      <c r="C1211" s="2" t="s">
        <v>223</v>
      </c>
      <c r="D1211" s="2" t="s">
        <v>442</v>
      </c>
      <c r="E1211" s="4">
        <v>53.98</v>
      </c>
      <c r="F1211" s="14"/>
      <c r="G1211" s="3">
        <v>0</v>
      </c>
      <c r="H1211" s="6">
        <v>0</v>
      </c>
      <c r="I1211" s="3">
        <v>0</v>
      </c>
      <c r="J1211" s="13" t="str">
        <f>HYPERLINK("https://amazon.com/dp/B0DQY9BM4H","Amazon - B0DQY9BM4H")</f>
        <v>Amazon - B0DQY9BM4H</v>
      </c>
      <c r="K1211" s="14" t="s">
        <v>443</v>
      </c>
      <c r="L1211" s="14" t="s">
        <v>456</v>
      </c>
      <c r="M1211" s="14" t="s">
        <v>303</v>
      </c>
      <c r="N1211" s="14" t="s">
        <v>452</v>
      </c>
      <c r="O1211" s="14" t="s">
        <v>608</v>
      </c>
    </row>
    <row r="1212" spans="1:15" ht="45" x14ac:dyDescent="0.2">
      <c r="A1212" s="2" t="s">
        <v>2965</v>
      </c>
      <c r="B1212" s="2" t="s">
        <v>2966</v>
      </c>
      <c r="C1212" s="2" t="s">
        <v>223</v>
      </c>
      <c r="D1212" s="2" t="s">
        <v>472</v>
      </c>
      <c r="E1212" s="4">
        <v>60.99</v>
      </c>
      <c r="F1212" s="14"/>
      <c r="G1212" s="3">
        <v>0</v>
      </c>
      <c r="H1212" s="6">
        <v>0</v>
      </c>
      <c r="I1212" s="3">
        <v>0</v>
      </c>
      <c r="J1212" s="13" t="str">
        <f>HYPERLINK("https://amazon.com/dp/B0DQYBRYMF","Amazon - B0DQYBRYMF")</f>
        <v>Amazon - B0DQYBRYMF</v>
      </c>
      <c r="K1212" s="14" t="s">
        <v>443</v>
      </c>
      <c r="L1212" s="14" t="s">
        <v>456</v>
      </c>
      <c r="M1212" s="14" t="s">
        <v>303</v>
      </c>
      <c r="N1212" s="14" t="s">
        <v>446</v>
      </c>
      <c r="O1212" s="14" t="s">
        <v>809</v>
      </c>
    </row>
    <row r="1213" spans="1:15" ht="45" x14ac:dyDescent="0.2">
      <c r="A1213" s="2" t="s">
        <v>2967</v>
      </c>
      <c r="B1213" s="2" t="s">
        <v>2968</v>
      </c>
      <c r="C1213" s="2" t="s">
        <v>223</v>
      </c>
      <c r="D1213" s="2" t="s">
        <v>472</v>
      </c>
      <c r="E1213" s="4">
        <v>55.98</v>
      </c>
      <c r="F1213" s="14"/>
      <c r="G1213" s="3">
        <v>0</v>
      </c>
      <c r="H1213" s="6">
        <v>0</v>
      </c>
      <c r="I1213" s="3">
        <v>0</v>
      </c>
      <c r="J1213" s="13" t="str">
        <f>HYPERLINK("https://amazon.com/dp/B0DQY8XVZT","Amazon - B0DQY8XVZT")</f>
        <v>Amazon - B0DQY8XVZT</v>
      </c>
      <c r="K1213" s="14" t="s">
        <v>443</v>
      </c>
      <c r="L1213" s="14" t="s">
        <v>456</v>
      </c>
      <c r="M1213" s="14" t="s">
        <v>303</v>
      </c>
      <c r="N1213" s="14" t="s">
        <v>446</v>
      </c>
      <c r="O1213" s="14" t="s">
        <v>917</v>
      </c>
    </row>
    <row r="1214" spans="1:15" ht="45" x14ac:dyDescent="0.2">
      <c r="A1214" s="2" t="s">
        <v>2969</v>
      </c>
      <c r="B1214" s="2" t="s">
        <v>2970</v>
      </c>
      <c r="C1214" s="2" t="s">
        <v>408</v>
      </c>
      <c r="D1214" s="2" t="s">
        <v>823</v>
      </c>
      <c r="E1214" s="4">
        <v>39.99</v>
      </c>
      <c r="F1214" s="14"/>
      <c r="G1214" s="3">
        <v>0</v>
      </c>
      <c r="H1214" s="6">
        <v>3.8</v>
      </c>
      <c r="I1214" s="3">
        <v>1384</v>
      </c>
      <c r="J1214" s="13" t="str">
        <f>HYPERLINK("https://amazon.com/dp/B07PN9N21Z","Amazon - B07PN9N21Z")</f>
        <v>Amazon - B07PN9N21Z</v>
      </c>
      <c r="K1214" s="14" t="s">
        <v>443</v>
      </c>
      <c r="L1214" s="14" t="s">
        <v>451</v>
      </c>
      <c r="M1214" s="14" t="s">
        <v>303</v>
      </c>
      <c r="N1214" s="14" t="s">
        <v>446</v>
      </c>
      <c r="O1214" s="14" t="s">
        <v>479</v>
      </c>
    </row>
    <row r="1215" spans="1:15" ht="45" x14ac:dyDescent="0.2">
      <c r="A1215" s="2" t="s">
        <v>2971</v>
      </c>
      <c r="B1215" s="2" t="s">
        <v>2972</v>
      </c>
      <c r="C1215" s="2" t="s">
        <v>415</v>
      </c>
      <c r="D1215" s="2" t="s">
        <v>442</v>
      </c>
      <c r="E1215" s="4">
        <v>29.99</v>
      </c>
      <c r="F1215" s="14"/>
      <c r="G1215" s="3">
        <v>0</v>
      </c>
      <c r="H1215" s="6">
        <v>4.4000000000000004</v>
      </c>
      <c r="I1215" s="3">
        <v>11</v>
      </c>
      <c r="J1215" s="13" t="str">
        <f>HYPERLINK("https://amazon.com/dp/B0F89Y8S2H","Amazon - B0F89Y8S2H")</f>
        <v>Amazon - B0F89Y8S2H</v>
      </c>
      <c r="K1215" s="14" t="s">
        <v>443</v>
      </c>
      <c r="L1215" s="14" t="s">
        <v>456</v>
      </c>
      <c r="M1215" s="14" t="s">
        <v>303</v>
      </c>
      <c r="N1215" s="14" t="s">
        <v>446</v>
      </c>
      <c r="O1215" s="14" t="s">
        <v>303</v>
      </c>
    </row>
    <row r="1216" spans="1:15" ht="30" x14ac:dyDescent="0.2">
      <c r="A1216" s="2" t="s">
        <v>2973</v>
      </c>
      <c r="B1216" s="2" t="s">
        <v>2691</v>
      </c>
      <c r="C1216" s="2" t="s">
        <v>89</v>
      </c>
      <c r="D1216" s="2" t="s">
        <v>442</v>
      </c>
      <c r="E1216" s="4">
        <v>29.99</v>
      </c>
      <c r="F1216" s="14"/>
      <c r="G1216" s="3">
        <v>0</v>
      </c>
      <c r="H1216" s="6">
        <v>4.0999999999999996</v>
      </c>
      <c r="I1216" s="3">
        <v>25</v>
      </c>
      <c r="J1216" s="13" t="str">
        <f>HYPERLINK("https://amazon.com/dp/B0CYPT5V6H","Amazon - B0CYPT5V6H")</f>
        <v>Amazon - B0CYPT5V6H</v>
      </c>
      <c r="K1216" s="14" t="s">
        <v>443</v>
      </c>
      <c r="L1216" s="14" t="s">
        <v>303</v>
      </c>
      <c r="M1216" s="14" t="s">
        <v>303</v>
      </c>
      <c r="N1216" s="14" t="s">
        <v>446</v>
      </c>
      <c r="O1216" s="14" t="s">
        <v>453</v>
      </c>
    </row>
    <row r="1217" spans="1:15" ht="30" x14ac:dyDescent="0.2">
      <c r="A1217" s="2" t="s">
        <v>2974</v>
      </c>
      <c r="B1217" s="2" t="s">
        <v>2975</v>
      </c>
      <c r="C1217" s="2" t="s">
        <v>373</v>
      </c>
      <c r="D1217" s="2" t="s">
        <v>472</v>
      </c>
      <c r="E1217" s="4">
        <v>399.99</v>
      </c>
      <c r="F1217" s="14"/>
      <c r="G1217" s="3">
        <v>0</v>
      </c>
      <c r="H1217" s="6">
        <v>4.2</v>
      </c>
      <c r="I1217" s="3">
        <v>73</v>
      </c>
      <c r="J1217" s="13" t="str">
        <f>HYPERLINK("https://amazon.com/dp/B092M73M5R","Amazon - B092M73M5R")</f>
        <v>Amazon - B092M73M5R</v>
      </c>
      <c r="K1217" s="14" t="s">
        <v>443</v>
      </c>
      <c r="L1217" s="14" t="s">
        <v>502</v>
      </c>
      <c r="M1217" s="14" t="s">
        <v>303</v>
      </c>
      <c r="N1217" s="14" t="s">
        <v>446</v>
      </c>
      <c r="O1217" s="14" t="s">
        <v>517</v>
      </c>
    </row>
    <row r="1218" spans="1:15" ht="30" x14ac:dyDescent="0.2">
      <c r="A1218" s="2" t="s">
        <v>2976</v>
      </c>
      <c r="B1218" s="2" t="s">
        <v>2977</v>
      </c>
      <c r="C1218" s="2" t="s">
        <v>40</v>
      </c>
      <c r="D1218" s="2" t="s">
        <v>442</v>
      </c>
      <c r="E1218" s="4">
        <v>64.989999999999995</v>
      </c>
      <c r="F1218" s="14"/>
      <c r="G1218" s="3">
        <v>0</v>
      </c>
      <c r="H1218" s="6">
        <v>4.5</v>
      </c>
      <c r="I1218" s="3">
        <v>34</v>
      </c>
      <c r="J1218" s="13" t="str">
        <f>HYPERLINK("https://amazon.com/dp/B0D1RHPK3R","Amazon - B0D1RHPK3R")</f>
        <v>Amazon - B0D1RHPK3R</v>
      </c>
      <c r="K1218" s="14" t="s">
        <v>443</v>
      </c>
      <c r="L1218" s="14" t="s">
        <v>456</v>
      </c>
      <c r="M1218" s="14" t="s">
        <v>303</v>
      </c>
      <c r="N1218" s="14" t="s">
        <v>473</v>
      </c>
      <c r="O1218" s="14" t="s">
        <v>629</v>
      </c>
    </row>
    <row r="1219" spans="1:15" ht="45" x14ac:dyDescent="0.2">
      <c r="A1219" s="2" t="s">
        <v>2978</v>
      </c>
      <c r="B1219" s="2" t="s">
        <v>2979</v>
      </c>
      <c r="C1219" s="2" t="s">
        <v>62</v>
      </c>
      <c r="D1219" s="2" t="s">
        <v>442</v>
      </c>
      <c r="E1219" s="4">
        <v>49</v>
      </c>
      <c r="F1219" s="14"/>
      <c r="G1219" s="3">
        <v>0</v>
      </c>
      <c r="H1219" s="6">
        <v>4.5</v>
      </c>
      <c r="I1219" s="3">
        <v>11</v>
      </c>
      <c r="J1219" s="13" t="str">
        <f>HYPERLINK("https://amazon.com/dp/B0D8VTS9DS","Amazon - B0D8VTS9DS")</f>
        <v>Amazon - B0D8VTS9DS</v>
      </c>
      <c r="K1219" s="14" t="s">
        <v>443</v>
      </c>
      <c r="L1219" s="14" t="s">
        <v>303</v>
      </c>
      <c r="M1219" s="14" t="s">
        <v>457</v>
      </c>
      <c r="N1219" s="14" t="s">
        <v>446</v>
      </c>
      <c r="O1219" s="14" t="s">
        <v>303</v>
      </c>
    </row>
    <row r="1220" spans="1:15" ht="30" x14ac:dyDescent="0.2">
      <c r="A1220" s="2" t="s">
        <v>2980</v>
      </c>
      <c r="B1220" s="2" t="s">
        <v>2981</v>
      </c>
      <c r="C1220" s="2" t="s">
        <v>349</v>
      </c>
      <c r="D1220" s="2" t="s">
        <v>442</v>
      </c>
      <c r="E1220" s="4">
        <v>90.4</v>
      </c>
      <c r="F1220" s="14"/>
      <c r="G1220" s="3">
        <v>0</v>
      </c>
      <c r="H1220" s="6">
        <v>4.9000000000000004</v>
      </c>
      <c r="I1220" s="3">
        <v>16</v>
      </c>
      <c r="J1220" s="13" t="str">
        <f>HYPERLINK("https://amazon.com/dp/B0DFCNZM93","Amazon - B0DFCNZM93")</f>
        <v>Amazon - B0DFCNZM93</v>
      </c>
      <c r="K1220" s="14" t="s">
        <v>443</v>
      </c>
      <c r="L1220" s="14" t="s">
        <v>461</v>
      </c>
      <c r="M1220" s="14" t="s">
        <v>303</v>
      </c>
      <c r="N1220" s="14" t="s">
        <v>446</v>
      </c>
      <c r="O1220" s="14" t="s">
        <v>303</v>
      </c>
    </row>
    <row r="1221" spans="1:15" ht="30" x14ac:dyDescent="0.2">
      <c r="A1221" s="2" t="s">
        <v>2982</v>
      </c>
      <c r="B1221" s="2" t="s">
        <v>2983</v>
      </c>
      <c r="C1221" s="2" t="s">
        <v>315</v>
      </c>
      <c r="D1221" s="2" t="s">
        <v>450</v>
      </c>
      <c r="E1221" s="4">
        <v>15.39</v>
      </c>
      <c r="F1221" s="14"/>
      <c r="G1221" s="3">
        <v>0</v>
      </c>
      <c r="H1221" s="6">
        <v>3</v>
      </c>
      <c r="I1221" s="3">
        <v>15</v>
      </c>
      <c r="J1221" s="13" t="str">
        <f>HYPERLINK("https://amazon.com/dp/B0CNWHTXFT","Amazon - B0CNWHTXFT")</f>
        <v>Amazon - B0CNWHTXFT</v>
      </c>
      <c r="K1221" s="14" t="s">
        <v>443</v>
      </c>
      <c r="L1221" s="14" t="s">
        <v>451</v>
      </c>
      <c r="M1221" s="14" t="s">
        <v>303</v>
      </c>
      <c r="N1221" s="14" t="s">
        <v>446</v>
      </c>
      <c r="O1221" s="14" t="s">
        <v>303</v>
      </c>
    </row>
    <row r="1222" spans="1:15" ht="30" x14ac:dyDescent="0.2">
      <c r="A1222" s="2" t="s">
        <v>2984</v>
      </c>
      <c r="B1222" s="2" t="s">
        <v>2983</v>
      </c>
      <c r="C1222" s="2" t="s">
        <v>315</v>
      </c>
      <c r="D1222" s="2" t="s">
        <v>450</v>
      </c>
      <c r="E1222" s="4">
        <v>9.89</v>
      </c>
      <c r="F1222" s="14"/>
      <c r="G1222" s="3">
        <v>0</v>
      </c>
      <c r="H1222" s="6">
        <v>3.1</v>
      </c>
      <c r="I1222" s="3">
        <v>15</v>
      </c>
      <c r="J1222" s="13" t="str">
        <f>HYPERLINK("https://amazon.com/dp/B0CNWH9FC4","Amazon - B0CNWH9FC4")</f>
        <v>Amazon - B0CNWH9FC4</v>
      </c>
      <c r="K1222" s="14" t="s">
        <v>443</v>
      </c>
      <c r="L1222" s="14" t="s">
        <v>451</v>
      </c>
      <c r="M1222" s="14" t="s">
        <v>303</v>
      </c>
      <c r="N1222" s="14" t="s">
        <v>446</v>
      </c>
      <c r="O1222" s="14" t="s">
        <v>303</v>
      </c>
    </row>
    <row r="1223" spans="1:15" ht="30" x14ac:dyDescent="0.2">
      <c r="A1223" s="2" t="s">
        <v>2985</v>
      </c>
      <c r="B1223" s="2" t="s">
        <v>2983</v>
      </c>
      <c r="C1223" s="2" t="s">
        <v>315</v>
      </c>
      <c r="D1223" s="2" t="s">
        <v>450</v>
      </c>
      <c r="E1223" s="4">
        <v>9.44</v>
      </c>
      <c r="F1223" s="14"/>
      <c r="G1223" s="3">
        <v>0</v>
      </c>
      <c r="H1223" s="6">
        <v>3.2</v>
      </c>
      <c r="I1223" s="3">
        <v>15</v>
      </c>
      <c r="J1223" s="13" t="str">
        <f>HYPERLINK("https://amazon.com/dp/B0CNWGW5JH","Amazon - B0CNWGW5JH")</f>
        <v>Amazon - B0CNWGW5JH</v>
      </c>
      <c r="K1223" s="14" t="s">
        <v>443</v>
      </c>
      <c r="L1223" s="14" t="s">
        <v>451</v>
      </c>
      <c r="M1223" s="14" t="s">
        <v>303</v>
      </c>
      <c r="N1223" s="14" t="s">
        <v>446</v>
      </c>
      <c r="O1223" s="14" t="s">
        <v>303</v>
      </c>
    </row>
    <row r="1224" spans="1:15" ht="30" x14ac:dyDescent="0.2">
      <c r="A1224" s="2" t="s">
        <v>2986</v>
      </c>
      <c r="B1224" s="2" t="s">
        <v>2987</v>
      </c>
      <c r="C1224" s="2" t="s">
        <v>23</v>
      </c>
      <c r="D1224" s="2" t="s">
        <v>472</v>
      </c>
      <c r="E1224" s="4">
        <v>179.9</v>
      </c>
      <c r="F1224" s="14"/>
      <c r="G1224" s="3">
        <v>0</v>
      </c>
      <c r="H1224" s="6">
        <v>3.9</v>
      </c>
      <c r="I1224" s="3">
        <v>2</v>
      </c>
      <c r="J1224" s="13" t="str">
        <f>HYPERLINK("https://amazon.com/dp/B0DS61M4HJ","Amazon - B0DS61M4HJ")</f>
        <v>Amazon - B0DS61M4HJ</v>
      </c>
      <c r="K1224" s="14" t="s">
        <v>443</v>
      </c>
      <c r="L1224" s="14" t="s">
        <v>303</v>
      </c>
      <c r="M1224" s="14" t="s">
        <v>715</v>
      </c>
      <c r="N1224" s="14" t="s">
        <v>446</v>
      </c>
      <c r="O1224" s="14" t="s">
        <v>517</v>
      </c>
    </row>
    <row r="1225" spans="1:15" ht="30" x14ac:dyDescent="0.2">
      <c r="A1225" s="2" t="s">
        <v>2988</v>
      </c>
      <c r="B1225" s="2" t="s">
        <v>2989</v>
      </c>
      <c r="C1225" s="2" t="s">
        <v>8</v>
      </c>
      <c r="D1225" s="2" t="s">
        <v>442</v>
      </c>
      <c r="E1225" s="4">
        <v>99.99</v>
      </c>
      <c r="F1225" s="14"/>
      <c r="G1225" s="3">
        <v>0</v>
      </c>
      <c r="H1225" s="6">
        <v>5</v>
      </c>
      <c r="I1225" s="3">
        <v>14</v>
      </c>
      <c r="J1225" s="13" t="str">
        <f>HYPERLINK("https://amazon.com/dp/B08QCN6B9G","Amazon - B08QCN6B9G")</f>
        <v>Amazon - B08QCN6B9G</v>
      </c>
      <c r="K1225" s="14" t="s">
        <v>443</v>
      </c>
      <c r="L1225" s="14" t="s">
        <v>303</v>
      </c>
      <c r="M1225" s="14" t="s">
        <v>462</v>
      </c>
      <c r="N1225" s="14" t="s">
        <v>452</v>
      </c>
      <c r="O1225" s="14" t="s">
        <v>487</v>
      </c>
    </row>
    <row r="1226" spans="1:15" ht="30" x14ac:dyDescent="0.2">
      <c r="A1226" s="2" t="s">
        <v>2990</v>
      </c>
      <c r="B1226" s="2" t="s">
        <v>2991</v>
      </c>
      <c r="C1226" s="2" t="s">
        <v>101</v>
      </c>
      <c r="D1226" s="2" t="s">
        <v>472</v>
      </c>
      <c r="E1226" s="4">
        <v>534.42999999999995</v>
      </c>
      <c r="F1226" s="14"/>
      <c r="G1226" s="3">
        <v>0</v>
      </c>
      <c r="H1226" s="6">
        <v>0</v>
      </c>
      <c r="I1226" s="3">
        <v>0</v>
      </c>
      <c r="J1226" s="13" t="str">
        <f>HYPERLINK("https://amazon.com/dp/B0BLHDY5G6","Amazon - B0BLHDY5G6")</f>
        <v>Amazon - B0BLHDY5G6</v>
      </c>
      <c r="K1226" s="14" t="s">
        <v>443</v>
      </c>
      <c r="L1226" s="14" t="s">
        <v>456</v>
      </c>
      <c r="M1226" s="14" t="s">
        <v>303</v>
      </c>
      <c r="N1226" s="14" t="s">
        <v>446</v>
      </c>
      <c r="O1226" s="14" t="s">
        <v>917</v>
      </c>
    </row>
    <row r="1227" spans="1:15" ht="30" x14ac:dyDescent="0.2">
      <c r="A1227" s="2" t="s">
        <v>2992</v>
      </c>
      <c r="B1227" s="2" t="s">
        <v>2993</v>
      </c>
      <c r="C1227" s="2" t="s">
        <v>320</v>
      </c>
      <c r="D1227" s="2" t="s">
        <v>442</v>
      </c>
      <c r="E1227" s="4">
        <v>96.3</v>
      </c>
      <c r="F1227" s="14"/>
      <c r="G1227" s="3">
        <v>0</v>
      </c>
      <c r="H1227" s="6">
        <v>0</v>
      </c>
      <c r="I1227" s="3">
        <v>0</v>
      </c>
      <c r="J1227" s="13" t="str">
        <f>HYPERLINK("https://amazon.com/dp/B0G4MKGQXB","Amazon - B0G4MKGQXB")</f>
        <v>Amazon - B0G4MKGQXB</v>
      </c>
      <c r="K1227" s="14" t="s">
        <v>443</v>
      </c>
      <c r="L1227" s="14" t="s">
        <v>303</v>
      </c>
      <c r="M1227" s="14" t="s">
        <v>303</v>
      </c>
      <c r="N1227" s="14" t="s">
        <v>446</v>
      </c>
      <c r="O1227" s="14" t="s">
        <v>303</v>
      </c>
    </row>
    <row r="1228" spans="1:15" ht="30" x14ac:dyDescent="0.2">
      <c r="A1228" s="2" t="s">
        <v>2994</v>
      </c>
      <c r="B1228" s="2" t="s">
        <v>2995</v>
      </c>
      <c r="C1228" s="2" t="s">
        <v>51</v>
      </c>
      <c r="D1228" s="2" t="s">
        <v>450</v>
      </c>
      <c r="E1228" s="4">
        <v>249.98</v>
      </c>
      <c r="F1228" s="14"/>
      <c r="G1228" s="3">
        <v>0</v>
      </c>
      <c r="H1228" s="6">
        <v>3.8</v>
      </c>
      <c r="I1228" s="3">
        <v>5</v>
      </c>
      <c r="J1228" s="13" t="str">
        <f>HYPERLINK("https://amazon.com/dp/B07SGMGQYF","Amazon - B07SGMGQYF")</f>
        <v>Amazon - B07SGMGQYF</v>
      </c>
      <c r="K1228" s="14" t="s">
        <v>443</v>
      </c>
      <c r="L1228" s="14" t="s">
        <v>303</v>
      </c>
      <c r="M1228" s="14" t="s">
        <v>511</v>
      </c>
      <c r="N1228" s="14" t="s">
        <v>446</v>
      </c>
      <c r="O1228" s="14" t="s">
        <v>303</v>
      </c>
    </row>
    <row r="1229" spans="1:15" ht="45" x14ac:dyDescent="0.2">
      <c r="A1229" s="2" t="s">
        <v>2996</v>
      </c>
      <c r="B1229" s="2" t="s">
        <v>2997</v>
      </c>
      <c r="C1229" s="2" t="s">
        <v>358</v>
      </c>
      <c r="D1229" s="2" t="s">
        <v>442</v>
      </c>
      <c r="E1229" s="4">
        <v>38.99</v>
      </c>
      <c r="F1229" s="14"/>
      <c r="G1229" s="3">
        <v>0</v>
      </c>
      <c r="H1229" s="6">
        <v>0</v>
      </c>
      <c r="I1229" s="3">
        <v>0</v>
      </c>
      <c r="J1229" s="13" t="str">
        <f>HYPERLINK("https://amazon.com/dp/B0FXGM97SY","Amazon - B0FXGM97SY")</f>
        <v>Amazon - B0FXGM97SY</v>
      </c>
      <c r="K1229" s="14" t="s">
        <v>443</v>
      </c>
      <c r="L1229" s="14" t="s">
        <v>461</v>
      </c>
      <c r="M1229" s="14" t="s">
        <v>445</v>
      </c>
      <c r="N1229" s="14" t="s">
        <v>446</v>
      </c>
      <c r="O1229" s="14" t="s">
        <v>453</v>
      </c>
    </row>
    <row r="1230" spans="1:15" ht="45" x14ac:dyDescent="0.2">
      <c r="A1230" s="2" t="s">
        <v>2998</v>
      </c>
      <c r="B1230" s="2" t="s">
        <v>2999</v>
      </c>
      <c r="C1230" s="2" t="s">
        <v>40</v>
      </c>
      <c r="D1230" s="2" t="s">
        <v>472</v>
      </c>
      <c r="E1230" s="4">
        <v>389</v>
      </c>
      <c r="F1230" s="14"/>
      <c r="G1230" s="3">
        <v>0</v>
      </c>
      <c r="H1230" s="6">
        <v>4.0999999999999996</v>
      </c>
      <c r="I1230" s="3">
        <v>2</v>
      </c>
      <c r="J1230" s="13" t="str">
        <f>HYPERLINK("https://amazon.com/dp/B0CCPJD5C4","Amazon - B0CCPJD5C4")</f>
        <v>Amazon - B0CCPJD5C4</v>
      </c>
      <c r="K1230" s="14" t="s">
        <v>443</v>
      </c>
      <c r="L1230" s="14" t="s">
        <v>303</v>
      </c>
      <c r="M1230" s="14" t="s">
        <v>503</v>
      </c>
      <c r="N1230" s="14" t="s">
        <v>446</v>
      </c>
      <c r="O1230" s="14" t="s">
        <v>303</v>
      </c>
    </row>
    <row r="1231" spans="1:15" ht="45" x14ac:dyDescent="0.2">
      <c r="A1231" s="2" t="s">
        <v>3000</v>
      </c>
      <c r="B1231" s="2" t="s">
        <v>3001</v>
      </c>
      <c r="C1231" s="2" t="s">
        <v>23</v>
      </c>
      <c r="D1231" s="2" t="s">
        <v>472</v>
      </c>
      <c r="E1231" s="4">
        <v>619</v>
      </c>
      <c r="F1231" s="14"/>
      <c r="G1231" s="3">
        <v>0</v>
      </c>
      <c r="H1231" s="6">
        <v>4</v>
      </c>
      <c r="I1231" s="3">
        <v>1</v>
      </c>
      <c r="J1231" s="13" t="str">
        <f>HYPERLINK("https://amazon.com/dp/B0F4X1ZCXC","Amazon - B0F4X1ZCXC")</f>
        <v>Amazon - B0F4X1ZCXC</v>
      </c>
      <c r="K1231" s="14" t="s">
        <v>443</v>
      </c>
      <c r="L1231" s="14" t="s">
        <v>461</v>
      </c>
      <c r="M1231" s="14" t="s">
        <v>503</v>
      </c>
      <c r="N1231" s="14" t="s">
        <v>446</v>
      </c>
      <c r="O1231" s="14" t="s">
        <v>725</v>
      </c>
    </row>
    <row r="1232" spans="1:15" ht="45" x14ac:dyDescent="0.2">
      <c r="A1232" s="2" t="s">
        <v>3002</v>
      </c>
      <c r="B1232" s="2" t="s">
        <v>3003</v>
      </c>
      <c r="C1232" s="2" t="s">
        <v>55</v>
      </c>
      <c r="D1232" s="2" t="s">
        <v>472</v>
      </c>
      <c r="E1232" s="4">
        <v>799.99</v>
      </c>
      <c r="F1232" s="14"/>
      <c r="G1232" s="3">
        <v>0</v>
      </c>
      <c r="H1232" s="6">
        <v>5</v>
      </c>
      <c r="I1232" s="3">
        <v>1</v>
      </c>
      <c r="J1232" s="13" t="str">
        <f>HYPERLINK("https://amazon.com/dp/B0DLWJFYC3","Amazon - B0DLWJFYC3")</f>
        <v>Amazon - B0DLWJFYC3</v>
      </c>
      <c r="K1232" s="14" t="s">
        <v>443</v>
      </c>
      <c r="L1232" s="14" t="s">
        <v>502</v>
      </c>
      <c r="M1232" s="14" t="s">
        <v>565</v>
      </c>
      <c r="N1232" s="14" t="s">
        <v>446</v>
      </c>
      <c r="O1232" s="14" t="s">
        <v>517</v>
      </c>
    </row>
    <row r="1233" spans="1:15" ht="30" x14ac:dyDescent="0.2">
      <c r="A1233" s="2" t="s">
        <v>3004</v>
      </c>
      <c r="B1233" s="2" t="s">
        <v>3005</v>
      </c>
      <c r="C1233" s="2" t="s">
        <v>391</v>
      </c>
      <c r="D1233" s="2" t="s">
        <v>442</v>
      </c>
      <c r="E1233" s="4">
        <v>18.989999999999998</v>
      </c>
      <c r="F1233" s="14"/>
      <c r="G1233" s="3">
        <v>0</v>
      </c>
      <c r="H1233" s="6">
        <v>2.9</v>
      </c>
      <c r="I1233" s="3">
        <v>3</v>
      </c>
      <c r="J1233" s="13" t="str">
        <f>HYPERLINK("https://amazon.com/dp/B0CCWSFBFP","Amazon - B0CCWSFBFP")</f>
        <v>Amazon - B0CCWSFBFP</v>
      </c>
      <c r="K1233" s="14" t="s">
        <v>443</v>
      </c>
      <c r="L1233" s="14" t="s">
        <v>1725</v>
      </c>
      <c r="M1233" s="14" t="s">
        <v>511</v>
      </c>
      <c r="N1233" s="14" t="s">
        <v>446</v>
      </c>
      <c r="O1233" s="14" t="s">
        <v>543</v>
      </c>
    </row>
    <row r="1234" spans="1:15" ht="30" x14ac:dyDescent="0.2">
      <c r="A1234" s="2" t="s">
        <v>3006</v>
      </c>
      <c r="B1234" s="2" t="s">
        <v>1346</v>
      </c>
      <c r="C1234" s="2" t="s">
        <v>89</v>
      </c>
      <c r="D1234" s="2" t="s">
        <v>442</v>
      </c>
      <c r="E1234" s="4">
        <v>20.99</v>
      </c>
      <c r="F1234" s="14"/>
      <c r="G1234" s="3">
        <v>0</v>
      </c>
      <c r="H1234" s="6">
        <v>4.9000000000000004</v>
      </c>
      <c r="I1234" s="3">
        <v>6</v>
      </c>
      <c r="J1234" s="13" t="str">
        <f>HYPERLINK("https://amazon.com/dp/B0CPLMR6S4","Amazon - B0CPLMR6S4")</f>
        <v>Amazon - B0CPLMR6S4</v>
      </c>
      <c r="K1234" s="14" t="s">
        <v>443</v>
      </c>
      <c r="L1234" s="14" t="s">
        <v>303</v>
      </c>
      <c r="M1234" s="14" t="s">
        <v>445</v>
      </c>
      <c r="N1234" s="14" t="s">
        <v>446</v>
      </c>
      <c r="O1234" s="14" t="s">
        <v>1347</v>
      </c>
    </row>
    <row r="1235" spans="1:15" ht="45" x14ac:dyDescent="0.2">
      <c r="A1235" s="2" t="s">
        <v>3007</v>
      </c>
      <c r="B1235" s="2" t="s">
        <v>3008</v>
      </c>
      <c r="C1235" s="2" t="s">
        <v>79</v>
      </c>
      <c r="D1235" s="2" t="s">
        <v>472</v>
      </c>
      <c r="E1235" s="4">
        <v>759.99</v>
      </c>
      <c r="F1235" s="14"/>
      <c r="G1235" s="3">
        <v>0</v>
      </c>
      <c r="H1235" s="6">
        <v>4.4000000000000004</v>
      </c>
      <c r="I1235" s="3">
        <v>17</v>
      </c>
      <c r="J1235" s="13" t="str">
        <f>HYPERLINK("https://amazon.com/dp/B0DD486VRX","Amazon - B0DD486VRX")</f>
        <v>Amazon - B0DD486VRX</v>
      </c>
      <c r="K1235" s="14" t="s">
        <v>443</v>
      </c>
      <c r="L1235" s="14" t="s">
        <v>502</v>
      </c>
      <c r="M1235" s="14" t="s">
        <v>303</v>
      </c>
      <c r="N1235" s="14" t="s">
        <v>446</v>
      </c>
      <c r="O1235" s="14" t="s">
        <v>570</v>
      </c>
    </row>
    <row r="1236" spans="1:15" ht="30" x14ac:dyDescent="0.2">
      <c r="A1236" s="2" t="s">
        <v>3009</v>
      </c>
      <c r="B1236" s="2" t="s">
        <v>3010</v>
      </c>
      <c r="C1236" s="2" t="s">
        <v>391</v>
      </c>
      <c r="D1236" s="2" t="s">
        <v>450</v>
      </c>
      <c r="E1236" s="4">
        <v>19.78</v>
      </c>
      <c r="F1236" s="14"/>
      <c r="G1236" s="3">
        <v>0</v>
      </c>
      <c r="H1236" s="6">
        <v>3.1</v>
      </c>
      <c r="I1236" s="3">
        <v>3</v>
      </c>
      <c r="J1236" s="13" t="str">
        <f>HYPERLINK("https://amazon.com/dp/B0CCWLPBS5","Amazon - B0CCWLPBS5")</f>
        <v>Amazon - B0CCWLPBS5</v>
      </c>
      <c r="K1236" s="14" t="s">
        <v>443</v>
      </c>
      <c r="L1236" s="14" t="s">
        <v>1725</v>
      </c>
      <c r="M1236" s="14" t="s">
        <v>511</v>
      </c>
      <c r="N1236" s="14" t="s">
        <v>446</v>
      </c>
      <c r="O1236" s="14" t="s">
        <v>543</v>
      </c>
    </row>
    <row r="1237" spans="1:15" ht="45" x14ac:dyDescent="0.2">
      <c r="A1237" s="2" t="s">
        <v>3011</v>
      </c>
      <c r="B1237" s="2" t="s">
        <v>3012</v>
      </c>
      <c r="C1237" s="2" t="s">
        <v>13</v>
      </c>
      <c r="D1237" s="2" t="s">
        <v>472</v>
      </c>
      <c r="E1237" s="4">
        <v>599.99</v>
      </c>
      <c r="F1237" s="14"/>
      <c r="G1237" s="3">
        <v>0</v>
      </c>
      <c r="H1237" s="6">
        <v>3.4</v>
      </c>
      <c r="I1237" s="3">
        <v>22</v>
      </c>
      <c r="J1237" s="13" t="str">
        <f>HYPERLINK("https://amazon.com/dp/B0DG8V6BSC","Amazon - B0DG8V6BSC")</f>
        <v>Amazon - B0DG8V6BSC</v>
      </c>
      <c r="K1237" s="14" t="s">
        <v>443</v>
      </c>
      <c r="L1237" s="14" t="s">
        <v>502</v>
      </c>
      <c r="M1237" s="14" t="s">
        <v>565</v>
      </c>
      <c r="N1237" s="14" t="s">
        <v>446</v>
      </c>
      <c r="O1237" s="14" t="s">
        <v>517</v>
      </c>
    </row>
    <row r="1238" spans="1:15" ht="45" x14ac:dyDescent="0.2">
      <c r="A1238" s="2" t="s">
        <v>3013</v>
      </c>
      <c r="B1238" s="2" t="s">
        <v>3014</v>
      </c>
      <c r="C1238" s="2" t="s">
        <v>13</v>
      </c>
      <c r="D1238" s="2" t="s">
        <v>472</v>
      </c>
      <c r="E1238" s="4">
        <v>699.99</v>
      </c>
      <c r="F1238" s="14"/>
      <c r="G1238" s="3">
        <v>0</v>
      </c>
      <c r="H1238" s="6">
        <v>3.4</v>
      </c>
      <c r="I1238" s="3">
        <v>22</v>
      </c>
      <c r="J1238" s="13" t="str">
        <f>HYPERLINK("https://amazon.com/dp/B0BVMFRKGZ","Amazon - B0BVMFRKGZ")</f>
        <v>Amazon - B0BVMFRKGZ</v>
      </c>
      <c r="K1238" s="14" t="s">
        <v>443</v>
      </c>
      <c r="L1238" s="14" t="s">
        <v>502</v>
      </c>
      <c r="M1238" s="14" t="s">
        <v>565</v>
      </c>
      <c r="N1238" s="14" t="s">
        <v>446</v>
      </c>
      <c r="O1238" s="14" t="s">
        <v>856</v>
      </c>
    </row>
    <row r="1239" spans="1:15" ht="30" x14ac:dyDescent="0.2">
      <c r="A1239" s="2" t="s">
        <v>3015</v>
      </c>
      <c r="B1239" s="2" t="s">
        <v>3016</v>
      </c>
      <c r="C1239" s="2" t="s">
        <v>425</v>
      </c>
      <c r="D1239" s="2" t="s">
        <v>472</v>
      </c>
      <c r="E1239" s="4">
        <v>22.95</v>
      </c>
      <c r="F1239" s="14"/>
      <c r="G1239" s="3">
        <v>0</v>
      </c>
      <c r="H1239" s="6">
        <v>4.0999999999999996</v>
      </c>
      <c r="I1239" s="3">
        <v>95</v>
      </c>
      <c r="J1239" s="13" t="str">
        <f>HYPERLINK("https://amazon.com/dp/B0D14PGRXN","Amazon - B0D14PGRXN")</f>
        <v>Amazon - B0D14PGRXN</v>
      </c>
      <c r="K1239" s="14" t="s">
        <v>443</v>
      </c>
      <c r="L1239" s="14" t="s">
        <v>530</v>
      </c>
      <c r="M1239" s="14" t="s">
        <v>303</v>
      </c>
      <c r="N1239" s="14" t="s">
        <v>446</v>
      </c>
      <c r="O1239" s="14" t="s">
        <v>453</v>
      </c>
    </row>
    <row r="1240" spans="1:15" ht="30" x14ac:dyDescent="0.2">
      <c r="A1240" s="2" t="s">
        <v>3017</v>
      </c>
      <c r="B1240" s="2" t="s">
        <v>3018</v>
      </c>
      <c r="C1240" s="2" t="s">
        <v>354</v>
      </c>
      <c r="D1240" s="2" t="s">
        <v>442</v>
      </c>
      <c r="E1240" s="4">
        <v>32.97</v>
      </c>
      <c r="F1240" s="14"/>
      <c r="G1240" s="3">
        <v>0</v>
      </c>
      <c r="H1240" s="6">
        <v>3.4</v>
      </c>
      <c r="I1240" s="3">
        <v>256</v>
      </c>
      <c r="J1240" s="13" t="str">
        <f>HYPERLINK("https://amazon.com/dp/B09GG5X539","Amazon - B09GG5X539")</f>
        <v>Amazon - B09GG5X539</v>
      </c>
      <c r="K1240" s="14" t="s">
        <v>443</v>
      </c>
      <c r="L1240" s="14" t="s">
        <v>1725</v>
      </c>
      <c r="M1240" s="14" t="s">
        <v>303</v>
      </c>
      <c r="N1240" s="14" t="s">
        <v>446</v>
      </c>
      <c r="O1240" s="14" t="s">
        <v>608</v>
      </c>
    </row>
    <row r="1241" spans="1:15" ht="30" x14ac:dyDescent="0.2">
      <c r="A1241" s="2" t="s">
        <v>3019</v>
      </c>
      <c r="B1241" s="2" t="s">
        <v>3020</v>
      </c>
      <c r="C1241" s="2" t="s">
        <v>51</v>
      </c>
      <c r="D1241" s="2" t="s">
        <v>442</v>
      </c>
      <c r="E1241" s="4">
        <v>849.98</v>
      </c>
      <c r="F1241" s="14"/>
      <c r="G1241" s="3">
        <v>0</v>
      </c>
      <c r="H1241" s="6">
        <v>2.1</v>
      </c>
      <c r="I1241" s="3">
        <v>5</v>
      </c>
      <c r="J1241" s="13" t="str">
        <f>HYPERLINK("https://amazon.com/dp/B01403J8AU","Amazon - B01403J8AU")</f>
        <v>Amazon - B01403J8AU</v>
      </c>
      <c r="K1241" s="14" t="s">
        <v>443</v>
      </c>
      <c r="L1241" s="14" t="s">
        <v>461</v>
      </c>
      <c r="M1241" s="14" t="s">
        <v>303</v>
      </c>
      <c r="N1241" s="14" t="s">
        <v>446</v>
      </c>
      <c r="O1241" s="14" t="s">
        <v>3021</v>
      </c>
    </row>
    <row r="1242" spans="1:15" ht="45" x14ac:dyDescent="0.2">
      <c r="A1242" s="2" t="s">
        <v>3022</v>
      </c>
      <c r="B1242" s="2" t="s">
        <v>3023</v>
      </c>
      <c r="C1242" s="2" t="s">
        <v>9</v>
      </c>
      <c r="D1242" s="2" t="s">
        <v>472</v>
      </c>
      <c r="E1242" s="4">
        <v>42.99</v>
      </c>
      <c r="F1242" s="14"/>
      <c r="G1242" s="3">
        <v>0</v>
      </c>
      <c r="H1242" s="6">
        <v>4.3</v>
      </c>
      <c r="I1242" s="3">
        <v>1818</v>
      </c>
      <c r="J1242" s="13" t="str">
        <f>HYPERLINK("https://amazon.com/dp/B08P5RZK44","Amazon - B08P5RZK44")</f>
        <v>Amazon - B08P5RZK44</v>
      </c>
      <c r="K1242" s="14" t="s">
        <v>443</v>
      </c>
      <c r="L1242" s="14" t="s">
        <v>451</v>
      </c>
      <c r="M1242" s="14" t="s">
        <v>462</v>
      </c>
      <c r="N1242" s="14" t="s">
        <v>446</v>
      </c>
      <c r="O1242" s="14" t="s">
        <v>453</v>
      </c>
    </row>
    <row r="1243" spans="1:15" ht="45" x14ac:dyDescent="0.2">
      <c r="A1243" s="2" t="s">
        <v>3024</v>
      </c>
      <c r="B1243" s="2" t="s">
        <v>3025</v>
      </c>
      <c r="C1243" s="2" t="s">
        <v>413</v>
      </c>
      <c r="D1243" s="2" t="s">
        <v>442</v>
      </c>
      <c r="E1243" s="4">
        <v>28.99</v>
      </c>
      <c r="F1243" s="14"/>
      <c r="G1243" s="3">
        <v>0</v>
      </c>
      <c r="H1243" s="6">
        <v>5</v>
      </c>
      <c r="I1243" s="3">
        <v>1</v>
      </c>
      <c r="J1243" s="13" t="str">
        <f>HYPERLINK("https://amazon.com/dp/B0DRNZXBBX","Amazon - B0DRNZXBBX")</f>
        <v>Amazon - B0DRNZXBBX</v>
      </c>
      <c r="K1243" s="14" t="s">
        <v>443</v>
      </c>
      <c r="L1243" s="14" t="s">
        <v>456</v>
      </c>
      <c r="M1243" s="14" t="s">
        <v>445</v>
      </c>
      <c r="N1243" s="14" t="s">
        <v>452</v>
      </c>
      <c r="O1243" s="14" t="s">
        <v>303</v>
      </c>
    </row>
    <row r="1244" spans="1:15" ht="30" x14ac:dyDescent="0.2">
      <c r="A1244" s="2" t="s">
        <v>3026</v>
      </c>
      <c r="B1244" s="2" t="s">
        <v>3027</v>
      </c>
      <c r="C1244" s="2" t="s">
        <v>354</v>
      </c>
      <c r="D1244" s="2" t="s">
        <v>442</v>
      </c>
      <c r="E1244" s="4">
        <v>32.97</v>
      </c>
      <c r="F1244" s="14"/>
      <c r="G1244" s="3">
        <v>0</v>
      </c>
      <c r="H1244" s="6">
        <v>3.3</v>
      </c>
      <c r="I1244" s="3">
        <v>256</v>
      </c>
      <c r="J1244" s="13" t="str">
        <f>HYPERLINK("https://amazon.com/dp/B09GG1YN3H","Amazon - B09GG1YN3H")</f>
        <v>Amazon - B09GG1YN3H</v>
      </c>
      <c r="K1244" s="14" t="s">
        <v>443</v>
      </c>
      <c r="L1244" s="14" t="s">
        <v>1725</v>
      </c>
      <c r="M1244" s="14" t="s">
        <v>303</v>
      </c>
      <c r="N1244" s="14" t="s">
        <v>446</v>
      </c>
      <c r="O1244" s="14" t="s">
        <v>447</v>
      </c>
    </row>
    <row r="1245" spans="1:15" ht="30" x14ac:dyDescent="0.2">
      <c r="A1245" s="2" t="s">
        <v>3028</v>
      </c>
      <c r="B1245" s="2" t="s">
        <v>3029</v>
      </c>
      <c r="C1245" s="2" t="s">
        <v>354</v>
      </c>
      <c r="D1245" s="2" t="s">
        <v>442</v>
      </c>
      <c r="E1245" s="4">
        <v>51.48</v>
      </c>
      <c r="F1245" s="14"/>
      <c r="G1245" s="3">
        <v>0</v>
      </c>
      <c r="H1245" s="6">
        <v>3.4</v>
      </c>
      <c r="I1245" s="3">
        <v>256</v>
      </c>
      <c r="J1245" s="13" t="str">
        <f>HYPERLINK("https://amazon.com/dp/B09GG4W335","Amazon - B09GG4W335")</f>
        <v>Amazon - B09GG4W335</v>
      </c>
      <c r="K1245" s="14" t="s">
        <v>443</v>
      </c>
      <c r="L1245" s="14" t="s">
        <v>1725</v>
      </c>
      <c r="M1245" s="14" t="s">
        <v>303</v>
      </c>
      <c r="N1245" s="14" t="s">
        <v>446</v>
      </c>
      <c r="O1245" s="14" t="s">
        <v>453</v>
      </c>
    </row>
    <row r="1246" spans="1:15" ht="30" x14ac:dyDescent="0.2">
      <c r="A1246" s="2" t="s">
        <v>3030</v>
      </c>
      <c r="B1246" s="2" t="s">
        <v>3031</v>
      </c>
      <c r="C1246" s="2" t="s">
        <v>187</v>
      </c>
      <c r="D1246" s="2" t="s">
        <v>472</v>
      </c>
      <c r="E1246" s="4">
        <v>192.01</v>
      </c>
      <c r="F1246" s="14"/>
      <c r="G1246" s="3">
        <v>0</v>
      </c>
      <c r="H1246" s="6">
        <v>0</v>
      </c>
      <c r="I1246" s="3">
        <v>0</v>
      </c>
      <c r="J1246" s="13" t="str">
        <f>HYPERLINK("https://amazon.com/dp/B0GDM5VN27","Amazon - B0GDM5VN27")</f>
        <v>Amazon - B0GDM5VN27</v>
      </c>
      <c r="K1246" s="14" t="s">
        <v>443</v>
      </c>
      <c r="L1246" s="14" t="s">
        <v>303</v>
      </c>
      <c r="M1246" s="14" t="s">
        <v>503</v>
      </c>
      <c r="N1246" s="14" t="s">
        <v>446</v>
      </c>
      <c r="O1246" s="14" t="s">
        <v>303</v>
      </c>
    </row>
    <row r="1247" spans="1:15" ht="45" x14ac:dyDescent="0.2">
      <c r="A1247" s="2" t="s">
        <v>3032</v>
      </c>
      <c r="B1247" s="2" t="s">
        <v>3033</v>
      </c>
      <c r="C1247" s="2" t="s">
        <v>13</v>
      </c>
      <c r="D1247" s="2" t="s">
        <v>472</v>
      </c>
      <c r="E1247" s="4">
        <v>899.99</v>
      </c>
      <c r="F1247" s="14"/>
      <c r="G1247" s="3">
        <v>0</v>
      </c>
      <c r="H1247" s="6">
        <v>3.6</v>
      </c>
      <c r="I1247" s="3">
        <v>6</v>
      </c>
      <c r="J1247" s="13" t="str">
        <f>HYPERLINK("https://amazon.com/dp/B0D72PXLG7","Amazon - B0D72PXLG7")</f>
        <v>Amazon - B0D72PXLG7</v>
      </c>
      <c r="K1247" s="14" t="s">
        <v>443</v>
      </c>
      <c r="L1247" s="14" t="s">
        <v>461</v>
      </c>
      <c r="M1247" s="14" t="s">
        <v>565</v>
      </c>
      <c r="N1247" s="14" t="s">
        <v>446</v>
      </c>
      <c r="O1247" s="14" t="s">
        <v>517</v>
      </c>
    </row>
    <row r="1248" spans="1:15" ht="30" x14ac:dyDescent="0.2">
      <c r="A1248" s="2" t="s">
        <v>3034</v>
      </c>
      <c r="B1248" s="2" t="s">
        <v>3035</v>
      </c>
      <c r="C1248" s="2" t="s">
        <v>40</v>
      </c>
      <c r="D1248" s="2" t="s">
        <v>472</v>
      </c>
      <c r="E1248" s="4">
        <v>736.6</v>
      </c>
      <c r="F1248" s="14"/>
      <c r="G1248" s="3">
        <v>0</v>
      </c>
      <c r="H1248" s="6">
        <v>4</v>
      </c>
      <c r="I1248" s="3">
        <v>1</v>
      </c>
      <c r="J1248" s="13" t="str">
        <f>HYPERLINK("https://amazon.com/dp/B0D2XS87FF","Amazon - B0D2XS87FF")</f>
        <v>Amazon - B0D2XS87FF</v>
      </c>
      <c r="K1248" s="14" t="s">
        <v>443</v>
      </c>
      <c r="L1248" s="14" t="s">
        <v>461</v>
      </c>
      <c r="M1248" s="14" t="s">
        <v>303</v>
      </c>
      <c r="N1248" s="14" t="s">
        <v>446</v>
      </c>
      <c r="O1248" s="14" t="s">
        <v>742</v>
      </c>
    </row>
    <row r="1249" spans="1:15" ht="30" x14ac:dyDescent="0.2">
      <c r="A1249" s="2" t="s">
        <v>3036</v>
      </c>
      <c r="B1249" s="2" t="s">
        <v>3037</v>
      </c>
      <c r="C1249" s="2" t="s">
        <v>354</v>
      </c>
      <c r="D1249" s="2" t="s">
        <v>442</v>
      </c>
      <c r="E1249" s="4">
        <v>32.979999999999997</v>
      </c>
      <c r="F1249" s="14"/>
      <c r="G1249" s="3">
        <v>0</v>
      </c>
      <c r="H1249" s="6">
        <v>3.3</v>
      </c>
      <c r="I1249" s="3">
        <v>256</v>
      </c>
      <c r="J1249" s="13" t="str">
        <f>HYPERLINK("https://amazon.com/dp/B09GG59RDV","Amazon - B09GG59RDV")</f>
        <v>Amazon - B09GG59RDV</v>
      </c>
      <c r="K1249" s="14" t="s">
        <v>443</v>
      </c>
      <c r="L1249" s="14" t="s">
        <v>1725</v>
      </c>
      <c r="M1249" s="14" t="s">
        <v>303</v>
      </c>
      <c r="N1249" s="14" t="s">
        <v>446</v>
      </c>
      <c r="O1249" s="14" t="s">
        <v>578</v>
      </c>
    </row>
    <row r="1250" spans="1:15" ht="30" x14ac:dyDescent="0.2">
      <c r="A1250" s="2" t="s">
        <v>3038</v>
      </c>
      <c r="B1250" s="2" t="s">
        <v>3039</v>
      </c>
      <c r="C1250" s="2" t="s">
        <v>13</v>
      </c>
      <c r="D1250" s="2" t="s">
        <v>472</v>
      </c>
      <c r="E1250" s="4">
        <v>699.99</v>
      </c>
      <c r="F1250" s="14"/>
      <c r="G1250" s="3">
        <v>0</v>
      </c>
      <c r="H1250" s="6">
        <v>3.7</v>
      </c>
      <c r="I1250" s="3">
        <v>8</v>
      </c>
      <c r="J1250" s="13" t="str">
        <f>HYPERLINK("https://amazon.com/dp/B0DCJMR14T","Amazon - B0DCJMR14T")</f>
        <v>Amazon - B0DCJMR14T</v>
      </c>
      <c r="K1250" s="14" t="s">
        <v>443</v>
      </c>
      <c r="L1250" s="14" t="s">
        <v>502</v>
      </c>
      <c r="M1250" s="14" t="s">
        <v>303</v>
      </c>
      <c r="N1250" s="14" t="s">
        <v>446</v>
      </c>
      <c r="O1250" s="14" t="s">
        <v>570</v>
      </c>
    </row>
    <row r="1251" spans="1:15" x14ac:dyDescent="0.2">
      <c r="A1251" s="2" t="s">
        <v>3040</v>
      </c>
      <c r="B1251" s="2" t="s">
        <v>3041</v>
      </c>
      <c r="C1251" s="2" t="s">
        <v>14</v>
      </c>
      <c r="D1251" s="2" t="s">
        <v>472</v>
      </c>
      <c r="E1251" s="4">
        <v>69.98</v>
      </c>
      <c r="F1251" s="14"/>
      <c r="G1251" s="3">
        <v>0</v>
      </c>
      <c r="H1251" s="6">
        <v>5</v>
      </c>
      <c r="I1251" s="3">
        <v>2</v>
      </c>
      <c r="J1251" s="13" t="str">
        <f>HYPERLINK("https://amazon.com/dp/B0B87QL44P","Amazon - B0B87QL44P")</f>
        <v>Amazon - B0B87QL44P</v>
      </c>
      <c r="K1251" s="14" t="s">
        <v>443</v>
      </c>
      <c r="L1251" s="14" t="s">
        <v>461</v>
      </c>
      <c r="M1251" s="14" t="s">
        <v>303</v>
      </c>
      <c r="N1251" s="14" t="s">
        <v>446</v>
      </c>
      <c r="O1251" s="14" t="s">
        <v>303</v>
      </c>
    </row>
    <row r="1252" spans="1:15" ht="45" x14ac:dyDescent="0.2">
      <c r="A1252" s="2" t="s">
        <v>3042</v>
      </c>
      <c r="B1252" s="2" t="s">
        <v>3043</v>
      </c>
      <c r="C1252" s="2" t="s">
        <v>13</v>
      </c>
      <c r="D1252" s="2" t="s">
        <v>472</v>
      </c>
      <c r="E1252" s="4">
        <v>799.99</v>
      </c>
      <c r="F1252" s="14"/>
      <c r="G1252" s="3">
        <v>0</v>
      </c>
      <c r="H1252" s="6">
        <v>4.2</v>
      </c>
      <c r="I1252" s="3">
        <v>20</v>
      </c>
      <c r="J1252" s="13" t="str">
        <f>HYPERLINK("https://amazon.com/dp/B0B4CWFVBY","Amazon - B0B4CWFVBY")</f>
        <v>Amazon - B0B4CWFVBY</v>
      </c>
      <c r="K1252" s="14" t="s">
        <v>443</v>
      </c>
      <c r="L1252" s="14" t="s">
        <v>461</v>
      </c>
      <c r="M1252" s="14" t="s">
        <v>303</v>
      </c>
      <c r="N1252" s="14" t="s">
        <v>446</v>
      </c>
      <c r="O1252" s="14" t="s">
        <v>570</v>
      </c>
    </row>
    <row r="1253" spans="1:15" ht="45" x14ac:dyDescent="0.2">
      <c r="A1253" s="2" t="s">
        <v>3044</v>
      </c>
      <c r="B1253" s="2" t="s">
        <v>3045</v>
      </c>
      <c r="C1253" s="2" t="s">
        <v>13</v>
      </c>
      <c r="D1253" s="2" t="s">
        <v>472</v>
      </c>
      <c r="E1253" s="4">
        <v>669.99</v>
      </c>
      <c r="F1253" s="14"/>
      <c r="G1253" s="3">
        <v>0</v>
      </c>
      <c r="H1253" s="6">
        <v>5</v>
      </c>
      <c r="I1253" s="3">
        <v>1</v>
      </c>
      <c r="J1253" s="13" t="str">
        <f>HYPERLINK("https://amazon.com/dp/B0C188GCNS","Amazon - B0C188GCNS")</f>
        <v>Amazon - B0C188GCNS</v>
      </c>
      <c r="K1253" s="14" t="s">
        <v>443</v>
      </c>
      <c r="L1253" s="14" t="s">
        <v>461</v>
      </c>
      <c r="M1253" s="14" t="s">
        <v>303</v>
      </c>
      <c r="N1253" s="14" t="s">
        <v>446</v>
      </c>
      <c r="O1253" s="14" t="s">
        <v>570</v>
      </c>
    </row>
    <row r="1254" spans="1:15" x14ac:dyDescent="0.2">
      <c r="A1254" s="2" t="s">
        <v>3046</v>
      </c>
      <c r="B1254" s="2" t="s">
        <v>3047</v>
      </c>
      <c r="C1254" s="2" t="s">
        <v>175</v>
      </c>
      <c r="D1254" s="2" t="s">
        <v>450</v>
      </c>
      <c r="E1254" s="4">
        <v>150</v>
      </c>
      <c r="F1254" s="14"/>
      <c r="G1254" s="3">
        <v>0</v>
      </c>
      <c r="H1254" s="6">
        <v>5</v>
      </c>
      <c r="I1254" s="3">
        <v>1</v>
      </c>
      <c r="J1254" s="13" t="str">
        <f>HYPERLINK("https://amazon.com/dp/B0CQXCF4DD","Amazon - B0CQXCF4DD")</f>
        <v>Amazon - B0CQXCF4DD</v>
      </c>
      <c r="K1254" s="14" t="s">
        <v>443</v>
      </c>
      <c r="L1254" s="14" t="s">
        <v>303</v>
      </c>
      <c r="M1254" s="14" t="s">
        <v>303</v>
      </c>
      <c r="N1254" s="14" t="s">
        <v>446</v>
      </c>
      <c r="O1254" s="14" t="s">
        <v>303</v>
      </c>
    </row>
    <row r="1255" spans="1:15" ht="30" x14ac:dyDescent="0.2">
      <c r="A1255" s="2" t="s">
        <v>3048</v>
      </c>
      <c r="B1255" s="2" t="s">
        <v>3049</v>
      </c>
      <c r="C1255" s="2" t="s">
        <v>13</v>
      </c>
      <c r="D1255" s="2" t="s">
        <v>472</v>
      </c>
      <c r="E1255" s="4">
        <v>249.99</v>
      </c>
      <c r="F1255" s="14"/>
      <c r="G1255" s="3">
        <v>0</v>
      </c>
      <c r="H1255" s="6">
        <v>3.1</v>
      </c>
      <c r="I1255" s="3">
        <v>7</v>
      </c>
      <c r="J1255" s="13" t="str">
        <f>HYPERLINK("https://amazon.com/dp/B0CNGTPJWD","Amazon - B0CNGTPJWD")</f>
        <v>Amazon - B0CNGTPJWD</v>
      </c>
      <c r="K1255" s="14" t="s">
        <v>443</v>
      </c>
      <c r="L1255" s="14" t="s">
        <v>456</v>
      </c>
      <c r="M1255" s="14" t="s">
        <v>688</v>
      </c>
      <c r="N1255" s="14" t="s">
        <v>446</v>
      </c>
      <c r="O1255" s="14" t="s">
        <v>517</v>
      </c>
    </row>
    <row r="1256" spans="1:15" ht="30" x14ac:dyDescent="0.2">
      <c r="A1256" s="2" t="s">
        <v>3050</v>
      </c>
      <c r="B1256" s="2" t="s">
        <v>3051</v>
      </c>
      <c r="C1256" s="2" t="s">
        <v>13</v>
      </c>
      <c r="D1256" s="2" t="s">
        <v>472</v>
      </c>
      <c r="E1256" s="4">
        <v>499.99</v>
      </c>
      <c r="F1256" s="14"/>
      <c r="G1256" s="3">
        <v>0</v>
      </c>
      <c r="H1256" s="6">
        <v>5</v>
      </c>
      <c r="I1256" s="3">
        <v>3</v>
      </c>
      <c r="J1256" s="13" t="str">
        <f>HYPERLINK("https://amazon.com/dp/B0DJ7K6XZL","Amazon - B0DJ7K6XZL")</f>
        <v>Amazon - B0DJ7K6XZL</v>
      </c>
      <c r="K1256" s="14" t="s">
        <v>443</v>
      </c>
      <c r="L1256" s="14" t="s">
        <v>461</v>
      </c>
      <c r="M1256" s="14" t="s">
        <v>565</v>
      </c>
      <c r="N1256" s="14" t="s">
        <v>446</v>
      </c>
      <c r="O1256" s="14" t="s">
        <v>517</v>
      </c>
    </row>
    <row r="1257" spans="1:15" ht="45" x14ac:dyDescent="0.2">
      <c r="A1257" s="2" t="s">
        <v>3052</v>
      </c>
      <c r="B1257" s="2" t="s">
        <v>3053</v>
      </c>
      <c r="C1257" s="2" t="s">
        <v>40</v>
      </c>
      <c r="D1257" s="2" t="s">
        <v>472</v>
      </c>
      <c r="E1257" s="4">
        <v>429.99</v>
      </c>
      <c r="F1257" s="14"/>
      <c r="G1257" s="3">
        <v>0</v>
      </c>
      <c r="H1257" s="6">
        <v>4</v>
      </c>
      <c r="I1257" s="3">
        <v>1</v>
      </c>
      <c r="J1257" s="13" t="str">
        <f>HYPERLINK("https://amazon.com/dp/B0D2XW2KTQ","Amazon - B0D2XW2KTQ")</f>
        <v>Amazon - B0D2XW2KTQ</v>
      </c>
      <c r="K1257" s="14" t="s">
        <v>443</v>
      </c>
      <c r="L1257" s="14" t="s">
        <v>502</v>
      </c>
      <c r="M1257" s="14" t="s">
        <v>303</v>
      </c>
      <c r="N1257" s="14" t="s">
        <v>446</v>
      </c>
      <c r="O1257" s="14" t="s">
        <v>778</v>
      </c>
    </row>
    <row r="1258" spans="1:15" ht="30" x14ac:dyDescent="0.2">
      <c r="A1258" s="2" t="s">
        <v>3054</v>
      </c>
      <c r="B1258" s="2" t="s">
        <v>3055</v>
      </c>
      <c r="C1258" s="2" t="s">
        <v>40</v>
      </c>
      <c r="D1258" s="2" t="s">
        <v>472</v>
      </c>
      <c r="E1258" s="4">
        <v>899.99</v>
      </c>
      <c r="F1258" s="14"/>
      <c r="G1258" s="3">
        <v>0</v>
      </c>
      <c r="H1258" s="6">
        <v>4</v>
      </c>
      <c r="I1258" s="3">
        <v>1</v>
      </c>
      <c r="J1258" s="13" t="str">
        <f>HYPERLINK("https://amazon.com/dp/B0D2XVFHBP","Amazon - B0D2XVFHBP")</f>
        <v>Amazon - B0D2XVFHBP</v>
      </c>
      <c r="K1258" s="14" t="s">
        <v>443</v>
      </c>
      <c r="L1258" s="14" t="s">
        <v>502</v>
      </c>
      <c r="M1258" s="14" t="s">
        <v>303</v>
      </c>
      <c r="N1258" s="14" t="s">
        <v>446</v>
      </c>
      <c r="O1258" s="14" t="s">
        <v>570</v>
      </c>
    </row>
    <row r="1259" spans="1:15" ht="30" x14ac:dyDescent="0.2">
      <c r="A1259" s="2" t="s">
        <v>3056</v>
      </c>
      <c r="B1259" s="2" t="s">
        <v>3057</v>
      </c>
      <c r="C1259" s="2" t="s">
        <v>151</v>
      </c>
      <c r="D1259" s="2" t="s">
        <v>472</v>
      </c>
      <c r="E1259" s="4">
        <v>24.32</v>
      </c>
      <c r="F1259" s="14"/>
      <c r="G1259" s="3">
        <v>0</v>
      </c>
      <c r="H1259" s="6">
        <v>3.8</v>
      </c>
      <c r="I1259" s="3">
        <v>5</v>
      </c>
      <c r="J1259" s="13" t="str">
        <f>HYPERLINK("https://amazon.com/dp/B0CB1Z3665","Amazon - B0CB1Z3665")</f>
        <v>Amazon - B0CB1Z3665</v>
      </c>
      <c r="K1259" s="14" t="s">
        <v>443</v>
      </c>
      <c r="L1259" s="14" t="s">
        <v>303</v>
      </c>
      <c r="M1259" s="14" t="s">
        <v>503</v>
      </c>
      <c r="N1259" s="14" t="s">
        <v>446</v>
      </c>
      <c r="O1259" s="14" t="s">
        <v>303</v>
      </c>
    </row>
    <row r="1260" spans="1:15" ht="45" x14ac:dyDescent="0.2">
      <c r="A1260" s="2" t="s">
        <v>3058</v>
      </c>
      <c r="B1260" s="2" t="s">
        <v>3059</v>
      </c>
      <c r="C1260" s="2" t="s">
        <v>288</v>
      </c>
      <c r="D1260" s="2" t="s">
        <v>450</v>
      </c>
      <c r="E1260" s="4">
        <v>17.98</v>
      </c>
      <c r="F1260" s="14"/>
      <c r="G1260" s="3">
        <v>0</v>
      </c>
      <c r="H1260" s="6">
        <v>4</v>
      </c>
      <c r="I1260" s="3">
        <v>2</v>
      </c>
      <c r="J1260" s="13" t="str">
        <f>HYPERLINK("https://amazon.com/dp/B0CM3CP13Y","Amazon - B0CM3CP13Y")</f>
        <v>Amazon - B0CM3CP13Y</v>
      </c>
      <c r="K1260" s="14" t="s">
        <v>443</v>
      </c>
      <c r="L1260" s="14" t="s">
        <v>451</v>
      </c>
      <c r="M1260" s="14" t="s">
        <v>445</v>
      </c>
      <c r="N1260" s="14" t="s">
        <v>452</v>
      </c>
      <c r="O1260" s="14" t="s">
        <v>303</v>
      </c>
    </row>
    <row r="1261" spans="1:15" ht="30" x14ac:dyDescent="0.2">
      <c r="A1261" s="2" t="s">
        <v>3060</v>
      </c>
      <c r="B1261" s="2" t="s">
        <v>3061</v>
      </c>
      <c r="C1261" s="2" t="s">
        <v>183</v>
      </c>
      <c r="D1261" s="2" t="s">
        <v>472</v>
      </c>
      <c r="E1261" s="4">
        <v>131.35</v>
      </c>
      <c r="F1261" s="14"/>
      <c r="G1261" s="3">
        <v>0</v>
      </c>
      <c r="H1261" s="6">
        <v>0</v>
      </c>
      <c r="I1261" s="3">
        <v>0</v>
      </c>
      <c r="J1261" s="13" t="str">
        <f>HYPERLINK("https://amazon.com/dp/B0CK9NCS7L","Amazon - B0CK9NCS7L")</f>
        <v>Amazon - B0CK9NCS7L</v>
      </c>
      <c r="K1261" s="14" t="s">
        <v>443</v>
      </c>
      <c r="L1261" s="14" t="s">
        <v>303</v>
      </c>
      <c r="M1261" s="14" t="s">
        <v>503</v>
      </c>
      <c r="N1261" s="14" t="s">
        <v>446</v>
      </c>
      <c r="O1261" s="14" t="s">
        <v>303</v>
      </c>
    </row>
    <row r="1262" spans="1:15" ht="45" x14ac:dyDescent="0.2">
      <c r="A1262" s="2" t="s">
        <v>3062</v>
      </c>
      <c r="B1262" s="2" t="s">
        <v>3063</v>
      </c>
      <c r="C1262" s="2" t="s">
        <v>79</v>
      </c>
      <c r="D1262" s="2" t="s">
        <v>472</v>
      </c>
      <c r="E1262" s="4">
        <v>289.99</v>
      </c>
      <c r="F1262" s="14"/>
      <c r="G1262" s="3">
        <v>0</v>
      </c>
      <c r="H1262" s="6">
        <v>0</v>
      </c>
      <c r="I1262" s="3">
        <v>0</v>
      </c>
      <c r="J1262" s="13" t="str">
        <f>HYPERLINK("https://amazon.com/dp/B0DXKVLQXW","Amazon - B0DXKVLQXW")</f>
        <v>Amazon - B0DXKVLQXW</v>
      </c>
      <c r="K1262" s="14" t="s">
        <v>443</v>
      </c>
      <c r="L1262" s="14" t="s">
        <v>303</v>
      </c>
      <c r="M1262" s="14" t="s">
        <v>503</v>
      </c>
      <c r="N1262" s="14" t="s">
        <v>446</v>
      </c>
      <c r="O1262" s="14" t="s">
        <v>303</v>
      </c>
    </row>
    <row r="1263" spans="1:15" ht="30" x14ac:dyDescent="0.2">
      <c r="A1263" s="2" t="s">
        <v>3064</v>
      </c>
      <c r="B1263" s="2" t="s">
        <v>3065</v>
      </c>
      <c r="C1263" s="2" t="s">
        <v>358</v>
      </c>
      <c r="D1263" s="2" t="s">
        <v>442</v>
      </c>
      <c r="E1263" s="4">
        <v>36.99</v>
      </c>
      <c r="F1263" s="14"/>
      <c r="G1263" s="3">
        <v>0</v>
      </c>
      <c r="H1263" s="6">
        <v>4.3</v>
      </c>
      <c r="I1263" s="3">
        <v>28</v>
      </c>
      <c r="J1263" s="13" t="str">
        <f>HYPERLINK("https://amazon.com/dp/B0FGXZR9ZK","Amazon - B0FGXZR9ZK")</f>
        <v>Amazon - B0FGXZR9ZK</v>
      </c>
      <c r="K1263" s="14" t="s">
        <v>443</v>
      </c>
      <c r="L1263" s="14" t="s">
        <v>461</v>
      </c>
      <c r="M1263" s="14" t="s">
        <v>303</v>
      </c>
      <c r="N1263" s="14" t="s">
        <v>446</v>
      </c>
      <c r="O1263" s="14" t="s">
        <v>303</v>
      </c>
    </row>
    <row r="1264" spans="1:15" ht="30" x14ac:dyDescent="0.2">
      <c r="A1264" s="2" t="s">
        <v>3066</v>
      </c>
      <c r="B1264" s="2" t="s">
        <v>3065</v>
      </c>
      <c r="C1264" s="2" t="s">
        <v>358</v>
      </c>
      <c r="D1264" s="2" t="s">
        <v>442</v>
      </c>
      <c r="E1264" s="4">
        <v>32.99</v>
      </c>
      <c r="F1264" s="14"/>
      <c r="G1264" s="3">
        <v>0</v>
      </c>
      <c r="H1264" s="6">
        <v>4.3</v>
      </c>
      <c r="I1264" s="3">
        <v>29</v>
      </c>
      <c r="J1264" s="13" t="str">
        <f>HYPERLINK("https://amazon.com/dp/B0FGXR42WC","Amazon - B0FGXR42WC")</f>
        <v>Amazon - B0FGXR42WC</v>
      </c>
      <c r="K1264" s="14" t="s">
        <v>443</v>
      </c>
      <c r="L1264" s="14" t="s">
        <v>461</v>
      </c>
      <c r="M1264" s="14" t="s">
        <v>303</v>
      </c>
      <c r="N1264" s="14" t="s">
        <v>446</v>
      </c>
      <c r="O1264" s="14" t="s">
        <v>303</v>
      </c>
    </row>
    <row r="1265" spans="1:15" ht="45" x14ac:dyDescent="0.2">
      <c r="A1265" s="2" t="s">
        <v>3067</v>
      </c>
      <c r="B1265" s="2" t="s">
        <v>3068</v>
      </c>
      <c r="C1265" s="2" t="s">
        <v>426</v>
      </c>
      <c r="D1265" s="2" t="s">
        <v>472</v>
      </c>
      <c r="E1265" s="4">
        <v>41.69</v>
      </c>
      <c r="F1265" s="14"/>
      <c r="G1265" s="3">
        <v>0</v>
      </c>
      <c r="H1265" s="6">
        <v>4.5</v>
      </c>
      <c r="I1265" s="3">
        <v>3</v>
      </c>
      <c r="J1265" s="13" t="str">
        <f>HYPERLINK("https://amazon.com/dp/B0F3HVCKGH","Amazon - B0F3HVCKGH")</f>
        <v>Amazon - B0F3HVCKGH</v>
      </c>
      <c r="K1265" s="14" t="s">
        <v>443</v>
      </c>
      <c r="L1265" s="14" t="s">
        <v>456</v>
      </c>
      <c r="M1265" s="14" t="s">
        <v>303</v>
      </c>
      <c r="N1265" s="14" t="s">
        <v>452</v>
      </c>
      <c r="O1265" s="14" t="s">
        <v>453</v>
      </c>
    </row>
    <row r="1266" spans="1:15" ht="30" x14ac:dyDescent="0.2">
      <c r="A1266" s="2" t="s">
        <v>3069</v>
      </c>
      <c r="B1266" s="2" t="s">
        <v>3070</v>
      </c>
      <c r="C1266" s="2" t="s">
        <v>315</v>
      </c>
      <c r="D1266" s="2" t="s">
        <v>442</v>
      </c>
      <c r="E1266" s="4">
        <v>12.59</v>
      </c>
      <c r="F1266" s="14"/>
      <c r="G1266" s="3">
        <v>0</v>
      </c>
      <c r="H1266" s="6">
        <v>3.5</v>
      </c>
      <c r="I1266" s="3">
        <v>5</v>
      </c>
      <c r="J1266" s="13" t="str">
        <f>HYPERLINK("https://amazon.com/dp/B0C4K1RRPP","Amazon - B0C4K1RRPP")</f>
        <v>Amazon - B0C4K1RRPP</v>
      </c>
      <c r="K1266" s="14" t="s">
        <v>443</v>
      </c>
      <c r="L1266" s="14" t="s">
        <v>303</v>
      </c>
      <c r="M1266" s="14" t="s">
        <v>303</v>
      </c>
      <c r="N1266" s="14" t="s">
        <v>446</v>
      </c>
      <c r="O1266" s="14" t="s">
        <v>303</v>
      </c>
    </row>
    <row r="1267" spans="1:15" ht="45" x14ac:dyDescent="0.2">
      <c r="A1267" s="2" t="s">
        <v>3071</v>
      </c>
      <c r="B1267" s="2" t="s">
        <v>3072</v>
      </c>
      <c r="C1267" s="2" t="s">
        <v>9</v>
      </c>
      <c r="D1267" s="2" t="s">
        <v>450</v>
      </c>
      <c r="E1267" s="4">
        <v>35.99</v>
      </c>
      <c r="F1267" s="14"/>
      <c r="G1267" s="3">
        <v>0</v>
      </c>
      <c r="H1267" s="6">
        <v>4.0999999999999996</v>
      </c>
      <c r="I1267" s="3">
        <v>1579</v>
      </c>
      <c r="J1267" s="13" t="str">
        <f>HYPERLINK("https://amazon.com/dp/B0836XWPJH","Amazon - B0836XWPJH")</f>
        <v>Amazon - B0836XWPJH</v>
      </c>
      <c r="K1267" s="14" t="s">
        <v>443</v>
      </c>
      <c r="L1267" s="14" t="s">
        <v>451</v>
      </c>
      <c r="M1267" s="14" t="s">
        <v>462</v>
      </c>
      <c r="N1267" s="14" t="s">
        <v>446</v>
      </c>
      <c r="O1267" s="14" t="s">
        <v>453</v>
      </c>
    </row>
    <row r="1268" spans="1:15" ht="30" x14ac:dyDescent="0.2">
      <c r="A1268" s="2" t="s">
        <v>3073</v>
      </c>
      <c r="B1268" s="2" t="s">
        <v>3074</v>
      </c>
      <c r="C1268" s="2" t="s">
        <v>311</v>
      </c>
      <c r="D1268" s="2" t="s">
        <v>450</v>
      </c>
      <c r="E1268" s="4">
        <v>12.89</v>
      </c>
      <c r="F1268" s="14"/>
      <c r="G1268" s="3">
        <v>0</v>
      </c>
      <c r="H1268" s="6">
        <v>4</v>
      </c>
      <c r="I1268" s="3">
        <v>4</v>
      </c>
      <c r="J1268" s="13" t="str">
        <f>HYPERLINK("https://amazon.com/dp/B0CMQPNSB2","Amazon - B0CMQPNSB2")</f>
        <v>Amazon - B0CMQPNSB2</v>
      </c>
      <c r="K1268" s="14" t="s">
        <v>443</v>
      </c>
      <c r="L1268" s="14" t="s">
        <v>1725</v>
      </c>
      <c r="M1268" s="14" t="s">
        <v>462</v>
      </c>
      <c r="N1268" s="14" t="s">
        <v>446</v>
      </c>
      <c r="O1268" s="14" t="s">
        <v>453</v>
      </c>
    </row>
    <row r="1269" spans="1:15" ht="45" x14ac:dyDescent="0.2">
      <c r="A1269" s="2" t="s">
        <v>3075</v>
      </c>
      <c r="B1269" s="2" t="s">
        <v>3076</v>
      </c>
      <c r="C1269" s="2" t="s">
        <v>62</v>
      </c>
      <c r="D1269" s="2" t="s">
        <v>442</v>
      </c>
      <c r="E1269" s="4">
        <v>199</v>
      </c>
      <c r="F1269" s="14"/>
      <c r="G1269" s="3">
        <v>0</v>
      </c>
      <c r="H1269" s="6">
        <v>2.9</v>
      </c>
      <c r="I1269" s="3">
        <v>3</v>
      </c>
      <c r="J1269" s="13" t="str">
        <f>HYPERLINK("https://amazon.com/dp/B0BXRGS9NK","Amazon - B0BXRGS9NK")</f>
        <v>Amazon - B0BXRGS9NK</v>
      </c>
      <c r="K1269" s="14" t="s">
        <v>443</v>
      </c>
      <c r="L1269" s="14" t="s">
        <v>303</v>
      </c>
      <c r="M1269" s="14" t="s">
        <v>303</v>
      </c>
      <c r="N1269" s="14" t="s">
        <v>446</v>
      </c>
      <c r="O1269" s="14" t="s">
        <v>303</v>
      </c>
    </row>
    <row r="1270" spans="1:15" ht="30" x14ac:dyDescent="0.2">
      <c r="A1270" s="2" t="s">
        <v>3077</v>
      </c>
      <c r="B1270" s="2" t="s">
        <v>3078</v>
      </c>
      <c r="C1270" s="2" t="s">
        <v>400</v>
      </c>
      <c r="D1270" s="2" t="s">
        <v>450</v>
      </c>
      <c r="E1270" s="4">
        <v>17.989999999999998</v>
      </c>
      <c r="F1270" s="14"/>
      <c r="G1270" s="3">
        <v>0</v>
      </c>
      <c r="H1270" s="6">
        <v>4.7</v>
      </c>
      <c r="I1270" s="3">
        <v>3</v>
      </c>
      <c r="J1270" s="13" t="str">
        <f>HYPERLINK("https://amazon.com/dp/B0DHQV5T33","Amazon - B0DHQV5T33")</f>
        <v>Amazon - B0DHQV5T33</v>
      </c>
      <c r="K1270" s="14" t="s">
        <v>443</v>
      </c>
      <c r="L1270" s="14" t="s">
        <v>451</v>
      </c>
      <c r="M1270" s="14" t="s">
        <v>303</v>
      </c>
      <c r="N1270" s="14" t="s">
        <v>446</v>
      </c>
      <c r="O1270" s="14" t="s">
        <v>1204</v>
      </c>
    </row>
    <row r="1271" spans="1:15" ht="45" x14ac:dyDescent="0.2">
      <c r="A1271" s="2" t="s">
        <v>3079</v>
      </c>
      <c r="B1271" s="2" t="s">
        <v>3080</v>
      </c>
      <c r="C1271" s="2" t="s">
        <v>13</v>
      </c>
      <c r="D1271" s="2" t="s">
        <v>472</v>
      </c>
      <c r="E1271" s="4">
        <v>899.99</v>
      </c>
      <c r="F1271" s="14"/>
      <c r="G1271" s="3">
        <v>0</v>
      </c>
      <c r="H1271" s="6">
        <v>5</v>
      </c>
      <c r="I1271" s="3">
        <v>1</v>
      </c>
      <c r="J1271" s="13" t="str">
        <f>HYPERLINK("https://amazon.com/dp/B0DKNX4RP9","Amazon - B0DKNX4RP9")</f>
        <v>Amazon - B0DKNX4RP9</v>
      </c>
      <c r="K1271" s="14" t="s">
        <v>443</v>
      </c>
      <c r="L1271" s="14" t="s">
        <v>461</v>
      </c>
      <c r="M1271" s="14" t="s">
        <v>303</v>
      </c>
      <c r="N1271" s="14" t="s">
        <v>446</v>
      </c>
      <c r="O1271" s="14" t="s">
        <v>3081</v>
      </c>
    </row>
    <row r="1272" spans="1:15" ht="45" x14ac:dyDescent="0.2">
      <c r="A1272" s="2" t="s">
        <v>3082</v>
      </c>
      <c r="B1272" s="2" t="s">
        <v>1513</v>
      </c>
      <c r="C1272" s="2" t="s">
        <v>13</v>
      </c>
      <c r="D1272" s="2" t="s">
        <v>472</v>
      </c>
      <c r="E1272" s="4">
        <v>799.99</v>
      </c>
      <c r="F1272" s="14"/>
      <c r="G1272" s="3">
        <v>0</v>
      </c>
      <c r="H1272" s="6">
        <v>1</v>
      </c>
      <c r="I1272" s="3">
        <v>1</v>
      </c>
      <c r="J1272" s="13" t="str">
        <f>HYPERLINK("https://amazon.com/dp/B0DJ7J5NMH","Amazon - B0DJ7J5NMH")</f>
        <v>Amazon - B0DJ7J5NMH</v>
      </c>
      <c r="K1272" s="14" t="s">
        <v>443</v>
      </c>
      <c r="L1272" s="14" t="s">
        <v>461</v>
      </c>
      <c r="M1272" s="14" t="s">
        <v>565</v>
      </c>
      <c r="N1272" s="14" t="s">
        <v>446</v>
      </c>
      <c r="O1272" s="14" t="s">
        <v>517</v>
      </c>
    </row>
    <row r="1273" spans="1:15" ht="45" x14ac:dyDescent="0.2">
      <c r="A1273" s="2" t="s">
        <v>3083</v>
      </c>
      <c r="B1273" s="2" t="s">
        <v>3084</v>
      </c>
      <c r="C1273" s="2" t="s">
        <v>104</v>
      </c>
      <c r="D1273" s="2" t="s">
        <v>472</v>
      </c>
      <c r="E1273" s="4">
        <v>369.99</v>
      </c>
      <c r="F1273" s="14"/>
      <c r="G1273" s="3">
        <v>0</v>
      </c>
      <c r="H1273" s="6">
        <v>0</v>
      </c>
      <c r="I1273" s="3">
        <v>0</v>
      </c>
      <c r="J1273" s="13" t="str">
        <f>HYPERLINK("https://amazon.com/dp/B0FQ1PNCZ2","Amazon - B0FQ1PNCZ2")</f>
        <v>Amazon - B0FQ1PNCZ2</v>
      </c>
      <c r="K1273" s="14" t="s">
        <v>443</v>
      </c>
      <c r="L1273" s="14" t="s">
        <v>502</v>
      </c>
      <c r="M1273" s="14" t="s">
        <v>303</v>
      </c>
      <c r="N1273" s="14" t="s">
        <v>446</v>
      </c>
      <c r="O1273" s="14" t="s">
        <v>303</v>
      </c>
    </row>
    <row r="1274" spans="1:15" ht="45" x14ac:dyDescent="0.2">
      <c r="A1274" s="2" t="s">
        <v>3085</v>
      </c>
      <c r="B1274" s="2" t="s">
        <v>3086</v>
      </c>
      <c r="C1274" s="2" t="s">
        <v>421</v>
      </c>
      <c r="D1274" s="2" t="s">
        <v>450</v>
      </c>
      <c r="E1274" s="4">
        <v>16.29</v>
      </c>
      <c r="F1274" s="14"/>
      <c r="G1274" s="3">
        <v>0</v>
      </c>
      <c r="H1274" s="6">
        <v>3.1</v>
      </c>
      <c r="I1274" s="3">
        <v>19</v>
      </c>
      <c r="J1274" s="13" t="str">
        <f>HYPERLINK("https://amazon.com/dp/B07L3N316J","Amazon - B07L3N316J")</f>
        <v>Amazon - B07L3N316J</v>
      </c>
      <c r="K1274" s="14" t="s">
        <v>443</v>
      </c>
      <c r="L1274" s="14" t="s">
        <v>2807</v>
      </c>
      <c r="M1274" s="14" t="s">
        <v>462</v>
      </c>
      <c r="N1274" s="14" t="s">
        <v>446</v>
      </c>
      <c r="O1274" s="14" t="s">
        <v>3087</v>
      </c>
    </row>
    <row r="1275" spans="1:15" ht="30" x14ac:dyDescent="0.2">
      <c r="A1275" s="2" t="s">
        <v>3088</v>
      </c>
      <c r="B1275" s="2" t="s">
        <v>3089</v>
      </c>
      <c r="C1275" s="2" t="s">
        <v>402</v>
      </c>
      <c r="D1275" s="2" t="s">
        <v>450</v>
      </c>
      <c r="E1275" s="4">
        <v>21.01</v>
      </c>
      <c r="F1275" s="14"/>
      <c r="G1275" s="3">
        <v>0</v>
      </c>
      <c r="H1275" s="6">
        <v>1</v>
      </c>
      <c r="I1275" s="3">
        <v>1</v>
      </c>
      <c r="J1275" s="13" t="str">
        <f>HYPERLINK("https://amazon.com/dp/B0CWLW1VPT","Amazon - B0CWLW1VPT")</f>
        <v>Amazon - B0CWLW1VPT</v>
      </c>
      <c r="K1275" s="14" t="s">
        <v>443</v>
      </c>
      <c r="L1275" s="14" t="s">
        <v>1725</v>
      </c>
      <c r="M1275" s="14" t="s">
        <v>511</v>
      </c>
      <c r="N1275" s="14" t="s">
        <v>446</v>
      </c>
      <c r="O1275" s="14" t="s">
        <v>745</v>
      </c>
    </row>
    <row r="1276" spans="1:15" ht="30" x14ac:dyDescent="0.2">
      <c r="A1276" s="2" t="s">
        <v>3090</v>
      </c>
      <c r="B1276" s="2" t="s">
        <v>3091</v>
      </c>
      <c r="C1276" s="2" t="s">
        <v>402</v>
      </c>
      <c r="D1276" s="2" t="s">
        <v>450</v>
      </c>
      <c r="E1276" s="4">
        <v>22.01</v>
      </c>
      <c r="F1276" s="14"/>
      <c r="G1276" s="3">
        <v>0</v>
      </c>
      <c r="H1276" s="6">
        <v>1</v>
      </c>
      <c r="I1276" s="3">
        <v>1</v>
      </c>
      <c r="J1276" s="13" t="str">
        <f>HYPERLINK("https://amazon.com/dp/B0CXD5G44D","Amazon - B0CXD5G44D")</f>
        <v>Amazon - B0CXD5G44D</v>
      </c>
      <c r="K1276" s="14" t="s">
        <v>443</v>
      </c>
      <c r="L1276" s="14" t="s">
        <v>1725</v>
      </c>
      <c r="M1276" s="14" t="s">
        <v>511</v>
      </c>
      <c r="N1276" s="14" t="s">
        <v>446</v>
      </c>
      <c r="O1276" s="14" t="s">
        <v>543</v>
      </c>
    </row>
    <row r="1277" spans="1:15" ht="45" x14ac:dyDescent="0.2">
      <c r="A1277" s="2" t="s">
        <v>3092</v>
      </c>
      <c r="B1277" s="2" t="s">
        <v>3093</v>
      </c>
      <c r="C1277" s="2" t="s">
        <v>162</v>
      </c>
      <c r="D1277" s="2" t="s">
        <v>442</v>
      </c>
      <c r="E1277" s="4">
        <v>89.99</v>
      </c>
      <c r="F1277" s="14"/>
      <c r="G1277" s="3">
        <v>0</v>
      </c>
      <c r="H1277" s="6">
        <v>3.7</v>
      </c>
      <c r="I1277" s="3">
        <v>9</v>
      </c>
      <c r="J1277" s="13" t="str">
        <f>HYPERLINK("https://amazon.com/dp/B0D3TV89KV","Amazon - B0D3TV89KV")</f>
        <v>Amazon - B0D3TV89KV</v>
      </c>
      <c r="K1277" s="14" t="s">
        <v>443</v>
      </c>
      <c r="L1277" s="14" t="s">
        <v>461</v>
      </c>
      <c r="M1277" s="14" t="s">
        <v>445</v>
      </c>
      <c r="N1277" s="14" t="s">
        <v>473</v>
      </c>
      <c r="O1277" s="14" t="s">
        <v>453</v>
      </c>
    </row>
    <row r="1278" spans="1:15" ht="45" x14ac:dyDescent="0.2">
      <c r="A1278" s="2" t="s">
        <v>3094</v>
      </c>
      <c r="B1278" s="2" t="s">
        <v>3095</v>
      </c>
      <c r="C1278" s="2" t="s">
        <v>162</v>
      </c>
      <c r="D1278" s="2" t="s">
        <v>442</v>
      </c>
      <c r="E1278" s="4">
        <v>79.989999999999995</v>
      </c>
      <c r="F1278" s="14"/>
      <c r="G1278" s="3">
        <v>0</v>
      </c>
      <c r="H1278" s="6">
        <v>3.7</v>
      </c>
      <c r="I1278" s="3">
        <v>9</v>
      </c>
      <c r="J1278" s="13" t="str">
        <f>HYPERLINK("https://amazon.com/dp/B0D3TMMQF5","Amazon - B0D3TMMQF5")</f>
        <v>Amazon - B0D3TMMQF5</v>
      </c>
      <c r="K1278" s="14" t="s">
        <v>443</v>
      </c>
      <c r="L1278" s="14" t="s">
        <v>461</v>
      </c>
      <c r="M1278" s="14" t="s">
        <v>715</v>
      </c>
      <c r="N1278" s="14" t="s">
        <v>452</v>
      </c>
      <c r="O1278" s="14" t="s">
        <v>453</v>
      </c>
    </row>
    <row r="1279" spans="1:15" ht="45" x14ac:dyDescent="0.2">
      <c r="A1279" s="2" t="s">
        <v>3096</v>
      </c>
      <c r="B1279" s="2" t="s">
        <v>3097</v>
      </c>
      <c r="C1279" s="2" t="s">
        <v>58</v>
      </c>
      <c r="D1279" s="2" t="s">
        <v>472</v>
      </c>
      <c r="E1279" s="4">
        <v>587.99</v>
      </c>
      <c r="F1279" s="14"/>
      <c r="G1279" s="3">
        <v>0</v>
      </c>
      <c r="H1279" s="6">
        <v>3.2</v>
      </c>
      <c r="I1279" s="3">
        <v>12</v>
      </c>
      <c r="J1279" s="13" t="str">
        <f>HYPERLINK("https://amazon.com/dp/B0B5ZS5R25","Amazon - B0B5ZS5R25")</f>
        <v>Amazon - B0B5ZS5R25</v>
      </c>
      <c r="K1279" s="14" t="s">
        <v>443</v>
      </c>
      <c r="L1279" s="14" t="s">
        <v>764</v>
      </c>
      <c r="M1279" s="14" t="s">
        <v>565</v>
      </c>
      <c r="N1279" s="14" t="s">
        <v>446</v>
      </c>
      <c r="O1279" s="14" t="s">
        <v>570</v>
      </c>
    </row>
    <row r="1280" spans="1:15" ht="45" x14ac:dyDescent="0.2">
      <c r="A1280" s="2" t="s">
        <v>3098</v>
      </c>
      <c r="B1280" s="2" t="s">
        <v>3099</v>
      </c>
      <c r="C1280" s="2" t="s">
        <v>173</v>
      </c>
      <c r="D1280" s="2" t="s">
        <v>450</v>
      </c>
      <c r="E1280" s="4">
        <v>299</v>
      </c>
      <c r="F1280" s="14"/>
      <c r="G1280" s="3">
        <v>0</v>
      </c>
      <c r="H1280" s="6">
        <v>1.9</v>
      </c>
      <c r="I1280" s="3">
        <v>2</v>
      </c>
      <c r="J1280" s="13" t="str">
        <f>HYPERLINK("https://amazon.com/dp/B07ZPWDP1N","Amazon - B07ZPWDP1N")</f>
        <v>Amazon - B07ZPWDP1N</v>
      </c>
      <c r="K1280" s="14" t="s">
        <v>443</v>
      </c>
      <c r="L1280" s="14" t="s">
        <v>451</v>
      </c>
      <c r="M1280" s="14" t="s">
        <v>511</v>
      </c>
      <c r="N1280" s="14" t="s">
        <v>446</v>
      </c>
      <c r="O1280" s="14" t="s">
        <v>303</v>
      </c>
    </row>
    <row r="1281" spans="1:15" ht="45" x14ac:dyDescent="0.2">
      <c r="A1281" s="2" t="s">
        <v>3100</v>
      </c>
      <c r="B1281" s="2" t="s">
        <v>3101</v>
      </c>
      <c r="C1281" s="2" t="s">
        <v>29</v>
      </c>
      <c r="D1281" s="2" t="s">
        <v>472</v>
      </c>
      <c r="E1281" s="4">
        <v>599.99</v>
      </c>
      <c r="F1281" s="14"/>
      <c r="G1281" s="3">
        <v>0</v>
      </c>
      <c r="H1281" s="6">
        <v>3.6</v>
      </c>
      <c r="I1281" s="3">
        <v>3</v>
      </c>
      <c r="J1281" s="13" t="str">
        <f>HYPERLINK("https://amazon.com/dp/B0CPDR2LZL","Amazon - B0CPDR2LZL")</f>
        <v>Amazon - B0CPDR2LZL</v>
      </c>
      <c r="K1281" s="14" t="s">
        <v>443</v>
      </c>
      <c r="L1281" s="14" t="s">
        <v>502</v>
      </c>
      <c r="M1281" s="14" t="s">
        <v>303</v>
      </c>
      <c r="N1281" s="14" t="s">
        <v>446</v>
      </c>
      <c r="O1281" s="14" t="s">
        <v>778</v>
      </c>
    </row>
    <row r="1282" spans="1:15" ht="30" x14ac:dyDescent="0.2">
      <c r="A1282" s="2" t="s">
        <v>3102</v>
      </c>
      <c r="B1282" s="2" t="s">
        <v>3103</v>
      </c>
      <c r="C1282" s="2" t="s">
        <v>101</v>
      </c>
      <c r="D1282" s="2" t="s">
        <v>472</v>
      </c>
      <c r="E1282" s="4">
        <v>278.99</v>
      </c>
      <c r="F1282" s="14"/>
      <c r="G1282" s="3">
        <v>0</v>
      </c>
      <c r="H1282" s="6">
        <v>0</v>
      </c>
      <c r="I1282" s="3">
        <v>0</v>
      </c>
      <c r="J1282" s="13" t="str">
        <f>HYPERLINK("https://amazon.com/dp/B0D5M2WL2N","Amazon - B0D5M2WL2N")</f>
        <v>Amazon - B0D5M2WL2N</v>
      </c>
      <c r="K1282" s="14" t="s">
        <v>443</v>
      </c>
      <c r="L1282" s="14" t="s">
        <v>502</v>
      </c>
      <c r="M1282" s="14" t="s">
        <v>303</v>
      </c>
      <c r="N1282" s="14" t="s">
        <v>446</v>
      </c>
      <c r="O1282" s="14" t="s">
        <v>517</v>
      </c>
    </row>
    <row r="1283" spans="1:15" ht="30" x14ac:dyDescent="0.2">
      <c r="A1283" s="2" t="s">
        <v>3104</v>
      </c>
      <c r="B1283" s="2" t="s">
        <v>3105</v>
      </c>
      <c r="C1283" s="2" t="s">
        <v>302</v>
      </c>
      <c r="D1283" s="2" t="s">
        <v>442</v>
      </c>
      <c r="E1283" s="4">
        <v>76.349999999999994</v>
      </c>
      <c r="F1283" s="14"/>
      <c r="G1283" s="3">
        <v>0</v>
      </c>
      <c r="H1283" s="6">
        <v>0</v>
      </c>
      <c r="I1283" s="3">
        <v>0</v>
      </c>
      <c r="J1283" s="13" t="str">
        <f>HYPERLINK("https://amazon.com/dp/B0CLP62J18","Amazon - B0CLP62J18")</f>
        <v>Amazon - B0CLP62J18</v>
      </c>
      <c r="K1283" s="14" t="s">
        <v>443</v>
      </c>
      <c r="L1283" s="14" t="s">
        <v>456</v>
      </c>
      <c r="M1283" s="14" t="s">
        <v>445</v>
      </c>
      <c r="N1283" s="14" t="s">
        <v>446</v>
      </c>
      <c r="O1283" s="14" t="s">
        <v>608</v>
      </c>
    </row>
    <row r="1284" spans="1:15" ht="30" x14ac:dyDescent="0.2">
      <c r="A1284" s="2" t="s">
        <v>3106</v>
      </c>
      <c r="B1284" s="2" t="s">
        <v>3107</v>
      </c>
      <c r="C1284" s="2" t="s">
        <v>40</v>
      </c>
      <c r="D1284" s="2" t="s">
        <v>472</v>
      </c>
      <c r="E1284" s="4">
        <v>243.99</v>
      </c>
      <c r="F1284" s="14"/>
      <c r="G1284" s="3">
        <v>0</v>
      </c>
      <c r="H1284" s="6">
        <v>4.5</v>
      </c>
      <c r="I1284" s="3">
        <v>8</v>
      </c>
      <c r="J1284" s="13" t="str">
        <f>HYPERLINK("https://amazon.com/dp/B0D9YF49MC","Amazon - B0D9YF49MC")</f>
        <v>Amazon - B0D9YF49MC</v>
      </c>
      <c r="K1284" s="14" t="s">
        <v>443</v>
      </c>
      <c r="L1284" s="14" t="s">
        <v>456</v>
      </c>
      <c r="M1284" s="14" t="s">
        <v>688</v>
      </c>
      <c r="N1284" s="14" t="s">
        <v>446</v>
      </c>
      <c r="O1284" s="14" t="s">
        <v>517</v>
      </c>
    </row>
    <row r="1285" spans="1:15" ht="30" x14ac:dyDescent="0.2">
      <c r="A1285" s="2" t="s">
        <v>3108</v>
      </c>
      <c r="B1285" s="2" t="s">
        <v>3109</v>
      </c>
      <c r="C1285" s="2" t="s">
        <v>381</v>
      </c>
      <c r="D1285" s="2" t="s">
        <v>442</v>
      </c>
      <c r="E1285" s="4">
        <v>17.57</v>
      </c>
      <c r="F1285" s="14"/>
      <c r="G1285" s="3">
        <v>0</v>
      </c>
      <c r="H1285" s="6">
        <v>0</v>
      </c>
      <c r="I1285" s="3">
        <v>0</v>
      </c>
      <c r="J1285" s="13" t="str">
        <f>HYPERLINK("https://amazon.com/dp/B0C2CVF5PT","Amazon - B0C2CVF5PT")</f>
        <v>Amazon - B0C2CVF5PT</v>
      </c>
      <c r="K1285" s="14" t="s">
        <v>443</v>
      </c>
      <c r="L1285" s="14" t="s">
        <v>303</v>
      </c>
      <c r="M1285" s="14" t="s">
        <v>3110</v>
      </c>
      <c r="N1285" s="14" t="s">
        <v>446</v>
      </c>
      <c r="O1285" s="14" t="s">
        <v>303</v>
      </c>
    </row>
    <row r="1286" spans="1:15" ht="45" x14ac:dyDescent="0.2">
      <c r="A1286" s="2" t="s">
        <v>3111</v>
      </c>
      <c r="B1286" s="2" t="s">
        <v>3112</v>
      </c>
      <c r="C1286" s="2" t="s">
        <v>302</v>
      </c>
      <c r="D1286" s="2" t="s">
        <v>442</v>
      </c>
      <c r="E1286" s="4">
        <v>33.99</v>
      </c>
      <c r="F1286" s="14"/>
      <c r="G1286" s="3">
        <v>0</v>
      </c>
      <c r="H1286" s="6">
        <v>0</v>
      </c>
      <c r="I1286" s="3">
        <v>0</v>
      </c>
      <c r="J1286" s="13" t="str">
        <f>HYPERLINK("https://amazon.com/dp/B0CJM9JWZL","Amazon - B0CJM9JWZL")</f>
        <v>Amazon - B0CJM9JWZL</v>
      </c>
      <c r="K1286" s="14" t="s">
        <v>443</v>
      </c>
      <c r="L1286" s="14" t="s">
        <v>530</v>
      </c>
      <c r="M1286" s="14" t="s">
        <v>445</v>
      </c>
      <c r="N1286" s="14" t="s">
        <v>446</v>
      </c>
      <c r="O1286" s="14" t="s">
        <v>303</v>
      </c>
    </row>
    <row r="1287" spans="1:15" ht="45" x14ac:dyDescent="0.2">
      <c r="A1287" s="2" t="s">
        <v>3113</v>
      </c>
      <c r="B1287" s="2" t="s">
        <v>3114</v>
      </c>
      <c r="C1287" s="2" t="s">
        <v>29</v>
      </c>
      <c r="D1287" s="2" t="s">
        <v>472</v>
      </c>
      <c r="E1287" s="4">
        <v>599.99</v>
      </c>
      <c r="F1287" s="14"/>
      <c r="G1287" s="3">
        <v>0</v>
      </c>
      <c r="H1287" s="6">
        <v>3.2</v>
      </c>
      <c r="I1287" s="3">
        <v>4</v>
      </c>
      <c r="J1287" s="13" t="str">
        <f>HYPERLINK("https://amazon.com/dp/B0D4LH8YTZ","Amazon - B0D4LH8YTZ")</f>
        <v>Amazon - B0D4LH8YTZ</v>
      </c>
      <c r="K1287" s="14" t="s">
        <v>443</v>
      </c>
      <c r="L1287" s="14" t="s">
        <v>667</v>
      </c>
      <c r="M1287" s="14" t="s">
        <v>715</v>
      </c>
      <c r="N1287" s="14" t="s">
        <v>446</v>
      </c>
      <c r="O1287" s="14" t="s">
        <v>718</v>
      </c>
    </row>
    <row r="1288" spans="1:15" ht="45" x14ac:dyDescent="0.2">
      <c r="A1288" s="2" t="s">
        <v>3115</v>
      </c>
      <c r="B1288" s="2" t="s">
        <v>3116</v>
      </c>
      <c r="C1288" s="2" t="s">
        <v>325</v>
      </c>
      <c r="D1288" s="2" t="s">
        <v>450</v>
      </c>
      <c r="E1288" s="4">
        <v>15.99</v>
      </c>
      <c r="F1288" s="14"/>
      <c r="G1288" s="3">
        <v>0</v>
      </c>
      <c r="H1288" s="6">
        <v>3.6</v>
      </c>
      <c r="I1288" s="3">
        <v>4</v>
      </c>
      <c r="J1288" s="13" t="str">
        <f>HYPERLINK("https://amazon.com/dp/B0DNZ4T4SR","Amazon - B0DNZ4T4SR")</f>
        <v>Amazon - B0DNZ4T4SR</v>
      </c>
      <c r="K1288" s="14" t="s">
        <v>443</v>
      </c>
      <c r="L1288" s="14" t="s">
        <v>1725</v>
      </c>
      <c r="M1288" s="14" t="s">
        <v>303</v>
      </c>
      <c r="N1288" s="14" t="s">
        <v>446</v>
      </c>
      <c r="O1288" s="14" t="s">
        <v>453</v>
      </c>
    </row>
    <row r="1289" spans="1:15" x14ac:dyDescent="0.2">
      <c r="A1289" s="2" t="s">
        <v>3117</v>
      </c>
      <c r="B1289" s="2" t="s">
        <v>3118</v>
      </c>
      <c r="C1289" s="2" t="s">
        <v>78</v>
      </c>
      <c r="D1289" s="2" t="s">
        <v>442</v>
      </c>
      <c r="E1289" s="4">
        <v>329.95</v>
      </c>
      <c r="F1289" s="14"/>
      <c r="G1289" s="3">
        <v>0</v>
      </c>
      <c r="H1289" s="6">
        <v>3.9</v>
      </c>
      <c r="I1289" s="3">
        <v>39</v>
      </c>
      <c r="J1289" s="13" t="str">
        <f>HYPERLINK("https://amazon.com/dp/B006PEZ58M","Amazon - B006PEZ58M")</f>
        <v>Amazon - B006PEZ58M</v>
      </c>
      <c r="K1289" s="14" t="s">
        <v>443</v>
      </c>
      <c r="L1289" s="14" t="s">
        <v>303</v>
      </c>
      <c r="M1289" s="14" t="s">
        <v>303</v>
      </c>
      <c r="N1289" s="14" t="s">
        <v>446</v>
      </c>
      <c r="O1289" s="14" t="s">
        <v>3119</v>
      </c>
    </row>
    <row r="1290" spans="1:15" x14ac:dyDescent="0.2">
      <c r="A1290" s="2" t="s">
        <v>3120</v>
      </c>
      <c r="B1290" s="2" t="s">
        <v>3121</v>
      </c>
      <c r="C1290" s="2" t="s">
        <v>13</v>
      </c>
      <c r="D1290" s="2" t="s">
        <v>472</v>
      </c>
      <c r="E1290" s="4">
        <v>219.99</v>
      </c>
      <c r="F1290" s="14"/>
      <c r="G1290" s="3">
        <v>0</v>
      </c>
      <c r="H1290" s="6">
        <v>4.5999999999999996</v>
      </c>
      <c r="I1290" s="3">
        <v>3</v>
      </c>
      <c r="J1290" s="13" t="str">
        <f>HYPERLINK("https://amazon.com/dp/B09HKTGBPK","Amazon - B09HKTGBPK")</f>
        <v>Amazon - B09HKTGBPK</v>
      </c>
      <c r="K1290" s="14" t="s">
        <v>443</v>
      </c>
      <c r="L1290" s="14" t="s">
        <v>303</v>
      </c>
      <c r="M1290" s="14" t="s">
        <v>303</v>
      </c>
      <c r="N1290" s="14" t="s">
        <v>446</v>
      </c>
      <c r="O1290" s="14" t="s">
        <v>517</v>
      </c>
    </row>
    <row r="1291" spans="1:15" ht="30" x14ac:dyDescent="0.2">
      <c r="A1291" s="2" t="s">
        <v>3122</v>
      </c>
      <c r="B1291" s="2" t="s">
        <v>3123</v>
      </c>
      <c r="C1291" s="2" t="s">
        <v>40</v>
      </c>
      <c r="D1291" s="2" t="s">
        <v>472</v>
      </c>
      <c r="E1291" s="4">
        <v>29.99</v>
      </c>
      <c r="F1291" s="14"/>
      <c r="G1291" s="3">
        <v>0</v>
      </c>
      <c r="H1291" s="6">
        <v>5</v>
      </c>
      <c r="I1291" s="3">
        <v>1</v>
      </c>
      <c r="J1291" s="13" t="str">
        <f>HYPERLINK("https://amazon.com/dp/B0C3H92RTS","Amazon - B0C3H92RTS")</f>
        <v>Amazon - B0C3H92RTS</v>
      </c>
      <c r="K1291" s="14" t="s">
        <v>443</v>
      </c>
      <c r="L1291" s="14" t="s">
        <v>303</v>
      </c>
      <c r="M1291" s="14" t="s">
        <v>503</v>
      </c>
      <c r="N1291" s="14" t="s">
        <v>446</v>
      </c>
      <c r="O1291" s="14" t="s">
        <v>303</v>
      </c>
    </row>
    <row r="1292" spans="1:15" ht="45" x14ac:dyDescent="0.2">
      <c r="A1292" s="2" t="s">
        <v>3124</v>
      </c>
      <c r="B1292" s="2" t="s">
        <v>3125</v>
      </c>
      <c r="C1292" s="2" t="s">
        <v>51</v>
      </c>
      <c r="D1292" s="2" t="s">
        <v>823</v>
      </c>
      <c r="E1292" s="4">
        <v>299.98</v>
      </c>
      <c r="F1292" s="14"/>
      <c r="G1292" s="3">
        <v>0</v>
      </c>
      <c r="H1292" s="6">
        <v>4.8</v>
      </c>
      <c r="I1292" s="3">
        <v>5</v>
      </c>
      <c r="J1292" s="13" t="str">
        <f>HYPERLINK("https://amazon.com/dp/B08QSM45SY","Amazon - B08QSM45SY")</f>
        <v>Amazon - B08QSM45SY</v>
      </c>
      <c r="K1292" s="14" t="s">
        <v>443</v>
      </c>
      <c r="L1292" s="14" t="s">
        <v>451</v>
      </c>
      <c r="M1292" s="14" t="s">
        <v>457</v>
      </c>
      <c r="N1292" s="14" t="s">
        <v>446</v>
      </c>
      <c r="O1292" s="14" t="s">
        <v>447</v>
      </c>
    </row>
    <row r="1293" spans="1:15" ht="45" x14ac:dyDescent="0.2">
      <c r="A1293" s="2" t="s">
        <v>3126</v>
      </c>
      <c r="B1293" s="2" t="s">
        <v>3127</v>
      </c>
      <c r="C1293" s="2" t="s">
        <v>62</v>
      </c>
      <c r="D1293" s="2" t="s">
        <v>442</v>
      </c>
      <c r="E1293" s="4">
        <v>249</v>
      </c>
      <c r="F1293" s="14"/>
      <c r="G1293" s="3">
        <v>0</v>
      </c>
      <c r="H1293" s="6">
        <v>5</v>
      </c>
      <c r="I1293" s="3">
        <v>3</v>
      </c>
      <c r="J1293" s="13" t="str">
        <f>HYPERLINK("https://amazon.com/dp/B0BLTY4HNG","Amazon - B0BLTY4HNG")</f>
        <v>Amazon - B0BLTY4HNG</v>
      </c>
      <c r="K1293" s="14" t="s">
        <v>443</v>
      </c>
      <c r="L1293" s="14" t="s">
        <v>303</v>
      </c>
      <c r="M1293" s="14" t="s">
        <v>303</v>
      </c>
      <c r="N1293" s="14" t="s">
        <v>452</v>
      </c>
      <c r="O1293" s="14" t="s">
        <v>303</v>
      </c>
    </row>
    <row r="1294" spans="1:15" ht="45" x14ac:dyDescent="0.2">
      <c r="A1294" s="2" t="s">
        <v>3128</v>
      </c>
      <c r="B1294" s="2" t="s">
        <v>3129</v>
      </c>
      <c r="C1294" s="2" t="s">
        <v>279</v>
      </c>
      <c r="D1294" s="2" t="s">
        <v>450</v>
      </c>
      <c r="E1294" s="4">
        <v>17.649999999999999</v>
      </c>
      <c r="F1294" s="14"/>
      <c r="G1294" s="3">
        <v>0</v>
      </c>
      <c r="H1294" s="6">
        <v>0</v>
      </c>
      <c r="I1294" s="3">
        <v>0</v>
      </c>
      <c r="J1294" s="13" t="str">
        <f>HYPERLINK("https://amazon.com/dp/B0CL4ZBFLV","Amazon - B0CL4ZBFLV")</f>
        <v>Amazon - B0CL4ZBFLV</v>
      </c>
      <c r="K1294" s="14" t="s">
        <v>443</v>
      </c>
      <c r="L1294" s="14" t="s">
        <v>451</v>
      </c>
      <c r="M1294" s="14" t="s">
        <v>462</v>
      </c>
      <c r="N1294" s="14" t="s">
        <v>446</v>
      </c>
      <c r="O1294" s="14" t="s">
        <v>745</v>
      </c>
    </row>
    <row r="1295" spans="1:15" ht="30" x14ac:dyDescent="0.2">
      <c r="A1295" s="2" t="s">
        <v>3130</v>
      </c>
      <c r="B1295" s="2" t="s">
        <v>3131</v>
      </c>
      <c r="C1295" s="2" t="s">
        <v>210</v>
      </c>
      <c r="D1295" s="2" t="s">
        <v>442</v>
      </c>
      <c r="E1295" s="4">
        <v>81.09</v>
      </c>
      <c r="F1295" s="14"/>
      <c r="G1295" s="3">
        <v>0</v>
      </c>
      <c r="H1295" s="6">
        <v>0</v>
      </c>
      <c r="I1295" s="3">
        <v>0</v>
      </c>
      <c r="J1295" s="13" t="str">
        <f>HYPERLINK("https://amazon.com/dp/B0BZSHSNZH","Amazon - B0BZSHSNZH")</f>
        <v>Amazon - B0BZSHSNZH</v>
      </c>
      <c r="K1295" s="14" t="s">
        <v>443</v>
      </c>
      <c r="L1295" s="14" t="s">
        <v>456</v>
      </c>
      <c r="M1295" s="14" t="s">
        <v>445</v>
      </c>
      <c r="N1295" s="14" t="s">
        <v>446</v>
      </c>
      <c r="O1295" s="14" t="s">
        <v>2457</v>
      </c>
    </row>
    <row r="1296" spans="1:15" ht="45" x14ac:dyDescent="0.2">
      <c r="A1296" s="2" t="s">
        <v>3132</v>
      </c>
      <c r="B1296" s="2" t="s">
        <v>3133</v>
      </c>
      <c r="C1296" s="2" t="s">
        <v>358</v>
      </c>
      <c r="D1296" s="2" t="s">
        <v>442</v>
      </c>
      <c r="E1296" s="4">
        <v>38.99</v>
      </c>
      <c r="F1296" s="14"/>
      <c r="G1296" s="3">
        <v>0</v>
      </c>
      <c r="H1296" s="6">
        <v>3.8</v>
      </c>
      <c r="I1296" s="3">
        <v>27</v>
      </c>
      <c r="J1296" s="13" t="str">
        <f>HYPERLINK("https://amazon.com/dp/B0FJ5NN2KG","Amazon - B0FJ5NN2KG")</f>
        <v>Amazon - B0FJ5NN2KG</v>
      </c>
      <c r="K1296" s="14" t="s">
        <v>443</v>
      </c>
      <c r="L1296" s="14" t="s">
        <v>461</v>
      </c>
      <c r="M1296" s="14" t="s">
        <v>303</v>
      </c>
      <c r="N1296" s="14" t="s">
        <v>446</v>
      </c>
      <c r="O1296" s="14" t="s">
        <v>453</v>
      </c>
    </row>
    <row r="1297" spans="1:15" ht="45" x14ac:dyDescent="0.2">
      <c r="A1297" s="2" t="s">
        <v>3134</v>
      </c>
      <c r="B1297" s="2" t="s">
        <v>3135</v>
      </c>
      <c r="C1297" s="2" t="s">
        <v>13</v>
      </c>
      <c r="D1297" s="2" t="s">
        <v>472</v>
      </c>
      <c r="E1297" s="4">
        <v>869.99</v>
      </c>
      <c r="F1297" s="14"/>
      <c r="G1297" s="3">
        <v>0</v>
      </c>
      <c r="H1297" s="6">
        <v>5</v>
      </c>
      <c r="I1297" s="3">
        <v>1</v>
      </c>
      <c r="J1297" s="13" t="str">
        <f>HYPERLINK("https://amazon.com/dp/B0DDT8XC2S","Amazon - B0DDT8XC2S")</f>
        <v>Amazon - B0DDT8XC2S</v>
      </c>
      <c r="K1297" s="14" t="s">
        <v>443</v>
      </c>
      <c r="L1297" s="14" t="s">
        <v>461</v>
      </c>
      <c r="M1297" s="14" t="s">
        <v>565</v>
      </c>
      <c r="N1297" s="14" t="s">
        <v>446</v>
      </c>
      <c r="O1297" s="14" t="s">
        <v>517</v>
      </c>
    </row>
    <row r="1298" spans="1:15" ht="30" x14ac:dyDescent="0.2">
      <c r="A1298" s="2" t="s">
        <v>3136</v>
      </c>
      <c r="B1298" s="2" t="s">
        <v>3137</v>
      </c>
      <c r="C1298" s="2" t="s">
        <v>13</v>
      </c>
      <c r="D1298" s="2" t="s">
        <v>472</v>
      </c>
      <c r="E1298" s="4">
        <v>319.99</v>
      </c>
      <c r="F1298" s="14"/>
      <c r="G1298" s="3">
        <v>0</v>
      </c>
      <c r="H1298" s="6">
        <v>0</v>
      </c>
      <c r="I1298" s="3">
        <v>0</v>
      </c>
      <c r="J1298" s="13" t="str">
        <f>HYPERLINK("https://amazon.com/dp/B0CH7QT9YD","Amazon - B0CH7QT9YD")</f>
        <v>Amazon - B0CH7QT9YD</v>
      </c>
      <c r="K1298" s="14" t="s">
        <v>443</v>
      </c>
      <c r="L1298" s="14" t="s">
        <v>303</v>
      </c>
      <c r="M1298" s="14" t="s">
        <v>303</v>
      </c>
      <c r="N1298" s="14" t="s">
        <v>446</v>
      </c>
      <c r="O1298" s="14" t="s">
        <v>303</v>
      </c>
    </row>
    <row r="1299" spans="1:15" ht="45" x14ac:dyDescent="0.2">
      <c r="A1299" s="2" t="s">
        <v>3138</v>
      </c>
      <c r="B1299" s="2" t="s">
        <v>3139</v>
      </c>
      <c r="C1299" s="2" t="s">
        <v>358</v>
      </c>
      <c r="D1299" s="2" t="s">
        <v>442</v>
      </c>
      <c r="E1299" s="4">
        <v>43.99</v>
      </c>
      <c r="F1299" s="14"/>
      <c r="G1299" s="3">
        <v>0</v>
      </c>
      <c r="H1299" s="6">
        <v>3.8</v>
      </c>
      <c r="I1299" s="3">
        <v>27</v>
      </c>
      <c r="J1299" s="13" t="str">
        <f>HYPERLINK("https://amazon.com/dp/B0FJ5KPPRB","Amazon - B0FJ5KPPRB")</f>
        <v>Amazon - B0FJ5KPPRB</v>
      </c>
      <c r="K1299" s="14" t="s">
        <v>443</v>
      </c>
      <c r="L1299" s="14" t="s">
        <v>461</v>
      </c>
      <c r="M1299" s="14" t="s">
        <v>303</v>
      </c>
      <c r="N1299" s="14" t="s">
        <v>446</v>
      </c>
      <c r="O1299" s="14" t="s">
        <v>608</v>
      </c>
    </row>
    <row r="1300" spans="1:15" ht="45" x14ac:dyDescent="0.2">
      <c r="A1300" s="2" t="s">
        <v>3140</v>
      </c>
      <c r="B1300" s="2" t="s">
        <v>3141</v>
      </c>
      <c r="C1300" s="2" t="s">
        <v>43</v>
      </c>
      <c r="D1300" s="2" t="s">
        <v>472</v>
      </c>
      <c r="E1300" s="4">
        <v>595.99</v>
      </c>
      <c r="F1300" s="14"/>
      <c r="G1300" s="3">
        <v>0</v>
      </c>
      <c r="H1300" s="6">
        <v>3.2</v>
      </c>
      <c r="I1300" s="3">
        <v>4</v>
      </c>
      <c r="J1300" s="13" t="str">
        <f>HYPERLINK("https://amazon.com/dp/B0CMQPQ689","Amazon - B0CMQPQ689")</f>
        <v>Amazon - B0CMQPQ689</v>
      </c>
      <c r="K1300" s="14" t="s">
        <v>443</v>
      </c>
      <c r="L1300" s="14" t="s">
        <v>303</v>
      </c>
      <c r="M1300" s="14" t="s">
        <v>303</v>
      </c>
      <c r="N1300" s="14" t="s">
        <v>446</v>
      </c>
      <c r="O1300" s="14" t="s">
        <v>742</v>
      </c>
    </row>
    <row r="1301" spans="1:15" x14ac:dyDescent="0.2">
      <c r="A1301" s="2" t="s">
        <v>3142</v>
      </c>
      <c r="B1301" s="2" t="s">
        <v>3143</v>
      </c>
      <c r="C1301" s="2" t="s">
        <v>78</v>
      </c>
      <c r="D1301" s="2" t="s">
        <v>442</v>
      </c>
      <c r="E1301" s="4">
        <v>439.99</v>
      </c>
      <c r="F1301" s="14"/>
      <c r="G1301" s="3">
        <v>0</v>
      </c>
      <c r="H1301" s="6">
        <v>4.4000000000000004</v>
      </c>
      <c r="I1301" s="3">
        <v>13</v>
      </c>
      <c r="J1301" s="13" t="str">
        <f>HYPERLINK("https://amazon.com/dp/B01IB26MP0","Amazon - B01IB26MP0")</f>
        <v>Amazon - B01IB26MP0</v>
      </c>
      <c r="K1301" s="14" t="s">
        <v>443</v>
      </c>
      <c r="L1301" s="14" t="s">
        <v>303</v>
      </c>
      <c r="M1301" s="14" t="s">
        <v>303</v>
      </c>
      <c r="N1301" s="14" t="s">
        <v>446</v>
      </c>
      <c r="O1301" s="14" t="s">
        <v>1302</v>
      </c>
    </row>
    <row r="1302" spans="1:15" ht="30" x14ac:dyDescent="0.2">
      <c r="A1302" s="2" t="s">
        <v>3144</v>
      </c>
      <c r="B1302" s="2" t="s">
        <v>3145</v>
      </c>
      <c r="C1302" s="2" t="s">
        <v>51</v>
      </c>
      <c r="D1302" s="2" t="s">
        <v>450</v>
      </c>
      <c r="E1302" s="4">
        <v>199.98</v>
      </c>
      <c r="F1302" s="14"/>
      <c r="G1302" s="3">
        <v>0</v>
      </c>
      <c r="H1302" s="6">
        <v>0</v>
      </c>
      <c r="I1302" s="3">
        <v>0</v>
      </c>
      <c r="J1302" s="13" t="str">
        <f>HYPERLINK("https://amazon.com/dp/B07SJP5RL2","Amazon - B07SJP5RL2")</f>
        <v>Amazon - B07SJP5RL2</v>
      </c>
      <c r="K1302" s="14" t="s">
        <v>443</v>
      </c>
      <c r="L1302" s="14" t="s">
        <v>451</v>
      </c>
      <c r="M1302" s="14" t="s">
        <v>511</v>
      </c>
      <c r="N1302" s="14" t="s">
        <v>446</v>
      </c>
      <c r="O1302" s="14" t="s">
        <v>303</v>
      </c>
    </row>
    <row r="1303" spans="1:15" ht="45" x14ac:dyDescent="0.2">
      <c r="A1303" s="2" t="s">
        <v>3146</v>
      </c>
      <c r="B1303" s="2" t="s">
        <v>3147</v>
      </c>
      <c r="C1303" s="2" t="s">
        <v>15</v>
      </c>
      <c r="D1303" s="2" t="s">
        <v>442</v>
      </c>
      <c r="E1303" s="4">
        <v>299.99</v>
      </c>
      <c r="F1303" s="14"/>
      <c r="G1303" s="3">
        <v>0</v>
      </c>
      <c r="H1303" s="6">
        <v>4.4000000000000004</v>
      </c>
      <c r="I1303" s="3">
        <v>40</v>
      </c>
      <c r="J1303" s="13" t="str">
        <f>HYPERLINK("https://amazon.com/dp/B0CP6P5C3M","Amazon - B0CP6P5C3M")</f>
        <v>Amazon - B0CP6P5C3M</v>
      </c>
      <c r="K1303" s="14" t="s">
        <v>482</v>
      </c>
      <c r="L1303" s="14" t="s">
        <v>461</v>
      </c>
      <c r="M1303" s="14" t="s">
        <v>484</v>
      </c>
      <c r="N1303" s="14" t="s">
        <v>446</v>
      </c>
      <c r="O1303" s="14" t="s">
        <v>543</v>
      </c>
    </row>
    <row r="1304" spans="1:15" ht="30" x14ac:dyDescent="0.2">
      <c r="A1304" s="2" t="s">
        <v>3148</v>
      </c>
      <c r="B1304" s="2" t="s">
        <v>3149</v>
      </c>
      <c r="C1304" s="2" t="s">
        <v>85</v>
      </c>
      <c r="D1304" s="2" t="s">
        <v>442</v>
      </c>
      <c r="E1304" s="4">
        <v>79.989999999999995</v>
      </c>
      <c r="F1304" s="14"/>
      <c r="G1304" s="3">
        <v>0</v>
      </c>
      <c r="H1304" s="6">
        <v>4.5999999999999996</v>
      </c>
      <c r="I1304" s="3">
        <v>21</v>
      </c>
      <c r="J1304" s="13" t="str">
        <f>HYPERLINK("https://amazon.com/dp/B09BTDWTCQ","Amazon - B09BTDWTCQ")</f>
        <v>Amazon - B09BTDWTCQ</v>
      </c>
      <c r="K1304" s="14" t="s">
        <v>443</v>
      </c>
      <c r="L1304" s="14" t="s">
        <v>303</v>
      </c>
      <c r="M1304" s="14" t="s">
        <v>303</v>
      </c>
      <c r="N1304" s="14" t="s">
        <v>446</v>
      </c>
      <c r="O1304" s="14" t="s">
        <v>303</v>
      </c>
    </row>
    <row r="1305" spans="1:15" ht="45" x14ac:dyDescent="0.2">
      <c r="A1305" s="2" t="s">
        <v>3150</v>
      </c>
      <c r="B1305" s="2" t="s">
        <v>3151</v>
      </c>
      <c r="C1305" s="2" t="s">
        <v>43</v>
      </c>
      <c r="D1305" s="2" t="s">
        <v>472</v>
      </c>
      <c r="E1305" s="4">
        <v>593.75</v>
      </c>
      <c r="F1305" s="14"/>
      <c r="G1305" s="3">
        <v>0</v>
      </c>
      <c r="H1305" s="6">
        <v>3.2</v>
      </c>
      <c r="I1305" s="3">
        <v>4</v>
      </c>
      <c r="J1305" s="13" t="str">
        <f>HYPERLINK("https://amazon.com/dp/B0CMQPY3PZ","Amazon - B0CMQPY3PZ")</f>
        <v>Amazon - B0CMQPY3PZ</v>
      </c>
      <c r="K1305" s="14" t="s">
        <v>443</v>
      </c>
      <c r="L1305" s="14" t="s">
        <v>303</v>
      </c>
      <c r="M1305" s="14" t="s">
        <v>303</v>
      </c>
      <c r="N1305" s="14" t="s">
        <v>446</v>
      </c>
      <c r="O1305" s="14" t="s">
        <v>570</v>
      </c>
    </row>
    <row r="1306" spans="1:15" ht="45" x14ac:dyDescent="0.2">
      <c r="A1306" s="2" t="s">
        <v>3152</v>
      </c>
      <c r="B1306" s="2" t="s">
        <v>3153</v>
      </c>
      <c r="C1306" s="2" t="s">
        <v>43</v>
      </c>
      <c r="D1306" s="2" t="s">
        <v>472</v>
      </c>
      <c r="E1306" s="4">
        <v>628.99</v>
      </c>
      <c r="F1306" s="14"/>
      <c r="G1306" s="3">
        <v>0</v>
      </c>
      <c r="H1306" s="6">
        <v>3.2</v>
      </c>
      <c r="I1306" s="3">
        <v>4</v>
      </c>
      <c r="J1306" s="13" t="str">
        <f>HYPERLINK("https://amazon.com/dp/B0CMQQS51B","Amazon - B0CMQQS51B")</f>
        <v>Amazon - B0CMQQS51B</v>
      </c>
      <c r="K1306" s="14" t="s">
        <v>443</v>
      </c>
      <c r="L1306" s="14" t="s">
        <v>303</v>
      </c>
      <c r="M1306" s="14" t="s">
        <v>303</v>
      </c>
      <c r="N1306" s="14" t="s">
        <v>446</v>
      </c>
      <c r="O1306" s="14" t="s">
        <v>517</v>
      </c>
    </row>
    <row r="1307" spans="1:15" ht="30" x14ac:dyDescent="0.2">
      <c r="A1307" s="2" t="s">
        <v>3154</v>
      </c>
      <c r="B1307" s="2" t="s">
        <v>3155</v>
      </c>
      <c r="C1307" s="2" t="s">
        <v>151</v>
      </c>
      <c r="D1307" s="2" t="s">
        <v>450</v>
      </c>
      <c r="E1307" s="4">
        <v>9.99</v>
      </c>
      <c r="F1307" s="14"/>
      <c r="G1307" s="3">
        <v>0</v>
      </c>
      <c r="H1307" s="6">
        <v>3</v>
      </c>
      <c r="I1307" s="3">
        <v>1</v>
      </c>
      <c r="J1307" s="13" t="str">
        <f>HYPERLINK("https://amazon.com/dp/B0BBWBT9Y3","Amazon - B0BBWBT9Y3")</f>
        <v>Amazon - B0BBWBT9Y3</v>
      </c>
      <c r="K1307" s="14" t="s">
        <v>443</v>
      </c>
      <c r="L1307" s="14" t="s">
        <v>303</v>
      </c>
      <c r="M1307" s="14" t="s">
        <v>565</v>
      </c>
      <c r="N1307" s="14" t="s">
        <v>446</v>
      </c>
      <c r="O1307" s="14" t="s">
        <v>303</v>
      </c>
    </row>
    <row r="1308" spans="1:15" ht="30" x14ac:dyDescent="0.2">
      <c r="A1308" s="2" t="s">
        <v>3156</v>
      </c>
      <c r="B1308" s="2" t="s">
        <v>3157</v>
      </c>
      <c r="C1308" s="2" t="s">
        <v>124</v>
      </c>
      <c r="D1308" s="2" t="s">
        <v>442</v>
      </c>
      <c r="E1308" s="4">
        <v>180</v>
      </c>
      <c r="F1308" s="14"/>
      <c r="G1308" s="3">
        <v>0</v>
      </c>
      <c r="H1308" s="6">
        <v>0</v>
      </c>
      <c r="I1308" s="3">
        <v>0</v>
      </c>
      <c r="J1308" s="13" t="str">
        <f>HYPERLINK("https://amazon.com/dp/B0CY9FLRDV","Amazon - B0CY9FLRDV")</f>
        <v>Amazon - B0CY9FLRDV</v>
      </c>
      <c r="K1308" s="14" t="s">
        <v>443</v>
      </c>
      <c r="L1308" s="14" t="s">
        <v>303</v>
      </c>
      <c r="M1308" s="14" t="s">
        <v>303</v>
      </c>
      <c r="N1308" s="14" t="s">
        <v>446</v>
      </c>
      <c r="O1308" s="14" t="s">
        <v>917</v>
      </c>
    </row>
    <row r="1309" spans="1:15" x14ac:dyDescent="0.2">
      <c r="A1309" s="2" t="s">
        <v>3158</v>
      </c>
      <c r="B1309" s="2" t="s">
        <v>3159</v>
      </c>
      <c r="C1309" s="2" t="s">
        <v>178</v>
      </c>
      <c r="D1309" s="2" t="s">
        <v>442</v>
      </c>
      <c r="E1309" s="4">
        <v>89.97</v>
      </c>
      <c r="F1309" s="14"/>
      <c r="G1309" s="3">
        <v>0</v>
      </c>
      <c r="H1309" s="6">
        <v>3.8</v>
      </c>
      <c r="I1309" s="3">
        <v>13</v>
      </c>
      <c r="J1309" s="13" t="str">
        <f>HYPERLINK("https://amazon.com/dp/B00PWKZCHE","Amazon - B00PWKZCHE")</f>
        <v>Amazon - B00PWKZCHE</v>
      </c>
      <c r="K1309" s="14" t="s">
        <v>443</v>
      </c>
      <c r="L1309" s="14" t="s">
        <v>303</v>
      </c>
      <c r="M1309" s="14" t="s">
        <v>303</v>
      </c>
      <c r="N1309" s="14" t="s">
        <v>446</v>
      </c>
      <c r="O1309" s="14" t="s">
        <v>303</v>
      </c>
    </row>
    <row r="1310" spans="1:15" ht="30" x14ac:dyDescent="0.2">
      <c r="A1310" s="2" t="s">
        <v>3160</v>
      </c>
      <c r="B1310" s="2" t="s">
        <v>3161</v>
      </c>
      <c r="C1310" s="2" t="s">
        <v>151</v>
      </c>
      <c r="D1310" s="2" t="s">
        <v>450</v>
      </c>
      <c r="E1310" s="4">
        <v>9.99</v>
      </c>
      <c r="F1310" s="14"/>
      <c r="G1310" s="3">
        <v>0</v>
      </c>
      <c r="H1310" s="6">
        <v>3</v>
      </c>
      <c r="I1310" s="3">
        <v>1</v>
      </c>
      <c r="J1310" s="13" t="str">
        <f>HYPERLINK("https://amazon.com/dp/B0BBW9DBL7","Amazon - B0BBW9DBL7")</f>
        <v>Amazon - B0BBW9DBL7</v>
      </c>
      <c r="K1310" s="14" t="s">
        <v>443</v>
      </c>
      <c r="L1310" s="14" t="s">
        <v>303</v>
      </c>
      <c r="M1310" s="14" t="s">
        <v>565</v>
      </c>
      <c r="N1310" s="14" t="s">
        <v>446</v>
      </c>
      <c r="O1310" s="14" t="s">
        <v>303</v>
      </c>
    </row>
    <row r="1311" spans="1:15" ht="30" x14ac:dyDescent="0.2">
      <c r="A1311" s="2" t="s">
        <v>3162</v>
      </c>
      <c r="B1311" s="2" t="s">
        <v>3163</v>
      </c>
      <c r="C1311" s="2" t="s">
        <v>151</v>
      </c>
      <c r="D1311" s="2" t="s">
        <v>450</v>
      </c>
      <c r="E1311" s="4">
        <v>11.86</v>
      </c>
      <c r="F1311" s="14"/>
      <c r="G1311" s="3">
        <v>0</v>
      </c>
      <c r="H1311" s="6">
        <v>3</v>
      </c>
      <c r="I1311" s="3">
        <v>1</v>
      </c>
      <c r="J1311" s="13" t="str">
        <f>HYPERLINK("https://amazon.com/dp/B0BBWC74DX","Amazon - B0BBWC74DX")</f>
        <v>Amazon - B0BBWC74DX</v>
      </c>
      <c r="K1311" s="14" t="s">
        <v>443</v>
      </c>
      <c r="L1311" s="14" t="s">
        <v>303</v>
      </c>
      <c r="M1311" s="14" t="s">
        <v>565</v>
      </c>
      <c r="N1311" s="14" t="s">
        <v>446</v>
      </c>
      <c r="O1311" s="14" t="s">
        <v>578</v>
      </c>
    </row>
    <row r="1312" spans="1:15" ht="30" x14ac:dyDescent="0.2">
      <c r="A1312" s="2" t="s">
        <v>3164</v>
      </c>
      <c r="B1312" s="2" t="s">
        <v>3165</v>
      </c>
      <c r="C1312" s="2" t="s">
        <v>51</v>
      </c>
      <c r="D1312" s="2" t="s">
        <v>450</v>
      </c>
      <c r="E1312" s="4">
        <v>399.95</v>
      </c>
      <c r="F1312" s="14"/>
      <c r="G1312" s="3">
        <v>0</v>
      </c>
      <c r="H1312" s="6">
        <v>4.2</v>
      </c>
      <c r="I1312" s="3">
        <v>28</v>
      </c>
      <c r="J1312" s="13" t="str">
        <f>HYPERLINK("https://amazon.com/dp/B005NHJIDU","Amazon - B005NHJIDU")</f>
        <v>Amazon - B005NHJIDU</v>
      </c>
      <c r="K1312" s="14" t="s">
        <v>443</v>
      </c>
      <c r="L1312" s="14" t="s">
        <v>461</v>
      </c>
      <c r="M1312" s="14" t="s">
        <v>457</v>
      </c>
      <c r="N1312" s="14" t="s">
        <v>446</v>
      </c>
      <c r="O1312" s="14" t="s">
        <v>447</v>
      </c>
    </row>
    <row r="1313" spans="1:15" ht="30" x14ac:dyDescent="0.2">
      <c r="A1313" s="2" t="s">
        <v>3166</v>
      </c>
      <c r="B1313" s="2" t="s">
        <v>3167</v>
      </c>
      <c r="C1313" s="2" t="s">
        <v>29</v>
      </c>
      <c r="D1313" s="2" t="s">
        <v>472</v>
      </c>
      <c r="E1313" s="4">
        <v>699.99</v>
      </c>
      <c r="F1313" s="14"/>
      <c r="G1313" s="3">
        <v>0</v>
      </c>
      <c r="H1313" s="6">
        <v>3.1</v>
      </c>
      <c r="I1313" s="3">
        <v>3</v>
      </c>
      <c r="J1313" s="13" t="str">
        <f>HYPERLINK("https://amazon.com/dp/B0DRFWK9SD","Amazon - B0DRFWK9SD")</f>
        <v>Amazon - B0DRFWK9SD</v>
      </c>
      <c r="K1313" s="14" t="s">
        <v>443</v>
      </c>
      <c r="L1313" s="14" t="s">
        <v>502</v>
      </c>
      <c r="M1313" s="14" t="s">
        <v>303</v>
      </c>
      <c r="N1313" s="14" t="s">
        <v>446</v>
      </c>
      <c r="O1313" s="14" t="s">
        <v>718</v>
      </c>
    </row>
    <row r="1314" spans="1:15" ht="45" x14ac:dyDescent="0.2">
      <c r="A1314" s="2" t="s">
        <v>3168</v>
      </c>
      <c r="B1314" s="2" t="s">
        <v>3169</v>
      </c>
      <c r="C1314" s="2" t="s">
        <v>358</v>
      </c>
      <c r="D1314" s="2" t="s">
        <v>442</v>
      </c>
      <c r="E1314" s="4">
        <v>28.99</v>
      </c>
      <c r="F1314" s="14"/>
      <c r="G1314" s="3">
        <v>0</v>
      </c>
      <c r="H1314" s="6">
        <v>4.8</v>
      </c>
      <c r="I1314" s="3">
        <v>7</v>
      </c>
      <c r="J1314" s="13" t="str">
        <f>HYPERLINK("https://amazon.com/dp/B0FNN4ZG8D","Amazon - B0FNN4ZG8D")</f>
        <v>Amazon - B0FNN4ZG8D</v>
      </c>
      <c r="K1314" s="14" t="s">
        <v>443</v>
      </c>
      <c r="L1314" s="14" t="s">
        <v>456</v>
      </c>
      <c r="M1314" s="14" t="s">
        <v>445</v>
      </c>
      <c r="N1314" s="14" t="s">
        <v>446</v>
      </c>
      <c r="O1314" s="14" t="s">
        <v>578</v>
      </c>
    </row>
    <row r="1315" spans="1:15" ht="30" x14ac:dyDescent="0.2">
      <c r="A1315" s="2" t="s">
        <v>3170</v>
      </c>
      <c r="B1315" s="2" t="s">
        <v>3171</v>
      </c>
      <c r="C1315" s="2" t="s">
        <v>122</v>
      </c>
      <c r="D1315" s="2" t="s">
        <v>442</v>
      </c>
      <c r="E1315" s="4">
        <v>22.23</v>
      </c>
      <c r="F1315" s="14"/>
      <c r="G1315" s="3">
        <v>0</v>
      </c>
      <c r="H1315" s="6">
        <v>0</v>
      </c>
      <c r="I1315" s="3">
        <v>0</v>
      </c>
      <c r="J1315" s="13" t="str">
        <f>HYPERLINK("https://amazon.com/dp/B0CMXZG7T4","Amazon - B0CMXZG7T4")</f>
        <v>Amazon - B0CMXZG7T4</v>
      </c>
      <c r="K1315" s="14" t="s">
        <v>443</v>
      </c>
      <c r="L1315" s="14" t="s">
        <v>1725</v>
      </c>
      <c r="M1315" s="14" t="s">
        <v>511</v>
      </c>
      <c r="N1315" s="14" t="s">
        <v>446</v>
      </c>
      <c r="O1315" s="14" t="s">
        <v>453</v>
      </c>
    </row>
    <row r="1316" spans="1:15" ht="45" x14ac:dyDescent="0.2">
      <c r="A1316" s="2" t="s">
        <v>3172</v>
      </c>
      <c r="B1316" s="2" t="s">
        <v>3173</v>
      </c>
      <c r="C1316" s="2" t="s">
        <v>421</v>
      </c>
      <c r="D1316" s="2" t="s">
        <v>823</v>
      </c>
      <c r="E1316" s="4">
        <v>33.72</v>
      </c>
      <c r="F1316" s="14"/>
      <c r="G1316" s="3">
        <v>0</v>
      </c>
      <c r="H1316" s="6">
        <v>5</v>
      </c>
      <c r="I1316" s="3">
        <v>2</v>
      </c>
      <c r="J1316" s="13" t="str">
        <f>HYPERLINK("https://amazon.com/dp/B07KXMR5D8","Amazon - B07KXMR5D8")</f>
        <v>Amazon - B07KXMR5D8</v>
      </c>
      <c r="K1316" s="14" t="s">
        <v>443</v>
      </c>
      <c r="L1316" s="14" t="s">
        <v>451</v>
      </c>
      <c r="M1316" s="14" t="s">
        <v>303</v>
      </c>
      <c r="N1316" s="14" t="s">
        <v>446</v>
      </c>
      <c r="O1316" s="14" t="s">
        <v>578</v>
      </c>
    </row>
    <row r="1317" spans="1:15" ht="45" x14ac:dyDescent="0.2">
      <c r="A1317" s="2" t="s">
        <v>3174</v>
      </c>
      <c r="B1317" s="2" t="s">
        <v>3175</v>
      </c>
      <c r="C1317" s="2" t="s">
        <v>189</v>
      </c>
      <c r="D1317" s="2" t="s">
        <v>472</v>
      </c>
      <c r="E1317" s="4">
        <v>24.99</v>
      </c>
      <c r="F1317" s="14"/>
      <c r="G1317" s="3">
        <v>0</v>
      </c>
      <c r="H1317" s="6">
        <v>3.8</v>
      </c>
      <c r="I1317" s="3">
        <v>2</v>
      </c>
      <c r="J1317" s="13" t="str">
        <f>HYPERLINK("https://amazon.com/dp/B0FJWX92XL","Amazon - B0FJWX92XL")</f>
        <v>Amazon - B0FJWX92XL</v>
      </c>
      <c r="K1317" s="14" t="s">
        <v>443</v>
      </c>
      <c r="L1317" s="14" t="s">
        <v>456</v>
      </c>
      <c r="M1317" s="14" t="s">
        <v>303</v>
      </c>
      <c r="N1317" s="14" t="s">
        <v>446</v>
      </c>
      <c r="O1317" s="14" t="s">
        <v>303</v>
      </c>
    </row>
    <row r="1318" spans="1:15" ht="30" x14ac:dyDescent="0.2">
      <c r="A1318" s="2" t="s">
        <v>3176</v>
      </c>
      <c r="B1318" s="2" t="s">
        <v>3177</v>
      </c>
      <c r="C1318" s="2" t="s">
        <v>14</v>
      </c>
      <c r="D1318" s="2" t="s">
        <v>472</v>
      </c>
      <c r="E1318" s="4">
        <v>239.99</v>
      </c>
      <c r="F1318" s="14"/>
      <c r="G1318" s="3">
        <v>0</v>
      </c>
      <c r="H1318" s="6">
        <v>4.7</v>
      </c>
      <c r="I1318" s="3">
        <v>6</v>
      </c>
      <c r="J1318" s="13" t="str">
        <f>HYPERLINK("https://amazon.com/dp/B0B2RMQCJ8","Amazon - B0B2RMQCJ8")</f>
        <v>Amazon - B0B2RMQCJ8</v>
      </c>
      <c r="K1318" s="14" t="s">
        <v>443</v>
      </c>
      <c r="L1318" s="14" t="s">
        <v>303</v>
      </c>
      <c r="M1318" s="14" t="s">
        <v>303</v>
      </c>
      <c r="N1318" s="14" t="s">
        <v>446</v>
      </c>
      <c r="O1318" s="14" t="s">
        <v>517</v>
      </c>
    </row>
    <row r="1319" spans="1:15" ht="45" x14ac:dyDescent="0.2">
      <c r="A1319" s="2" t="s">
        <v>3178</v>
      </c>
      <c r="B1319" s="2" t="s">
        <v>3179</v>
      </c>
      <c r="C1319" s="2" t="s">
        <v>13</v>
      </c>
      <c r="D1319" s="2" t="s">
        <v>472</v>
      </c>
      <c r="E1319" s="4">
        <v>999.99</v>
      </c>
      <c r="F1319" s="14"/>
      <c r="G1319" s="3">
        <v>0</v>
      </c>
      <c r="H1319" s="6">
        <v>3.5</v>
      </c>
      <c r="I1319" s="3">
        <v>2</v>
      </c>
      <c r="J1319" s="13" t="str">
        <f>HYPERLINK("https://amazon.com/dp/B0CNLJZ1VK","Amazon - B0CNLJZ1VK")</f>
        <v>Amazon - B0CNLJZ1VK</v>
      </c>
      <c r="K1319" s="14" t="s">
        <v>443</v>
      </c>
      <c r="L1319" s="14" t="s">
        <v>564</v>
      </c>
      <c r="M1319" s="14" t="s">
        <v>565</v>
      </c>
      <c r="N1319" s="14" t="s">
        <v>446</v>
      </c>
      <c r="O1319" s="14" t="s">
        <v>3180</v>
      </c>
    </row>
    <row r="1320" spans="1:15" ht="45" x14ac:dyDescent="0.2">
      <c r="A1320" s="2" t="s">
        <v>3181</v>
      </c>
      <c r="B1320" s="2" t="s">
        <v>3182</v>
      </c>
      <c r="C1320" s="2" t="s">
        <v>358</v>
      </c>
      <c r="D1320" s="2" t="s">
        <v>442</v>
      </c>
      <c r="E1320" s="4">
        <v>32.99</v>
      </c>
      <c r="F1320" s="14"/>
      <c r="G1320" s="3">
        <v>0</v>
      </c>
      <c r="H1320" s="6">
        <v>4.8</v>
      </c>
      <c r="I1320" s="3">
        <v>7</v>
      </c>
      <c r="J1320" s="13" t="str">
        <f>HYPERLINK("https://amazon.com/dp/B0FNN3VSSR","Amazon - B0FNN3VSSR")</f>
        <v>Amazon - B0FNN3VSSR</v>
      </c>
      <c r="K1320" s="14" t="s">
        <v>443</v>
      </c>
      <c r="L1320" s="14" t="s">
        <v>456</v>
      </c>
      <c r="M1320" s="14" t="s">
        <v>445</v>
      </c>
      <c r="N1320" s="14" t="s">
        <v>446</v>
      </c>
      <c r="O1320" s="14" t="s">
        <v>453</v>
      </c>
    </row>
    <row r="1321" spans="1:15" ht="30" x14ac:dyDescent="0.2">
      <c r="A1321" s="2" t="s">
        <v>3183</v>
      </c>
      <c r="B1321" s="2" t="s">
        <v>3184</v>
      </c>
      <c r="C1321" s="2" t="s">
        <v>14</v>
      </c>
      <c r="D1321" s="2" t="s">
        <v>472</v>
      </c>
      <c r="E1321" s="4">
        <v>289.99</v>
      </c>
      <c r="F1321" s="14"/>
      <c r="G1321" s="3">
        <v>0</v>
      </c>
      <c r="H1321" s="6">
        <v>4.7</v>
      </c>
      <c r="I1321" s="3">
        <v>6</v>
      </c>
      <c r="J1321" s="13" t="str">
        <f>HYPERLINK("https://amazon.com/dp/B0B2RK7SQB","Amazon - B0B2RK7SQB")</f>
        <v>Amazon - B0B2RK7SQB</v>
      </c>
      <c r="K1321" s="14" t="s">
        <v>443</v>
      </c>
      <c r="L1321" s="14" t="s">
        <v>303</v>
      </c>
      <c r="M1321" s="14" t="s">
        <v>303</v>
      </c>
      <c r="N1321" s="14" t="s">
        <v>446</v>
      </c>
      <c r="O1321" s="14" t="s">
        <v>570</v>
      </c>
    </row>
    <row r="1322" spans="1:15" ht="45" x14ac:dyDescent="0.2">
      <c r="A1322" s="2" t="s">
        <v>3185</v>
      </c>
      <c r="B1322" s="2" t="s">
        <v>3186</v>
      </c>
      <c r="C1322" s="2" t="s">
        <v>43</v>
      </c>
      <c r="D1322" s="2" t="s">
        <v>472</v>
      </c>
      <c r="E1322" s="4">
        <v>509.19</v>
      </c>
      <c r="F1322" s="14"/>
      <c r="G1322" s="3">
        <v>0</v>
      </c>
      <c r="H1322" s="6">
        <v>3.6</v>
      </c>
      <c r="I1322" s="3">
        <v>12</v>
      </c>
      <c r="J1322" s="13" t="str">
        <f>HYPERLINK("https://amazon.com/dp/B0CDPWZBMM","Amazon - B0CDPWZBMM")</f>
        <v>Amazon - B0CDPWZBMM</v>
      </c>
      <c r="K1322" s="14" t="s">
        <v>443</v>
      </c>
      <c r="L1322" s="14" t="s">
        <v>461</v>
      </c>
      <c r="M1322" s="14" t="s">
        <v>715</v>
      </c>
      <c r="N1322" s="14" t="s">
        <v>446</v>
      </c>
      <c r="O1322" s="14" t="s">
        <v>570</v>
      </c>
    </row>
    <row r="1323" spans="1:15" ht="45" x14ac:dyDescent="0.2">
      <c r="A1323" s="2" t="s">
        <v>3187</v>
      </c>
      <c r="B1323" s="2" t="s">
        <v>3188</v>
      </c>
      <c r="C1323" s="2" t="s">
        <v>43</v>
      </c>
      <c r="D1323" s="2" t="s">
        <v>472</v>
      </c>
      <c r="E1323" s="4">
        <v>499.99</v>
      </c>
      <c r="F1323" s="14"/>
      <c r="G1323" s="3">
        <v>0</v>
      </c>
      <c r="H1323" s="6">
        <v>3.6</v>
      </c>
      <c r="I1323" s="3">
        <v>12</v>
      </c>
      <c r="J1323" s="13" t="str">
        <f>HYPERLINK("https://amazon.com/dp/B0CDPWXHHL","Amazon - B0CDPWXHHL")</f>
        <v>Amazon - B0CDPWXHHL</v>
      </c>
      <c r="K1323" s="14" t="s">
        <v>443</v>
      </c>
      <c r="L1323" s="14" t="s">
        <v>461</v>
      </c>
      <c r="M1323" s="14" t="s">
        <v>715</v>
      </c>
      <c r="N1323" s="14" t="s">
        <v>446</v>
      </c>
      <c r="O1323" s="14" t="s">
        <v>742</v>
      </c>
    </row>
    <row r="1324" spans="1:15" ht="45" x14ac:dyDescent="0.2">
      <c r="A1324" s="2" t="s">
        <v>3189</v>
      </c>
      <c r="B1324" s="2" t="s">
        <v>3190</v>
      </c>
      <c r="C1324" s="2" t="s">
        <v>43</v>
      </c>
      <c r="D1324" s="2" t="s">
        <v>472</v>
      </c>
      <c r="E1324" s="4">
        <v>469.99</v>
      </c>
      <c r="F1324" s="14"/>
      <c r="G1324" s="3">
        <v>0</v>
      </c>
      <c r="H1324" s="6">
        <v>3.6</v>
      </c>
      <c r="I1324" s="3">
        <v>12</v>
      </c>
      <c r="J1324" s="13" t="str">
        <f>HYPERLINK("https://amazon.com/dp/B0CDPVPP3S","Amazon - B0CDPVPP3S")</f>
        <v>Amazon - B0CDPVPP3S</v>
      </c>
      <c r="K1324" s="14" t="s">
        <v>443</v>
      </c>
      <c r="L1324" s="14" t="s">
        <v>461</v>
      </c>
      <c r="M1324" s="14" t="s">
        <v>715</v>
      </c>
      <c r="N1324" s="14" t="s">
        <v>446</v>
      </c>
      <c r="O1324" s="14" t="s">
        <v>527</v>
      </c>
    </row>
    <row r="1325" spans="1:15" ht="30" x14ac:dyDescent="0.2">
      <c r="A1325" s="2" t="s">
        <v>3191</v>
      </c>
      <c r="B1325" s="2" t="s">
        <v>3192</v>
      </c>
      <c r="C1325" s="2" t="s">
        <v>351</v>
      </c>
      <c r="D1325" s="2" t="s">
        <v>442</v>
      </c>
      <c r="E1325" s="4">
        <v>130.99</v>
      </c>
      <c r="F1325" s="14"/>
      <c r="G1325" s="3">
        <v>0</v>
      </c>
      <c r="H1325" s="6">
        <v>2.9</v>
      </c>
      <c r="I1325" s="3">
        <v>2</v>
      </c>
      <c r="J1325" s="13" t="str">
        <f>HYPERLINK("https://amazon.com/dp/B0C8GQGDRP","Amazon - B0C8GQGDRP")</f>
        <v>Amazon - B0C8GQGDRP</v>
      </c>
      <c r="K1325" s="14" t="s">
        <v>443</v>
      </c>
      <c r="L1325" s="14" t="s">
        <v>303</v>
      </c>
      <c r="M1325" s="14" t="s">
        <v>503</v>
      </c>
      <c r="N1325" s="14" t="s">
        <v>446</v>
      </c>
      <c r="O1325" s="14" t="s">
        <v>303</v>
      </c>
    </row>
    <row r="1326" spans="1:15" ht="45" x14ac:dyDescent="0.2">
      <c r="A1326" s="2" t="s">
        <v>3193</v>
      </c>
      <c r="B1326" s="2" t="s">
        <v>3194</v>
      </c>
      <c r="C1326" s="2" t="s">
        <v>62</v>
      </c>
      <c r="D1326" s="2" t="s">
        <v>442</v>
      </c>
      <c r="E1326" s="4">
        <v>59.99</v>
      </c>
      <c r="F1326" s="14"/>
      <c r="G1326" s="3">
        <v>0</v>
      </c>
      <c r="H1326" s="6">
        <v>3</v>
      </c>
      <c r="I1326" s="3">
        <v>2</v>
      </c>
      <c r="J1326" s="13" t="str">
        <f>HYPERLINK("https://amazon.com/dp/B0BD4N11HJ","Amazon - B0BD4N11HJ")</f>
        <v>Amazon - B0BD4N11HJ</v>
      </c>
      <c r="K1326" s="14" t="s">
        <v>443</v>
      </c>
      <c r="L1326" s="14" t="s">
        <v>303</v>
      </c>
      <c r="M1326" s="14" t="s">
        <v>462</v>
      </c>
      <c r="N1326" s="14" t="s">
        <v>446</v>
      </c>
      <c r="O1326" s="14" t="s">
        <v>303</v>
      </c>
    </row>
    <row r="1327" spans="1:15" ht="30" x14ac:dyDescent="0.2">
      <c r="A1327" s="2" t="s">
        <v>3195</v>
      </c>
      <c r="B1327" s="2" t="s">
        <v>3196</v>
      </c>
      <c r="C1327" s="2" t="s">
        <v>360</v>
      </c>
      <c r="D1327" s="2" t="s">
        <v>442</v>
      </c>
      <c r="E1327" s="4">
        <v>44.06</v>
      </c>
      <c r="F1327" s="14"/>
      <c r="G1327" s="3">
        <v>0</v>
      </c>
      <c r="H1327" s="6">
        <v>4.3</v>
      </c>
      <c r="I1327" s="3">
        <v>3</v>
      </c>
      <c r="J1327" s="13" t="str">
        <f>HYPERLINK("https://amazon.com/dp/B0CSZ4CFDR","Amazon - B0CSZ4CFDR")</f>
        <v>Amazon - B0CSZ4CFDR</v>
      </c>
      <c r="K1327" s="14" t="s">
        <v>443</v>
      </c>
      <c r="L1327" s="14" t="s">
        <v>461</v>
      </c>
      <c r="M1327" s="14" t="s">
        <v>303</v>
      </c>
      <c r="N1327" s="14" t="s">
        <v>446</v>
      </c>
      <c r="O1327" s="14" t="s">
        <v>458</v>
      </c>
    </row>
    <row r="1328" spans="1:15" ht="45" x14ac:dyDescent="0.2">
      <c r="A1328" s="2" t="s">
        <v>3197</v>
      </c>
      <c r="B1328" s="2" t="s">
        <v>3198</v>
      </c>
      <c r="C1328" s="2" t="s">
        <v>50</v>
      </c>
      <c r="D1328" s="2" t="s">
        <v>472</v>
      </c>
      <c r="E1328" s="4">
        <v>599.99</v>
      </c>
      <c r="F1328" s="14"/>
      <c r="G1328" s="3">
        <v>0</v>
      </c>
      <c r="H1328" s="6">
        <v>0</v>
      </c>
      <c r="I1328" s="3">
        <v>0</v>
      </c>
      <c r="J1328" s="13" t="str">
        <f>HYPERLINK("https://amazon.com/dp/B0GCKPNWTJ","Amazon - B0GCKPNWTJ")</f>
        <v>Amazon - B0GCKPNWTJ</v>
      </c>
      <c r="K1328" s="14" t="s">
        <v>443</v>
      </c>
      <c r="L1328" s="14" t="s">
        <v>502</v>
      </c>
      <c r="M1328" s="14" t="s">
        <v>565</v>
      </c>
      <c r="N1328" s="14" t="s">
        <v>446</v>
      </c>
      <c r="O1328" s="14" t="s">
        <v>1199</v>
      </c>
    </row>
    <row r="1329" spans="1:15" ht="30" x14ac:dyDescent="0.2">
      <c r="A1329" s="2" t="s">
        <v>3199</v>
      </c>
      <c r="B1329" s="2" t="s">
        <v>3200</v>
      </c>
      <c r="C1329" s="2" t="s">
        <v>298</v>
      </c>
      <c r="D1329" s="2" t="s">
        <v>450</v>
      </c>
      <c r="E1329" s="4">
        <v>19.75</v>
      </c>
      <c r="F1329" s="14"/>
      <c r="G1329" s="3">
        <v>0</v>
      </c>
      <c r="H1329" s="6">
        <v>0</v>
      </c>
      <c r="I1329" s="3">
        <v>0</v>
      </c>
      <c r="J1329" s="13" t="str">
        <f>HYPERLINK("https://amazon.com/dp/B0C2CBFQNB","Amazon - B0C2CBFQNB")</f>
        <v>Amazon - B0C2CBFQNB</v>
      </c>
      <c r="K1329" s="14" t="s">
        <v>443</v>
      </c>
      <c r="L1329" s="14" t="s">
        <v>451</v>
      </c>
      <c r="M1329" s="14" t="s">
        <v>303</v>
      </c>
      <c r="N1329" s="14" t="s">
        <v>446</v>
      </c>
      <c r="O1329" s="14" t="s">
        <v>453</v>
      </c>
    </row>
    <row r="1330" spans="1:15" ht="30" x14ac:dyDescent="0.2">
      <c r="A1330" s="2" t="s">
        <v>3201</v>
      </c>
      <c r="B1330" s="2" t="s">
        <v>3202</v>
      </c>
      <c r="C1330" s="2" t="s">
        <v>298</v>
      </c>
      <c r="D1330" s="2" t="s">
        <v>472</v>
      </c>
      <c r="E1330" s="4">
        <v>119.88</v>
      </c>
      <c r="F1330" s="14"/>
      <c r="G1330" s="3">
        <v>0</v>
      </c>
      <c r="H1330" s="6">
        <v>5</v>
      </c>
      <c r="I1330" s="3">
        <v>1</v>
      </c>
      <c r="J1330" s="13" t="str">
        <f>HYPERLINK("https://amazon.com/dp/B0CXDVPQMX","Amazon - B0CXDVPQMX")</f>
        <v>Amazon - B0CXDVPQMX</v>
      </c>
      <c r="K1330" s="14" t="s">
        <v>443</v>
      </c>
      <c r="L1330" s="14" t="s">
        <v>303</v>
      </c>
      <c r="M1330" s="14" t="s">
        <v>688</v>
      </c>
      <c r="N1330" s="14" t="s">
        <v>446</v>
      </c>
      <c r="O1330" s="14" t="s">
        <v>303</v>
      </c>
    </row>
    <row r="1331" spans="1:15" ht="30" x14ac:dyDescent="0.2">
      <c r="A1331" s="2" t="s">
        <v>3203</v>
      </c>
      <c r="B1331" s="2" t="s">
        <v>3204</v>
      </c>
      <c r="C1331" s="2" t="s">
        <v>326</v>
      </c>
      <c r="D1331" s="2" t="s">
        <v>823</v>
      </c>
      <c r="E1331" s="4">
        <v>18.88</v>
      </c>
      <c r="F1331" s="14"/>
      <c r="G1331" s="3">
        <v>0</v>
      </c>
      <c r="H1331" s="6">
        <v>3.8</v>
      </c>
      <c r="I1331" s="3">
        <v>17</v>
      </c>
      <c r="J1331" s="13" t="str">
        <f>HYPERLINK("https://amazon.com/dp/B07BSW3WFN","Amazon - B07BSW3WFN")</f>
        <v>Amazon - B07BSW3WFN</v>
      </c>
      <c r="K1331" s="14" t="s">
        <v>443</v>
      </c>
      <c r="L1331" s="14" t="s">
        <v>451</v>
      </c>
      <c r="M1331" s="14" t="s">
        <v>303</v>
      </c>
      <c r="N1331" s="14" t="s">
        <v>446</v>
      </c>
      <c r="O1331" s="14" t="s">
        <v>303</v>
      </c>
    </row>
    <row r="1332" spans="1:15" ht="30" x14ac:dyDescent="0.2">
      <c r="A1332" s="2" t="s">
        <v>3205</v>
      </c>
      <c r="B1332" s="2" t="s">
        <v>3206</v>
      </c>
      <c r="C1332" s="2" t="s">
        <v>298</v>
      </c>
      <c r="D1332" s="2" t="s">
        <v>442</v>
      </c>
      <c r="E1332" s="4">
        <v>48.84</v>
      </c>
      <c r="F1332" s="14"/>
      <c r="G1332" s="3">
        <v>0</v>
      </c>
      <c r="H1332" s="6">
        <v>4.5</v>
      </c>
      <c r="I1332" s="3">
        <v>5</v>
      </c>
      <c r="J1332" s="13" t="str">
        <f>HYPERLINK("https://amazon.com/dp/B08HD8W26Y","Amazon - B08HD8W26Y")</f>
        <v>Amazon - B08HD8W26Y</v>
      </c>
      <c r="K1332" s="14" t="s">
        <v>443</v>
      </c>
      <c r="L1332" s="14" t="s">
        <v>456</v>
      </c>
      <c r="M1332" s="14" t="s">
        <v>445</v>
      </c>
      <c r="N1332" s="14" t="s">
        <v>446</v>
      </c>
      <c r="O1332" s="14" t="s">
        <v>303</v>
      </c>
    </row>
    <row r="1333" spans="1:15" x14ac:dyDescent="0.2">
      <c r="A1333" s="2" t="s">
        <v>3207</v>
      </c>
      <c r="B1333" s="2" t="s">
        <v>3208</v>
      </c>
      <c r="C1333" s="2" t="s">
        <v>305</v>
      </c>
      <c r="D1333" s="2" t="s">
        <v>442</v>
      </c>
      <c r="E1333" s="4">
        <v>618.82000000000005</v>
      </c>
      <c r="F1333" s="14"/>
      <c r="G1333" s="3">
        <v>0</v>
      </c>
      <c r="H1333" s="6">
        <v>3.4</v>
      </c>
      <c r="I1333" s="3">
        <v>2</v>
      </c>
      <c r="J1333" s="13" t="str">
        <f>HYPERLINK("https://amazon.com/dp/B0BNLP3ZR9","Amazon - B0BNLP3ZR9")</f>
        <v>Amazon - B0BNLP3ZR9</v>
      </c>
      <c r="K1333" s="14" t="s">
        <v>443</v>
      </c>
      <c r="L1333" s="14" t="s">
        <v>303</v>
      </c>
      <c r="M1333" s="14" t="s">
        <v>303</v>
      </c>
      <c r="N1333" s="14" t="s">
        <v>446</v>
      </c>
      <c r="O1333" s="14" t="s">
        <v>303</v>
      </c>
    </row>
    <row r="1334" spans="1:15" ht="30" x14ac:dyDescent="0.2">
      <c r="A1334" s="2" t="s">
        <v>3209</v>
      </c>
      <c r="B1334" s="2" t="s">
        <v>3210</v>
      </c>
      <c r="C1334" s="2" t="s">
        <v>350</v>
      </c>
      <c r="D1334" s="2" t="s">
        <v>450</v>
      </c>
      <c r="E1334" s="4">
        <v>229.99</v>
      </c>
      <c r="F1334" s="14"/>
      <c r="G1334" s="3">
        <v>0</v>
      </c>
      <c r="H1334" s="6">
        <v>5</v>
      </c>
      <c r="I1334" s="3">
        <v>1</v>
      </c>
      <c r="J1334" s="13" t="str">
        <f>HYPERLINK("https://amazon.com/dp/B0CNV7FGHP","Amazon - B0CNV7FGHP")</f>
        <v>Amazon - B0CNV7FGHP</v>
      </c>
      <c r="K1334" s="14" t="s">
        <v>443</v>
      </c>
      <c r="L1334" s="14" t="s">
        <v>303</v>
      </c>
      <c r="M1334" s="14" t="s">
        <v>303</v>
      </c>
      <c r="N1334" s="14" t="s">
        <v>446</v>
      </c>
      <c r="O1334" s="14" t="s">
        <v>303</v>
      </c>
    </row>
    <row r="1335" spans="1:15" ht="30" x14ac:dyDescent="0.2">
      <c r="A1335" s="2" t="s">
        <v>3211</v>
      </c>
      <c r="B1335" s="2" t="s">
        <v>3212</v>
      </c>
      <c r="C1335" s="2" t="s">
        <v>78</v>
      </c>
      <c r="D1335" s="2" t="s">
        <v>442</v>
      </c>
      <c r="E1335" s="4">
        <v>139.99</v>
      </c>
      <c r="F1335" s="14"/>
      <c r="G1335" s="3">
        <v>0</v>
      </c>
      <c r="H1335" s="6">
        <v>3.5</v>
      </c>
      <c r="I1335" s="3">
        <v>63</v>
      </c>
      <c r="J1335" s="13" t="str">
        <f>HYPERLINK("https://amazon.com/dp/B01I2574LM","Amazon - B01I2574LM")</f>
        <v>Amazon - B01I2574LM</v>
      </c>
      <c r="K1335" s="14" t="s">
        <v>443</v>
      </c>
      <c r="L1335" s="14" t="s">
        <v>461</v>
      </c>
      <c r="M1335" s="14" t="s">
        <v>1562</v>
      </c>
      <c r="N1335" s="14" t="s">
        <v>446</v>
      </c>
      <c r="O1335" s="14" t="s">
        <v>917</v>
      </c>
    </row>
    <row r="1336" spans="1:15" ht="30" x14ac:dyDescent="0.2">
      <c r="A1336" s="2" t="s">
        <v>3213</v>
      </c>
      <c r="B1336" s="2" t="s">
        <v>3214</v>
      </c>
      <c r="C1336" s="2" t="s">
        <v>29</v>
      </c>
      <c r="D1336" s="2" t="s">
        <v>472</v>
      </c>
      <c r="E1336" s="4">
        <v>659.99</v>
      </c>
      <c r="F1336" s="14"/>
      <c r="G1336" s="3">
        <v>0</v>
      </c>
      <c r="H1336" s="6">
        <v>5</v>
      </c>
      <c r="I1336" s="3">
        <v>3</v>
      </c>
      <c r="J1336" s="13" t="str">
        <f>HYPERLINK("https://amazon.com/dp/B0D141G32T","Amazon - B0D141G32T")</f>
        <v>Amazon - B0D141G32T</v>
      </c>
      <c r="K1336" s="14" t="s">
        <v>443</v>
      </c>
      <c r="L1336" s="14" t="s">
        <v>461</v>
      </c>
      <c r="M1336" s="14" t="s">
        <v>303</v>
      </c>
      <c r="N1336" s="14" t="s">
        <v>446</v>
      </c>
      <c r="O1336" s="14" t="s">
        <v>809</v>
      </c>
    </row>
    <row r="1337" spans="1:15" ht="30" x14ac:dyDescent="0.2">
      <c r="A1337" s="2" t="s">
        <v>3215</v>
      </c>
      <c r="B1337" s="2" t="s">
        <v>3216</v>
      </c>
      <c r="C1337" s="2" t="s">
        <v>37</v>
      </c>
      <c r="D1337" s="2" t="s">
        <v>442</v>
      </c>
      <c r="E1337" s="4">
        <v>39.99</v>
      </c>
      <c r="F1337" s="14"/>
      <c r="G1337" s="3">
        <v>0</v>
      </c>
      <c r="H1337" s="6">
        <v>4.2</v>
      </c>
      <c r="I1337" s="3">
        <v>5453</v>
      </c>
      <c r="J1337" s="13" t="str">
        <f>HYPERLINK("https://amazon.com/dp/B07ZH9P8QH","Amazon - B07ZH9P8QH")</f>
        <v>Amazon - B07ZH9P8QH</v>
      </c>
      <c r="K1337" s="14" t="s">
        <v>443</v>
      </c>
      <c r="L1337" s="14" t="s">
        <v>456</v>
      </c>
      <c r="M1337" s="14" t="s">
        <v>303</v>
      </c>
      <c r="N1337" s="14" t="s">
        <v>446</v>
      </c>
      <c r="O1337" s="14" t="s">
        <v>453</v>
      </c>
    </row>
    <row r="1338" spans="1:15" ht="30" x14ac:dyDescent="0.2">
      <c r="A1338" s="2" t="s">
        <v>3217</v>
      </c>
      <c r="B1338" s="2" t="s">
        <v>3218</v>
      </c>
      <c r="C1338" s="2" t="s">
        <v>13</v>
      </c>
      <c r="D1338" s="2" t="s">
        <v>472</v>
      </c>
      <c r="E1338" s="4">
        <v>299.99</v>
      </c>
      <c r="F1338" s="14"/>
      <c r="G1338" s="3">
        <v>0</v>
      </c>
      <c r="H1338" s="6">
        <v>0</v>
      </c>
      <c r="I1338" s="3">
        <v>0</v>
      </c>
      <c r="J1338" s="13" t="str">
        <f>HYPERLINK("https://amazon.com/dp/B0DK6XRYRH","Amazon - B0DK6XRYRH")</f>
        <v>Amazon - B0DK6XRYRH</v>
      </c>
      <c r="K1338" s="14" t="s">
        <v>443</v>
      </c>
      <c r="L1338" s="14" t="s">
        <v>461</v>
      </c>
      <c r="M1338" s="14" t="s">
        <v>303</v>
      </c>
      <c r="N1338" s="14" t="s">
        <v>446</v>
      </c>
      <c r="O1338" s="14" t="s">
        <v>303</v>
      </c>
    </row>
    <row r="1339" spans="1:15" ht="45" x14ac:dyDescent="0.2">
      <c r="A1339" s="2" t="s">
        <v>3219</v>
      </c>
      <c r="B1339" s="2" t="s">
        <v>3220</v>
      </c>
      <c r="C1339" s="2" t="s">
        <v>33</v>
      </c>
      <c r="D1339" s="2" t="s">
        <v>472</v>
      </c>
      <c r="E1339" s="4">
        <v>229.99</v>
      </c>
      <c r="F1339" s="14"/>
      <c r="G1339" s="3">
        <v>0</v>
      </c>
      <c r="H1339" s="6">
        <v>3.2</v>
      </c>
      <c r="I1339" s="3">
        <v>2</v>
      </c>
      <c r="J1339" s="13" t="str">
        <f>HYPERLINK("https://amazon.com/dp/B0D3KVKG97","Amazon - B0D3KVKG97")</f>
        <v>Amazon - B0D3KVKG97</v>
      </c>
      <c r="K1339" s="14" t="s">
        <v>443</v>
      </c>
      <c r="L1339" s="14" t="s">
        <v>303</v>
      </c>
      <c r="M1339" s="14" t="s">
        <v>677</v>
      </c>
      <c r="N1339" s="14" t="s">
        <v>446</v>
      </c>
      <c r="O1339" s="14" t="s">
        <v>778</v>
      </c>
    </row>
    <row r="1340" spans="1:15" ht="45" x14ac:dyDescent="0.2">
      <c r="A1340" s="2" t="s">
        <v>3221</v>
      </c>
      <c r="B1340" s="2" t="s">
        <v>3222</v>
      </c>
      <c r="C1340" s="2" t="s">
        <v>157</v>
      </c>
      <c r="D1340" s="2" t="s">
        <v>472</v>
      </c>
      <c r="E1340" s="4">
        <v>900</v>
      </c>
      <c r="F1340" s="14"/>
      <c r="G1340" s="3">
        <v>0</v>
      </c>
      <c r="H1340" s="6">
        <v>1</v>
      </c>
      <c r="I1340" s="3">
        <v>1</v>
      </c>
      <c r="J1340" s="13" t="str">
        <f>HYPERLINK("https://amazon.com/dp/B0DG4RFKFX","Amazon - B0DG4RFKFX")</f>
        <v>Amazon - B0DG4RFKFX</v>
      </c>
      <c r="K1340" s="14" t="s">
        <v>443</v>
      </c>
      <c r="L1340" s="14" t="s">
        <v>461</v>
      </c>
      <c r="M1340" s="14" t="s">
        <v>565</v>
      </c>
      <c r="N1340" s="14" t="s">
        <v>446</v>
      </c>
      <c r="O1340" s="14" t="s">
        <v>517</v>
      </c>
    </row>
    <row r="1341" spans="1:15" ht="45" x14ac:dyDescent="0.2">
      <c r="A1341" s="2" t="s">
        <v>3223</v>
      </c>
      <c r="B1341" s="2" t="s">
        <v>3224</v>
      </c>
      <c r="C1341" s="2" t="s">
        <v>157</v>
      </c>
      <c r="D1341" s="2" t="s">
        <v>472</v>
      </c>
      <c r="E1341" s="4">
        <v>500</v>
      </c>
      <c r="F1341" s="14"/>
      <c r="G1341" s="3">
        <v>0</v>
      </c>
      <c r="H1341" s="6">
        <v>1</v>
      </c>
      <c r="I1341" s="3">
        <v>1</v>
      </c>
      <c r="J1341" s="13" t="str">
        <f>HYPERLINK("https://amazon.com/dp/B0DG594PYN","Amazon - B0DG594PYN")</f>
        <v>Amazon - B0DG594PYN</v>
      </c>
      <c r="K1341" s="14" t="s">
        <v>443</v>
      </c>
      <c r="L1341" s="14" t="s">
        <v>461</v>
      </c>
      <c r="M1341" s="14" t="s">
        <v>565</v>
      </c>
      <c r="N1341" s="14" t="s">
        <v>446</v>
      </c>
      <c r="O1341" s="14" t="s">
        <v>517</v>
      </c>
    </row>
    <row r="1342" spans="1:15" ht="30" x14ac:dyDescent="0.2">
      <c r="A1342" s="2" t="s">
        <v>3225</v>
      </c>
      <c r="B1342" s="2" t="s">
        <v>3226</v>
      </c>
      <c r="C1342" s="2" t="s">
        <v>89</v>
      </c>
      <c r="D1342" s="2" t="s">
        <v>450</v>
      </c>
      <c r="E1342" s="4">
        <v>20.99</v>
      </c>
      <c r="F1342" s="14"/>
      <c r="G1342" s="3">
        <v>0</v>
      </c>
      <c r="H1342" s="6">
        <v>3.9</v>
      </c>
      <c r="I1342" s="3">
        <v>3</v>
      </c>
      <c r="J1342" s="13" t="str">
        <f>HYPERLINK("https://amazon.com/dp/B0CPL1RHQV","Amazon - B0CPL1RHQV")</f>
        <v>Amazon - B0CPL1RHQV</v>
      </c>
      <c r="K1342" s="14" t="s">
        <v>443</v>
      </c>
      <c r="L1342" s="14" t="s">
        <v>451</v>
      </c>
      <c r="M1342" s="14" t="s">
        <v>445</v>
      </c>
      <c r="N1342" s="14" t="s">
        <v>446</v>
      </c>
      <c r="O1342" s="14" t="s">
        <v>524</v>
      </c>
    </row>
    <row r="1343" spans="1:15" ht="45" x14ac:dyDescent="0.2">
      <c r="A1343" s="2" t="s">
        <v>3227</v>
      </c>
      <c r="B1343" s="2" t="s">
        <v>3228</v>
      </c>
      <c r="C1343" s="2" t="s">
        <v>165</v>
      </c>
      <c r="D1343" s="2" t="s">
        <v>442</v>
      </c>
      <c r="E1343" s="4">
        <v>88.9</v>
      </c>
      <c r="F1343" s="14"/>
      <c r="G1343" s="3">
        <v>0</v>
      </c>
      <c r="H1343" s="6">
        <v>5</v>
      </c>
      <c r="I1343" s="3">
        <v>1</v>
      </c>
      <c r="J1343" s="13" t="str">
        <f>HYPERLINK("https://amazon.com/dp/B0DJSTV32W","Amazon - B0DJSTV32W")</f>
        <v>Amazon - B0DJSTV32W</v>
      </c>
      <c r="K1343" s="14" t="s">
        <v>443</v>
      </c>
      <c r="L1343" s="14" t="s">
        <v>461</v>
      </c>
      <c r="M1343" s="14" t="s">
        <v>511</v>
      </c>
      <c r="N1343" s="14" t="s">
        <v>446</v>
      </c>
      <c r="O1343" s="14" t="s">
        <v>543</v>
      </c>
    </row>
    <row r="1344" spans="1:15" ht="30" x14ac:dyDescent="0.2">
      <c r="A1344" s="2" t="s">
        <v>3229</v>
      </c>
      <c r="B1344" s="2" t="s">
        <v>3230</v>
      </c>
      <c r="C1344" s="2" t="s">
        <v>13</v>
      </c>
      <c r="D1344" s="2" t="s">
        <v>472</v>
      </c>
      <c r="E1344" s="4">
        <v>369.94</v>
      </c>
      <c r="F1344" s="14"/>
      <c r="G1344" s="3">
        <v>0</v>
      </c>
      <c r="H1344" s="6">
        <v>0</v>
      </c>
      <c r="I1344" s="3">
        <v>0</v>
      </c>
      <c r="J1344" s="13" t="str">
        <f>HYPERLINK("https://amazon.com/dp/B0D9VVW5XV","Amazon - B0D9VVW5XV")</f>
        <v>Amazon - B0D9VVW5XV</v>
      </c>
      <c r="K1344" s="14" t="s">
        <v>443</v>
      </c>
      <c r="L1344" s="14" t="s">
        <v>303</v>
      </c>
      <c r="M1344" s="14" t="s">
        <v>303</v>
      </c>
      <c r="N1344" s="14" t="s">
        <v>446</v>
      </c>
      <c r="O1344" s="14" t="s">
        <v>303</v>
      </c>
    </row>
    <row r="1345" spans="1:15" x14ac:dyDescent="0.2">
      <c r="A1345" s="2" t="s">
        <v>3231</v>
      </c>
      <c r="B1345" s="2" t="s">
        <v>3232</v>
      </c>
      <c r="C1345" s="2" t="s">
        <v>78</v>
      </c>
      <c r="D1345" s="2" t="s">
        <v>442</v>
      </c>
      <c r="E1345" s="4">
        <v>349.95</v>
      </c>
      <c r="F1345" s="14"/>
      <c r="G1345" s="3">
        <v>0</v>
      </c>
      <c r="H1345" s="6">
        <v>5</v>
      </c>
      <c r="I1345" s="3">
        <v>2</v>
      </c>
      <c r="J1345" s="13" t="str">
        <f>HYPERLINK("https://amazon.com/dp/B01D8UDBOK","Amazon - B01D8UDBOK")</f>
        <v>Amazon - B01D8UDBOK</v>
      </c>
      <c r="K1345" s="14" t="s">
        <v>443</v>
      </c>
      <c r="L1345" s="14" t="s">
        <v>303</v>
      </c>
      <c r="M1345" s="14" t="s">
        <v>303</v>
      </c>
      <c r="N1345" s="14" t="s">
        <v>446</v>
      </c>
      <c r="O1345" s="14" t="s">
        <v>303</v>
      </c>
    </row>
    <row r="1346" spans="1:15" ht="45" x14ac:dyDescent="0.2">
      <c r="A1346" s="2" t="s">
        <v>3233</v>
      </c>
      <c r="B1346" s="2" t="s">
        <v>3234</v>
      </c>
      <c r="C1346" s="2" t="s">
        <v>13</v>
      </c>
      <c r="D1346" s="2" t="s">
        <v>472</v>
      </c>
      <c r="E1346" s="4">
        <v>899.99</v>
      </c>
      <c r="F1346" s="14"/>
      <c r="G1346" s="3">
        <v>0</v>
      </c>
      <c r="H1346" s="6">
        <v>3.6</v>
      </c>
      <c r="I1346" s="3">
        <v>2</v>
      </c>
      <c r="J1346" s="13" t="str">
        <f>HYPERLINK("https://amazon.com/dp/B0DDT8R3BJ","Amazon - B0DDT8R3BJ")</f>
        <v>Amazon - B0DDT8R3BJ</v>
      </c>
      <c r="K1346" s="14" t="s">
        <v>443</v>
      </c>
      <c r="L1346" s="14" t="s">
        <v>461</v>
      </c>
      <c r="M1346" s="14" t="s">
        <v>565</v>
      </c>
      <c r="N1346" s="14" t="s">
        <v>446</v>
      </c>
      <c r="O1346" s="14" t="s">
        <v>570</v>
      </c>
    </row>
    <row r="1347" spans="1:15" x14ac:dyDescent="0.2">
      <c r="A1347" s="2" t="s">
        <v>3235</v>
      </c>
      <c r="B1347" s="2" t="s">
        <v>3236</v>
      </c>
      <c r="C1347" s="2" t="s">
        <v>119</v>
      </c>
      <c r="D1347" s="2" t="s">
        <v>442</v>
      </c>
      <c r="E1347" s="4">
        <v>29.9</v>
      </c>
      <c r="F1347" s="14"/>
      <c r="G1347" s="3">
        <v>0</v>
      </c>
      <c r="H1347" s="6">
        <v>4.2</v>
      </c>
      <c r="I1347" s="3">
        <v>3</v>
      </c>
      <c r="J1347" s="13" t="str">
        <f>HYPERLINK("https://amazon.com/dp/B0DLNMQVG5","Amazon - B0DLNMQVG5")</f>
        <v>Amazon - B0DLNMQVG5</v>
      </c>
      <c r="K1347" s="14" t="s">
        <v>443</v>
      </c>
      <c r="L1347" s="14" t="s">
        <v>303</v>
      </c>
      <c r="M1347" s="14" t="s">
        <v>303</v>
      </c>
      <c r="N1347" s="14" t="s">
        <v>446</v>
      </c>
      <c r="O1347" s="14" t="s">
        <v>303</v>
      </c>
    </row>
    <row r="1348" spans="1:15" ht="30" x14ac:dyDescent="0.2">
      <c r="A1348" s="2" t="s">
        <v>3237</v>
      </c>
      <c r="B1348" s="2" t="s">
        <v>3238</v>
      </c>
      <c r="C1348" s="2" t="s">
        <v>299</v>
      </c>
      <c r="D1348" s="2" t="s">
        <v>442</v>
      </c>
      <c r="E1348" s="4">
        <v>11.16</v>
      </c>
      <c r="F1348" s="14"/>
      <c r="G1348" s="3">
        <v>0</v>
      </c>
      <c r="H1348" s="6">
        <v>5</v>
      </c>
      <c r="I1348" s="3">
        <v>1</v>
      </c>
      <c r="J1348" s="13" t="str">
        <f>HYPERLINK("https://amazon.com/dp/B0DFBX5K4H","Amazon - B0DFBX5K4H")</f>
        <v>Amazon - B0DFBX5K4H</v>
      </c>
      <c r="K1348" s="14" t="s">
        <v>443</v>
      </c>
      <c r="L1348" s="14" t="s">
        <v>303</v>
      </c>
      <c r="M1348" s="14" t="s">
        <v>303</v>
      </c>
      <c r="N1348" s="14" t="s">
        <v>446</v>
      </c>
      <c r="O1348" s="14" t="s">
        <v>303</v>
      </c>
    </row>
    <row r="1349" spans="1:15" ht="30" x14ac:dyDescent="0.2">
      <c r="A1349" s="2" t="s">
        <v>3239</v>
      </c>
      <c r="B1349" s="2" t="s">
        <v>3238</v>
      </c>
      <c r="C1349" s="2" t="s">
        <v>299</v>
      </c>
      <c r="D1349" s="2" t="s">
        <v>442</v>
      </c>
      <c r="E1349" s="4">
        <v>10.35</v>
      </c>
      <c r="F1349" s="14"/>
      <c r="G1349" s="3">
        <v>0</v>
      </c>
      <c r="H1349" s="6">
        <v>5</v>
      </c>
      <c r="I1349" s="3">
        <v>1</v>
      </c>
      <c r="J1349" s="13" t="str">
        <f>HYPERLINK("https://amazon.com/dp/B0DFBTRKSG","Amazon - B0DFBTRKSG")</f>
        <v>Amazon - B0DFBTRKSG</v>
      </c>
      <c r="K1349" s="14" t="s">
        <v>443</v>
      </c>
      <c r="L1349" s="14" t="s">
        <v>303</v>
      </c>
      <c r="M1349" s="14" t="s">
        <v>303</v>
      </c>
      <c r="N1349" s="14" t="s">
        <v>446</v>
      </c>
      <c r="O1349" s="14" t="s">
        <v>303</v>
      </c>
    </row>
    <row r="1350" spans="1:15" ht="30" x14ac:dyDescent="0.2">
      <c r="A1350" s="2" t="s">
        <v>3240</v>
      </c>
      <c r="B1350" s="2" t="s">
        <v>3238</v>
      </c>
      <c r="C1350" s="2" t="s">
        <v>299</v>
      </c>
      <c r="D1350" s="2" t="s">
        <v>442</v>
      </c>
      <c r="E1350" s="4">
        <v>12.95</v>
      </c>
      <c r="F1350" s="14"/>
      <c r="G1350" s="3">
        <v>0</v>
      </c>
      <c r="H1350" s="6">
        <v>5</v>
      </c>
      <c r="I1350" s="3">
        <v>1</v>
      </c>
      <c r="J1350" s="13" t="str">
        <f>HYPERLINK("https://amazon.com/dp/B0DFBSJYXG","Amazon - B0DFBSJYXG")</f>
        <v>Amazon - B0DFBSJYXG</v>
      </c>
      <c r="K1350" s="14" t="s">
        <v>443</v>
      </c>
      <c r="L1350" s="14" t="s">
        <v>303</v>
      </c>
      <c r="M1350" s="14" t="s">
        <v>303</v>
      </c>
      <c r="N1350" s="14" t="s">
        <v>446</v>
      </c>
      <c r="O1350" s="14" t="s">
        <v>303</v>
      </c>
    </row>
    <row r="1351" spans="1:15" ht="30" x14ac:dyDescent="0.2">
      <c r="A1351" s="2" t="s">
        <v>3241</v>
      </c>
      <c r="B1351" s="2" t="s">
        <v>3242</v>
      </c>
      <c r="C1351" s="2" t="s">
        <v>51</v>
      </c>
      <c r="D1351" s="2" t="s">
        <v>442</v>
      </c>
      <c r="E1351" s="4">
        <v>799.98</v>
      </c>
      <c r="F1351" s="14"/>
      <c r="G1351" s="3">
        <v>0</v>
      </c>
      <c r="H1351" s="6">
        <v>3.7</v>
      </c>
      <c r="I1351" s="3">
        <v>2</v>
      </c>
      <c r="J1351" s="13" t="str">
        <f>HYPERLINK("https://amazon.com/dp/B00UW6OQYI","Amazon - B00UW6OQYI")</f>
        <v>Amazon - B00UW6OQYI</v>
      </c>
      <c r="K1351" s="14" t="s">
        <v>443</v>
      </c>
      <c r="L1351" s="14" t="s">
        <v>461</v>
      </c>
      <c r="M1351" s="14" t="s">
        <v>303</v>
      </c>
      <c r="N1351" s="14" t="s">
        <v>446</v>
      </c>
      <c r="O1351" s="14" t="s">
        <v>524</v>
      </c>
    </row>
    <row r="1352" spans="1:15" ht="30" x14ac:dyDescent="0.2">
      <c r="A1352" s="2" t="s">
        <v>3243</v>
      </c>
      <c r="B1352" s="2" t="s">
        <v>3244</v>
      </c>
      <c r="C1352" s="2" t="s">
        <v>173</v>
      </c>
      <c r="D1352" s="2" t="s">
        <v>442</v>
      </c>
      <c r="E1352" s="4">
        <v>65</v>
      </c>
      <c r="F1352" s="14"/>
      <c r="G1352" s="3">
        <v>0</v>
      </c>
      <c r="H1352" s="6">
        <v>2.6</v>
      </c>
      <c r="I1352" s="3">
        <v>13</v>
      </c>
      <c r="J1352" s="13" t="str">
        <f>HYPERLINK("https://amazon.com/dp/B00JXDWBMA","Amazon - B00JXDWBMA")</f>
        <v>Amazon - B00JXDWBMA</v>
      </c>
      <c r="K1352" s="14" t="s">
        <v>443</v>
      </c>
      <c r="L1352" s="14" t="s">
        <v>303</v>
      </c>
      <c r="M1352" s="14" t="s">
        <v>565</v>
      </c>
      <c r="N1352" s="14" t="s">
        <v>446</v>
      </c>
      <c r="O1352" s="14" t="s">
        <v>303</v>
      </c>
    </row>
    <row r="1353" spans="1:15" ht="45" x14ac:dyDescent="0.2">
      <c r="A1353" s="2" t="s">
        <v>3245</v>
      </c>
      <c r="B1353" s="2" t="s">
        <v>3246</v>
      </c>
      <c r="C1353" s="2" t="s">
        <v>23</v>
      </c>
      <c r="D1353" s="2" t="s">
        <v>472</v>
      </c>
      <c r="E1353" s="4">
        <v>186</v>
      </c>
      <c r="F1353" s="14"/>
      <c r="G1353" s="3">
        <v>0</v>
      </c>
      <c r="H1353" s="6">
        <v>3.9</v>
      </c>
      <c r="I1353" s="3">
        <v>10</v>
      </c>
      <c r="J1353" s="13" t="str">
        <f>HYPERLINK("https://amazon.com/dp/B0CRRWDNC5","Amazon - B0CRRWDNC5")</f>
        <v>Amazon - B0CRRWDNC5</v>
      </c>
      <c r="K1353" s="14" t="s">
        <v>443</v>
      </c>
      <c r="L1353" s="14" t="s">
        <v>303</v>
      </c>
      <c r="M1353" s="14" t="s">
        <v>503</v>
      </c>
      <c r="N1353" s="14" t="s">
        <v>446</v>
      </c>
      <c r="O1353" s="14" t="s">
        <v>303</v>
      </c>
    </row>
    <row r="1354" spans="1:15" ht="30" x14ac:dyDescent="0.2">
      <c r="A1354" s="2" t="s">
        <v>3247</v>
      </c>
      <c r="B1354" s="2" t="s">
        <v>3248</v>
      </c>
      <c r="C1354" s="2" t="s">
        <v>40</v>
      </c>
      <c r="D1354" s="2" t="s">
        <v>472</v>
      </c>
      <c r="E1354" s="4">
        <v>259.99</v>
      </c>
      <c r="F1354" s="14"/>
      <c r="G1354" s="3">
        <v>0</v>
      </c>
      <c r="H1354" s="6">
        <v>1</v>
      </c>
      <c r="I1354" s="3">
        <v>1</v>
      </c>
      <c r="J1354" s="13" t="str">
        <f>HYPERLINK("https://amazon.com/dp/B0D6W5RJHH","Amazon - B0D6W5RJHH")</f>
        <v>Amazon - B0D6W5RJHH</v>
      </c>
      <c r="K1354" s="14" t="s">
        <v>443</v>
      </c>
      <c r="L1354" s="14" t="s">
        <v>303</v>
      </c>
      <c r="M1354" s="14" t="s">
        <v>303</v>
      </c>
      <c r="N1354" s="14" t="s">
        <v>446</v>
      </c>
      <c r="O1354" s="14" t="s">
        <v>303</v>
      </c>
    </row>
    <row r="1355" spans="1:15" ht="30" x14ac:dyDescent="0.2">
      <c r="A1355" s="2" t="s">
        <v>3249</v>
      </c>
      <c r="B1355" s="2" t="s">
        <v>3250</v>
      </c>
      <c r="C1355" s="2" t="s">
        <v>260</v>
      </c>
      <c r="D1355" s="2" t="s">
        <v>450</v>
      </c>
      <c r="E1355" s="4">
        <v>13.9</v>
      </c>
      <c r="F1355" s="14"/>
      <c r="G1355" s="3">
        <v>0</v>
      </c>
      <c r="H1355" s="6">
        <v>4</v>
      </c>
      <c r="I1355" s="3">
        <v>1</v>
      </c>
      <c r="J1355" s="13" t="str">
        <f>HYPERLINK("https://amazon.com/dp/B0C9SKGWZ9","Amazon - B0C9SKGWZ9")</f>
        <v>Amazon - B0C9SKGWZ9</v>
      </c>
      <c r="K1355" s="14" t="s">
        <v>443</v>
      </c>
      <c r="L1355" s="14" t="s">
        <v>451</v>
      </c>
      <c r="M1355" s="14" t="s">
        <v>303</v>
      </c>
      <c r="N1355" s="14" t="s">
        <v>446</v>
      </c>
      <c r="O1355" s="14" t="s">
        <v>303</v>
      </c>
    </row>
    <row r="1356" spans="1:15" ht="30" x14ac:dyDescent="0.2">
      <c r="A1356" s="2" t="s">
        <v>3251</v>
      </c>
      <c r="B1356" s="2" t="s">
        <v>3252</v>
      </c>
      <c r="C1356" s="2" t="s">
        <v>409</v>
      </c>
      <c r="D1356" s="2" t="s">
        <v>442</v>
      </c>
      <c r="E1356" s="4">
        <v>32.99</v>
      </c>
      <c r="F1356" s="14"/>
      <c r="G1356" s="3">
        <v>0</v>
      </c>
      <c r="H1356" s="6">
        <v>0</v>
      </c>
      <c r="I1356" s="3">
        <v>0</v>
      </c>
      <c r="J1356" s="13" t="str">
        <f>HYPERLINK("https://amazon.com/dp/B0CQK65MV3","Amazon - B0CQK65MV3")</f>
        <v>Amazon - B0CQK65MV3</v>
      </c>
      <c r="K1356" s="14" t="s">
        <v>443</v>
      </c>
      <c r="L1356" s="14" t="s">
        <v>461</v>
      </c>
      <c r="M1356" s="14" t="s">
        <v>445</v>
      </c>
      <c r="N1356" s="14" t="s">
        <v>446</v>
      </c>
      <c r="O1356" s="14" t="s">
        <v>303</v>
      </c>
    </row>
    <row r="1357" spans="1:15" ht="30" x14ac:dyDescent="0.2">
      <c r="A1357" s="2" t="s">
        <v>3253</v>
      </c>
      <c r="B1357" s="2" t="s">
        <v>3252</v>
      </c>
      <c r="C1357" s="2" t="s">
        <v>409</v>
      </c>
      <c r="D1357" s="2" t="s">
        <v>442</v>
      </c>
      <c r="E1357" s="4">
        <v>33.9</v>
      </c>
      <c r="F1357" s="14"/>
      <c r="G1357" s="3">
        <v>0</v>
      </c>
      <c r="H1357" s="6">
        <v>0</v>
      </c>
      <c r="I1357" s="3">
        <v>0</v>
      </c>
      <c r="J1357" s="13" t="str">
        <f>HYPERLINK("https://amazon.com/dp/B0CQK4PV6R","Amazon - B0CQK4PV6R")</f>
        <v>Amazon - B0CQK4PV6R</v>
      </c>
      <c r="K1357" s="14" t="s">
        <v>443</v>
      </c>
      <c r="L1357" s="14" t="s">
        <v>461</v>
      </c>
      <c r="M1357" s="14" t="s">
        <v>445</v>
      </c>
      <c r="N1357" s="14" t="s">
        <v>446</v>
      </c>
      <c r="O1357" s="14" t="s">
        <v>303</v>
      </c>
    </row>
    <row r="1358" spans="1:15" ht="30" x14ac:dyDescent="0.2">
      <c r="A1358" s="2" t="s">
        <v>3254</v>
      </c>
      <c r="B1358" s="2" t="s">
        <v>3255</v>
      </c>
      <c r="C1358" s="2" t="s">
        <v>40</v>
      </c>
      <c r="D1358" s="2" t="s">
        <v>472</v>
      </c>
      <c r="E1358" s="4">
        <v>368.99</v>
      </c>
      <c r="F1358" s="14"/>
      <c r="G1358" s="3">
        <v>0</v>
      </c>
      <c r="H1358" s="6">
        <v>2.6</v>
      </c>
      <c r="I1358" s="3">
        <v>2</v>
      </c>
      <c r="J1358" s="13" t="str">
        <f>HYPERLINK("https://amazon.com/dp/B09L16F7YB","Amazon - B09L16F7YB")</f>
        <v>Amazon - B09L16F7YB</v>
      </c>
      <c r="K1358" s="14" t="s">
        <v>443</v>
      </c>
      <c r="L1358" s="14" t="s">
        <v>303</v>
      </c>
      <c r="M1358" s="14" t="s">
        <v>503</v>
      </c>
      <c r="N1358" s="14" t="s">
        <v>446</v>
      </c>
      <c r="O1358" s="14" t="s">
        <v>303</v>
      </c>
    </row>
    <row r="1359" spans="1:15" x14ac:dyDescent="0.2">
      <c r="A1359" s="2" t="s">
        <v>3256</v>
      </c>
      <c r="B1359" s="2" t="s">
        <v>3257</v>
      </c>
      <c r="C1359" s="2" t="s">
        <v>395</v>
      </c>
      <c r="D1359" s="2" t="s">
        <v>442</v>
      </c>
      <c r="E1359" s="4">
        <v>59.99</v>
      </c>
      <c r="F1359" s="14"/>
      <c r="G1359" s="3">
        <v>0</v>
      </c>
      <c r="H1359" s="6">
        <v>0</v>
      </c>
      <c r="I1359" s="3">
        <v>0</v>
      </c>
      <c r="J1359" s="13" t="str">
        <f>HYPERLINK("https://amazon.com/dp/B0FLY67WHM","Amazon - B0FLY67WHM")</f>
        <v>Amazon - B0FLY67WHM</v>
      </c>
      <c r="K1359" s="14" t="s">
        <v>443</v>
      </c>
      <c r="L1359" s="14" t="s">
        <v>303</v>
      </c>
      <c r="M1359" s="14" t="s">
        <v>303</v>
      </c>
      <c r="N1359" s="14" t="s">
        <v>446</v>
      </c>
      <c r="O1359" s="14" t="s">
        <v>303</v>
      </c>
    </row>
    <row r="1360" spans="1:15" ht="30" x14ac:dyDescent="0.2">
      <c r="A1360" s="2" t="s">
        <v>3258</v>
      </c>
      <c r="B1360" s="2" t="s">
        <v>3259</v>
      </c>
      <c r="C1360" s="2" t="s">
        <v>122</v>
      </c>
      <c r="D1360" s="2" t="s">
        <v>450</v>
      </c>
      <c r="E1360" s="4">
        <v>18.14</v>
      </c>
      <c r="F1360" s="14"/>
      <c r="G1360" s="3">
        <v>0</v>
      </c>
      <c r="H1360" s="6">
        <v>3.1</v>
      </c>
      <c r="I1360" s="3">
        <v>27</v>
      </c>
      <c r="J1360" s="13" t="str">
        <f>HYPERLINK("https://amazon.com/dp/B07BZB3XDF","Amazon - B07BZB3XDF")</f>
        <v>Amazon - B07BZB3XDF</v>
      </c>
      <c r="K1360" s="14" t="s">
        <v>443</v>
      </c>
      <c r="L1360" s="14" t="s">
        <v>1725</v>
      </c>
      <c r="M1360" s="14" t="s">
        <v>303</v>
      </c>
      <c r="N1360" s="14" t="s">
        <v>446</v>
      </c>
      <c r="O1360" s="14" t="s">
        <v>447</v>
      </c>
    </row>
    <row r="1361" spans="1:15" ht="30" x14ac:dyDescent="0.2">
      <c r="A1361" s="2" t="s">
        <v>3260</v>
      </c>
      <c r="B1361" s="2" t="s">
        <v>3261</v>
      </c>
      <c r="C1361" s="2" t="s">
        <v>319</v>
      </c>
      <c r="D1361" s="2" t="s">
        <v>450</v>
      </c>
      <c r="E1361" s="4">
        <v>11.36</v>
      </c>
      <c r="F1361" s="14"/>
      <c r="G1361" s="3">
        <v>0</v>
      </c>
      <c r="H1361" s="6">
        <v>0</v>
      </c>
      <c r="I1361" s="3">
        <v>0</v>
      </c>
      <c r="J1361" s="13" t="str">
        <f>HYPERLINK("https://amazon.com/dp/B0F2MS1GPF","Amazon - B0F2MS1GPF")</f>
        <v>Amazon - B0F2MS1GPF</v>
      </c>
      <c r="K1361" s="14" t="s">
        <v>443</v>
      </c>
      <c r="L1361" s="14" t="s">
        <v>303</v>
      </c>
      <c r="M1361" s="14" t="s">
        <v>715</v>
      </c>
      <c r="N1361" s="14" t="s">
        <v>446</v>
      </c>
      <c r="O1361" s="14" t="s">
        <v>453</v>
      </c>
    </row>
    <row r="1362" spans="1:15" ht="30" x14ac:dyDescent="0.2">
      <c r="A1362" s="2" t="s">
        <v>3262</v>
      </c>
      <c r="B1362" s="2" t="s">
        <v>3263</v>
      </c>
      <c r="C1362" s="2" t="s">
        <v>89</v>
      </c>
      <c r="D1362" s="2" t="s">
        <v>442</v>
      </c>
      <c r="E1362" s="4">
        <v>20.99</v>
      </c>
      <c r="F1362" s="14"/>
      <c r="G1362" s="3">
        <v>0</v>
      </c>
      <c r="H1362" s="6">
        <v>3.6</v>
      </c>
      <c r="I1362" s="3">
        <v>30</v>
      </c>
      <c r="J1362" s="13" t="str">
        <f>HYPERLINK("https://amazon.com/dp/B0CPL36CD9","Amazon - B0CPL36CD9")</f>
        <v>Amazon - B0CPL36CD9</v>
      </c>
      <c r="K1362" s="14" t="s">
        <v>443</v>
      </c>
      <c r="L1362" s="14" t="s">
        <v>303</v>
      </c>
      <c r="M1362" s="14" t="s">
        <v>303</v>
      </c>
      <c r="N1362" s="14" t="s">
        <v>446</v>
      </c>
      <c r="O1362" s="14" t="s">
        <v>453</v>
      </c>
    </row>
    <row r="1363" spans="1:15" ht="30" x14ac:dyDescent="0.2">
      <c r="A1363" s="2" t="s">
        <v>3264</v>
      </c>
      <c r="B1363" s="2" t="s">
        <v>1612</v>
      </c>
      <c r="C1363" s="2" t="s">
        <v>361</v>
      </c>
      <c r="D1363" s="2" t="s">
        <v>450</v>
      </c>
      <c r="E1363" s="4">
        <v>17.989999999999998</v>
      </c>
      <c r="F1363" s="14"/>
      <c r="G1363" s="3">
        <v>0</v>
      </c>
      <c r="H1363" s="6">
        <v>3.2</v>
      </c>
      <c r="I1363" s="3">
        <v>2</v>
      </c>
      <c r="J1363" s="13" t="str">
        <f>HYPERLINK("https://amazon.com/dp/B0FT33Q1BX","Amazon - B0FT33Q1BX")</f>
        <v>Amazon - B0FT33Q1BX</v>
      </c>
      <c r="K1363" s="14" t="s">
        <v>443</v>
      </c>
      <c r="L1363" s="14" t="s">
        <v>451</v>
      </c>
      <c r="M1363" s="14" t="s">
        <v>445</v>
      </c>
      <c r="N1363" s="14" t="s">
        <v>446</v>
      </c>
      <c r="O1363" s="14" t="s">
        <v>453</v>
      </c>
    </row>
    <row r="1364" spans="1:15" ht="30" x14ac:dyDescent="0.2">
      <c r="A1364" s="2" t="s">
        <v>3265</v>
      </c>
      <c r="B1364" s="2" t="s">
        <v>3266</v>
      </c>
      <c r="C1364" s="2" t="s">
        <v>323</v>
      </c>
      <c r="D1364" s="2" t="s">
        <v>442</v>
      </c>
      <c r="E1364" s="4">
        <v>229</v>
      </c>
      <c r="F1364" s="14"/>
      <c r="G1364" s="3">
        <v>0</v>
      </c>
      <c r="H1364" s="6">
        <v>0</v>
      </c>
      <c r="I1364" s="3">
        <v>0</v>
      </c>
      <c r="J1364" s="13" t="str">
        <f>HYPERLINK("https://amazon.com/dp/B0CW9R7FV8","Amazon - B0CW9R7FV8")</f>
        <v>Amazon - B0CW9R7FV8</v>
      </c>
      <c r="K1364" s="14" t="s">
        <v>443</v>
      </c>
      <c r="L1364" s="14" t="s">
        <v>461</v>
      </c>
      <c r="M1364" s="14" t="s">
        <v>511</v>
      </c>
      <c r="N1364" s="14" t="s">
        <v>446</v>
      </c>
      <c r="O1364" s="14" t="s">
        <v>447</v>
      </c>
    </row>
    <row r="1365" spans="1:15" ht="30" x14ac:dyDescent="0.2">
      <c r="A1365" s="2" t="s">
        <v>3267</v>
      </c>
      <c r="B1365" s="2" t="s">
        <v>3268</v>
      </c>
      <c r="C1365" s="2" t="s">
        <v>345</v>
      </c>
      <c r="D1365" s="2" t="s">
        <v>450</v>
      </c>
      <c r="E1365" s="4">
        <v>878.97</v>
      </c>
      <c r="F1365" s="14"/>
      <c r="G1365" s="3">
        <v>0</v>
      </c>
      <c r="H1365" s="6">
        <v>0</v>
      </c>
      <c r="I1365" s="3">
        <v>0</v>
      </c>
      <c r="J1365" s="13" t="str">
        <f>HYPERLINK("https://amazon.com/dp/B0D5TZ25W6","Amazon - B0D5TZ25W6")</f>
        <v>Amazon - B0D5TZ25W6</v>
      </c>
      <c r="K1365" s="14" t="s">
        <v>443</v>
      </c>
      <c r="L1365" s="14" t="s">
        <v>303</v>
      </c>
      <c r="M1365" s="14" t="s">
        <v>303</v>
      </c>
      <c r="N1365" s="14" t="s">
        <v>446</v>
      </c>
      <c r="O1365" s="14" t="s">
        <v>303</v>
      </c>
    </row>
    <row r="1366" spans="1:15" ht="30" x14ac:dyDescent="0.2">
      <c r="A1366" s="2" t="s">
        <v>3269</v>
      </c>
      <c r="B1366" s="2" t="s">
        <v>3270</v>
      </c>
      <c r="C1366" s="2" t="s">
        <v>27</v>
      </c>
      <c r="D1366" s="2" t="s">
        <v>450</v>
      </c>
      <c r="E1366" s="4">
        <v>47.99</v>
      </c>
      <c r="F1366" s="14"/>
      <c r="G1366" s="3">
        <v>0</v>
      </c>
      <c r="H1366" s="6">
        <v>4</v>
      </c>
      <c r="I1366" s="3">
        <v>7</v>
      </c>
      <c r="J1366" s="13" t="str">
        <f>HYPERLINK("https://amazon.com/dp/B0G64JFPW4","Amazon - B0G64JFPW4")</f>
        <v>Amazon - B0G64JFPW4</v>
      </c>
      <c r="K1366" s="14" t="s">
        <v>443</v>
      </c>
      <c r="L1366" s="14" t="s">
        <v>451</v>
      </c>
      <c r="M1366" s="14" t="s">
        <v>303</v>
      </c>
      <c r="N1366" s="14" t="s">
        <v>446</v>
      </c>
      <c r="O1366" s="14" t="s">
        <v>303</v>
      </c>
    </row>
    <row r="1367" spans="1:15" x14ac:dyDescent="0.2">
      <c r="A1367" s="2" t="s">
        <v>3271</v>
      </c>
      <c r="B1367" s="2" t="s">
        <v>3272</v>
      </c>
      <c r="C1367" s="2" t="s">
        <v>14</v>
      </c>
      <c r="D1367" s="2" t="s">
        <v>472</v>
      </c>
      <c r="E1367" s="4">
        <v>99.99</v>
      </c>
      <c r="F1367" s="14"/>
      <c r="G1367" s="3">
        <v>0</v>
      </c>
      <c r="H1367" s="6">
        <v>0</v>
      </c>
      <c r="I1367" s="3">
        <v>0</v>
      </c>
      <c r="J1367" s="13" t="str">
        <f>HYPERLINK("https://amazon.com/dp/B0D1GDJMMT","Amazon - B0D1GDJMMT")</f>
        <v>Amazon - B0D1GDJMMT</v>
      </c>
      <c r="K1367" s="14" t="s">
        <v>443</v>
      </c>
      <c r="L1367" s="14" t="s">
        <v>303</v>
      </c>
      <c r="M1367" s="14" t="s">
        <v>303</v>
      </c>
      <c r="N1367" s="14" t="s">
        <v>446</v>
      </c>
      <c r="O1367" s="14" t="s">
        <v>303</v>
      </c>
    </row>
    <row r="1368" spans="1:15" ht="30" x14ac:dyDescent="0.2">
      <c r="A1368" s="2" t="s">
        <v>3273</v>
      </c>
      <c r="B1368" s="2" t="s">
        <v>3274</v>
      </c>
      <c r="C1368" s="2" t="s">
        <v>376</v>
      </c>
      <c r="D1368" s="2" t="s">
        <v>472</v>
      </c>
      <c r="E1368" s="4">
        <v>729.99</v>
      </c>
      <c r="F1368" s="14"/>
      <c r="G1368" s="3">
        <v>0</v>
      </c>
      <c r="H1368" s="6">
        <v>0</v>
      </c>
      <c r="I1368" s="3">
        <v>0</v>
      </c>
      <c r="J1368" s="13" t="str">
        <f>HYPERLINK("https://amazon.com/dp/B0FNQSLBVH","Amazon - B0FNQSLBVH")</f>
        <v>Amazon - B0FNQSLBVH</v>
      </c>
      <c r="K1368" s="14" t="s">
        <v>443</v>
      </c>
      <c r="L1368" s="14" t="s">
        <v>461</v>
      </c>
      <c r="M1368" s="14" t="s">
        <v>303</v>
      </c>
      <c r="N1368" s="14" t="s">
        <v>446</v>
      </c>
      <c r="O1368" s="14" t="s">
        <v>570</v>
      </c>
    </row>
    <row r="1369" spans="1:15" ht="30" x14ac:dyDescent="0.2">
      <c r="A1369" s="2" t="s">
        <v>3275</v>
      </c>
      <c r="B1369" s="2" t="s">
        <v>3276</v>
      </c>
      <c r="C1369" s="2" t="s">
        <v>368</v>
      </c>
      <c r="D1369" s="2" t="s">
        <v>472</v>
      </c>
      <c r="E1369" s="4">
        <v>43.93</v>
      </c>
      <c r="F1369" s="14"/>
      <c r="G1369" s="3">
        <v>0</v>
      </c>
      <c r="H1369" s="6">
        <v>0</v>
      </c>
      <c r="I1369" s="3">
        <v>0</v>
      </c>
      <c r="J1369" s="13" t="str">
        <f>HYPERLINK("https://amazon.com/dp/B0DH3VY6YN","Amazon - B0DH3VY6YN")</f>
        <v>Amazon - B0DH3VY6YN</v>
      </c>
      <c r="K1369" s="14" t="s">
        <v>443</v>
      </c>
      <c r="L1369" s="14" t="s">
        <v>456</v>
      </c>
      <c r="M1369" s="14" t="s">
        <v>303</v>
      </c>
      <c r="N1369" s="14" t="s">
        <v>446</v>
      </c>
      <c r="O1369" s="14" t="s">
        <v>303</v>
      </c>
    </row>
    <row r="1370" spans="1:15" ht="30" x14ac:dyDescent="0.2">
      <c r="A1370" s="2" t="s">
        <v>3277</v>
      </c>
      <c r="B1370" s="2" t="s">
        <v>3278</v>
      </c>
      <c r="C1370" s="2" t="s">
        <v>368</v>
      </c>
      <c r="D1370" s="2" t="s">
        <v>472</v>
      </c>
      <c r="E1370" s="4">
        <v>34.770000000000003</v>
      </c>
      <c r="F1370" s="14"/>
      <c r="G1370" s="3">
        <v>0</v>
      </c>
      <c r="H1370" s="6">
        <v>0</v>
      </c>
      <c r="I1370" s="3">
        <v>0</v>
      </c>
      <c r="J1370" s="13" t="str">
        <f>HYPERLINK("https://amazon.com/dp/B0DH3XC89T","Amazon - B0DH3XC89T")</f>
        <v>Amazon - B0DH3XC89T</v>
      </c>
      <c r="K1370" s="14" t="s">
        <v>443</v>
      </c>
      <c r="L1370" s="14" t="s">
        <v>456</v>
      </c>
      <c r="M1370" s="14" t="s">
        <v>303</v>
      </c>
      <c r="N1370" s="14" t="s">
        <v>446</v>
      </c>
      <c r="O1370" s="14" t="s">
        <v>303</v>
      </c>
    </row>
    <row r="1371" spans="1:15" ht="30" x14ac:dyDescent="0.2">
      <c r="A1371" s="2" t="s">
        <v>3279</v>
      </c>
      <c r="B1371" s="2" t="s">
        <v>3280</v>
      </c>
      <c r="C1371" s="2" t="s">
        <v>298</v>
      </c>
      <c r="D1371" s="2" t="s">
        <v>450</v>
      </c>
      <c r="E1371" s="4">
        <v>11.06</v>
      </c>
      <c r="F1371" s="14"/>
      <c r="G1371" s="3">
        <v>0</v>
      </c>
      <c r="H1371" s="6">
        <v>1</v>
      </c>
      <c r="I1371" s="3">
        <v>1</v>
      </c>
      <c r="J1371" s="13" t="str">
        <f>HYPERLINK("https://amazon.com/dp/B0CDQ58VBY","Amazon - B0CDQ58VBY")</f>
        <v>Amazon - B0CDQ58VBY</v>
      </c>
      <c r="K1371" s="14" t="s">
        <v>443</v>
      </c>
      <c r="L1371" s="14" t="s">
        <v>303</v>
      </c>
      <c r="M1371" s="14" t="s">
        <v>565</v>
      </c>
      <c r="N1371" s="14" t="s">
        <v>446</v>
      </c>
      <c r="O1371" s="14" t="s">
        <v>543</v>
      </c>
    </row>
    <row r="1372" spans="1:15" ht="30" x14ac:dyDescent="0.2">
      <c r="A1372" s="2" t="s">
        <v>3281</v>
      </c>
      <c r="B1372" s="2" t="s">
        <v>3282</v>
      </c>
      <c r="C1372" s="2" t="s">
        <v>137</v>
      </c>
      <c r="D1372" s="2" t="s">
        <v>442</v>
      </c>
      <c r="E1372" s="4">
        <v>134.99</v>
      </c>
      <c r="F1372" s="14"/>
      <c r="G1372" s="3">
        <v>0</v>
      </c>
      <c r="H1372" s="6">
        <v>4</v>
      </c>
      <c r="I1372" s="3">
        <v>1</v>
      </c>
      <c r="J1372" s="13" t="str">
        <f>HYPERLINK("https://amazon.com/dp/B0D9WSXMS3","Amazon - B0D9WSXMS3")</f>
        <v>Amazon - B0D9WSXMS3</v>
      </c>
      <c r="K1372" s="14" t="s">
        <v>443</v>
      </c>
      <c r="L1372" s="14" t="s">
        <v>303</v>
      </c>
      <c r="M1372" s="14" t="s">
        <v>462</v>
      </c>
      <c r="N1372" s="14" t="s">
        <v>446</v>
      </c>
      <c r="O1372" s="14" t="s">
        <v>453</v>
      </c>
    </row>
    <row r="1373" spans="1:15" ht="45" x14ac:dyDescent="0.2">
      <c r="A1373" s="2" t="s">
        <v>3283</v>
      </c>
      <c r="B1373" s="2" t="s">
        <v>3284</v>
      </c>
      <c r="C1373" s="2" t="s">
        <v>51</v>
      </c>
      <c r="D1373" s="2" t="s">
        <v>823</v>
      </c>
      <c r="E1373" s="4">
        <v>400</v>
      </c>
      <c r="F1373" s="14"/>
      <c r="G1373" s="3">
        <v>0</v>
      </c>
      <c r="H1373" s="6">
        <v>0</v>
      </c>
      <c r="I1373" s="3">
        <v>0</v>
      </c>
      <c r="J1373" s="13" t="str">
        <f>HYPERLINK("https://amazon.com/dp/B08VVWVM7P","Amazon - B08VVWVM7P")</f>
        <v>Amazon - B08VVWVM7P</v>
      </c>
      <c r="K1373" s="14" t="s">
        <v>443</v>
      </c>
      <c r="L1373" s="14" t="s">
        <v>451</v>
      </c>
      <c r="M1373" s="14" t="s">
        <v>457</v>
      </c>
      <c r="N1373" s="14" t="s">
        <v>446</v>
      </c>
      <c r="O1373" s="14" t="s">
        <v>543</v>
      </c>
    </row>
    <row r="1374" spans="1:15" ht="45" x14ac:dyDescent="0.2">
      <c r="A1374" s="2" t="s">
        <v>3285</v>
      </c>
      <c r="B1374" s="2" t="s">
        <v>3286</v>
      </c>
      <c r="C1374" s="2" t="s">
        <v>51</v>
      </c>
      <c r="D1374" s="2" t="s">
        <v>450</v>
      </c>
      <c r="E1374" s="4">
        <v>360</v>
      </c>
      <c r="F1374" s="14"/>
      <c r="G1374" s="3">
        <v>0</v>
      </c>
      <c r="H1374" s="6">
        <v>0</v>
      </c>
      <c r="I1374" s="3">
        <v>0</v>
      </c>
      <c r="J1374" s="13" t="str">
        <f>HYPERLINK("https://amazon.com/dp/B08VWBR4LJ","Amazon - B08VWBR4LJ")</f>
        <v>Amazon - B08VWBR4LJ</v>
      </c>
      <c r="K1374" s="14" t="s">
        <v>443</v>
      </c>
      <c r="L1374" s="14" t="s">
        <v>461</v>
      </c>
      <c r="M1374" s="14" t="s">
        <v>457</v>
      </c>
      <c r="N1374" s="14" t="s">
        <v>446</v>
      </c>
      <c r="O1374" s="14" t="s">
        <v>543</v>
      </c>
    </row>
    <row r="1375" spans="1:15" ht="45" x14ac:dyDescent="0.2">
      <c r="A1375" s="2" t="s">
        <v>3287</v>
      </c>
      <c r="B1375" s="2" t="s">
        <v>3288</v>
      </c>
      <c r="C1375" s="2" t="s">
        <v>51</v>
      </c>
      <c r="D1375" s="2" t="s">
        <v>450</v>
      </c>
      <c r="E1375" s="4">
        <v>420</v>
      </c>
      <c r="F1375" s="14"/>
      <c r="G1375" s="3">
        <v>0</v>
      </c>
      <c r="H1375" s="6">
        <v>0</v>
      </c>
      <c r="I1375" s="3">
        <v>0</v>
      </c>
      <c r="J1375" s="13" t="str">
        <f>HYPERLINK("https://amazon.com/dp/B08VW1BRHJ","Amazon - B08VW1BRHJ")</f>
        <v>Amazon - B08VW1BRHJ</v>
      </c>
      <c r="K1375" s="14" t="s">
        <v>443</v>
      </c>
      <c r="L1375" s="14" t="s">
        <v>461</v>
      </c>
      <c r="M1375" s="14" t="s">
        <v>457</v>
      </c>
      <c r="N1375" s="14" t="s">
        <v>446</v>
      </c>
      <c r="O1375" s="14" t="s">
        <v>543</v>
      </c>
    </row>
    <row r="1376" spans="1:15" ht="30" x14ac:dyDescent="0.2">
      <c r="A1376" s="2" t="s">
        <v>3289</v>
      </c>
      <c r="B1376" s="2" t="s">
        <v>3290</v>
      </c>
      <c r="C1376" s="2" t="s">
        <v>173</v>
      </c>
      <c r="D1376" s="2" t="s">
        <v>450</v>
      </c>
      <c r="E1376" s="4">
        <v>75</v>
      </c>
      <c r="F1376" s="14"/>
      <c r="G1376" s="3">
        <v>0</v>
      </c>
      <c r="H1376" s="6">
        <v>3</v>
      </c>
      <c r="I1376" s="3">
        <v>14</v>
      </c>
      <c r="J1376" s="13" t="str">
        <f>HYPERLINK("https://amazon.com/dp/B01FLYOCGM","Amazon - B01FLYOCGM")</f>
        <v>Amazon - B01FLYOCGM</v>
      </c>
      <c r="K1376" s="14" t="s">
        <v>443</v>
      </c>
      <c r="L1376" s="14" t="s">
        <v>303</v>
      </c>
      <c r="M1376" s="14" t="s">
        <v>462</v>
      </c>
      <c r="N1376" s="14" t="s">
        <v>446</v>
      </c>
      <c r="O1376" s="14" t="s">
        <v>303</v>
      </c>
    </row>
    <row r="1377" spans="1:15" ht="30" x14ac:dyDescent="0.2">
      <c r="A1377" s="2" t="s">
        <v>3291</v>
      </c>
      <c r="B1377" s="2" t="s">
        <v>3292</v>
      </c>
      <c r="C1377" s="2" t="s">
        <v>51</v>
      </c>
      <c r="D1377" s="2" t="s">
        <v>823</v>
      </c>
      <c r="E1377" s="4">
        <v>999.98</v>
      </c>
      <c r="F1377" s="14"/>
      <c r="G1377" s="3">
        <v>0</v>
      </c>
      <c r="H1377" s="6">
        <v>0</v>
      </c>
      <c r="I1377" s="3">
        <v>0</v>
      </c>
      <c r="J1377" s="13" t="str">
        <f>HYPERLINK("https://amazon.com/dp/B09QBDSQ19","Amazon - B09QBDSQ19")</f>
        <v>Amazon - B09QBDSQ19</v>
      </c>
      <c r="K1377" s="14" t="s">
        <v>443</v>
      </c>
      <c r="L1377" s="14" t="s">
        <v>451</v>
      </c>
      <c r="M1377" s="14" t="s">
        <v>511</v>
      </c>
      <c r="N1377" s="14" t="s">
        <v>446</v>
      </c>
      <c r="O1377" s="14" t="s">
        <v>543</v>
      </c>
    </row>
    <row r="1378" spans="1:15" ht="45" x14ac:dyDescent="0.2">
      <c r="A1378" s="2" t="s">
        <v>3293</v>
      </c>
      <c r="B1378" s="2" t="s">
        <v>3294</v>
      </c>
      <c r="C1378" s="2" t="s">
        <v>401</v>
      </c>
      <c r="D1378" s="2" t="s">
        <v>442</v>
      </c>
      <c r="E1378" s="4">
        <v>11.19</v>
      </c>
      <c r="F1378" s="14"/>
      <c r="G1378" s="3">
        <v>0</v>
      </c>
      <c r="H1378" s="6">
        <v>3</v>
      </c>
      <c r="I1378" s="3">
        <v>1</v>
      </c>
      <c r="J1378" s="13" t="str">
        <f>HYPERLINK("https://amazon.com/dp/B0C7GJNTB9","Amazon - B0C7GJNTB9")</f>
        <v>Amazon - B0C7GJNTB9</v>
      </c>
      <c r="K1378" s="14" t="s">
        <v>443</v>
      </c>
      <c r="L1378" s="14" t="s">
        <v>303</v>
      </c>
      <c r="M1378" s="14" t="s">
        <v>565</v>
      </c>
      <c r="N1378" s="14" t="s">
        <v>446</v>
      </c>
      <c r="O1378" s="14" t="s">
        <v>303</v>
      </c>
    </row>
    <row r="1379" spans="1:15" ht="30" x14ac:dyDescent="0.2">
      <c r="A1379" s="2" t="s">
        <v>3295</v>
      </c>
      <c r="B1379" s="2" t="s">
        <v>3296</v>
      </c>
      <c r="C1379" s="2" t="s">
        <v>363</v>
      </c>
      <c r="D1379" s="2" t="s">
        <v>450</v>
      </c>
      <c r="E1379" s="4">
        <v>22.65</v>
      </c>
      <c r="F1379" s="14"/>
      <c r="G1379" s="3">
        <v>0</v>
      </c>
      <c r="H1379" s="6">
        <v>0</v>
      </c>
      <c r="I1379" s="3">
        <v>0</v>
      </c>
      <c r="J1379" s="13" t="str">
        <f>HYPERLINK("https://amazon.com/dp/B0CS6MRF2Z","Amazon - B0CS6MRF2Z")</f>
        <v>Amazon - B0CS6MRF2Z</v>
      </c>
      <c r="K1379" s="14" t="s">
        <v>443</v>
      </c>
      <c r="L1379" s="14" t="s">
        <v>303</v>
      </c>
      <c r="M1379" s="14" t="s">
        <v>462</v>
      </c>
      <c r="N1379" s="14" t="s">
        <v>446</v>
      </c>
      <c r="O1379" s="14" t="s">
        <v>453</v>
      </c>
    </row>
    <row r="1380" spans="1:15" ht="30" x14ac:dyDescent="0.2">
      <c r="A1380" s="2" t="s">
        <v>3297</v>
      </c>
      <c r="B1380" s="2" t="s">
        <v>3298</v>
      </c>
      <c r="C1380" s="2" t="s">
        <v>51</v>
      </c>
      <c r="D1380" s="2" t="s">
        <v>442</v>
      </c>
      <c r="E1380" s="4">
        <v>259.98</v>
      </c>
      <c r="F1380" s="14"/>
      <c r="G1380" s="3">
        <v>0</v>
      </c>
      <c r="H1380" s="6">
        <v>0</v>
      </c>
      <c r="I1380" s="3">
        <v>0</v>
      </c>
      <c r="J1380" s="13" t="str">
        <f>HYPERLINK("https://amazon.com/dp/B00LE61MV0","Amazon - B00LE61MV0")</f>
        <v>Amazon - B00LE61MV0</v>
      </c>
      <c r="K1380" s="14" t="s">
        <v>443</v>
      </c>
      <c r="L1380" s="14" t="s">
        <v>1299</v>
      </c>
      <c r="M1380" s="14" t="s">
        <v>3299</v>
      </c>
      <c r="N1380" s="14" t="s">
        <v>446</v>
      </c>
      <c r="O1380" s="14" t="s">
        <v>303</v>
      </c>
    </row>
    <row r="1381" spans="1:15" ht="30" x14ac:dyDescent="0.2">
      <c r="A1381" s="2" t="s">
        <v>3300</v>
      </c>
      <c r="B1381" s="2" t="s">
        <v>3301</v>
      </c>
      <c r="C1381" s="2" t="s">
        <v>290</v>
      </c>
      <c r="D1381" s="2" t="s">
        <v>442</v>
      </c>
      <c r="E1381" s="4">
        <v>14.95</v>
      </c>
      <c r="F1381" s="14"/>
      <c r="G1381" s="3">
        <v>0</v>
      </c>
      <c r="H1381" s="6">
        <v>1</v>
      </c>
      <c r="I1381" s="3">
        <v>1</v>
      </c>
      <c r="J1381" s="13" t="str">
        <f>HYPERLINK("https://amazon.com/dp/B0BZVN4HY8","Amazon - B0BZVN4HY8")</f>
        <v>Amazon - B0BZVN4HY8</v>
      </c>
      <c r="K1381" s="14" t="s">
        <v>443</v>
      </c>
      <c r="L1381" s="14" t="s">
        <v>456</v>
      </c>
      <c r="M1381" s="14" t="s">
        <v>303</v>
      </c>
      <c r="N1381" s="14" t="s">
        <v>446</v>
      </c>
      <c r="O1381" s="14" t="s">
        <v>303</v>
      </c>
    </row>
    <row r="1382" spans="1:15" x14ac:dyDescent="0.2">
      <c r="A1382" s="2" t="s">
        <v>3302</v>
      </c>
      <c r="B1382" s="2" t="s">
        <v>3303</v>
      </c>
      <c r="C1382" s="2" t="s">
        <v>296</v>
      </c>
      <c r="D1382" s="2" t="s">
        <v>442</v>
      </c>
      <c r="E1382" s="4">
        <v>10.84</v>
      </c>
      <c r="F1382" s="14"/>
      <c r="G1382" s="3">
        <v>0</v>
      </c>
      <c r="H1382" s="6">
        <v>0</v>
      </c>
      <c r="I1382" s="3">
        <v>0</v>
      </c>
      <c r="J1382" s="13" t="str">
        <f>HYPERLINK("https://amazon.com/dp/B0B14ZT6GT","Amazon - B0B14ZT6GT")</f>
        <v>Amazon - B0B14ZT6GT</v>
      </c>
      <c r="K1382" s="14" t="s">
        <v>443</v>
      </c>
      <c r="L1382" s="14" t="s">
        <v>303</v>
      </c>
      <c r="M1382" s="14" t="s">
        <v>303</v>
      </c>
      <c r="N1382" s="14" t="s">
        <v>446</v>
      </c>
      <c r="O1382" s="14" t="s">
        <v>303</v>
      </c>
    </row>
    <row r="1383" spans="1:15" ht="45" x14ac:dyDescent="0.2">
      <c r="A1383" s="2" t="s">
        <v>3304</v>
      </c>
      <c r="B1383" s="2" t="s">
        <v>3305</v>
      </c>
      <c r="C1383" s="2" t="s">
        <v>43</v>
      </c>
      <c r="D1383" s="2" t="s">
        <v>472</v>
      </c>
      <c r="E1383" s="4">
        <v>859.99</v>
      </c>
      <c r="F1383" s="14"/>
      <c r="G1383" s="3">
        <v>0</v>
      </c>
      <c r="H1383" s="6">
        <v>1</v>
      </c>
      <c r="I1383" s="3">
        <v>1</v>
      </c>
      <c r="J1383" s="13" t="str">
        <f>HYPERLINK("https://amazon.com/dp/B0D97SD7Q6","Amazon - B0D97SD7Q6")</f>
        <v>Amazon - B0D97SD7Q6</v>
      </c>
      <c r="K1383" s="14" t="s">
        <v>443</v>
      </c>
      <c r="L1383" s="14" t="s">
        <v>502</v>
      </c>
      <c r="M1383" s="14" t="s">
        <v>565</v>
      </c>
      <c r="N1383" s="14" t="s">
        <v>446</v>
      </c>
      <c r="O1383" s="14" t="s">
        <v>3306</v>
      </c>
    </row>
    <row r="1384" spans="1:15" ht="45" x14ac:dyDescent="0.2">
      <c r="A1384" s="2" t="s">
        <v>3307</v>
      </c>
      <c r="B1384" s="2" t="s">
        <v>3308</v>
      </c>
      <c r="C1384" s="2" t="s">
        <v>43</v>
      </c>
      <c r="D1384" s="2" t="s">
        <v>472</v>
      </c>
      <c r="E1384" s="4">
        <v>788.49</v>
      </c>
      <c r="F1384" s="14"/>
      <c r="G1384" s="3">
        <v>0</v>
      </c>
      <c r="H1384" s="6">
        <v>1</v>
      </c>
      <c r="I1384" s="3">
        <v>1</v>
      </c>
      <c r="J1384" s="13" t="str">
        <f>HYPERLINK("https://amazon.com/dp/B0D97V45MK","Amazon - B0D97V45MK")</f>
        <v>Amazon - B0D97V45MK</v>
      </c>
      <c r="K1384" s="14" t="s">
        <v>443</v>
      </c>
      <c r="L1384" s="14" t="s">
        <v>502</v>
      </c>
      <c r="M1384" s="14" t="s">
        <v>565</v>
      </c>
      <c r="N1384" s="14" t="s">
        <v>446</v>
      </c>
      <c r="O1384" s="14" t="s">
        <v>570</v>
      </c>
    </row>
    <row r="1385" spans="1:15" ht="30" x14ac:dyDescent="0.2">
      <c r="A1385" s="2" t="s">
        <v>3309</v>
      </c>
      <c r="B1385" s="2" t="s">
        <v>3310</v>
      </c>
      <c r="C1385" s="2" t="s">
        <v>280</v>
      </c>
      <c r="D1385" s="2" t="s">
        <v>450</v>
      </c>
      <c r="E1385" s="4">
        <v>8.5299999999999994</v>
      </c>
      <c r="F1385" s="14"/>
      <c r="G1385" s="3">
        <v>0</v>
      </c>
      <c r="H1385" s="6">
        <v>0</v>
      </c>
      <c r="I1385" s="3">
        <v>0</v>
      </c>
      <c r="J1385" s="13" t="str">
        <f>HYPERLINK("https://amazon.com/dp/B0CKRRFPWY","Amazon - B0CKRRFPWY")</f>
        <v>Amazon - B0CKRRFPWY</v>
      </c>
      <c r="K1385" s="14" t="s">
        <v>443</v>
      </c>
      <c r="L1385" s="14" t="s">
        <v>303</v>
      </c>
      <c r="M1385" s="14" t="s">
        <v>303</v>
      </c>
      <c r="N1385" s="14" t="s">
        <v>446</v>
      </c>
      <c r="O1385" s="14" t="s">
        <v>303</v>
      </c>
    </row>
    <row r="1386" spans="1:15" ht="45" x14ac:dyDescent="0.2">
      <c r="A1386" s="2" t="s">
        <v>3311</v>
      </c>
      <c r="B1386" s="2" t="s">
        <v>3312</v>
      </c>
      <c r="C1386" s="2" t="s">
        <v>104</v>
      </c>
      <c r="D1386" s="2" t="s">
        <v>472</v>
      </c>
      <c r="E1386" s="4">
        <v>299.99</v>
      </c>
      <c r="F1386" s="14"/>
      <c r="G1386" s="3">
        <v>0</v>
      </c>
      <c r="H1386" s="6">
        <v>0</v>
      </c>
      <c r="I1386" s="3">
        <v>0</v>
      </c>
      <c r="J1386" s="13" t="str">
        <f>HYPERLINK("https://amazon.com/dp/B0F489HT24","Amazon - B0F489HT24")</f>
        <v>Amazon - B0F489HT24</v>
      </c>
      <c r="K1386" s="14" t="s">
        <v>443</v>
      </c>
      <c r="L1386" s="14" t="s">
        <v>461</v>
      </c>
      <c r="M1386" s="14" t="s">
        <v>303</v>
      </c>
      <c r="N1386" s="14" t="s">
        <v>446</v>
      </c>
      <c r="O1386" s="14" t="s">
        <v>517</v>
      </c>
    </row>
    <row r="1387" spans="1:15" ht="45" x14ac:dyDescent="0.2">
      <c r="A1387" s="2" t="s">
        <v>3313</v>
      </c>
      <c r="B1387" s="2" t="s">
        <v>3314</v>
      </c>
      <c r="C1387" s="2" t="s">
        <v>342</v>
      </c>
      <c r="D1387" s="2" t="s">
        <v>472</v>
      </c>
      <c r="E1387" s="4">
        <v>421.66</v>
      </c>
      <c r="F1387" s="14"/>
      <c r="G1387" s="3">
        <v>0</v>
      </c>
      <c r="H1387" s="6">
        <v>0</v>
      </c>
      <c r="I1387" s="3">
        <v>0</v>
      </c>
      <c r="J1387" s="13" t="str">
        <f>HYPERLINK("https://amazon.com/dp/B0FKGNSWW8","Amazon - B0FKGNSWW8")</f>
        <v>Amazon - B0FKGNSWW8</v>
      </c>
      <c r="K1387" s="14" t="s">
        <v>443</v>
      </c>
      <c r="L1387" s="14" t="s">
        <v>502</v>
      </c>
      <c r="M1387" s="14" t="s">
        <v>303</v>
      </c>
      <c r="N1387" s="14" t="s">
        <v>446</v>
      </c>
      <c r="O1387" s="14" t="s">
        <v>725</v>
      </c>
    </row>
    <row r="1388" spans="1:15" ht="30" x14ac:dyDescent="0.2">
      <c r="A1388" s="2" t="s">
        <v>3315</v>
      </c>
      <c r="B1388" s="2" t="s">
        <v>3316</v>
      </c>
      <c r="C1388" s="2" t="s">
        <v>321</v>
      </c>
      <c r="D1388" s="2" t="s">
        <v>442</v>
      </c>
      <c r="E1388" s="4">
        <v>599.99</v>
      </c>
      <c r="F1388" s="14"/>
      <c r="G1388" s="3">
        <v>0</v>
      </c>
      <c r="H1388" s="6">
        <v>0</v>
      </c>
      <c r="I1388" s="3">
        <v>0</v>
      </c>
      <c r="J1388" s="13" t="str">
        <f>HYPERLINK("https://amazon.com/dp/B0DDCTNDTF","Amazon - B0DDCTNDTF")</f>
        <v>Amazon - B0DDCTNDTF</v>
      </c>
      <c r="K1388" s="14" t="s">
        <v>443</v>
      </c>
      <c r="L1388" s="14" t="s">
        <v>303</v>
      </c>
      <c r="M1388" s="14" t="s">
        <v>303</v>
      </c>
      <c r="N1388" s="14" t="s">
        <v>446</v>
      </c>
      <c r="O1388" s="14" t="s">
        <v>487</v>
      </c>
    </row>
    <row r="1389" spans="1:15" x14ac:dyDescent="0.2">
      <c r="A1389" s="2" t="s">
        <v>3317</v>
      </c>
      <c r="B1389" s="2" t="s">
        <v>3318</v>
      </c>
      <c r="C1389" s="2" t="s">
        <v>353</v>
      </c>
      <c r="D1389" s="2" t="s">
        <v>450</v>
      </c>
      <c r="E1389" s="4">
        <v>669</v>
      </c>
      <c r="F1389" s="14"/>
      <c r="G1389" s="3">
        <v>0</v>
      </c>
      <c r="H1389" s="6">
        <v>0</v>
      </c>
      <c r="I1389" s="3">
        <v>0</v>
      </c>
      <c r="J1389" s="13" t="str">
        <f>HYPERLINK("https://amazon.com/dp/B07RYBTQPC","Amazon - B07RYBTQPC")</f>
        <v>Amazon - B07RYBTQPC</v>
      </c>
      <c r="K1389" s="14" t="s">
        <v>443</v>
      </c>
      <c r="L1389" s="14" t="s">
        <v>303</v>
      </c>
      <c r="M1389" s="14" t="s">
        <v>303</v>
      </c>
      <c r="N1389" s="14" t="s">
        <v>446</v>
      </c>
      <c r="O1389" s="14" t="s">
        <v>303</v>
      </c>
    </row>
    <row r="1390" spans="1:15" x14ac:dyDescent="0.2">
      <c r="A1390" s="2" t="s">
        <v>3319</v>
      </c>
      <c r="B1390" s="2" t="s">
        <v>3320</v>
      </c>
      <c r="C1390" s="2" t="s">
        <v>344</v>
      </c>
      <c r="D1390" s="2" t="s">
        <v>442</v>
      </c>
      <c r="E1390" s="4">
        <v>123.87</v>
      </c>
      <c r="F1390" s="14"/>
      <c r="G1390" s="3">
        <v>0</v>
      </c>
      <c r="H1390" s="6">
        <v>0</v>
      </c>
      <c r="I1390" s="3">
        <v>0</v>
      </c>
      <c r="J1390" s="13" t="str">
        <f>HYPERLINK("https://amazon.com/dp/B019RAUAHG","Amazon - B019RAUAHG")</f>
        <v>Amazon - B019RAUAHG</v>
      </c>
      <c r="K1390" s="14" t="s">
        <v>443</v>
      </c>
      <c r="L1390" s="14" t="s">
        <v>461</v>
      </c>
      <c r="M1390" s="14" t="s">
        <v>1562</v>
      </c>
      <c r="N1390" s="14" t="s">
        <v>446</v>
      </c>
      <c r="O1390" s="14" t="s">
        <v>303</v>
      </c>
    </row>
    <row r="1391" spans="1:15" ht="30" x14ac:dyDescent="0.2">
      <c r="A1391" s="2" t="s">
        <v>3321</v>
      </c>
      <c r="B1391" s="2" t="s">
        <v>3322</v>
      </c>
      <c r="C1391" s="2" t="s">
        <v>366</v>
      </c>
      <c r="D1391" s="2" t="s">
        <v>450</v>
      </c>
      <c r="E1391" s="4">
        <v>13.44</v>
      </c>
      <c r="F1391" s="14"/>
      <c r="G1391" s="3">
        <v>0</v>
      </c>
      <c r="H1391" s="6">
        <v>0</v>
      </c>
      <c r="I1391" s="3">
        <v>0</v>
      </c>
      <c r="J1391" s="13" t="str">
        <f>HYPERLINK("https://amazon.com/dp/B0DFYYPLQS","Amazon - B0DFYYPLQS")</f>
        <v>Amazon - B0DFYYPLQS</v>
      </c>
      <c r="K1391" s="14" t="s">
        <v>443</v>
      </c>
      <c r="L1391" s="14" t="s">
        <v>303</v>
      </c>
      <c r="M1391" s="14" t="s">
        <v>565</v>
      </c>
      <c r="N1391" s="14" t="s">
        <v>446</v>
      </c>
      <c r="O1391" s="14" t="s">
        <v>578</v>
      </c>
    </row>
    <row r="1392" spans="1:15" ht="30" x14ac:dyDescent="0.2">
      <c r="A1392" s="2" t="s">
        <v>3323</v>
      </c>
      <c r="B1392" s="2" t="s">
        <v>3324</v>
      </c>
      <c r="C1392" s="2" t="s">
        <v>333</v>
      </c>
      <c r="D1392" s="2" t="s">
        <v>442</v>
      </c>
      <c r="E1392" s="4">
        <v>20.79</v>
      </c>
      <c r="F1392" s="14"/>
      <c r="G1392" s="3">
        <v>0</v>
      </c>
      <c r="H1392" s="6">
        <v>1</v>
      </c>
      <c r="I1392" s="3">
        <v>1</v>
      </c>
      <c r="J1392" s="13" t="str">
        <f>HYPERLINK("https://amazon.com/dp/B0D14SJ93Q","Amazon - B0D14SJ93Q")</f>
        <v>Amazon - B0D14SJ93Q</v>
      </c>
      <c r="K1392" s="14" t="s">
        <v>443</v>
      </c>
      <c r="L1392" s="14" t="s">
        <v>303</v>
      </c>
      <c r="M1392" s="14" t="s">
        <v>511</v>
      </c>
      <c r="N1392" s="14" t="s">
        <v>446</v>
      </c>
      <c r="O1392" s="14" t="s">
        <v>543</v>
      </c>
    </row>
    <row r="1393" spans="1:15" ht="30" x14ac:dyDescent="0.2">
      <c r="A1393" s="2" t="s">
        <v>3325</v>
      </c>
      <c r="B1393" s="2" t="s">
        <v>3326</v>
      </c>
      <c r="C1393" s="2" t="s">
        <v>14</v>
      </c>
      <c r="D1393" s="2" t="s">
        <v>472</v>
      </c>
      <c r="E1393" s="4">
        <v>259.99</v>
      </c>
      <c r="F1393" s="14"/>
      <c r="G1393" s="3">
        <v>0</v>
      </c>
      <c r="H1393" s="6">
        <v>5</v>
      </c>
      <c r="I1393" s="3">
        <v>1</v>
      </c>
      <c r="J1393" s="13" t="str">
        <f>HYPERLINK("https://amazon.com/dp/B0FQTHB551","Amazon - B0FQTHB551")</f>
        <v>Amazon - B0FQTHB551</v>
      </c>
      <c r="K1393" s="14" t="s">
        <v>443</v>
      </c>
      <c r="L1393" s="14" t="s">
        <v>303</v>
      </c>
      <c r="M1393" s="14" t="s">
        <v>565</v>
      </c>
      <c r="N1393" s="14" t="s">
        <v>446</v>
      </c>
      <c r="O1393" s="14" t="s">
        <v>517</v>
      </c>
    </row>
    <row r="1394" spans="1:15" ht="45" x14ac:dyDescent="0.2">
      <c r="A1394" s="2" t="s">
        <v>3327</v>
      </c>
      <c r="B1394" s="2" t="s">
        <v>3328</v>
      </c>
      <c r="C1394" s="2" t="s">
        <v>352</v>
      </c>
      <c r="D1394" s="2" t="s">
        <v>472</v>
      </c>
      <c r="E1394" s="4">
        <v>469.99</v>
      </c>
      <c r="F1394" s="14"/>
      <c r="G1394" s="3">
        <v>0</v>
      </c>
      <c r="H1394" s="6">
        <v>0</v>
      </c>
      <c r="I1394" s="3">
        <v>0</v>
      </c>
      <c r="J1394" s="13" t="str">
        <f>HYPERLINK("https://amazon.com/dp/B0CMD25GSF","Amazon - B0CMD25GSF")</f>
        <v>Amazon - B0CMD25GSF</v>
      </c>
      <c r="K1394" s="14" t="s">
        <v>443</v>
      </c>
      <c r="L1394" s="14" t="s">
        <v>502</v>
      </c>
      <c r="M1394" s="14" t="s">
        <v>303</v>
      </c>
      <c r="N1394" s="14" t="s">
        <v>446</v>
      </c>
      <c r="O1394" s="14" t="s">
        <v>725</v>
      </c>
    </row>
    <row r="1395" spans="1:15" ht="45" x14ac:dyDescent="0.2">
      <c r="A1395" s="2" t="s">
        <v>3329</v>
      </c>
      <c r="B1395" s="2" t="s">
        <v>3330</v>
      </c>
      <c r="C1395" s="2" t="s">
        <v>51</v>
      </c>
      <c r="D1395" s="2" t="s">
        <v>450</v>
      </c>
      <c r="E1395" s="4">
        <v>649.98</v>
      </c>
      <c r="F1395" s="14"/>
      <c r="G1395" s="3">
        <v>0</v>
      </c>
      <c r="H1395" s="6">
        <v>0</v>
      </c>
      <c r="I1395" s="3">
        <v>0</v>
      </c>
      <c r="J1395" s="13" t="str">
        <f>HYPERLINK("https://amazon.com/dp/B08J27J2QY","Amazon - B08J27J2QY")</f>
        <v>Amazon - B08J27J2QY</v>
      </c>
      <c r="K1395" s="14" t="s">
        <v>443</v>
      </c>
      <c r="L1395" s="14" t="s">
        <v>461</v>
      </c>
      <c r="M1395" s="14" t="s">
        <v>457</v>
      </c>
      <c r="N1395" s="14" t="s">
        <v>446</v>
      </c>
      <c r="O1395" s="14" t="s">
        <v>447</v>
      </c>
    </row>
    <row r="1396" spans="1:15" ht="45" x14ac:dyDescent="0.2">
      <c r="A1396" s="2" t="s">
        <v>3331</v>
      </c>
      <c r="B1396" s="2" t="s">
        <v>3332</v>
      </c>
      <c r="C1396" s="2" t="s">
        <v>33</v>
      </c>
      <c r="D1396" s="2" t="s">
        <v>472</v>
      </c>
      <c r="E1396" s="4">
        <v>599.99</v>
      </c>
      <c r="F1396" s="14"/>
      <c r="G1396" s="3">
        <v>0</v>
      </c>
      <c r="H1396" s="6">
        <v>0</v>
      </c>
      <c r="I1396" s="3">
        <v>0</v>
      </c>
      <c r="J1396" s="13" t="str">
        <f>HYPERLINK("https://amazon.com/dp/B0CSJQMN4F","Amazon - B0CSJQMN4F")</f>
        <v>Amazon - B0CSJQMN4F</v>
      </c>
      <c r="K1396" s="14" t="s">
        <v>443</v>
      </c>
      <c r="L1396" s="14" t="s">
        <v>461</v>
      </c>
      <c r="M1396" s="14" t="s">
        <v>565</v>
      </c>
      <c r="N1396" s="14" t="s">
        <v>446</v>
      </c>
      <c r="O1396" s="14" t="s">
        <v>809</v>
      </c>
    </row>
    <row r="1397" spans="1:15" ht="45" x14ac:dyDescent="0.2">
      <c r="A1397" s="2" t="s">
        <v>3333</v>
      </c>
      <c r="B1397" s="2" t="s">
        <v>3334</v>
      </c>
      <c r="C1397" s="2" t="s">
        <v>51</v>
      </c>
      <c r="D1397" s="2" t="s">
        <v>450</v>
      </c>
      <c r="E1397" s="4">
        <v>499.98</v>
      </c>
      <c r="F1397" s="14"/>
      <c r="G1397" s="3">
        <v>0</v>
      </c>
      <c r="H1397" s="6">
        <v>0</v>
      </c>
      <c r="I1397" s="3">
        <v>0</v>
      </c>
      <c r="J1397" s="13" t="str">
        <f>HYPERLINK("https://amazon.com/dp/B08J1SHSCJ","Amazon - B08J1SHSCJ")</f>
        <v>Amazon - B08J1SHSCJ</v>
      </c>
      <c r="K1397" s="14" t="s">
        <v>443</v>
      </c>
      <c r="L1397" s="14" t="s">
        <v>461</v>
      </c>
      <c r="M1397" s="14" t="s">
        <v>457</v>
      </c>
      <c r="N1397" s="14" t="s">
        <v>446</v>
      </c>
      <c r="O1397" s="14" t="s">
        <v>447</v>
      </c>
    </row>
    <row r="1398" spans="1:15" ht="45" x14ac:dyDescent="0.2">
      <c r="A1398" s="2" t="s">
        <v>3335</v>
      </c>
      <c r="B1398" s="2" t="s">
        <v>3336</v>
      </c>
      <c r="C1398" s="2" t="s">
        <v>51</v>
      </c>
      <c r="D1398" s="2" t="s">
        <v>823</v>
      </c>
      <c r="E1398" s="4">
        <v>579.98</v>
      </c>
      <c r="F1398" s="14"/>
      <c r="G1398" s="3">
        <v>0</v>
      </c>
      <c r="H1398" s="6">
        <v>0</v>
      </c>
      <c r="I1398" s="3">
        <v>0</v>
      </c>
      <c r="J1398" s="13" t="str">
        <f>HYPERLINK("https://amazon.com/dp/B08J1Y8QHK","Amazon - B08J1Y8QHK")</f>
        <v>Amazon - B08J1Y8QHK</v>
      </c>
      <c r="K1398" s="14" t="s">
        <v>443</v>
      </c>
      <c r="L1398" s="14" t="s">
        <v>451</v>
      </c>
      <c r="M1398" s="14" t="s">
        <v>457</v>
      </c>
      <c r="N1398" s="14" t="s">
        <v>446</v>
      </c>
      <c r="O1398" s="14" t="s">
        <v>447</v>
      </c>
    </row>
    <row r="1399" spans="1:15" ht="45" x14ac:dyDescent="0.2">
      <c r="A1399" s="2" t="s">
        <v>3337</v>
      </c>
      <c r="B1399" s="2" t="s">
        <v>1874</v>
      </c>
      <c r="C1399" s="2" t="s">
        <v>69</v>
      </c>
      <c r="D1399" s="2" t="s">
        <v>472</v>
      </c>
      <c r="E1399" s="4">
        <v>259.99</v>
      </c>
      <c r="F1399" s="14"/>
      <c r="G1399" s="3">
        <v>0</v>
      </c>
      <c r="H1399" s="6">
        <v>5</v>
      </c>
      <c r="I1399" s="3">
        <v>1</v>
      </c>
      <c r="J1399" s="13" t="str">
        <f>HYPERLINK("https://amazon.com/dp/B0FJ543JXH","Amazon - B0FJ543JXH")</f>
        <v>Amazon - B0FJ543JXH</v>
      </c>
      <c r="K1399" s="14" t="s">
        <v>443</v>
      </c>
      <c r="L1399" s="14" t="s">
        <v>461</v>
      </c>
      <c r="M1399" s="14" t="s">
        <v>1875</v>
      </c>
      <c r="N1399" s="14" t="s">
        <v>446</v>
      </c>
      <c r="O1399" s="14" t="s">
        <v>517</v>
      </c>
    </row>
    <row r="1400" spans="1:15" x14ac:dyDescent="0.2">
      <c r="A1400" s="2" t="s">
        <v>3338</v>
      </c>
      <c r="B1400" s="2" t="s">
        <v>3339</v>
      </c>
      <c r="C1400" s="2" t="s">
        <v>399</v>
      </c>
      <c r="D1400" s="2" t="s">
        <v>442</v>
      </c>
      <c r="E1400" s="4">
        <v>69.98</v>
      </c>
      <c r="F1400" s="14"/>
      <c r="G1400" s="3">
        <v>0</v>
      </c>
      <c r="H1400" s="6">
        <v>4.0999999999999996</v>
      </c>
      <c r="I1400" s="3">
        <v>216</v>
      </c>
      <c r="J1400" s="13" t="str">
        <f>HYPERLINK("https://amazon.com/dp/B003629WRQ","Amazon - B003629WRQ")</f>
        <v>Amazon - B003629WRQ</v>
      </c>
      <c r="K1400" s="14" t="s">
        <v>443</v>
      </c>
      <c r="L1400" s="14" t="s">
        <v>530</v>
      </c>
      <c r="M1400" s="14" t="s">
        <v>303</v>
      </c>
      <c r="N1400" s="14" t="s">
        <v>446</v>
      </c>
      <c r="O1400" s="14" t="s">
        <v>303</v>
      </c>
    </row>
    <row r="1401" spans="1:15" ht="30" x14ac:dyDescent="0.2">
      <c r="A1401" s="2" t="s">
        <v>3340</v>
      </c>
      <c r="B1401" s="2" t="s">
        <v>3341</v>
      </c>
      <c r="C1401" s="2" t="s">
        <v>211</v>
      </c>
      <c r="D1401" s="2" t="s">
        <v>442</v>
      </c>
      <c r="E1401" s="4">
        <v>58.96</v>
      </c>
      <c r="F1401" s="14"/>
      <c r="G1401" s="3">
        <v>0</v>
      </c>
      <c r="H1401" s="6">
        <v>0</v>
      </c>
      <c r="I1401" s="3">
        <v>0</v>
      </c>
      <c r="J1401" s="13" t="str">
        <f>HYPERLINK("https://amazon.com/dp/B0CMV7M4JG","Amazon - B0CMV7M4JG")</f>
        <v>Amazon - B0CMV7M4JG</v>
      </c>
      <c r="K1401" s="14" t="s">
        <v>443</v>
      </c>
      <c r="L1401" s="14" t="s">
        <v>461</v>
      </c>
      <c r="M1401" s="14" t="s">
        <v>303</v>
      </c>
      <c r="N1401" s="14" t="s">
        <v>446</v>
      </c>
      <c r="O1401" s="14" t="s">
        <v>608</v>
      </c>
    </row>
    <row r="1402" spans="1:15" ht="45" x14ac:dyDescent="0.2">
      <c r="A1402" s="2" t="s">
        <v>3342</v>
      </c>
      <c r="B1402" s="2" t="s">
        <v>3343</v>
      </c>
      <c r="C1402" s="2" t="s">
        <v>43</v>
      </c>
      <c r="D1402" s="2" t="s">
        <v>472</v>
      </c>
      <c r="E1402" s="4">
        <v>883.49</v>
      </c>
      <c r="F1402" s="14"/>
      <c r="G1402" s="3">
        <v>0</v>
      </c>
      <c r="H1402" s="6">
        <v>0</v>
      </c>
      <c r="I1402" s="3">
        <v>0</v>
      </c>
      <c r="J1402" s="13" t="str">
        <f>HYPERLINK("https://amazon.com/dp/B0FK5LD87G","Amazon - B0FK5LD87G")</f>
        <v>Amazon - B0FK5LD87G</v>
      </c>
      <c r="K1402" s="14" t="s">
        <v>443</v>
      </c>
      <c r="L1402" s="14" t="s">
        <v>502</v>
      </c>
      <c r="M1402" s="14" t="s">
        <v>565</v>
      </c>
      <c r="N1402" s="14" t="s">
        <v>446</v>
      </c>
      <c r="O1402" s="14" t="s">
        <v>303</v>
      </c>
    </row>
    <row r="1403" spans="1:15" ht="30" x14ac:dyDescent="0.2">
      <c r="A1403" s="2" t="s">
        <v>3344</v>
      </c>
      <c r="B1403" s="2" t="s">
        <v>3345</v>
      </c>
      <c r="C1403" s="2" t="s">
        <v>380</v>
      </c>
      <c r="D1403" s="2" t="s">
        <v>442</v>
      </c>
      <c r="E1403" s="4">
        <v>9.99</v>
      </c>
      <c r="F1403" s="14"/>
      <c r="G1403" s="3">
        <v>0</v>
      </c>
      <c r="H1403" s="6">
        <v>0</v>
      </c>
      <c r="I1403" s="3">
        <v>0</v>
      </c>
      <c r="J1403" s="13" t="str">
        <f>HYPERLINK("https://amazon.com/dp/B0DGXP7DHW","Amazon - B0DGXP7DHW")</f>
        <v>Amazon - B0DGXP7DHW</v>
      </c>
      <c r="K1403" s="14" t="s">
        <v>443</v>
      </c>
      <c r="L1403" s="14" t="s">
        <v>303</v>
      </c>
      <c r="M1403" s="14" t="s">
        <v>303</v>
      </c>
      <c r="N1403" s="14" t="s">
        <v>446</v>
      </c>
      <c r="O1403" s="14" t="s">
        <v>303</v>
      </c>
    </row>
    <row r="1404" spans="1:15" ht="30" x14ac:dyDescent="0.2">
      <c r="A1404" s="2" t="s">
        <v>3346</v>
      </c>
      <c r="B1404" s="2" t="s">
        <v>3347</v>
      </c>
      <c r="C1404" s="2" t="s">
        <v>397</v>
      </c>
      <c r="D1404" s="2" t="s">
        <v>450</v>
      </c>
      <c r="E1404" s="4">
        <v>12.73</v>
      </c>
      <c r="F1404" s="14"/>
      <c r="G1404" s="3">
        <v>0</v>
      </c>
      <c r="H1404" s="6">
        <v>0</v>
      </c>
      <c r="I1404" s="3">
        <v>0</v>
      </c>
      <c r="J1404" s="13" t="str">
        <f>HYPERLINK("https://amazon.com/dp/B0DCKGQPZ1","Amazon - B0DCKGQPZ1")</f>
        <v>Amazon - B0DCKGQPZ1</v>
      </c>
      <c r="K1404" s="14" t="s">
        <v>443</v>
      </c>
      <c r="L1404" s="14" t="s">
        <v>303</v>
      </c>
      <c r="M1404" s="14" t="s">
        <v>565</v>
      </c>
      <c r="N1404" s="14" t="s">
        <v>446</v>
      </c>
      <c r="O1404" s="14" t="s">
        <v>578</v>
      </c>
    </row>
    <row r="1405" spans="1:15" ht="30" x14ac:dyDescent="0.2">
      <c r="A1405" s="2" t="s">
        <v>3348</v>
      </c>
      <c r="B1405" s="2" t="s">
        <v>3345</v>
      </c>
      <c r="C1405" s="2" t="s">
        <v>380</v>
      </c>
      <c r="D1405" s="2" t="s">
        <v>442</v>
      </c>
      <c r="E1405" s="4">
        <v>13.99</v>
      </c>
      <c r="F1405" s="14"/>
      <c r="G1405" s="3">
        <v>0</v>
      </c>
      <c r="H1405" s="6">
        <v>0</v>
      </c>
      <c r="I1405" s="3">
        <v>0</v>
      </c>
      <c r="J1405" s="13" t="str">
        <f>HYPERLINK("https://amazon.com/dp/B0DGXPF1G5","Amazon - B0DGXPF1G5")</f>
        <v>Amazon - B0DGXPF1G5</v>
      </c>
      <c r="K1405" s="14" t="s">
        <v>443</v>
      </c>
      <c r="L1405" s="14" t="s">
        <v>303</v>
      </c>
      <c r="M1405" s="14" t="s">
        <v>303</v>
      </c>
      <c r="N1405" s="14" t="s">
        <v>446</v>
      </c>
      <c r="O1405" s="14" t="s">
        <v>303</v>
      </c>
    </row>
    <row r="1406" spans="1:15" ht="30" x14ac:dyDescent="0.2">
      <c r="A1406" s="2" t="s">
        <v>3349</v>
      </c>
      <c r="B1406" s="2" t="s">
        <v>3345</v>
      </c>
      <c r="C1406" s="2" t="s">
        <v>380</v>
      </c>
      <c r="D1406" s="2" t="s">
        <v>442</v>
      </c>
      <c r="E1406" s="4">
        <v>8.99</v>
      </c>
      <c r="F1406" s="14"/>
      <c r="G1406" s="3">
        <v>0</v>
      </c>
      <c r="H1406" s="6">
        <v>0</v>
      </c>
      <c r="I1406" s="3">
        <v>0</v>
      </c>
      <c r="J1406" s="13" t="str">
        <f>HYPERLINK("https://amazon.com/dp/B0DGXHW6JJ","Amazon - B0DGXHW6JJ")</f>
        <v>Amazon - B0DGXHW6JJ</v>
      </c>
      <c r="K1406" s="14" t="s">
        <v>443</v>
      </c>
      <c r="L1406" s="14" t="s">
        <v>303</v>
      </c>
      <c r="M1406" s="14" t="s">
        <v>303</v>
      </c>
      <c r="N1406" s="14" t="s">
        <v>446</v>
      </c>
      <c r="O1406" s="14" t="s">
        <v>303</v>
      </c>
    </row>
    <row r="1407" spans="1:15" ht="45" x14ac:dyDescent="0.2">
      <c r="A1407" s="2" t="s">
        <v>3350</v>
      </c>
      <c r="B1407" s="2" t="s">
        <v>3351</v>
      </c>
      <c r="C1407" s="2" t="s">
        <v>308</v>
      </c>
      <c r="D1407" s="2" t="s">
        <v>823</v>
      </c>
      <c r="E1407" s="4">
        <v>30</v>
      </c>
      <c r="F1407" s="14"/>
      <c r="G1407" s="3">
        <v>0</v>
      </c>
      <c r="H1407" s="6">
        <v>0</v>
      </c>
      <c r="I1407" s="3">
        <v>0</v>
      </c>
      <c r="J1407" s="13" t="str">
        <f>HYPERLINK("https://amazon.com/dp/B07YD2RJQF","Amazon - B07YD2RJQF")</f>
        <v>Amazon - B07YD2RJQF</v>
      </c>
      <c r="K1407" s="14" t="s">
        <v>443</v>
      </c>
      <c r="L1407" s="14" t="s">
        <v>451</v>
      </c>
      <c r="M1407" s="14" t="s">
        <v>511</v>
      </c>
      <c r="N1407" s="14" t="s">
        <v>446</v>
      </c>
      <c r="O1407" s="14" t="s">
        <v>543</v>
      </c>
    </row>
    <row r="1408" spans="1:15" ht="30" x14ac:dyDescent="0.2">
      <c r="A1408" s="2" t="s">
        <v>3352</v>
      </c>
      <c r="B1408" s="2" t="s">
        <v>3353</v>
      </c>
      <c r="C1408" s="2" t="s">
        <v>51</v>
      </c>
      <c r="D1408" s="2" t="s">
        <v>823</v>
      </c>
      <c r="E1408" s="4">
        <v>269.98</v>
      </c>
      <c r="F1408" s="14"/>
      <c r="G1408" s="3">
        <v>0</v>
      </c>
      <c r="H1408" s="6">
        <v>3</v>
      </c>
      <c r="I1408" s="3">
        <v>1</v>
      </c>
      <c r="J1408" s="13" t="str">
        <f>HYPERLINK("https://amazon.com/dp/B00LDZ20WW","Amazon - B00LDZ20WW")</f>
        <v>Amazon - B00LDZ20WW</v>
      </c>
      <c r="K1408" s="14" t="s">
        <v>443</v>
      </c>
      <c r="L1408" s="14" t="s">
        <v>1299</v>
      </c>
      <c r="M1408" s="14" t="s">
        <v>511</v>
      </c>
      <c r="N1408" s="14" t="s">
        <v>446</v>
      </c>
      <c r="O1408" s="14" t="s">
        <v>303</v>
      </c>
    </row>
    <row r="1409" spans="1:15" ht="45" x14ac:dyDescent="0.2">
      <c r="A1409" s="2" t="s">
        <v>3354</v>
      </c>
      <c r="B1409" s="2" t="s">
        <v>3355</v>
      </c>
      <c r="C1409" s="2" t="s">
        <v>393</v>
      </c>
      <c r="D1409" s="2" t="s">
        <v>450</v>
      </c>
      <c r="E1409" s="4">
        <v>8.98</v>
      </c>
      <c r="F1409" s="14"/>
      <c r="G1409" s="3">
        <v>0</v>
      </c>
      <c r="H1409" s="6">
        <v>0</v>
      </c>
      <c r="I1409" s="3">
        <v>0</v>
      </c>
      <c r="J1409" s="13" t="str">
        <f>HYPERLINK("https://amazon.com/dp/B0DPRHDXQG","Amazon - B0DPRHDXQG")</f>
        <v>Amazon - B0DPRHDXQG</v>
      </c>
      <c r="K1409" s="14" t="s">
        <v>443</v>
      </c>
      <c r="L1409" s="14" t="s">
        <v>303</v>
      </c>
      <c r="M1409" s="14" t="s">
        <v>303</v>
      </c>
      <c r="N1409" s="14" t="s">
        <v>446</v>
      </c>
      <c r="O1409" s="14" t="s">
        <v>303</v>
      </c>
    </row>
    <row r="1410" spans="1:15" ht="30" x14ac:dyDescent="0.2">
      <c r="A1410" s="2" t="s">
        <v>3356</v>
      </c>
      <c r="B1410" s="2" t="s">
        <v>3357</v>
      </c>
      <c r="C1410" s="2" t="s">
        <v>51</v>
      </c>
      <c r="D1410" s="2" t="s">
        <v>442</v>
      </c>
      <c r="E1410" s="4">
        <v>799.98</v>
      </c>
      <c r="F1410" s="14"/>
      <c r="G1410" s="3">
        <v>0</v>
      </c>
      <c r="H1410" s="6">
        <v>0</v>
      </c>
      <c r="I1410" s="3">
        <v>0</v>
      </c>
      <c r="J1410" s="13" t="str">
        <f>HYPERLINK("https://amazon.com/dp/B0C7LV1WSY","Amazon - B0C7LV1WSY")</f>
        <v>Amazon - B0C7LV1WSY</v>
      </c>
      <c r="K1410" s="14" t="s">
        <v>482</v>
      </c>
      <c r="L1410" s="14" t="s">
        <v>444</v>
      </c>
      <c r="M1410" s="14" t="s">
        <v>484</v>
      </c>
      <c r="N1410" s="14" t="s">
        <v>446</v>
      </c>
      <c r="O1410" s="14" t="s">
        <v>543</v>
      </c>
    </row>
    <row r="1411" spans="1:15" ht="30" x14ac:dyDescent="0.2">
      <c r="A1411" s="2" t="s">
        <v>3358</v>
      </c>
      <c r="B1411" s="2" t="s">
        <v>3359</v>
      </c>
      <c r="C1411" s="2" t="s">
        <v>274</v>
      </c>
      <c r="D1411" s="2" t="s">
        <v>442</v>
      </c>
      <c r="E1411" s="4">
        <v>14.95</v>
      </c>
      <c r="F1411" s="14"/>
      <c r="G1411" s="3">
        <v>0</v>
      </c>
      <c r="H1411" s="6">
        <v>0</v>
      </c>
      <c r="I1411" s="3">
        <v>0</v>
      </c>
      <c r="J1411" s="13" t="str">
        <f>HYPERLINK("https://amazon.com/dp/B0CNV5RBBH","Amazon - B0CNV5RBBH")</f>
        <v>Amazon - B0CNV5RBBH</v>
      </c>
      <c r="K1411" s="14" t="s">
        <v>443</v>
      </c>
      <c r="L1411" s="14" t="s">
        <v>461</v>
      </c>
      <c r="M1411" s="14" t="s">
        <v>303</v>
      </c>
      <c r="N1411" s="14" t="s">
        <v>473</v>
      </c>
      <c r="O1411" s="14" t="s">
        <v>303</v>
      </c>
    </row>
    <row r="1412" spans="1:15" ht="45" x14ac:dyDescent="0.2">
      <c r="A1412" s="2" t="s">
        <v>3360</v>
      </c>
      <c r="B1412" s="2" t="s">
        <v>3361</v>
      </c>
      <c r="C1412" s="2" t="s">
        <v>40</v>
      </c>
      <c r="D1412" s="2" t="s">
        <v>472</v>
      </c>
      <c r="E1412" s="4">
        <v>223.99</v>
      </c>
      <c r="F1412" s="14"/>
      <c r="G1412" s="3">
        <v>0</v>
      </c>
      <c r="H1412" s="6">
        <v>0</v>
      </c>
      <c r="I1412" s="3">
        <v>0</v>
      </c>
      <c r="J1412" s="13" t="str">
        <f>HYPERLINK("https://amazon.com/dp/B0CCS47QP1","Amazon - B0CCS47QP1")</f>
        <v>Amazon - B0CCS47QP1</v>
      </c>
      <c r="K1412" s="14" t="s">
        <v>443</v>
      </c>
      <c r="L1412" s="14" t="s">
        <v>456</v>
      </c>
      <c r="M1412" s="14" t="s">
        <v>688</v>
      </c>
      <c r="N1412" s="14" t="s">
        <v>446</v>
      </c>
      <c r="O1412" s="14" t="s">
        <v>742</v>
      </c>
    </row>
    <row r="1413" spans="1:15" ht="30" x14ac:dyDescent="0.2">
      <c r="A1413" s="2" t="s">
        <v>3362</v>
      </c>
      <c r="B1413" s="2" t="s">
        <v>3363</v>
      </c>
      <c r="C1413" s="2" t="s">
        <v>274</v>
      </c>
      <c r="D1413" s="2" t="s">
        <v>442</v>
      </c>
      <c r="E1413" s="4">
        <v>31.95</v>
      </c>
      <c r="F1413" s="14"/>
      <c r="G1413" s="3">
        <v>0</v>
      </c>
      <c r="H1413" s="6">
        <v>0</v>
      </c>
      <c r="I1413" s="3">
        <v>0</v>
      </c>
      <c r="J1413" s="13" t="str">
        <f>HYPERLINK("https://amazon.com/dp/B0DTRS2K13","Amazon - B0DTRS2K13")</f>
        <v>Amazon - B0DTRS2K13</v>
      </c>
      <c r="K1413" s="14" t="s">
        <v>443</v>
      </c>
      <c r="L1413" s="14" t="s">
        <v>667</v>
      </c>
      <c r="M1413" s="14" t="s">
        <v>303</v>
      </c>
      <c r="N1413" s="14" t="s">
        <v>473</v>
      </c>
      <c r="O1413" s="14" t="s">
        <v>303</v>
      </c>
    </row>
    <row r="1414" spans="1:15" ht="30" x14ac:dyDescent="0.2">
      <c r="A1414" s="2" t="s">
        <v>3364</v>
      </c>
      <c r="B1414" s="2" t="s">
        <v>3365</v>
      </c>
      <c r="C1414" s="2" t="s">
        <v>404</v>
      </c>
      <c r="D1414" s="2" t="s">
        <v>450</v>
      </c>
      <c r="E1414" s="4">
        <v>14.02</v>
      </c>
      <c r="F1414" s="14"/>
      <c r="G1414" s="3">
        <v>0</v>
      </c>
      <c r="H1414" s="6">
        <v>0</v>
      </c>
      <c r="I1414" s="3">
        <v>0</v>
      </c>
      <c r="J1414" s="13" t="str">
        <f>HYPERLINK("https://amazon.com/dp/B0DTLFY4BW","Amazon - B0DTLFY4BW")</f>
        <v>Amazon - B0DTLFY4BW</v>
      </c>
      <c r="K1414" s="14" t="s">
        <v>443</v>
      </c>
      <c r="L1414" s="14" t="s">
        <v>1725</v>
      </c>
      <c r="M1414" s="14" t="s">
        <v>462</v>
      </c>
      <c r="N1414" s="14" t="s">
        <v>446</v>
      </c>
      <c r="O1414" s="14" t="s">
        <v>453</v>
      </c>
    </row>
    <row r="1415" spans="1:15" ht="30" x14ac:dyDescent="0.2">
      <c r="A1415" s="2" t="s">
        <v>3366</v>
      </c>
      <c r="B1415" s="2" t="s">
        <v>3367</v>
      </c>
      <c r="C1415" s="2" t="s">
        <v>178</v>
      </c>
      <c r="D1415" s="2" t="s">
        <v>442</v>
      </c>
      <c r="E1415" s="4">
        <v>164.03</v>
      </c>
      <c r="F1415" s="14"/>
      <c r="G1415" s="3">
        <v>0</v>
      </c>
      <c r="H1415" s="6">
        <v>4.7</v>
      </c>
      <c r="I1415" s="3">
        <v>2</v>
      </c>
      <c r="J1415" s="13" t="str">
        <f>HYPERLINK("https://amazon.com/dp/B00Z19DSWW","Amazon - B00Z19DSWW")</f>
        <v>Amazon - B00Z19DSWW</v>
      </c>
      <c r="K1415" s="14" t="s">
        <v>443</v>
      </c>
      <c r="L1415" s="14" t="s">
        <v>303</v>
      </c>
      <c r="M1415" s="14" t="s">
        <v>445</v>
      </c>
      <c r="N1415" s="14" t="s">
        <v>446</v>
      </c>
      <c r="O1415" s="14" t="s">
        <v>543</v>
      </c>
    </row>
    <row r="1416" spans="1:15" x14ac:dyDescent="0.2">
      <c r="A1416" s="2" t="s">
        <v>3368</v>
      </c>
      <c r="B1416" s="2" t="s">
        <v>3369</v>
      </c>
      <c r="C1416" s="2" t="s">
        <v>420</v>
      </c>
      <c r="D1416" s="2" t="s">
        <v>823</v>
      </c>
      <c r="E1416" s="4">
        <v>309.99</v>
      </c>
      <c r="F1416" s="14"/>
      <c r="G1416" s="3">
        <v>0</v>
      </c>
      <c r="H1416" s="6">
        <v>2.5</v>
      </c>
      <c r="I1416" s="3">
        <v>5</v>
      </c>
      <c r="J1416" s="13" t="str">
        <f>HYPERLINK("https://amazon.com/dp/B08PDNH3LV","Amazon - B08PDNH3LV")</f>
        <v>Amazon - B08PDNH3LV</v>
      </c>
      <c r="K1416" s="14" t="s">
        <v>443</v>
      </c>
      <c r="L1416" s="14" t="s">
        <v>451</v>
      </c>
      <c r="M1416" s="14" t="s">
        <v>303</v>
      </c>
      <c r="N1416" s="14" t="s">
        <v>446</v>
      </c>
      <c r="O1416" s="14" t="s">
        <v>303</v>
      </c>
    </row>
    <row r="1417" spans="1:15" ht="30" x14ac:dyDescent="0.2">
      <c r="A1417" s="2" t="s">
        <v>3370</v>
      </c>
      <c r="B1417" s="2" t="s">
        <v>3371</v>
      </c>
      <c r="C1417" s="2" t="s">
        <v>382</v>
      </c>
      <c r="D1417" s="2" t="s">
        <v>823</v>
      </c>
      <c r="E1417" s="4">
        <v>14.96</v>
      </c>
      <c r="F1417" s="14"/>
      <c r="G1417" s="3">
        <v>0</v>
      </c>
      <c r="H1417" s="6">
        <v>0</v>
      </c>
      <c r="I1417" s="3">
        <v>0</v>
      </c>
      <c r="J1417" s="13" t="str">
        <f>HYPERLINK("https://amazon.com/dp/B0792F5YN9","Amazon - B0792F5YN9")</f>
        <v>Amazon - B0792F5YN9</v>
      </c>
      <c r="K1417" s="14" t="s">
        <v>443</v>
      </c>
      <c r="L1417" s="14" t="s">
        <v>451</v>
      </c>
      <c r="M1417" s="14" t="s">
        <v>303</v>
      </c>
      <c r="N1417" s="14" t="s">
        <v>446</v>
      </c>
      <c r="O1417" s="14" t="s">
        <v>303</v>
      </c>
    </row>
    <row r="1418" spans="1:15" ht="30" x14ac:dyDescent="0.2">
      <c r="A1418" s="2" t="s">
        <v>3372</v>
      </c>
      <c r="B1418" s="2" t="s">
        <v>3373</v>
      </c>
      <c r="C1418" s="2" t="s">
        <v>340</v>
      </c>
      <c r="D1418" s="2" t="s">
        <v>450</v>
      </c>
      <c r="E1418" s="4">
        <v>96.13</v>
      </c>
      <c r="F1418" s="14"/>
      <c r="G1418" s="3">
        <v>0</v>
      </c>
      <c r="H1418" s="6">
        <v>0</v>
      </c>
      <c r="I1418" s="3">
        <v>0</v>
      </c>
      <c r="J1418" s="13" t="str">
        <f>HYPERLINK("https://amazon.com/dp/B0DPHZ3VMV","Amazon - B0DPHZ3VMV")</f>
        <v>Amazon - B0DPHZ3VMV</v>
      </c>
      <c r="K1418" s="14" t="s">
        <v>443</v>
      </c>
      <c r="L1418" s="14" t="s">
        <v>303</v>
      </c>
      <c r="M1418" s="14" t="s">
        <v>511</v>
      </c>
      <c r="N1418" s="14" t="s">
        <v>446</v>
      </c>
      <c r="O1418" s="14" t="s">
        <v>303</v>
      </c>
    </row>
    <row r="1419" spans="1:15" ht="30" x14ac:dyDescent="0.2">
      <c r="A1419" s="2" t="s">
        <v>3374</v>
      </c>
      <c r="B1419" s="2" t="s">
        <v>3375</v>
      </c>
      <c r="C1419" s="2" t="s">
        <v>211</v>
      </c>
      <c r="D1419" s="2" t="s">
        <v>442</v>
      </c>
      <c r="E1419" s="4">
        <v>72.319999999999993</v>
      </c>
      <c r="F1419" s="14"/>
      <c r="G1419" s="3">
        <v>0</v>
      </c>
      <c r="H1419" s="6">
        <v>0</v>
      </c>
      <c r="I1419" s="3">
        <v>0</v>
      </c>
      <c r="J1419" s="13" t="str">
        <f>HYPERLINK("https://amazon.com/dp/B0CTJ4DB4L","Amazon - B0CTJ4DB4L")</f>
        <v>Amazon - B0CTJ4DB4L</v>
      </c>
      <c r="K1419" s="14" t="s">
        <v>443</v>
      </c>
      <c r="L1419" s="14" t="s">
        <v>456</v>
      </c>
      <c r="M1419" s="14" t="s">
        <v>462</v>
      </c>
      <c r="N1419" s="14" t="s">
        <v>446</v>
      </c>
      <c r="O1419" s="14" t="s">
        <v>745</v>
      </c>
    </row>
    <row r="1420" spans="1:15" ht="30" x14ac:dyDescent="0.2">
      <c r="A1420" s="2" t="s">
        <v>3376</v>
      </c>
      <c r="B1420" s="2" t="s">
        <v>3377</v>
      </c>
      <c r="C1420" s="2" t="s">
        <v>51</v>
      </c>
      <c r="D1420" s="2" t="s">
        <v>450</v>
      </c>
      <c r="E1420" s="4">
        <v>49.98</v>
      </c>
      <c r="F1420" s="14"/>
      <c r="G1420" s="3">
        <v>0</v>
      </c>
      <c r="H1420" s="6">
        <v>2.8</v>
      </c>
      <c r="I1420" s="3">
        <v>4</v>
      </c>
      <c r="J1420" s="13" t="str">
        <f>HYPERLINK("https://amazon.com/dp/B008UCZBT0","Amazon - B008UCZBT0")</f>
        <v>Amazon - B008UCZBT0</v>
      </c>
      <c r="K1420" s="14" t="s">
        <v>443</v>
      </c>
      <c r="L1420" s="14" t="s">
        <v>303</v>
      </c>
      <c r="M1420" s="14" t="s">
        <v>3378</v>
      </c>
      <c r="N1420" s="14" t="s">
        <v>446</v>
      </c>
      <c r="O1420" s="14" t="s">
        <v>303</v>
      </c>
    </row>
    <row r="1421" spans="1:15" ht="30" x14ac:dyDescent="0.2">
      <c r="A1421" s="2" t="s">
        <v>3379</v>
      </c>
      <c r="B1421" s="2" t="s">
        <v>3380</v>
      </c>
      <c r="C1421" s="2" t="s">
        <v>374</v>
      </c>
      <c r="D1421" s="2" t="s">
        <v>472</v>
      </c>
      <c r="E1421" s="4">
        <v>200.01</v>
      </c>
      <c r="F1421" s="14"/>
      <c r="G1421" s="3">
        <v>0</v>
      </c>
      <c r="H1421" s="6">
        <v>1</v>
      </c>
      <c r="I1421" s="3">
        <v>2</v>
      </c>
      <c r="J1421" s="13" t="str">
        <f>HYPERLINK("https://amazon.com/dp/B0B5Z5P64N","Amazon - B0B5Z5P64N")</f>
        <v>Amazon - B0B5Z5P64N</v>
      </c>
      <c r="K1421" s="14" t="s">
        <v>443</v>
      </c>
      <c r="L1421" s="14" t="s">
        <v>303</v>
      </c>
      <c r="M1421" s="14" t="s">
        <v>303</v>
      </c>
      <c r="N1421" s="14" t="s">
        <v>446</v>
      </c>
      <c r="O1421" s="14" t="s">
        <v>453</v>
      </c>
    </row>
    <row r="1422" spans="1:15" ht="45" x14ac:dyDescent="0.2">
      <c r="A1422" s="2" t="s">
        <v>3381</v>
      </c>
      <c r="B1422" s="2" t="s">
        <v>3382</v>
      </c>
      <c r="C1422" s="2" t="s">
        <v>81</v>
      </c>
      <c r="D1422" s="2" t="s">
        <v>442</v>
      </c>
      <c r="E1422" s="4">
        <v>43.99</v>
      </c>
      <c r="F1422" s="14"/>
      <c r="G1422" s="3">
        <v>0</v>
      </c>
      <c r="H1422" s="6">
        <v>1</v>
      </c>
      <c r="I1422" s="3">
        <v>1</v>
      </c>
      <c r="J1422" s="13" t="str">
        <f>HYPERLINK("https://amazon.com/dp/B0F62NZLTC","Amazon - B0F62NZLTC")</f>
        <v>Amazon - B0F62NZLTC</v>
      </c>
      <c r="K1422" s="14" t="s">
        <v>443</v>
      </c>
      <c r="L1422" s="14" t="s">
        <v>461</v>
      </c>
      <c r="M1422" s="14" t="s">
        <v>303</v>
      </c>
      <c r="N1422" s="14" t="s">
        <v>446</v>
      </c>
      <c r="O1422" s="14" t="s">
        <v>543</v>
      </c>
    </row>
    <row r="1423" spans="1:15" ht="30" x14ac:dyDescent="0.2">
      <c r="A1423" s="2" t="s">
        <v>3383</v>
      </c>
      <c r="B1423" s="2" t="s">
        <v>3384</v>
      </c>
      <c r="C1423" s="2" t="s">
        <v>306</v>
      </c>
      <c r="D1423" s="2" t="s">
        <v>450</v>
      </c>
      <c r="E1423" s="4">
        <v>10.99</v>
      </c>
      <c r="F1423" s="14"/>
      <c r="G1423" s="3">
        <v>0</v>
      </c>
      <c r="H1423" s="6">
        <v>0</v>
      </c>
      <c r="I1423" s="3">
        <v>0</v>
      </c>
      <c r="J1423" s="13" t="str">
        <f>HYPERLINK("https://amazon.com/dp/B0DJ83168F","Amazon - B0DJ83168F")</f>
        <v>Amazon - B0DJ83168F</v>
      </c>
      <c r="K1423" s="14" t="s">
        <v>443</v>
      </c>
      <c r="L1423" s="14" t="s">
        <v>303</v>
      </c>
      <c r="M1423" s="14" t="s">
        <v>303</v>
      </c>
      <c r="N1423" s="14" t="s">
        <v>446</v>
      </c>
      <c r="O1423" s="14" t="s">
        <v>303</v>
      </c>
    </row>
    <row r="1424" spans="1:15" ht="45" x14ac:dyDescent="0.2">
      <c r="A1424" s="2" t="s">
        <v>3385</v>
      </c>
      <c r="B1424" s="2" t="s">
        <v>3386</v>
      </c>
      <c r="C1424" s="2" t="s">
        <v>29</v>
      </c>
      <c r="D1424" s="2" t="s">
        <v>472</v>
      </c>
      <c r="E1424" s="4">
        <v>599.99</v>
      </c>
      <c r="F1424" s="14"/>
      <c r="G1424" s="3">
        <v>0</v>
      </c>
      <c r="H1424" s="6">
        <v>4</v>
      </c>
      <c r="I1424" s="3">
        <v>15</v>
      </c>
      <c r="J1424" s="13" t="str">
        <f>HYPERLINK("https://amazon.com/dp/B0C14788YZ","Amazon - B0C14788YZ")</f>
        <v>Amazon - B0C14788YZ</v>
      </c>
      <c r="K1424" s="14" t="s">
        <v>443</v>
      </c>
      <c r="L1424" s="14" t="s">
        <v>667</v>
      </c>
      <c r="M1424" s="14" t="s">
        <v>688</v>
      </c>
      <c r="N1424" s="14" t="s">
        <v>446</v>
      </c>
      <c r="O1424" s="14" t="s">
        <v>517</v>
      </c>
    </row>
    <row r="1425" spans="1:15" ht="30" x14ac:dyDescent="0.2">
      <c r="A1425" s="2" t="s">
        <v>3387</v>
      </c>
      <c r="B1425" s="2" t="s">
        <v>3388</v>
      </c>
      <c r="C1425" s="2" t="s">
        <v>51</v>
      </c>
      <c r="D1425" s="2" t="s">
        <v>442</v>
      </c>
      <c r="E1425" s="4">
        <v>999.98</v>
      </c>
      <c r="F1425" s="14"/>
      <c r="G1425" s="3">
        <v>0</v>
      </c>
      <c r="H1425" s="6">
        <v>0</v>
      </c>
      <c r="I1425" s="3">
        <v>0</v>
      </c>
      <c r="J1425" s="13" t="str">
        <f>HYPERLINK("https://amazon.com/dp/B0C7LV2PLL","Amazon - B0C7LV2PLL")</f>
        <v>Amazon - B0C7LV2PLL</v>
      </c>
      <c r="K1425" s="14" t="s">
        <v>482</v>
      </c>
      <c r="L1425" s="14" t="s">
        <v>444</v>
      </c>
      <c r="M1425" s="14" t="s">
        <v>511</v>
      </c>
      <c r="N1425" s="14" t="s">
        <v>446</v>
      </c>
      <c r="O1425" s="14" t="s">
        <v>543</v>
      </c>
    </row>
    <row r="1426" spans="1:15" ht="30" x14ac:dyDescent="0.2">
      <c r="A1426" s="2" t="s">
        <v>3389</v>
      </c>
      <c r="B1426" s="2" t="s">
        <v>3390</v>
      </c>
      <c r="C1426" s="2" t="s">
        <v>51</v>
      </c>
      <c r="D1426" s="2" t="s">
        <v>450</v>
      </c>
      <c r="E1426" s="4">
        <v>249.98</v>
      </c>
      <c r="F1426" s="14"/>
      <c r="G1426" s="3">
        <v>0</v>
      </c>
      <c r="H1426" s="6">
        <v>0</v>
      </c>
      <c r="I1426" s="3">
        <v>0</v>
      </c>
      <c r="J1426" s="13" t="str">
        <f>HYPERLINK("https://amazon.com/dp/B07SGNF588","Amazon - B07SGNF588")</f>
        <v>Amazon - B07SGNF588</v>
      </c>
      <c r="K1426" s="14" t="s">
        <v>443</v>
      </c>
      <c r="L1426" s="14" t="s">
        <v>3391</v>
      </c>
      <c r="M1426" s="14" t="s">
        <v>511</v>
      </c>
      <c r="N1426" s="14" t="s">
        <v>446</v>
      </c>
      <c r="O1426" s="14" t="s">
        <v>303</v>
      </c>
    </row>
    <row r="1427" spans="1:15" ht="30" x14ac:dyDescent="0.2">
      <c r="A1427" s="2" t="s">
        <v>3392</v>
      </c>
      <c r="B1427" s="2" t="s">
        <v>3393</v>
      </c>
      <c r="C1427" s="2" t="s">
        <v>13</v>
      </c>
      <c r="D1427" s="2" t="s">
        <v>472</v>
      </c>
      <c r="E1427" s="4">
        <v>699.99</v>
      </c>
      <c r="F1427" s="14"/>
      <c r="G1427" s="3">
        <v>0</v>
      </c>
      <c r="H1427" s="6">
        <v>2</v>
      </c>
      <c r="I1427" s="3">
        <v>1</v>
      </c>
      <c r="J1427" s="13" t="str">
        <f>HYPERLINK("https://amazon.com/dp/B0CVZVDNMP","Amazon - B0CVZVDNMP")</f>
        <v>Amazon - B0CVZVDNMP</v>
      </c>
      <c r="K1427" s="14" t="s">
        <v>443</v>
      </c>
      <c r="L1427" s="14" t="s">
        <v>303</v>
      </c>
      <c r="M1427" s="14" t="s">
        <v>303</v>
      </c>
      <c r="N1427" s="14" t="s">
        <v>446</v>
      </c>
      <c r="O1427" s="14" t="s">
        <v>863</v>
      </c>
    </row>
    <row r="1428" spans="1:15" x14ac:dyDescent="0.2">
      <c r="A1428" s="2" t="s">
        <v>3394</v>
      </c>
      <c r="B1428" s="2" t="s">
        <v>3395</v>
      </c>
      <c r="C1428" s="2" t="s">
        <v>111</v>
      </c>
      <c r="D1428" s="2" t="s">
        <v>823</v>
      </c>
      <c r="E1428" s="4">
        <v>74.989999999999995</v>
      </c>
      <c r="F1428" s="14"/>
      <c r="G1428" s="3">
        <v>0</v>
      </c>
      <c r="H1428" s="6">
        <v>0</v>
      </c>
      <c r="I1428" s="3">
        <v>0</v>
      </c>
      <c r="J1428" s="13" t="str">
        <f>HYPERLINK("https://amazon.com/dp/B0C6CTKG8H","Amazon - B0C6CTKG8H")</f>
        <v>Amazon - B0C6CTKG8H</v>
      </c>
      <c r="K1428" s="14" t="s">
        <v>443</v>
      </c>
      <c r="L1428" s="14" t="s">
        <v>451</v>
      </c>
      <c r="M1428" s="14" t="s">
        <v>303</v>
      </c>
      <c r="N1428" s="14" t="s">
        <v>446</v>
      </c>
      <c r="O1428" s="14" t="s">
        <v>303</v>
      </c>
    </row>
    <row r="1429" spans="1:15" ht="45" x14ac:dyDescent="0.2">
      <c r="A1429" s="2" t="s">
        <v>3396</v>
      </c>
      <c r="B1429" s="2" t="s">
        <v>3397</v>
      </c>
      <c r="C1429" s="2" t="s">
        <v>43</v>
      </c>
      <c r="D1429" s="2" t="s">
        <v>472</v>
      </c>
      <c r="E1429" s="4">
        <v>339</v>
      </c>
      <c r="F1429" s="14"/>
      <c r="G1429" s="3">
        <v>0</v>
      </c>
      <c r="H1429" s="6">
        <v>5</v>
      </c>
      <c r="I1429" s="3">
        <v>1</v>
      </c>
      <c r="J1429" s="13" t="str">
        <f>HYPERLINK("https://amazon.com/dp/B0B3DXCYR1","Amazon - B0B3DXCYR1")</f>
        <v>Amazon - B0B3DXCYR1</v>
      </c>
      <c r="K1429" s="14" t="s">
        <v>443</v>
      </c>
      <c r="L1429" s="14" t="s">
        <v>667</v>
      </c>
      <c r="M1429" s="14" t="s">
        <v>303</v>
      </c>
      <c r="N1429" s="14" t="s">
        <v>446</v>
      </c>
      <c r="O1429" s="14" t="s">
        <v>517</v>
      </c>
    </row>
    <row r="1430" spans="1:15" ht="45" x14ac:dyDescent="0.2">
      <c r="A1430" s="2" t="s">
        <v>3398</v>
      </c>
      <c r="B1430" s="2" t="s">
        <v>3399</v>
      </c>
      <c r="C1430" s="2" t="s">
        <v>309</v>
      </c>
      <c r="D1430" s="2" t="s">
        <v>450</v>
      </c>
      <c r="E1430" s="4">
        <v>13.49</v>
      </c>
      <c r="F1430" s="14"/>
      <c r="G1430" s="3">
        <v>0</v>
      </c>
      <c r="H1430" s="6">
        <v>0</v>
      </c>
      <c r="I1430" s="3">
        <v>0</v>
      </c>
      <c r="J1430" s="13" t="str">
        <f>HYPERLINK("https://amazon.com/dp/B0FWKRH94Y","Amazon - B0FWKRH94Y")</f>
        <v>Amazon - B0FWKRH94Y</v>
      </c>
      <c r="K1430" s="14" t="s">
        <v>443</v>
      </c>
      <c r="L1430" s="14" t="s">
        <v>451</v>
      </c>
      <c r="M1430" s="14" t="s">
        <v>462</v>
      </c>
      <c r="N1430" s="14" t="s">
        <v>446</v>
      </c>
      <c r="O1430" s="14" t="s">
        <v>453</v>
      </c>
    </row>
    <row r="1431" spans="1:15" ht="45" x14ac:dyDescent="0.2">
      <c r="A1431" s="2" t="s">
        <v>3400</v>
      </c>
      <c r="B1431" s="2" t="s">
        <v>3401</v>
      </c>
      <c r="C1431" s="2" t="s">
        <v>385</v>
      </c>
      <c r="D1431" s="2" t="s">
        <v>442</v>
      </c>
      <c r="E1431" s="4">
        <v>560.25</v>
      </c>
      <c r="F1431" s="14"/>
      <c r="G1431" s="3">
        <v>0</v>
      </c>
      <c r="H1431" s="6">
        <v>0</v>
      </c>
      <c r="I1431" s="3">
        <v>0</v>
      </c>
      <c r="J1431" s="13" t="str">
        <f>HYPERLINK("https://amazon.com/dp/B01HS8697E","Amazon - B01HS8697E")</f>
        <v>Amazon - B01HS8697E</v>
      </c>
      <c r="K1431" s="14" t="s">
        <v>443</v>
      </c>
      <c r="L1431" s="14" t="s">
        <v>1299</v>
      </c>
      <c r="M1431" s="14" t="s">
        <v>303</v>
      </c>
      <c r="N1431" s="14" t="s">
        <v>446</v>
      </c>
      <c r="O1431" s="14" t="s">
        <v>543</v>
      </c>
    </row>
    <row r="1432" spans="1:15" ht="30" x14ac:dyDescent="0.2">
      <c r="A1432" s="2" t="s">
        <v>3402</v>
      </c>
      <c r="B1432" s="2" t="s">
        <v>3403</v>
      </c>
      <c r="C1432" s="2" t="s">
        <v>51</v>
      </c>
      <c r="D1432" s="2" t="s">
        <v>450</v>
      </c>
      <c r="E1432" s="4">
        <v>149</v>
      </c>
      <c r="F1432" s="14"/>
      <c r="G1432" s="3">
        <v>0</v>
      </c>
      <c r="H1432" s="6">
        <v>0</v>
      </c>
      <c r="I1432" s="3">
        <v>0</v>
      </c>
      <c r="J1432" s="13" t="str">
        <f>HYPERLINK("https://amazon.com/dp/B09QD468XR","Amazon - B09QD468XR")</f>
        <v>Amazon - B09QD468XR</v>
      </c>
      <c r="K1432" s="14" t="s">
        <v>443</v>
      </c>
      <c r="L1432" s="14" t="s">
        <v>451</v>
      </c>
      <c r="M1432" s="14" t="s">
        <v>445</v>
      </c>
      <c r="N1432" s="14" t="s">
        <v>452</v>
      </c>
      <c r="O1432" s="14" t="s">
        <v>1204</v>
      </c>
    </row>
    <row r="1433" spans="1:15" x14ac:dyDescent="0.2">
      <c r="A1433" s="2" t="s">
        <v>3404</v>
      </c>
      <c r="B1433" s="2" t="s">
        <v>3405</v>
      </c>
      <c r="C1433" s="2" t="s">
        <v>305</v>
      </c>
      <c r="D1433" s="2" t="s">
        <v>442</v>
      </c>
      <c r="E1433" s="4">
        <v>745.15</v>
      </c>
      <c r="F1433" s="14"/>
      <c r="G1433" s="3">
        <v>0</v>
      </c>
      <c r="H1433" s="6">
        <v>0</v>
      </c>
      <c r="I1433" s="3">
        <v>0</v>
      </c>
      <c r="J1433" s="13" t="str">
        <f>HYPERLINK("https://amazon.com/dp/B0BNLNCQS7","Amazon - B0BNLNCQS7")</f>
        <v>Amazon - B0BNLNCQS7</v>
      </c>
      <c r="K1433" s="14" t="s">
        <v>443</v>
      </c>
      <c r="L1433" s="14" t="s">
        <v>303</v>
      </c>
      <c r="M1433" s="14" t="s">
        <v>303</v>
      </c>
      <c r="N1433" s="14" t="s">
        <v>446</v>
      </c>
      <c r="O1433" s="14" t="s">
        <v>303</v>
      </c>
    </row>
    <row r="1434" spans="1:15" ht="30" x14ac:dyDescent="0.2">
      <c r="A1434" s="2" t="s">
        <v>3406</v>
      </c>
      <c r="B1434" s="2" t="s">
        <v>3407</v>
      </c>
      <c r="C1434" s="2" t="s">
        <v>374</v>
      </c>
      <c r="D1434" s="2" t="s">
        <v>472</v>
      </c>
      <c r="E1434" s="4">
        <v>208.41</v>
      </c>
      <c r="F1434" s="14"/>
      <c r="G1434" s="3">
        <v>0</v>
      </c>
      <c r="H1434" s="6">
        <v>1</v>
      </c>
      <c r="I1434" s="3">
        <v>2</v>
      </c>
      <c r="J1434" s="13" t="str">
        <f>HYPERLINK("https://amazon.com/dp/B0B5VLRKBM","Amazon - B0B5VLRKBM")</f>
        <v>Amazon - B0B5VLRKBM</v>
      </c>
      <c r="K1434" s="14" t="s">
        <v>443</v>
      </c>
      <c r="L1434" s="14" t="s">
        <v>303</v>
      </c>
      <c r="M1434" s="14" t="s">
        <v>303</v>
      </c>
      <c r="N1434" s="14" t="s">
        <v>446</v>
      </c>
      <c r="O1434" s="14" t="s">
        <v>453</v>
      </c>
    </row>
    <row r="1435" spans="1:15" ht="45" x14ac:dyDescent="0.2">
      <c r="A1435" s="2" t="s">
        <v>3408</v>
      </c>
      <c r="B1435" s="2" t="s">
        <v>3409</v>
      </c>
      <c r="C1435" s="2" t="s">
        <v>328</v>
      </c>
      <c r="D1435" s="2" t="s">
        <v>472</v>
      </c>
      <c r="E1435" s="4">
        <v>369.99</v>
      </c>
      <c r="F1435" s="14"/>
      <c r="G1435" s="3">
        <v>0</v>
      </c>
      <c r="H1435" s="6">
        <v>0</v>
      </c>
      <c r="I1435" s="3">
        <v>0</v>
      </c>
      <c r="J1435" s="13" t="str">
        <f>HYPERLINK("https://amazon.com/dp/B0FSZYFMRW","Amazon - B0FSZYFMRW")</f>
        <v>Amazon - B0FSZYFMRW</v>
      </c>
      <c r="K1435" s="14" t="s">
        <v>443</v>
      </c>
      <c r="L1435" s="14" t="s">
        <v>303</v>
      </c>
      <c r="M1435" s="14" t="s">
        <v>303</v>
      </c>
      <c r="N1435" s="14" t="s">
        <v>446</v>
      </c>
      <c r="O1435" s="14" t="s">
        <v>303</v>
      </c>
    </row>
    <row r="1436" spans="1:15" ht="30" x14ac:dyDescent="0.2">
      <c r="A1436" s="2" t="s">
        <v>3410</v>
      </c>
      <c r="B1436" s="2" t="s">
        <v>3411</v>
      </c>
      <c r="C1436" s="2" t="s">
        <v>329</v>
      </c>
      <c r="D1436" s="2" t="s">
        <v>450</v>
      </c>
      <c r="E1436" s="4">
        <v>13.97</v>
      </c>
      <c r="F1436" s="14"/>
      <c r="G1436" s="3">
        <v>0</v>
      </c>
      <c r="H1436" s="6">
        <v>0</v>
      </c>
      <c r="I1436" s="3">
        <v>0</v>
      </c>
      <c r="J1436" s="13" t="str">
        <f>HYPERLINK("https://amazon.com/dp/B0CLVT2TD7","Amazon - B0CLVT2TD7")</f>
        <v>Amazon - B0CLVT2TD7</v>
      </c>
      <c r="K1436" s="14" t="s">
        <v>443</v>
      </c>
      <c r="L1436" s="14" t="s">
        <v>303</v>
      </c>
      <c r="M1436" s="14" t="s">
        <v>462</v>
      </c>
      <c r="N1436" s="14" t="s">
        <v>446</v>
      </c>
      <c r="O1436" s="14" t="s">
        <v>453</v>
      </c>
    </row>
    <row r="1437" spans="1:15" ht="30" x14ac:dyDescent="0.2">
      <c r="A1437" s="2" t="s">
        <v>3412</v>
      </c>
      <c r="B1437" s="2" t="s">
        <v>3413</v>
      </c>
      <c r="C1437" s="2" t="s">
        <v>51</v>
      </c>
      <c r="D1437" s="2" t="s">
        <v>450</v>
      </c>
      <c r="E1437" s="4">
        <v>259.98</v>
      </c>
      <c r="F1437" s="14"/>
      <c r="G1437" s="3">
        <v>0</v>
      </c>
      <c r="H1437" s="6">
        <v>3</v>
      </c>
      <c r="I1437" s="3">
        <v>2</v>
      </c>
      <c r="J1437" s="13" t="str">
        <f>HYPERLINK("https://amazon.com/dp/B00APAM27Y","Amazon - B00APAM27Y")</f>
        <v>Amazon - B00APAM27Y</v>
      </c>
      <c r="K1437" s="14" t="s">
        <v>443</v>
      </c>
      <c r="L1437" s="14" t="s">
        <v>303</v>
      </c>
      <c r="M1437" s="14" t="s">
        <v>445</v>
      </c>
      <c r="N1437" s="14" t="s">
        <v>446</v>
      </c>
      <c r="O1437" s="14" t="s">
        <v>303</v>
      </c>
    </row>
    <row r="1438" spans="1:15" ht="30" x14ac:dyDescent="0.2">
      <c r="A1438" s="2" t="s">
        <v>3414</v>
      </c>
      <c r="B1438" s="2" t="s">
        <v>3415</v>
      </c>
      <c r="C1438" s="2" t="s">
        <v>240</v>
      </c>
      <c r="D1438" s="2" t="s">
        <v>442</v>
      </c>
      <c r="E1438" s="4">
        <v>218</v>
      </c>
      <c r="F1438" s="14"/>
      <c r="G1438" s="3">
        <v>0</v>
      </c>
      <c r="H1438" s="6">
        <v>0</v>
      </c>
      <c r="I1438" s="3">
        <v>0</v>
      </c>
      <c r="J1438" s="13" t="str">
        <f>HYPERLINK("https://amazon.com/dp/B0FCGBDMJJ","Amazon - B0FCGBDMJJ")</f>
        <v>Amazon - B0FCGBDMJJ</v>
      </c>
      <c r="K1438" s="14" t="s">
        <v>443</v>
      </c>
      <c r="L1438" s="14" t="s">
        <v>461</v>
      </c>
      <c r="M1438" s="14" t="s">
        <v>303</v>
      </c>
      <c r="N1438" s="14" t="s">
        <v>446</v>
      </c>
      <c r="O1438" s="14" t="s">
        <v>543</v>
      </c>
    </row>
    <row r="1439" spans="1:15" ht="30" x14ac:dyDescent="0.2">
      <c r="A1439" s="2" t="s">
        <v>3416</v>
      </c>
      <c r="B1439" s="2" t="s">
        <v>3417</v>
      </c>
      <c r="C1439" s="2" t="s">
        <v>240</v>
      </c>
      <c r="D1439" s="2" t="s">
        <v>442</v>
      </c>
      <c r="E1439" s="4">
        <v>278</v>
      </c>
      <c r="F1439" s="14"/>
      <c r="G1439" s="3">
        <v>0</v>
      </c>
      <c r="H1439" s="6">
        <v>0</v>
      </c>
      <c r="I1439" s="3">
        <v>0</v>
      </c>
      <c r="J1439" s="13" t="str">
        <f>HYPERLINK("https://amazon.com/dp/B0FCG5N9V2","Amazon - B0FCG5N9V2")</f>
        <v>Amazon - B0FCG5N9V2</v>
      </c>
      <c r="K1439" s="14" t="s">
        <v>443</v>
      </c>
      <c r="L1439" s="14" t="s">
        <v>461</v>
      </c>
      <c r="M1439" s="14" t="s">
        <v>303</v>
      </c>
      <c r="N1439" s="14" t="s">
        <v>446</v>
      </c>
      <c r="O1439" s="14" t="s">
        <v>543</v>
      </c>
    </row>
    <row r="1440" spans="1:15" ht="30" x14ac:dyDescent="0.2">
      <c r="A1440" s="2" t="s">
        <v>3418</v>
      </c>
      <c r="B1440" s="2" t="s">
        <v>3419</v>
      </c>
      <c r="C1440" s="2" t="s">
        <v>13</v>
      </c>
      <c r="D1440" s="2" t="s">
        <v>472</v>
      </c>
      <c r="E1440" s="4">
        <v>759.99</v>
      </c>
      <c r="F1440" s="14"/>
      <c r="G1440" s="3">
        <v>0</v>
      </c>
      <c r="H1440" s="6">
        <v>4.0999999999999996</v>
      </c>
      <c r="I1440" s="3">
        <v>50</v>
      </c>
      <c r="J1440" s="13" t="str">
        <f>HYPERLINK("https://amazon.com/dp/B0FPQRJL3Z","Amazon - B0FPQRJL3Z")</f>
        <v>Amazon - B0FPQRJL3Z</v>
      </c>
      <c r="K1440" s="14" t="s">
        <v>443</v>
      </c>
      <c r="L1440" s="14" t="s">
        <v>502</v>
      </c>
      <c r="M1440" s="14" t="s">
        <v>565</v>
      </c>
      <c r="N1440" s="14" t="s">
        <v>446</v>
      </c>
      <c r="O1440" s="14" t="s">
        <v>856</v>
      </c>
    </row>
    <row r="1441" spans="1:15" ht="45" x14ac:dyDescent="0.2">
      <c r="A1441" s="2" t="s">
        <v>3420</v>
      </c>
      <c r="B1441" s="2" t="s">
        <v>3421</v>
      </c>
      <c r="C1441" s="2" t="s">
        <v>350</v>
      </c>
      <c r="D1441" s="2" t="s">
        <v>450</v>
      </c>
      <c r="E1441" s="4">
        <v>238.99</v>
      </c>
      <c r="F1441" s="14"/>
      <c r="G1441" s="3">
        <v>0</v>
      </c>
      <c r="H1441" s="6">
        <v>0</v>
      </c>
      <c r="I1441" s="3">
        <v>0</v>
      </c>
      <c r="J1441" s="13" t="str">
        <f>HYPERLINK("https://amazon.com/dp/B0CNSG5LZN","Amazon - B0CNSG5LZN")</f>
        <v>Amazon - B0CNSG5LZN</v>
      </c>
      <c r="K1441" s="14" t="s">
        <v>443</v>
      </c>
      <c r="L1441" s="14" t="s">
        <v>303</v>
      </c>
      <c r="M1441" s="14" t="s">
        <v>303</v>
      </c>
      <c r="N1441" s="14" t="s">
        <v>446</v>
      </c>
      <c r="O1441" s="14" t="s">
        <v>303</v>
      </c>
    </row>
    <row r="1442" spans="1:15" ht="30" x14ac:dyDescent="0.2">
      <c r="A1442" s="2" t="s">
        <v>3422</v>
      </c>
      <c r="B1442" s="2" t="s">
        <v>3423</v>
      </c>
      <c r="C1442" s="2" t="s">
        <v>51</v>
      </c>
      <c r="D1442" s="2" t="s">
        <v>450</v>
      </c>
      <c r="E1442" s="4">
        <v>399.98</v>
      </c>
      <c r="F1442" s="14"/>
      <c r="G1442" s="3">
        <v>0</v>
      </c>
      <c r="H1442" s="6">
        <v>0</v>
      </c>
      <c r="I1442" s="3">
        <v>0</v>
      </c>
      <c r="J1442" s="13" t="str">
        <f>HYPERLINK("https://amazon.com/dp/B0B1BGF915","Amazon - B0B1BGF915")</f>
        <v>Amazon - B0B1BGF915</v>
      </c>
      <c r="K1442" s="14" t="s">
        <v>443</v>
      </c>
      <c r="L1442" s="14" t="s">
        <v>303</v>
      </c>
      <c r="M1442" s="14" t="s">
        <v>3424</v>
      </c>
      <c r="N1442" s="14" t="s">
        <v>446</v>
      </c>
      <c r="O1442" s="14" t="s">
        <v>303</v>
      </c>
    </row>
    <row r="1443" spans="1:15" ht="45" x14ac:dyDescent="0.2">
      <c r="A1443" s="2" t="s">
        <v>3425</v>
      </c>
      <c r="B1443" s="2" t="s">
        <v>3426</v>
      </c>
      <c r="C1443" s="2" t="s">
        <v>40</v>
      </c>
      <c r="D1443" s="2" t="s">
        <v>472</v>
      </c>
      <c r="E1443" s="4">
        <v>207.99</v>
      </c>
      <c r="F1443" s="14"/>
      <c r="G1443" s="3">
        <v>0</v>
      </c>
      <c r="H1443" s="6">
        <v>0</v>
      </c>
      <c r="I1443" s="3">
        <v>0</v>
      </c>
      <c r="J1443" s="13" t="str">
        <f>HYPERLINK("https://amazon.com/dp/B0CCS5TZT6","Amazon - B0CCS5TZT6")</f>
        <v>Amazon - B0CCS5TZT6</v>
      </c>
      <c r="K1443" s="14" t="s">
        <v>443</v>
      </c>
      <c r="L1443" s="14" t="s">
        <v>456</v>
      </c>
      <c r="M1443" s="14" t="s">
        <v>303</v>
      </c>
      <c r="N1443" s="14" t="s">
        <v>446</v>
      </c>
      <c r="O1443" s="14" t="s">
        <v>629</v>
      </c>
    </row>
    <row r="1444" spans="1:15" ht="30" x14ac:dyDescent="0.2">
      <c r="A1444" s="2" t="s">
        <v>3427</v>
      </c>
      <c r="B1444" s="2" t="s">
        <v>3428</v>
      </c>
      <c r="C1444" s="2" t="s">
        <v>40</v>
      </c>
      <c r="D1444" s="2" t="s">
        <v>472</v>
      </c>
      <c r="E1444" s="4">
        <v>313.99</v>
      </c>
      <c r="F1444" s="14"/>
      <c r="G1444" s="3">
        <v>0</v>
      </c>
      <c r="H1444" s="6">
        <v>0</v>
      </c>
      <c r="I1444" s="3">
        <v>0</v>
      </c>
      <c r="J1444" s="13" t="str">
        <f>HYPERLINK("https://amazon.com/dp/B0CCS3M34T","Amazon - B0CCS3M34T")</f>
        <v>Amazon - B0CCS3M34T</v>
      </c>
      <c r="K1444" s="14" t="s">
        <v>443</v>
      </c>
      <c r="L1444" s="14" t="s">
        <v>456</v>
      </c>
      <c r="M1444" s="14" t="s">
        <v>303</v>
      </c>
      <c r="N1444" s="14" t="s">
        <v>446</v>
      </c>
      <c r="O1444" s="14" t="s">
        <v>778</v>
      </c>
    </row>
    <row r="1445" spans="1:15" ht="30" x14ac:dyDescent="0.2">
      <c r="A1445" s="2" t="s">
        <v>3429</v>
      </c>
      <c r="B1445" s="2" t="s">
        <v>3430</v>
      </c>
      <c r="C1445" s="2" t="s">
        <v>274</v>
      </c>
      <c r="D1445" s="2" t="s">
        <v>442</v>
      </c>
      <c r="E1445" s="4">
        <v>19.95</v>
      </c>
      <c r="F1445" s="14"/>
      <c r="G1445" s="3">
        <v>0</v>
      </c>
      <c r="H1445" s="6">
        <v>0</v>
      </c>
      <c r="I1445" s="3">
        <v>0</v>
      </c>
      <c r="J1445" s="13" t="str">
        <f>HYPERLINK("https://amazon.com/dp/B0CNV59R6S","Amazon - B0CNV59R6S")</f>
        <v>Amazon - B0CNV59R6S</v>
      </c>
      <c r="K1445" s="14" t="s">
        <v>443</v>
      </c>
      <c r="L1445" s="14" t="s">
        <v>667</v>
      </c>
      <c r="M1445" s="14" t="s">
        <v>303</v>
      </c>
      <c r="N1445" s="14" t="s">
        <v>473</v>
      </c>
      <c r="O1445" s="14" t="s">
        <v>303</v>
      </c>
    </row>
    <row r="1446" spans="1:15" ht="30" x14ac:dyDescent="0.2">
      <c r="A1446" s="2" t="s">
        <v>3431</v>
      </c>
      <c r="B1446" s="2" t="s">
        <v>3432</v>
      </c>
      <c r="C1446" s="2" t="s">
        <v>365</v>
      </c>
      <c r="D1446" s="2" t="s">
        <v>442</v>
      </c>
      <c r="E1446" s="4">
        <v>179.99</v>
      </c>
      <c r="F1446" s="14"/>
      <c r="G1446" s="3">
        <v>0</v>
      </c>
      <c r="H1446" s="6">
        <v>0</v>
      </c>
      <c r="I1446" s="3">
        <v>0</v>
      </c>
      <c r="J1446" s="13" t="str">
        <f>HYPERLINK("https://amazon.com/dp/B0FJXKBV6W","Amazon - B0FJXKBV6W")</f>
        <v>Amazon - B0FJXKBV6W</v>
      </c>
      <c r="K1446" s="14" t="s">
        <v>443</v>
      </c>
      <c r="L1446" s="14" t="s">
        <v>456</v>
      </c>
      <c r="M1446" s="14" t="s">
        <v>484</v>
      </c>
      <c r="N1446" s="14" t="s">
        <v>446</v>
      </c>
      <c r="O1446" s="14" t="s">
        <v>303</v>
      </c>
    </row>
    <row r="1447" spans="1:15" ht="30" x14ac:dyDescent="0.2">
      <c r="A1447" s="2" t="s">
        <v>3433</v>
      </c>
      <c r="B1447" s="2" t="s">
        <v>3434</v>
      </c>
      <c r="C1447" s="2" t="s">
        <v>40</v>
      </c>
      <c r="D1447" s="2" t="s">
        <v>472</v>
      </c>
      <c r="E1447" s="4">
        <v>249.99</v>
      </c>
      <c r="F1447" s="14"/>
      <c r="G1447" s="3">
        <v>0</v>
      </c>
      <c r="H1447" s="6">
        <v>0</v>
      </c>
      <c r="I1447" s="3">
        <v>0</v>
      </c>
      <c r="J1447" s="13" t="str">
        <f>HYPERLINK("https://amazon.com/dp/B0CCS3ZG6M","Amazon - B0CCS3ZG6M")</f>
        <v>Amazon - B0CCS3ZG6M</v>
      </c>
      <c r="K1447" s="14" t="s">
        <v>443</v>
      </c>
      <c r="L1447" s="14" t="s">
        <v>456</v>
      </c>
      <c r="M1447" s="14" t="s">
        <v>688</v>
      </c>
      <c r="N1447" s="14" t="s">
        <v>446</v>
      </c>
      <c r="O1447" s="14" t="s">
        <v>517</v>
      </c>
    </row>
    <row r="1448" spans="1:15" ht="45" x14ac:dyDescent="0.2">
      <c r="A1448" s="2" t="s">
        <v>3435</v>
      </c>
      <c r="B1448" s="2" t="s">
        <v>3436</v>
      </c>
      <c r="C1448" s="2" t="s">
        <v>40</v>
      </c>
      <c r="D1448" s="2" t="s">
        <v>472</v>
      </c>
      <c r="E1448" s="4">
        <v>289.99</v>
      </c>
      <c r="F1448" s="14"/>
      <c r="G1448" s="3">
        <v>0</v>
      </c>
      <c r="H1448" s="6">
        <v>0</v>
      </c>
      <c r="I1448" s="3">
        <v>0</v>
      </c>
      <c r="J1448" s="13" t="str">
        <f>HYPERLINK("https://amazon.com/dp/B0CCS44KS1","Amazon - B0CCS44KS1")</f>
        <v>Amazon - B0CCS44KS1</v>
      </c>
      <c r="K1448" s="14" t="s">
        <v>443</v>
      </c>
      <c r="L1448" s="14" t="s">
        <v>303</v>
      </c>
      <c r="M1448" s="14" t="s">
        <v>503</v>
      </c>
      <c r="N1448" s="14" t="s">
        <v>446</v>
      </c>
      <c r="O1448" s="14" t="s">
        <v>517</v>
      </c>
    </row>
    <row r="1449" spans="1:15" ht="30" x14ac:dyDescent="0.2">
      <c r="A1449" s="2" t="s">
        <v>3437</v>
      </c>
      <c r="B1449" s="2" t="s">
        <v>3438</v>
      </c>
      <c r="C1449" s="2" t="s">
        <v>419</v>
      </c>
      <c r="D1449" s="2" t="s">
        <v>472</v>
      </c>
      <c r="E1449" s="4">
        <v>53.47</v>
      </c>
      <c r="F1449" s="14"/>
      <c r="G1449" s="3">
        <v>0</v>
      </c>
      <c r="H1449" s="6">
        <v>0</v>
      </c>
      <c r="I1449" s="3">
        <v>0</v>
      </c>
      <c r="J1449" s="13" t="str">
        <f>HYPERLINK("https://amazon.com/dp/B0FNXCCPZ7","Amazon - B0FNXCCPZ7")</f>
        <v>Amazon - B0FNXCCPZ7</v>
      </c>
      <c r="K1449" s="14" t="s">
        <v>443</v>
      </c>
      <c r="L1449" s="14" t="s">
        <v>456</v>
      </c>
      <c r="M1449" s="14" t="s">
        <v>445</v>
      </c>
      <c r="N1449" s="14" t="s">
        <v>446</v>
      </c>
      <c r="O1449" s="14" t="s">
        <v>578</v>
      </c>
    </row>
    <row r="1450" spans="1:15" ht="45" x14ac:dyDescent="0.2">
      <c r="A1450" s="2" t="s">
        <v>3439</v>
      </c>
      <c r="B1450" s="2" t="s">
        <v>3440</v>
      </c>
      <c r="C1450" s="2" t="s">
        <v>378</v>
      </c>
      <c r="D1450" s="2" t="s">
        <v>442</v>
      </c>
      <c r="E1450" s="4">
        <v>132.86000000000001</v>
      </c>
      <c r="F1450" s="14"/>
      <c r="G1450" s="3">
        <v>0</v>
      </c>
      <c r="H1450" s="6">
        <v>5</v>
      </c>
      <c r="I1450" s="3">
        <v>1</v>
      </c>
      <c r="J1450" s="13" t="str">
        <f>HYPERLINK("https://amazon.com/dp/B09PPHJ35Z","Amazon - B09PPHJ35Z")</f>
        <v>Amazon - B09PPHJ35Z</v>
      </c>
      <c r="K1450" s="14" t="s">
        <v>443</v>
      </c>
      <c r="L1450" s="14" t="s">
        <v>530</v>
      </c>
      <c r="M1450" s="14" t="s">
        <v>457</v>
      </c>
      <c r="N1450" s="14" t="s">
        <v>446</v>
      </c>
      <c r="O1450" s="14" t="s">
        <v>303</v>
      </c>
    </row>
    <row r="1451" spans="1:15" ht="30" x14ac:dyDescent="0.2">
      <c r="A1451" s="2" t="s">
        <v>3441</v>
      </c>
      <c r="B1451" s="2" t="s">
        <v>3442</v>
      </c>
      <c r="C1451" s="2" t="s">
        <v>330</v>
      </c>
      <c r="D1451" s="2" t="s">
        <v>442</v>
      </c>
      <c r="E1451" s="4">
        <v>136.99</v>
      </c>
      <c r="F1451" s="14"/>
      <c r="G1451" s="3">
        <v>0</v>
      </c>
      <c r="H1451" s="6">
        <v>0</v>
      </c>
      <c r="I1451" s="3">
        <v>0</v>
      </c>
      <c r="J1451" s="13" t="str">
        <f>HYPERLINK("https://amazon.com/dp/B0D49NCDSK","Amazon - B0D49NCDSK")</f>
        <v>Amazon - B0D49NCDSK</v>
      </c>
      <c r="K1451" s="14" t="s">
        <v>443</v>
      </c>
      <c r="L1451" s="14" t="s">
        <v>461</v>
      </c>
      <c r="M1451" s="14" t="s">
        <v>303</v>
      </c>
      <c r="N1451" s="14" t="s">
        <v>446</v>
      </c>
      <c r="O1451" s="14" t="s">
        <v>453</v>
      </c>
    </row>
    <row r="1452" spans="1:15" ht="30" x14ac:dyDescent="0.2">
      <c r="A1452" s="2" t="s">
        <v>3443</v>
      </c>
      <c r="B1452" s="2" t="s">
        <v>3444</v>
      </c>
      <c r="C1452" s="2" t="s">
        <v>51</v>
      </c>
      <c r="D1452" s="2" t="s">
        <v>442</v>
      </c>
      <c r="E1452" s="4">
        <v>490</v>
      </c>
      <c r="F1452" s="14"/>
      <c r="G1452" s="3">
        <v>0</v>
      </c>
      <c r="H1452" s="6">
        <v>0</v>
      </c>
      <c r="I1452" s="3">
        <v>0</v>
      </c>
      <c r="J1452" s="13" t="str">
        <f>HYPERLINK("https://amazon.com/dp/B0FD4GDCDK","Amazon - B0FD4GDCDK")</f>
        <v>Amazon - B0FD4GDCDK</v>
      </c>
      <c r="K1452" s="14" t="s">
        <v>482</v>
      </c>
      <c r="L1452" s="14" t="s">
        <v>461</v>
      </c>
      <c r="M1452" s="14" t="s">
        <v>484</v>
      </c>
      <c r="N1452" s="14" t="s">
        <v>446</v>
      </c>
      <c r="O1452" s="14" t="s">
        <v>543</v>
      </c>
    </row>
    <row r="1453" spans="1:15" ht="30" x14ac:dyDescent="0.2">
      <c r="A1453" s="2" t="s">
        <v>3445</v>
      </c>
      <c r="B1453" s="2" t="s">
        <v>3446</v>
      </c>
      <c r="C1453" s="2" t="s">
        <v>51</v>
      </c>
      <c r="D1453" s="2" t="s">
        <v>442</v>
      </c>
      <c r="E1453" s="4">
        <v>590</v>
      </c>
      <c r="F1453" s="14"/>
      <c r="G1453" s="3">
        <v>0</v>
      </c>
      <c r="H1453" s="6">
        <v>0</v>
      </c>
      <c r="I1453" s="3">
        <v>0</v>
      </c>
      <c r="J1453" s="13" t="str">
        <f>HYPERLINK("https://amazon.com/dp/B0FD54M2V2","Amazon - B0FD54M2V2")</f>
        <v>Amazon - B0FD54M2V2</v>
      </c>
      <c r="K1453" s="14" t="s">
        <v>482</v>
      </c>
      <c r="L1453" s="14" t="s">
        <v>456</v>
      </c>
      <c r="M1453" s="14" t="s">
        <v>511</v>
      </c>
      <c r="N1453" s="14" t="s">
        <v>446</v>
      </c>
      <c r="O1453" s="14" t="s">
        <v>543</v>
      </c>
    </row>
    <row r="1454" spans="1:15" ht="30" x14ac:dyDescent="0.2">
      <c r="A1454" s="2" t="s">
        <v>3447</v>
      </c>
      <c r="B1454" s="2" t="s">
        <v>3448</v>
      </c>
      <c r="C1454" s="2" t="s">
        <v>50</v>
      </c>
      <c r="D1454" s="2" t="s">
        <v>472</v>
      </c>
      <c r="E1454" s="4">
        <v>249.99</v>
      </c>
      <c r="F1454" s="14"/>
      <c r="G1454" s="3">
        <v>0</v>
      </c>
      <c r="H1454" s="6">
        <v>0</v>
      </c>
      <c r="I1454" s="3">
        <v>0</v>
      </c>
      <c r="J1454" s="13" t="str">
        <f>HYPERLINK("https://amazon.com/dp/B0GMNX436S","Amazon - B0GMNX436S")</f>
        <v>Amazon - B0GMNX436S</v>
      </c>
      <c r="K1454" s="14" t="s">
        <v>443</v>
      </c>
      <c r="L1454" s="14" t="s">
        <v>303</v>
      </c>
      <c r="M1454" s="14" t="s">
        <v>303</v>
      </c>
      <c r="N1454" s="14" t="s">
        <v>446</v>
      </c>
      <c r="O1454" s="14" t="s">
        <v>303</v>
      </c>
    </row>
    <row r="1455" spans="1:15" ht="30" x14ac:dyDescent="0.2">
      <c r="A1455" s="2" t="s">
        <v>3449</v>
      </c>
      <c r="B1455" s="2" t="s">
        <v>3450</v>
      </c>
      <c r="C1455" s="2" t="s">
        <v>384</v>
      </c>
      <c r="D1455" s="2" t="s">
        <v>450</v>
      </c>
      <c r="E1455" s="4">
        <v>9.73</v>
      </c>
      <c r="F1455" s="14"/>
      <c r="G1455" s="3">
        <v>0</v>
      </c>
      <c r="H1455" s="6">
        <v>2</v>
      </c>
      <c r="I1455" s="3">
        <v>3</v>
      </c>
      <c r="J1455" s="13" t="str">
        <f>HYPERLINK("https://amazon.com/dp/B08C52QS6Y","Amazon - B08C52QS6Y")</f>
        <v>Amazon - B08C52QS6Y</v>
      </c>
      <c r="K1455" s="14" t="s">
        <v>443</v>
      </c>
      <c r="L1455" s="14" t="s">
        <v>451</v>
      </c>
      <c r="M1455" s="14" t="s">
        <v>565</v>
      </c>
      <c r="N1455" s="14" t="s">
        <v>446</v>
      </c>
      <c r="O1455" s="14" t="s">
        <v>447</v>
      </c>
    </row>
    <row r="1456" spans="1:15" ht="45" x14ac:dyDescent="0.2">
      <c r="A1456" s="2" t="s">
        <v>3451</v>
      </c>
      <c r="B1456" s="2" t="s">
        <v>3452</v>
      </c>
      <c r="C1456" s="2" t="s">
        <v>51</v>
      </c>
      <c r="D1456" s="2" t="s">
        <v>450</v>
      </c>
      <c r="E1456" s="4">
        <v>949.98</v>
      </c>
      <c r="F1456" s="14"/>
      <c r="G1456" s="3">
        <v>0</v>
      </c>
      <c r="H1456" s="6">
        <v>0</v>
      </c>
      <c r="I1456" s="3">
        <v>0</v>
      </c>
      <c r="J1456" s="13" t="str">
        <f>HYPERLINK("https://amazon.com/dp/B07NCZXTHX","Amazon - B07NCZXTHX")</f>
        <v>Amazon - B07NCZXTHX</v>
      </c>
      <c r="K1456" s="14" t="s">
        <v>443</v>
      </c>
      <c r="L1456" s="14" t="s">
        <v>451</v>
      </c>
      <c r="M1456" s="14" t="s">
        <v>3299</v>
      </c>
      <c r="N1456" s="14" t="s">
        <v>446</v>
      </c>
      <c r="O1456" s="14" t="s">
        <v>543</v>
      </c>
    </row>
    <row r="1457" spans="1:15" ht="45" x14ac:dyDescent="0.2">
      <c r="A1457" s="2" t="s">
        <v>3453</v>
      </c>
      <c r="B1457" s="2" t="s">
        <v>3454</v>
      </c>
      <c r="C1457" s="2" t="s">
        <v>343</v>
      </c>
      <c r="D1457" s="2" t="s">
        <v>450</v>
      </c>
      <c r="E1457" s="4">
        <v>88.99</v>
      </c>
      <c r="F1457" s="14"/>
      <c r="G1457" s="3">
        <v>0</v>
      </c>
      <c r="H1457" s="6">
        <v>0</v>
      </c>
      <c r="I1457" s="3">
        <v>0</v>
      </c>
      <c r="J1457" s="13" t="str">
        <f>HYPERLINK("https://amazon.com/dp/B0DN65NBT2","Amazon - B0DN65NBT2")</f>
        <v>Amazon - B0DN65NBT2</v>
      </c>
      <c r="K1457" s="14" t="s">
        <v>443</v>
      </c>
      <c r="L1457" s="14" t="s">
        <v>1725</v>
      </c>
      <c r="M1457" s="14" t="s">
        <v>462</v>
      </c>
      <c r="N1457" s="14" t="s">
        <v>446</v>
      </c>
      <c r="O1457" s="14" t="s">
        <v>303</v>
      </c>
    </row>
    <row r="1458" spans="1:15" ht="30" x14ac:dyDescent="0.2">
      <c r="A1458" s="2" t="s">
        <v>3455</v>
      </c>
      <c r="B1458" s="2" t="s">
        <v>3456</v>
      </c>
      <c r="C1458" s="2" t="s">
        <v>29</v>
      </c>
      <c r="D1458" s="2" t="s">
        <v>472</v>
      </c>
      <c r="E1458" s="4">
        <v>499.99</v>
      </c>
      <c r="F1458" s="14"/>
      <c r="G1458" s="3">
        <v>0</v>
      </c>
      <c r="H1458" s="6">
        <v>5</v>
      </c>
      <c r="I1458" s="3">
        <v>1</v>
      </c>
      <c r="J1458" s="13" t="str">
        <f>HYPERLINK("https://amazon.com/dp/B0D4TD9DJJ","Amazon - B0D4TD9DJJ")</f>
        <v>Amazon - B0D4TD9DJJ</v>
      </c>
      <c r="K1458" s="14" t="s">
        <v>443</v>
      </c>
      <c r="L1458" s="14" t="s">
        <v>461</v>
      </c>
      <c r="M1458" s="14" t="s">
        <v>303</v>
      </c>
      <c r="N1458" s="14" t="s">
        <v>446</v>
      </c>
      <c r="O1458" s="14" t="s">
        <v>778</v>
      </c>
    </row>
    <row r="1459" spans="1:15" ht="30" x14ac:dyDescent="0.2">
      <c r="A1459" s="2" t="s">
        <v>3457</v>
      </c>
      <c r="B1459" s="2" t="s">
        <v>3458</v>
      </c>
      <c r="C1459" s="2" t="s">
        <v>410</v>
      </c>
      <c r="D1459" s="2" t="s">
        <v>442</v>
      </c>
      <c r="E1459" s="4">
        <v>23.97</v>
      </c>
      <c r="F1459" s="14"/>
      <c r="G1459" s="3">
        <v>0</v>
      </c>
      <c r="H1459" s="6">
        <v>0</v>
      </c>
      <c r="I1459" s="3">
        <v>0</v>
      </c>
      <c r="J1459" s="13" t="str">
        <f>HYPERLINK("https://amazon.com/dp/B0F9WCCBGQ","Amazon - B0F9WCCBGQ")</f>
        <v>Amazon - B0F9WCCBGQ</v>
      </c>
      <c r="K1459" s="14" t="s">
        <v>443</v>
      </c>
      <c r="L1459" s="14" t="s">
        <v>303</v>
      </c>
      <c r="M1459" s="14" t="s">
        <v>3459</v>
      </c>
      <c r="N1459" s="14" t="s">
        <v>446</v>
      </c>
      <c r="O1459" s="14" t="s">
        <v>303</v>
      </c>
    </row>
    <row r="1460" spans="1:15" ht="45" x14ac:dyDescent="0.2">
      <c r="A1460" s="2" t="s">
        <v>3460</v>
      </c>
      <c r="B1460" s="2" t="s">
        <v>3461</v>
      </c>
      <c r="C1460" s="2" t="s">
        <v>324</v>
      </c>
      <c r="D1460" s="2" t="s">
        <v>442</v>
      </c>
      <c r="E1460" s="4">
        <v>40.99</v>
      </c>
      <c r="F1460" s="14"/>
      <c r="G1460" s="3">
        <v>0</v>
      </c>
      <c r="H1460" s="6">
        <v>0</v>
      </c>
      <c r="I1460" s="3">
        <v>0</v>
      </c>
      <c r="J1460" s="13" t="str">
        <f>HYPERLINK("https://amazon.com/dp/B0DHZMTS64","Amazon - B0DHZMTS64")</f>
        <v>Amazon - B0DHZMTS64</v>
      </c>
      <c r="K1460" s="14" t="s">
        <v>443</v>
      </c>
      <c r="L1460" s="14" t="s">
        <v>456</v>
      </c>
      <c r="M1460" s="14" t="s">
        <v>303</v>
      </c>
      <c r="N1460" s="14" t="s">
        <v>446</v>
      </c>
      <c r="O1460" s="14" t="s">
        <v>453</v>
      </c>
    </row>
    <row r="1461" spans="1:15" ht="45" x14ac:dyDescent="0.2">
      <c r="A1461" s="2" t="s">
        <v>3462</v>
      </c>
      <c r="B1461" s="2" t="s">
        <v>3463</v>
      </c>
      <c r="C1461" s="2" t="s">
        <v>101</v>
      </c>
      <c r="D1461" s="2" t="s">
        <v>442</v>
      </c>
      <c r="E1461" s="4">
        <v>69.3</v>
      </c>
      <c r="F1461" s="14"/>
      <c r="G1461" s="3">
        <v>0</v>
      </c>
      <c r="H1461" s="6">
        <v>0</v>
      </c>
      <c r="I1461" s="3">
        <v>0</v>
      </c>
      <c r="J1461" s="13" t="str">
        <f>HYPERLINK("https://amazon.com/dp/B0G8DN7V2G","Amazon - B0G8DN7V2G")</f>
        <v>Amazon - B0G8DN7V2G</v>
      </c>
      <c r="K1461" s="14" t="s">
        <v>443</v>
      </c>
      <c r="L1461" s="14" t="s">
        <v>456</v>
      </c>
      <c r="M1461" s="14" t="s">
        <v>484</v>
      </c>
      <c r="N1461" s="14" t="s">
        <v>446</v>
      </c>
      <c r="O1461" s="14" t="s">
        <v>447</v>
      </c>
    </row>
    <row r="1462" spans="1:15" ht="30" x14ac:dyDescent="0.2">
      <c r="A1462" s="2" t="s">
        <v>3464</v>
      </c>
      <c r="B1462" s="2" t="s">
        <v>3465</v>
      </c>
      <c r="C1462" s="2" t="s">
        <v>333</v>
      </c>
      <c r="D1462" s="2" t="s">
        <v>450</v>
      </c>
      <c r="E1462" s="4">
        <v>53.56</v>
      </c>
      <c r="F1462" s="14"/>
      <c r="G1462" s="3">
        <v>0</v>
      </c>
      <c r="H1462" s="6">
        <v>0</v>
      </c>
      <c r="I1462" s="3">
        <v>0</v>
      </c>
      <c r="J1462" s="13" t="str">
        <f>HYPERLINK("https://amazon.com/dp/B0C36BH761","Amazon - B0C36BH761")</f>
        <v>Amazon - B0C36BH761</v>
      </c>
      <c r="K1462" s="14" t="s">
        <v>443</v>
      </c>
      <c r="L1462" s="14" t="s">
        <v>303</v>
      </c>
      <c r="M1462" s="14" t="s">
        <v>462</v>
      </c>
      <c r="N1462" s="14" t="s">
        <v>446</v>
      </c>
      <c r="O1462" s="14" t="s">
        <v>917</v>
      </c>
    </row>
    <row r="1463" spans="1:15" ht="45" x14ac:dyDescent="0.2">
      <c r="A1463" s="2" t="s">
        <v>3466</v>
      </c>
      <c r="B1463" s="2" t="s">
        <v>3467</v>
      </c>
      <c r="C1463" s="2" t="s">
        <v>422</v>
      </c>
      <c r="D1463" s="2" t="s">
        <v>442</v>
      </c>
      <c r="E1463" s="4">
        <v>21.99</v>
      </c>
      <c r="F1463" s="14"/>
      <c r="G1463" s="3">
        <v>0</v>
      </c>
      <c r="H1463" s="6">
        <v>0</v>
      </c>
      <c r="I1463" s="3">
        <v>0</v>
      </c>
      <c r="J1463" s="13" t="str">
        <f>HYPERLINK("https://amazon.com/dp/B0DQLNHPYW","Amazon - B0DQLNHPYW")</f>
        <v>Amazon - B0DQLNHPYW</v>
      </c>
      <c r="K1463" s="14" t="s">
        <v>443</v>
      </c>
      <c r="L1463" s="14" t="s">
        <v>303</v>
      </c>
      <c r="M1463" s="14" t="s">
        <v>303</v>
      </c>
      <c r="N1463" s="14" t="s">
        <v>446</v>
      </c>
      <c r="O1463" s="14" t="s">
        <v>453</v>
      </c>
    </row>
    <row r="1464" spans="1:15" ht="45" x14ac:dyDescent="0.2">
      <c r="A1464" s="2" t="s">
        <v>3468</v>
      </c>
      <c r="B1464" s="2" t="s">
        <v>3469</v>
      </c>
      <c r="C1464" s="2" t="s">
        <v>328</v>
      </c>
      <c r="D1464" s="2" t="s">
        <v>472</v>
      </c>
      <c r="E1464" s="4">
        <v>359.99</v>
      </c>
      <c r="F1464" s="14"/>
      <c r="G1464" s="3">
        <v>0</v>
      </c>
      <c r="H1464" s="6">
        <v>0</v>
      </c>
      <c r="I1464" s="3">
        <v>0</v>
      </c>
      <c r="J1464" s="13" t="str">
        <f>HYPERLINK("https://amazon.com/dp/B0GCMK1YTF","Amazon - B0GCMK1YTF")</f>
        <v>Amazon - B0GCMK1YTF</v>
      </c>
      <c r="K1464" s="14" t="s">
        <v>443</v>
      </c>
      <c r="L1464" s="14" t="s">
        <v>461</v>
      </c>
      <c r="M1464" s="14" t="s">
        <v>303</v>
      </c>
      <c r="N1464" s="14" t="s">
        <v>446</v>
      </c>
      <c r="O1464" s="14" t="s">
        <v>303</v>
      </c>
    </row>
    <row r="1465" spans="1:15" ht="45" x14ac:dyDescent="0.2">
      <c r="A1465" s="2" t="s">
        <v>3470</v>
      </c>
      <c r="B1465" s="2" t="s">
        <v>3471</v>
      </c>
      <c r="C1465" s="2" t="s">
        <v>328</v>
      </c>
      <c r="D1465" s="2" t="s">
        <v>472</v>
      </c>
      <c r="E1465" s="4">
        <v>449.98</v>
      </c>
      <c r="F1465" s="14"/>
      <c r="G1465" s="3">
        <v>0</v>
      </c>
      <c r="H1465" s="6">
        <v>0</v>
      </c>
      <c r="I1465" s="3">
        <v>0</v>
      </c>
      <c r="J1465" s="13" t="str">
        <f>HYPERLINK("https://amazon.com/dp/B0GCMFN8DT","Amazon - B0GCMFN8DT")</f>
        <v>Amazon - B0GCMFN8DT</v>
      </c>
      <c r="K1465" s="14" t="s">
        <v>443</v>
      </c>
      <c r="L1465" s="14" t="s">
        <v>461</v>
      </c>
      <c r="M1465" s="14" t="s">
        <v>303</v>
      </c>
      <c r="N1465" s="14" t="s">
        <v>446</v>
      </c>
      <c r="O1465" s="14" t="s">
        <v>303</v>
      </c>
    </row>
    <row r="1466" spans="1:15" ht="30" x14ac:dyDescent="0.2">
      <c r="A1466" s="2" t="s">
        <v>3472</v>
      </c>
      <c r="B1466" s="2" t="s">
        <v>3473</v>
      </c>
      <c r="C1466" s="2" t="s">
        <v>339</v>
      </c>
      <c r="D1466" s="2" t="s">
        <v>442</v>
      </c>
      <c r="E1466" s="4">
        <v>168.99</v>
      </c>
      <c r="F1466" s="14"/>
      <c r="G1466" s="3">
        <v>0</v>
      </c>
      <c r="H1466" s="6">
        <v>0</v>
      </c>
      <c r="I1466" s="3">
        <v>0</v>
      </c>
      <c r="J1466" s="13" t="str">
        <f>HYPERLINK("https://amazon.com/dp/B01171MZNA","Amazon - B01171MZNA")</f>
        <v>Amazon - B01171MZNA</v>
      </c>
      <c r="K1466" s="14" t="s">
        <v>443</v>
      </c>
      <c r="L1466" s="14" t="s">
        <v>456</v>
      </c>
      <c r="M1466" s="14" t="s">
        <v>3474</v>
      </c>
      <c r="N1466" s="14" t="s">
        <v>446</v>
      </c>
      <c r="O1466" s="14" t="s">
        <v>543</v>
      </c>
    </row>
    <row r="1467" spans="1:15" ht="30" x14ac:dyDescent="0.2">
      <c r="A1467" s="2" t="s">
        <v>3475</v>
      </c>
      <c r="B1467" s="2" t="s">
        <v>3476</v>
      </c>
      <c r="C1467" s="2" t="s">
        <v>332</v>
      </c>
      <c r="D1467" s="2" t="s">
        <v>472</v>
      </c>
      <c r="E1467" s="4">
        <v>388.99</v>
      </c>
      <c r="F1467" s="14"/>
      <c r="G1467" s="3">
        <v>0</v>
      </c>
      <c r="H1467" s="6">
        <v>0</v>
      </c>
      <c r="I1467" s="3">
        <v>0</v>
      </c>
      <c r="J1467" s="13" t="str">
        <f>HYPERLINK("https://amazon.com/dp/B0D969CNRV","Amazon - B0D969CNRV")</f>
        <v>Amazon - B0D969CNRV</v>
      </c>
      <c r="K1467" s="14" t="s">
        <v>443</v>
      </c>
      <c r="L1467" s="14" t="s">
        <v>456</v>
      </c>
      <c r="M1467" s="14" t="s">
        <v>303</v>
      </c>
      <c r="N1467" s="14" t="s">
        <v>446</v>
      </c>
      <c r="O1467" s="14" t="s">
        <v>917</v>
      </c>
    </row>
    <row r="1468" spans="1:15" ht="45" x14ac:dyDescent="0.2">
      <c r="A1468" s="2" t="s">
        <v>3477</v>
      </c>
      <c r="B1468" s="2" t="s">
        <v>3478</v>
      </c>
      <c r="C1468" s="2" t="s">
        <v>332</v>
      </c>
      <c r="D1468" s="2" t="s">
        <v>472</v>
      </c>
      <c r="E1468" s="4">
        <v>729.99</v>
      </c>
      <c r="F1468" s="14"/>
      <c r="G1468" s="3">
        <v>0</v>
      </c>
      <c r="H1468" s="6">
        <v>0</v>
      </c>
      <c r="I1468" s="3">
        <v>0</v>
      </c>
      <c r="J1468" s="13" t="str">
        <f>HYPERLINK("https://amazon.com/dp/B0D8W8D2G2","Amazon - B0D8W8D2G2")</f>
        <v>Amazon - B0D8W8D2G2</v>
      </c>
      <c r="K1468" s="14" t="s">
        <v>443</v>
      </c>
      <c r="L1468" s="14" t="s">
        <v>456</v>
      </c>
      <c r="M1468" s="14" t="s">
        <v>303</v>
      </c>
      <c r="N1468" s="14" t="s">
        <v>446</v>
      </c>
      <c r="O1468" s="14" t="s">
        <v>917</v>
      </c>
    </row>
    <row r="1469" spans="1:15" ht="45" x14ac:dyDescent="0.2">
      <c r="A1469" s="2" t="s">
        <v>3479</v>
      </c>
      <c r="B1469" s="2" t="s">
        <v>3480</v>
      </c>
      <c r="C1469" s="2" t="s">
        <v>396</v>
      </c>
      <c r="D1469" s="2" t="s">
        <v>472</v>
      </c>
      <c r="E1469" s="4">
        <v>37.4</v>
      </c>
      <c r="F1469" s="14"/>
      <c r="G1469" s="3">
        <v>0</v>
      </c>
      <c r="H1469" s="6">
        <v>0</v>
      </c>
      <c r="I1469" s="3">
        <v>0</v>
      </c>
      <c r="J1469" s="13" t="str">
        <f>HYPERLINK("https://amazon.com/dp/B0D78K5FTY","Amazon - B0D78K5FTY")</f>
        <v>Amazon - B0D78K5FTY</v>
      </c>
      <c r="K1469" s="14" t="s">
        <v>443</v>
      </c>
      <c r="L1469" s="14" t="s">
        <v>456</v>
      </c>
      <c r="M1469" s="14" t="s">
        <v>445</v>
      </c>
      <c r="N1469" s="14" t="s">
        <v>446</v>
      </c>
      <c r="O1469" s="14" t="s">
        <v>303</v>
      </c>
    </row>
    <row r="1470" spans="1:15" ht="30" x14ac:dyDescent="0.2">
      <c r="A1470" s="2" t="s">
        <v>3481</v>
      </c>
      <c r="B1470" s="2" t="s">
        <v>3482</v>
      </c>
      <c r="C1470" s="2" t="s">
        <v>332</v>
      </c>
      <c r="D1470" s="2" t="s">
        <v>472</v>
      </c>
      <c r="E1470" s="4">
        <v>749.99</v>
      </c>
      <c r="F1470" s="14"/>
      <c r="G1470" s="3">
        <v>0</v>
      </c>
      <c r="H1470" s="6">
        <v>0</v>
      </c>
      <c r="I1470" s="3">
        <v>0</v>
      </c>
      <c r="J1470" s="13" t="str">
        <f>HYPERLINK("https://amazon.com/dp/B0D968V7K2","Amazon - B0D968V7K2")</f>
        <v>Amazon - B0D968V7K2</v>
      </c>
      <c r="K1470" s="14" t="s">
        <v>443</v>
      </c>
      <c r="L1470" s="14" t="s">
        <v>456</v>
      </c>
      <c r="M1470" s="14" t="s">
        <v>303</v>
      </c>
      <c r="N1470" s="14" t="s">
        <v>446</v>
      </c>
      <c r="O1470" s="14" t="s">
        <v>809</v>
      </c>
    </row>
    <row r="1471" spans="1:15" ht="30" x14ac:dyDescent="0.2">
      <c r="A1471" s="2" t="s">
        <v>3483</v>
      </c>
      <c r="B1471" s="2" t="s">
        <v>3484</v>
      </c>
      <c r="C1471" s="2" t="s">
        <v>356</v>
      </c>
      <c r="D1471" s="2" t="s">
        <v>442</v>
      </c>
      <c r="E1471" s="4">
        <v>11.89</v>
      </c>
      <c r="F1471" s="14"/>
      <c r="G1471" s="3">
        <v>0</v>
      </c>
      <c r="H1471" s="6">
        <v>0</v>
      </c>
      <c r="I1471" s="3">
        <v>0</v>
      </c>
      <c r="J1471" s="13" t="str">
        <f>HYPERLINK("https://amazon.com/dp/B0CS6RPTTQ","Amazon - B0CS6RPTTQ")</f>
        <v>Amazon - B0CS6RPTTQ</v>
      </c>
      <c r="K1471" s="14" t="s">
        <v>443</v>
      </c>
      <c r="L1471" s="14" t="s">
        <v>1725</v>
      </c>
      <c r="M1471" s="14" t="s">
        <v>303</v>
      </c>
      <c r="N1471" s="14" t="s">
        <v>446</v>
      </c>
      <c r="O1471" s="14" t="s">
        <v>453</v>
      </c>
    </row>
    <row r="1472" spans="1:15" ht="30" x14ac:dyDescent="0.2">
      <c r="A1472" s="2" t="s">
        <v>3485</v>
      </c>
      <c r="B1472" s="2" t="s">
        <v>3486</v>
      </c>
      <c r="C1472" s="2" t="s">
        <v>187</v>
      </c>
      <c r="D1472" s="2" t="s">
        <v>472</v>
      </c>
      <c r="E1472" s="4">
        <v>330</v>
      </c>
      <c r="F1472" s="14"/>
      <c r="G1472" s="3">
        <v>0</v>
      </c>
      <c r="H1472" s="6">
        <v>0</v>
      </c>
      <c r="I1472" s="3">
        <v>0</v>
      </c>
      <c r="J1472" s="13" t="str">
        <f>HYPERLINK("https://amazon.com/dp/B0GDMCTD4J","Amazon - B0GDMCTD4J")</f>
        <v>Amazon - B0GDMCTD4J</v>
      </c>
      <c r="K1472" s="14" t="s">
        <v>443</v>
      </c>
      <c r="L1472" s="14" t="s">
        <v>303</v>
      </c>
      <c r="M1472" s="14" t="s">
        <v>303</v>
      </c>
      <c r="N1472" s="14" t="s">
        <v>446</v>
      </c>
      <c r="O1472" s="14" t="s">
        <v>303</v>
      </c>
    </row>
    <row r="1473" spans="1:15" ht="30" x14ac:dyDescent="0.2">
      <c r="A1473" s="2" t="s">
        <v>3487</v>
      </c>
      <c r="B1473" s="2" t="s">
        <v>3488</v>
      </c>
      <c r="C1473" s="2" t="s">
        <v>357</v>
      </c>
      <c r="D1473" s="2" t="s">
        <v>442</v>
      </c>
      <c r="E1473" s="4">
        <v>30.99</v>
      </c>
      <c r="F1473" s="14"/>
      <c r="G1473" s="3">
        <v>0</v>
      </c>
      <c r="H1473" s="6">
        <v>0</v>
      </c>
      <c r="I1473" s="3">
        <v>0</v>
      </c>
      <c r="J1473" s="13" t="str">
        <f>HYPERLINK("https://amazon.com/dp/B0CM8FRRC8","Amazon - B0CM8FRRC8")</f>
        <v>Amazon - B0CM8FRRC8</v>
      </c>
      <c r="K1473" s="14" t="s">
        <v>443</v>
      </c>
      <c r="L1473" s="14" t="s">
        <v>530</v>
      </c>
      <c r="M1473" s="14" t="s">
        <v>462</v>
      </c>
      <c r="N1473" s="14" t="s">
        <v>446</v>
      </c>
      <c r="O1473" s="14" t="s">
        <v>303</v>
      </c>
    </row>
    <row r="1474" spans="1:15" ht="45" x14ac:dyDescent="0.2">
      <c r="A1474" s="2" t="s">
        <v>3489</v>
      </c>
      <c r="B1474" s="2" t="s">
        <v>2185</v>
      </c>
      <c r="C1474" s="2" t="s">
        <v>198</v>
      </c>
      <c r="D1474" s="2" t="s">
        <v>442</v>
      </c>
      <c r="E1474" s="4">
        <v>354.99</v>
      </c>
      <c r="F1474" s="14"/>
      <c r="G1474" s="3">
        <v>0</v>
      </c>
      <c r="H1474" s="6">
        <v>0</v>
      </c>
      <c r="I1474" s="3">
        <v>0</v>
      </c>
      <c r="J1474" s="13" t="str">
        <f>HYPERLINK("https://amazon.com/dp/B098FKBKF6","Amazon - B098FKBKF6")</f>
        <v>Amazon - B098FKBKF6</v>
      </c>
      <c r="K1474" s="14" t="s">
        <v>443</v>
      </c>
      <c r="L1474" s="14" t="s">
        <v>461</v>
      </c>
      <c r="M1474" s="14" t="s">
        <v>511</v>
      </c>
      <c r="N1474" s="14" t="s">
        <v>446</v>
      </c>
      <c r="O1474" s="14" t="s">
        <v>303</v>
      </c>
    </row>
    <row r="1475" spans="1:15" ht="30" x14ac:dyDescent="0.2">
      <c r="A1475" s="2" t="s">
        <v>3490</v>
      </c>
      <c r="B1475" s="2" t="s">
        <v>3491</v>
      </c>
      <c r="C1475" s="2" t="s">
        <v>403</v>
      </c>
      <c r="D1475" s="2" t="s">
        <v>442</v>
      </c>
      <c r="E1475" s="4">
        <v>80.989999999999995</v>
      </c>
      <c r="F1475" s="14"/>
      <c r="G1475" s="3">
        <v>0</v>
      </c>
      <c r="H1475" s="6">
        <v>0</v>
      </c>
      <c r="I1475" s="3">
        <v>0</v>
      </c>
      <c r="J1475" s="13" t="str">
        <f>HYPERLINK("https://amazon.com/dp/B0D54BF8SV","Amazon - B0D54BF8SV")</f>
        <v>Amazon - B0D54BF8SV</v>
      </c>
      <c r="K1475" s="14" t="s">
        <v>443</v>
      </c>
      <c r="L1475" s="14" t="s">
        <v>461</v>
      </c>
      <c r="M1475" s="14" t="s">
        <v>303</v>
      </c>
      <c r="N1475" s="14" t="s">
        <v>446</v>
      </c>
      <c r="O1475" s="14" t="s">
        <v>303</v>
      </c>
    </row>
    <row r="1476" spans="1:15" ht="30" x14ac:dyDescent="0.2">
      <c r="A1476" s="2" t="s">
        <v>3492</v>
      </c>
      <c r="B1476" s="2" t="s">
        <v>3493</v>
      </c>
      <c r="C1476" s="2" t="s">
        <v>403</v>
      </c>
      <c r="D1476" s="2" t="s">
        <v>442</v>
      </c>
      <c r="E1476" s="4">
        <v>85.99</v>
      </c>
      <c r="F1476" s="14"/>
      <c r="G1476" s="3">
        <v>0</v>
      </c>
      <c r="H1476" s="6">
        <v>0</v>
      </c>
      <c r="I1476" s="3">
        <v>0</v>
      </c>
      <c r="J1476" s="13" t="str">
        <f>HYPERLINK("https://amazon.com/dp/B0D54CJL4G","Amazon - B0D54CJL4G")</f>
        <v>Amazon - B0D54CJL4G</v>
      </c>
      <c r="K1476" s="14" t="s">
        <v>443</v>
      </c>
      <c r="L1476" s="14" t="s">
        <v>461</v>
      </c>
      <c r="M1476" s="14" t="s">
        <v>303</v>
      </c>
      <c r="N1476" s="14" t="s">
        <v>446</v>
      </c>
      <c r="O1476" s="14" t="s">
        <v>303</v>
      </c>
    </row>
    <row r="1477" spans="1:15" x14ac:dyDescent="0.2">
      <c r="A1477" s="2" t="s">
        <v>3494</v>
      </c>
      <c r="B1477" s="2" t="s">
        <v>3495</v>
      </c>
      <c r="C1477" s="2" t="s">
        <v>356</v>
      </c>
      <c r="D1477" s="2" t="s">
        <v>442</v>
      </c>
      <c r="E1477" s="4">
        <v>11.79</v>
      </c>
      <c r="F1477" s="14"/>
      <c r="G1477" s="3">
        <v>0</v>
      </c>
      <c r="H1477" s="6">
        <v>0</v>
      </c>
      <c r="I1477" s="3">
        <v>0</v>
      </c>
      <c r="J1477" s="13" t="str">
        <f>HYPERLINK("https://amazon.com/dp/B0CS6QRM53","Amazon - B0CS6QRM53")</f>
        <v>Amazon - B0CS6QRM53</v>
      </c>
      <c r="K1477" s="14" t="s">
        <v>443</v>
      </c>
      <c r="L1477" s="14" t="s">
        <v>1725</v>
      </c>
      <c r="M1477" s="14" t="s">
        <v>303</v>
      </c>
      <c r="N1477" s="14" t="s">
        <v>446</v>
      </c>
      <c r="O1477" s="14" t="s">
        <v>453</v>
      </c>
    </row>
    <row r="1478" spans="1:15" ht="30" x14ac:dyDescent="0.2">
      <c r="A1478" s="2" t="s">
        <v>3496</v>
      </c>
      <c r="B1478" s="2" t="s">
        <v>3497</v>
      </c>
      <c r="C1478" s="2" t="s">
        <v>51</v>
      </c>
      <c r="D1478" s="2" t="s">
        <v>450</v>
      </c>
      <c r="E1478" s="4">
        <v>599.98</v>
      </c>
      <c r="F1478" s="14"/>
      <c r="G1478" s="3">
        <v>0</v>
      </c>
      <c r="H1478" s="6">
        <v>0</v>
      </c>
      <c r="I1478" s="3">
        <v>0</v>
      </c>
      <c r="J1478" s="13" t="str">
        <f>HYPERLINK("https://amazon.com/dp/B07DNGSLRT","Amazon - B07DNGSLRT")</f>
        <v>Amazon - B07DNGSLRT</v>
      </c>
      <c r="K1478" s="14" t="s">
        <v>443</v>
      </c>
      <c r="L1478" s="14" t="s">
        <v>461</v>
      </c>
      <c r="M1478" s="14" t="s">
        <v>303</v>
      </c>
      <c r="N1478" s="14" t="s">
        <v>446</v>
      </c>
      <c r="O1478" s="14" t="s">
        <v>447</v>
      </c>
    </row>
    <row r="1479" spans="1:15" ht="45" x14ac:dyDescent="0.2">
      <c r="A1479" s="2" t="s">
        <v>3498</v>
      </c>
      <c r="B1479" s="2" t="s">
        <v>3499</v>
      </c>
      <c r="C1479" s="2" t="s">
        <v>381</v>
      </c>
      <c r="D1479" s="2" t="s">
        <v>450</v>
      </c>
      <c r="E1479" s="4">
        <v>25.31</v>
      </c>
      <c r="F1479" s="14"/>
      <c r="G1479" s="3">
        <v>0</v>
      </c>
      <c r="H1479" s="6">
        <v>0</v>
      </c>
      <c r="I1479" s="3">
        <v>0</v>
      </c>
      <c r="J1479" s="13" t="str">
        <f>HYPERLINK("https://amazon.com/dp/B0BW3L6PVB","Amazon - B0BW3L6PVB")</f>
        <v>Amazon - B0BW3L6PVB</v>
      </c>
      <c r="K1479" s="14" t="s">
        <v>443</v>
      </c>
      <c r="L1479" s="14" t="s">
        <v>303</v>
      </c>
      <c r="M1479" s="14" t="s">
        <v>303</v>
      </c>
      <c r="N1479" s="14" t="s">
        <v>446</v>
      </c>
      <c r="O1479" s="14" t="s">
        <v>543</v>
      </c>
    </row>
    <row r="1480" spans="1:15" ht="30" x14ac:dyDescent="0.2">
      <c r="A1480" s="2" t="s">
        <v>3500</v>
      </c>
      <c r="B1480" s="2" t="s">
        <v>3501</v>
      </c>
      <c r="C1480" s="2" t="s">
        <v>101</v>
      </c>
      <c r="D1480" s="2" t="s">
        <v>823</v>
      </c>
      <c r="E1480" s="4">
        <v>13.99</v>
      </c>
      <c r="F1480" s="14"/>
      <c r="G1480" s="3">
        <v>0</v>
      </c>
      <c r="H1480" s="6">
        <v>0</v>
      </c>
      <c r="I1480" s="3">
        <v>0</v>
      </c>
      <c r="J1480" s="13" t="str">
        <f>HYPERLINK("https://amazon.com/dp/B0BQZNM59X","Amazon - B0BQZNM59X")</f>
        <v>Amazon - B0BQZNM59X</v>
      </c>
      <c r="K1480" s="14" t="s">
        <v>443</v>
      </c>
      <c r="L1480" s="14" t="s">
        <v>451</v>
      </c>
      <c r="M1480" s="14" t="s">
        <v>303</v>
      </c>
      <c r="N1480" s="14" t="s">
        <v>446</v>
      </c>
      <c r="O1480" s="14" t="s">
        <v>578</v>
      </c>
    </row>
    <row r="1481" spans="1:15" ht="30" x14ac:dyDescent="0.2">
      <c r="A1481" s="2" t="s">
        <v>3502</v>
      </c>
      <c r="B1481" s="2" t="s">
        <v>3503</v>
      </c>
      <c r="C1481" s="2" t="s">
        <v>362</v>
      </c>
      <c r="D1481" s="2" t="s">
        <v>442</v>
      </c>
      <c r="E1481" s="4">
        <v>111.13</v>
      </c>
      <c r="F1481" s="14"/>
      <c r="G1481" s="3">
        <v>0</v>
      </c>
      <c r="H1481" s="6">
        <v>0</v>
      </c>
      <c r="I1481" s="3">
        <v>0</v>
      </c>
      <c r="J1481" s="13" t="str">
        <f>HYPERLINK("https://amazon.com/dp/B0CLRVR7SV","Amazon - B0CLRVR7SV")</f>
        <v>Amazon - B0CLRVR7SV</v>
      </c>
      <c r="K1481" s="14" t="s">
        <v>443</v>
      </c>
      <c r="L1481" s="14" t="s">
        <v>461</v>
      </c>
      <c r="M1481" s="14" t="s">
        <v>303</v>
      </c>
      <c r="N1481" s="14" t="s">
        <v>446</v>
      </c>
      <c r="O1481" s="14" t="s">
        <v>447</v>
      </c>
    </row>
    <row r="1482" spans="1:15" ht="30" x14ac:dyDescent="0.2">
      <c r="A1482" s="2" t="s">
        <v>3504</v>
      </c>
      <c r="B1482" s="2" t="s">
        <v>3505</v>
      </c>
      <c r="C1482" s="2" t="s">
        <v>370</v>
      </c>
      <c r="D1482" s="2" t="s">
        <v>442</v>
      </c>
      <c r="E1482" s="4">
        <v>145.97999999999999</v>
      </c>
      <c r="F1482" s="14"/>
      <c r="G1482" s="3">
        <v>0</v>
      </c>
      <c r="H1482" s="6">
        <v>0</v>
      </c>
      <c r="I1482" s="3">
        <v>0</v>
      </c>
      <c r="J1482" s="13" t="str">
        <f>HYPERLINK("https://amazon.com/dp/B0FW53JTBG","Amazon - B0FW53JTBG")</f>
        <v>Amazon - B0FW53JTBG</v>
      </c>
      <c r="K1482" s="14" t="s">
        <v>443</v>
      </c>
      <c r="L1482" s="14" t="s">
        <v>303</v>
      </c>
      <c r="M1482" s="14" t="s">
        <v>303</v>
      </c>
      <c r="N1482" s="14" t="s">
        <v>446</v>
      </c>
      <c r="O1482" s="14" t="s">
        <v>303</v>
      </c>
    </row>
    <row r="1483" spans="1:15" ht="45" x14ac:dyDescent="0.2">
      <c r="A1483" s="2" t="s">
        <v>3506</v>
      </c>
      <c r="B1483" s="2" t="s">
        <v>3507</v>
      </c>
      <c r="C1483" s="2" t="s">
        <v>51</v>
      </c>
      <c r="D1483" s="2" t="s">
        <v>450</v>
      </c>
      <c r="E1483" s="4">
        <v>499.98</v>
      </c>
      <c r="F1483" s="14"/>
      <c r="G1483" s="3">
        <v>0</v>
      </c>
      <c r="H1483" s="6">
        <v>0</v>
      </c>
      <c r="I1483" s="3">
        <v>0</v>
      </c>
      <c r="J1483" s="13" t="str">
        <f>HYPERLINK("https://amazon.com/dp/B0B1BLYGHC","Amazon - B0B1BLYGHC")</f>
        <v>Amazon - B0B1BLYGHC</v>
      </c>
      <c r="K1483" s="14" t="s">
        <v>443</v>
      </c>
      <c r="L1483" s="14" t="s">
        <v>451</v>
      </c>
      <c r="M1483" s="14" t="s">
        <v>511</v>
      </c>
      <c r="N1483" s="14" t="s">
        <v>446</v>
      </c>
      <c r="O1483" s="14" t="s">
        <v>1302</v>
      </c>
    </row>
    <row r="1484" spans="1:15" ht="45" x14ac:dyDescent="0.2">
      <c r="A1484" s="2" t="s">
        <v>3508</v>
      </c>
      <c r="B1484" s="2" t="s">
        <v>3509</v>
      </c>
      <c r="C1484" s="2" t="s">
        <v>51</v>
      </c>
      <c r="D1484" s="2" t="s">
        <v>823</v>
      </c>
      <c r="E1484" s="4">
        <v>849.98</v>
      </c>
      <c r="F1484" s="14"/>
      <c r="G1484" s="3">
        <v>0</v>
      </c>
      <c r="H1484" s="6">
        <v>0</v>
      </c>
      <c r="I1484" s="3">
        <v>0</v>
      </c>
      <c r="J1484" s="13" t="str">
        <f>HYPERLINK("https://amazon.com/dp/B09RQ4WXRL","Amazon - B09RQ4WXRL")</f>
        <v>Amazon - B09RQ4WXRL</v>
      </c>
      <c r="K1484" s="14" t="s">
        <v>443</v>
      </c>
      <c r="L1484" s="14" t="s">
        <v>451</v>
      </c>
      <c r="M1484" s="14" t="s">
        <v>511</v>
      </c>
      <c r="N1484" s="14" t="s">
        <v>446</v>
      </c>
      <c r="O1484" s="14" t="s">
        <v>447</v>
      </c>
    </row>
    <row r="1485" spans="1:15" ht="30" x14ac:dyDescent="0.2">
      <c r="A1485" s="2" t="s">
        <v>3510</v>
      </c>
      <c r="B1485" s="2" t="s">
        <v>3511</v>
      </c>
      <c r="C1485" s="2" t="s">
        <v>313</v>
      </c>
      <c r="D1485" s="2" t="s">
        <v>442</v>
      </c>
      <c r="E1485" s="4">
        <v>34.619999999999997</v>
      </c>
      <c r="F1485" s="14"/>
      <c r="G1485" s="3">
        <v>0</v>
      </c>
      <c r="H1485" s="6">
        <v>0</v>
      </c>
      <c r="I1485" s="3">
        <v>0</v>
      </c>
      <c r="J1485" s="13" t="str">
        <f>HYPERLINK("https://amazon.com/dp/B0G25RPRQZ","Amazon - B0G25RPRQZ")</f>
        <v>Amazon - B0G25RPRQZ</v>
      </c>
      <c r="K1485" s="14" t="s">
        <v>443</v>
      </c>
      <c r="L1485" s="14" t="s">
        <v>456</v>
      </c>
      <c r="M1485" s="14" t="s">
        <v>445</v>
      </c>
      <c r="N1485" s="14" t="s">
        <v>446</v>
      </c>
      <c r="O1485" s="14" t="s">
        <v>453</v>
      </c>
    </row>
    <row r="1486" spans="1:15" ht="45" x14ac:dyDescent="0.2">
      <c r="A1486" s="2" t="s">
        <v>3512</v>
      </c>
      <c r="B1486" s="2" t="s">
        <v>3513</v>
      </c>
      <c r="C1486" s="2" t="s">
        <v>388</v>
      </c>
      <c r="D1486" s="2" t="s">
        <v>442</v>
      </c>
      <c r="E1486" s="4">
        <v>129.99</v>
      </c>
      <c r="F1486" s="14"/>
      <c r="G1486" s="3">
        <v>0</v>
      </c>
      <c r="H1486" s="6">
        <v>0</v>
      </c>
      <c r="I1486" s="3">
        <v>0</v>
      </c>
      <c r="J1486" s="13" t="str">
        <f>HYPERLINK("https://amazon.com/dp/B0G2VSFHRL","Amazon - B0G2VSFHRL")</f>
        <v>Amazon - B0G2VSFHRL</v>
      </c>
      <c r="K1486" s="14" t="s">
        <v>443</v>
      </c>
      <c r="L1486" s="14" t="s">
        <v>461</v>
      </c>
      <c r="M1486" s="14" t="s">
        <v>577</v>
      </c>
      <c r="N1486" s="14" t="s">
        <v>446</v>
      </c>
      <c r="O1486" s="14" t="s">
        <v>447</v>
      </c>
    </row>
    <row r="1487" spans="1:15" ht="45" x14ac:dyDescent="0.2">
      <c r="A1487" s="2" t="s">
        <v>3514</v>
      </c>
      <c r="B1487" s="2" t="s">
        <v>3515</v>
      </c>
      <c r="C1487" s="2" t="s">
        <v>235</v>
      </c>
      <c r="D1487" s="2" t="s">
        <v>472</v>
      </c>
      <c r="E1487" s="4">
        <v>13.79</v>
      </c>
      <c r="F1487" s="14"/>
      <c r="G1487" s="3">
        <v>0</v>
      </c>
      <c r="H1487" s="6">
        <v>5</v>
      </c>
      <c r="I1487" s="3">
        <v>1</v>
      </c>
      <c r="J1487" s="13" t="str">
        <f>HYPERLINK("https://amazon.com/dp/B0CZ3VVTC4","Amazon - B0CZ3VVTC4")</f>
        <v>Amazon - B0CZ3VVTC4</v>
      </c>
      <c r="K1487" s="14" t="s">
        <v>443</v>
      </c>
      <c r="L1487" s="14" t="s">
        <v>303</v>
      </c>
      <c r="M1487" s="14" t="s">
        <v>303</v>
      </c>
      <c r="N1487" s="14" t="s">
        <v>446</v>
      </c>
      <c r="O1487" s="14" t="s">
        <v>479</v>
      </c>
    </row>
    <row r="1488" spans="1:15" ht="45" x14ac:dyDescent="0.2">
      <c r="A1488" s="2" t="s">
        <v>3516</v>
      </c>
      <c r="B1488" s="2" t="s">
        <v>3517</v>
      </c>
      <c r="C1488" s="2" t="s">
        <v>377</v>
      </c>
      <c r="D1488" s="2" t="s">
        <v>442</v>
      </c>
      <c r="E1488" s="4">
        <v>58.84</v>
      </c>
      <c r="F1488" s="14"/>
      <c r="G1488" s="3">
        <v>0</v>
      </c>
      <c r="H1488" s="6">
        <v>0</v>
      </c>
      <c r="I1488" s="3">
        <v>0</v>
      </c>
      <c r="J1488" s="13" t="str">
        <f>HYPERLINK("https://amazon.com/dp/B0D5HSCNY1","Amazon - B0D5HSCNY1")</f>
        <v>Amazon - B0D5HSCNY1</v>
      </c>
      <c r="K1488" s="14" t="s">
        <v>443</v>
      </c>
      <c r="L1488" s="14" t="s">
        <v>456</v>
      </c>
      <c r="M1488" s="14" t="s">
        <v>303</v>
      </c>
      <c r="N1488" s="14" t="s">
        <v>446</v>
      </c>
      <c r="O1488" s="14" t="s">
        <v>303</v>
      </c>
    </row>
    <row r="1489" spans="1:15" ht="45" x14ac:dyDescent="0.2">
      <c r="A1489" s="2" t="s">
        <v>3518</v>
      </c>
      <c r="B1489" s="2" t="s">
        <v>3519</v>
      </c>
      <c r="C1489" s="2" t="s">
        <v>260</v>
      </c>
      <c r="D1489" s="2" t="s">
        <v>472</v>
      </c>
      <c r="E1489" s="4">
        <v>40.75</v>
      </c>
      <c r="F1489" s="14"/>
      <c r="G1489" s="3">
        <v>0</v>
      </c>
      <c r="H1489" s="6">
        <v>0</v>
      </c>
      <c r="I1489" s="3">
        <v>0</v>
      </c>
      <c r="J1489" s="13" t="str">
        <f>HYPERLINK("https://amazon.com/dp/B0DDY3ZS54","Amazon - B0DDY3ZS54")</f>
        <v>Amazon - B0DDY3ZS54</v>
      </c>
      <c r="K1489" s="14" t="s">
        <v>443</v>
      </c>
      <c r="L1489" s="14" t="s">
        <v>456</v>
      </c>
      <c r="M1489" s="14" t="s">
        <v>303</v>
      </c>
      <c r="N1489" s="14" t="s">
        <v>446</v>
      </c>
      <c r="O1489" s="14" t="s">
        <v>453</v>
      </c>
    </row>
    <row r="1490" spans="1:15" ht="30" x14ac:dyDescent="0.2">
      <c r="A1490" s="2" t="s">
        <v>3520</v>
      </c>
      <c r="B1490" s="2" t="s">
        <v>3521</v>
      </c>
      <c r="C1490" s="2" t="s">
        <v>405</v>
      </c>
      <c r="D1490" s="2" t="s">
        <v>823</v>
      </c>
      <c r="E1490" s="4">
        <v>80.33</v>
      </c>
      <c r="F1490" s="14"/>
      <c r="G1490" s="3">
        <v>0</v>
      </c>
      <c r="H1490" s="6">
        <v>0</v>
      </c>
      <c r="I1490" s="3">
        <v>0</v>
      </c>
      <c r="J1490" s="13" t="str">
        <f>HYPERLINK("https://amazon.com/dp/B0CH52L5R6","Amazon - B0CH52L5R6")</f>
        <v>Amazon - B0CH52L5R6</v>
      </c>
      <c r="K1490" s="14" t="s">
        <v>443</v>
      </c>
      <c r="L1490" s="14" t="s">
        <v>451</v>
      </c>
      <c r="M1490" s="14" t="s">
        <v>3522</v>
      </c>
      <c r="N1490" s="14" t="s">
        <v>446</v>
      </c>
      <c r="O1490" s="14" t="s">
        <v>303</v>
      </c>
    </row>
    <row r="1491" spans="1:15" ht="30" x14ac:dyDescent="0.2">
      <c r="A1491" s="2" t="s">
        <v>3523</v>
      </c>
      <c r="B1491" s="2" t="s">
        <v>3524</v>
      </c>
      <c r="C1491" s="2" t="s">
        <v>412</v>
      </c>
      <c r="D1491" s="2" t="s">
        <v>442</v>
      </c>
      <c r="E1491" s="4">
        <v>531.74</v>
      </c>
      <c r="F1491" s="14"/>
      <c r="G1491" s="3">
        <v>0</v>
      </c>
      <c r="H1491" s="6">
        <v>3</v>
      </c>
      <c r="I1491" s="3">
        <v>1</v>
      </c>
      <c r="J1491" s="13" t="str">
        <f>HYPERLINK("https://amazon.com/dp/B09HRF4NBL","Amazon - B09HRF4NBL")</f>
        <v>Amazon - B09HRF4NBL</v>
      </c>
      <c r="K1491" s="14" t="s">
        <v>443</v>
      </c>
      <c r="L1491" s="14" t="s">
        <v>667</v>
      </c>
      <c r="M1491" s="14" t="s">
        <v>303</v>
      </c>
      <c r="N1491" s="14" t="s">
        <v>446</v>
      </c>
      <c r="O1491" s="14" t="s">
        <v>809</v>
      </c>
    </row>
    <row r="1492" spans="1:15" ht="45" x14ac:dyDescent="0.2">
      <c r="A1492" s="2" t="s">
        <v>3525</v>
      </c>
      <c r="B1492" s="2" t="s">
        <v>3526</v>
      </c>
      <c r="C1492" s="2" t="s">
        <v>347</v>
      </c>
      <c r="D1492" s="2" t="s">
        <v>442</v>
      </c>
      <c r="E1492" s="4">
        <v>149.99</v>
      </c>
      <c r="F1492" s="14"/>
      <c r="G1492" s="3">
        <v>0</v>
      </c>
      <c r="H1492" s="6">
        <v>0</v>
      </c>
      <c r="I1492" s="3">
        <v>0</v>
      </c>
      <c r="J1492" s="13" t="str">
        <f>HYPERLINK("https://amazon.com/dp/B0DSTWK4GG","Amazon - B0DSTWK4GG")</f>
        <v>Amazon - B0DSTWK4GG</v>
      </c>
      <c r="K1492" s="14" t="s">
        <v>443</v>
      </c>
      <c r="L1492" s="14" t="s">
        <v>461</v>
      </c>
      <c r="M1492" s="14" t="s">
        <v>535</v>
      </c>
      <c r="N1492" s="14" t="s">
        <v>446</v>
      </c>
      <c r="O1492" s="14" t="s">
        <v>447</v>
      </c>
    </row>
    <row r="1493" spans="1:15" ht="30" x14ac:dyDescent="0.2">
      <c r="A1493" s="2" t="s">
        <v>3527</v>
      </c>
      <c r="B1493" s="2" t="s">
        <v>3528</v>
      </c>
      <c r="C1493" s="2" t="s">
        <v>51</v>
      </c>
      <c r="D1493" s="2" t="s">
        <v>823</v>
      </c>
      <c r="E1493" s="4">
        <v>299.98</v>
      </c>
      <c r="F1493" s="14"/>
      <c r="G1493" s="3">
        <v>0</v>
      </c>
      <c r="H1493" s="6">
        <v>0</v>
      </c>
      <c r="I1493" s="3">
        <v>0</v>
      </c>
      <c r="J1493" s="13" t="str">
        <f>HYPERLINK("https://amazon.com/dp/B07SHQLRQ5","Amazon - B07SHQLRQ5")</f>
        <v>Amazon - B07SHQLRQ5</v>
      </c>
      <c r="K1493" s="14" t="s">
        <v>443</v>
      </c>
      <c r="L1493" s="14" t="s">
        <v>451</v>
      </c>
      <c r="M1493" s="14" t="s">
        <v>303</v>
      </c>
      <c r="N1493" s="14" t="s">
        <v>446</v>
      </c>
      <c r="O1493" s="14" t="s">
        <v>303</v>
      </c>
    </row>
    <row r="1494" spans="1:15" ht="30" x14ac:dyDescent="0.2">
      <c r="A1494" s="2" t="s">
        <v>3529</v>
      </c>
      <c r="B1494" s="2" t="s">
        <v>3530</v>
      </c>
      <c r="C1494" s="2" t="s">
        <v>51</v>
      </c>
      <c r="D1494" s="2" t="s">
        <v>823</v>
      </c>
      <c r="E1494" s="4">
        <v>460</v>
      </c>
      <c r="F1494" s="14"/>
      <c r="G1494" s="3">
        <v>0</v>
      </c>
      <c r="H1494" s="6">
        <v>4.5999999999999996</v>
      </c>
      <c r="I1494" s="3">
        <v>4</v>
      </c>
      <c r="J1494" s="13" t="str">
        <f>HYPERLINK("https://amazon.com/dp/B075HSQY3B","Amazon - B075HSQY3B")</f>
        <v>Amazon - B075HSQY3B</v>
      </c>
      <c r="K1494" s="14" t="s">
        <v>443</v>
      </c>
      <c r="L1494" s="14" t="s">
        <v>451</v>
      </c>
      <c r="M1494" s="14" t="s">
        <v>303</v>
      </c>
      <c r="N1494" s="14" t="s">
        <v>446</v>
      </c>
      <c r="O1494" s="14" t="s">
        <v>447</v>
      </c>
    </row>
    <row r="1495" spans="1:15" ht="30" x14ac:dyDescent="0.2">
      <c r="A1495" s="2" t="s">
        <v>3531</v>
      </c>
      <c r="B1495" s="2" t="s">
        <v>3532</v>
      </c>
      <c r="C1495" s="2" t="s">
        <v>101</v>
      </c>
      <c r="D1495" s="2" t="s">
        <v>442</v>
      </c>
      <c r="E1495" s="4">
        <v>62.8</v>
      </c>
      <c r="F1495" s="14"/>
      <c r="G1495" s="3">
        <v>0</v>
      </c>
      <c r="H1495" s="6">
        <v>0</v>
      </c>
      <c r="I1495" s="3">
        <v>0</v>
      </c>
      <c r="J1495" s="13" t="str">
        <f>HYPERLINK("https://amazon.com/dp/B0FPWMYBGV","Amazon - B0FPWMYBGV")</f>
        <v>Amazon - B0FPWMYBGV</v>
      </c>
      <c r="K1495" s="14" t="s">
        <v>443</v>
      </c>
      <c r="L1495" s="14" t="s">
        <v>303</v>
      </c>
      <c r="M1495" s="14" t="s">
        <v>303</v>
      </c>
      <c r="N1495" s="14" t="s">
        <v>446</v>
      </c>
      <c r="O1495" s="14" t="s">
        <v>303</v>
      </c>
    </row>
    <row r="1496" spans="1:15" ht="30" x14ac:dyDescent="0.2">
      <c r="A1496" s="2" t="s">
        <v>3533</v>
      </c>
      <c r="B1496" s="2" t="s">
        <v>3534</v>
      </c>
      <c r="C1496" s="2" t="s">
        <v>372</v>
      </c>
      <c r="D1496" s="2" t="s">
        <v>450</v>
      </c>
      <c r="E1496" s="4">
        <v>51.39</v>
      </c>
      <c r="F1496" s="14"/>
      <c r="G1496" s="3">
        <v>0</v>
      </c>
      <c r="H1496" s="6">
        <v>0</v>
      </c>
      <c r="I1496" s="3">
        <v>0</v>
      </c>
      <c r="J1496" s="13" t="str">
        <f>HYPERLINK("https://amazon.com/dp/B0FSGMH3NB","Amazon - B0FSGMH3NB")</f>
        <v>Amazon - B0FSGMH3NB</v>
      </c>
      <c r="K1496" s="14" t="s">
        <v>443</v>
      </c>
      <c r="L1496" s="14" t="s">
        <v>1725</v>
      </c>
      <c r="M1496" s="14" t="s">
        <v>511</v>
      </c>
      <c r="N1496" s="14" t="s">
        <v>446</v>
      </c>
      <c r="O1496" s="14" t="s">
        <v>3535</v>
      </c>
    </row>
    <row r="1497" spans="1:15" ht="30" x14ac:dyDescent="0.2">
      <c r="A1497" s="2" t="s">
        <v>3536</v>
      </c>
      <c r="B1497" s="2" t="s">
        <v>3537</v>
      </c>
      <c r="C1497" s="2" t="s">
        <v>51</v>
      </c>
      <c r="D1497" s="2" t="s">
        <v>450</v>
      </c>
      <c r="E1497" s="4">
        <v>799.98</v>
      </c>
      <c r="F1497" s="14"/>
      <c r="G1497" s="3">
        <v>0</v>
      </c>
      <c r="H1497" s="6">
        <v>0</v>
      </c>
      <c r="I1497" s="3">
        <v>0</v>
      </c>
      <c r="J1497" s="13" t="str">
        <f>HYPERLINK("https://amazon.com/dp/B07MCX148K","Amazon - B07MCX148K")</f>
        <v>Amazon - B07MCX148K</v>
      </c>
      <c r="K1497" s="14" t="s">
        <v>443</v>
      </c>
      <c r="L1497" s="14" t="s">
        <v>461</v>
      </c>
      <c r="M1497" s="14" t="s">
        <v>484</v>
      </c>
      <c r="N1497" s="14" t="s">
        <v>446</v>
      </c>
      <c r="O1497" s="14" t="s">
        <v>543</v>
      </c>
    </row>
    <row r="1498" spans="1:15" ht="30" x14ac:dyDescent="0.2">
      <c r="A1498" s="2" t="s">
        <v>3538</v>
      </c>
      <c r="B1498" s="2" t="s">
        <v>3539</v>
      </c>
      <c r="C1498" s="2" t="s">
        <v>274</v>
      </c>
      <c r="D1498" s="2" t="s">
        <v>450</v>
      </c>
      <c r="E1498" s="4">
        <v>8.9499999999999993</v>
      </c>
      <c r="F1498" s="14"/>
      <c r="G1498" s="3">
        <v>0</v>
      </c>
      <c r="H1498" s="6">
        <v>0</v>
      </c>
      <c r="I1498" s="3">
        <v>0</v>
      </c>
      <c r="J1498" s="13" t="str">
        <f>HYPERLINK("https://amazon.com/dp/B0CS4MXR2Y","Amazon - B0CS4MXR2Y")</f>
        <v>Amazon - B0CS4MXR2Y</v>
      </c>
      <c r="K1498" s="14" t="s">
        <v>443</v>
      </c>
      <c r="L1498" s="14" t="s">
        <v>461</v>
      </c>
      <c r="M1498" s="14" t="s">
        <v>303</v>
      </c>
      <c r="N1498" s="14" t="s">
        <v>452</v>
      </c>
      <c r="O1498" s="14" t="s">
        <v>303</v>
      </c>
    </row>
    <row r="1499" spans="1:15" ht="30" x14ac:dyDescent="0.2">
      <c r="A1499" s="2" t="s">
        <v>3540</v>
      </c>
      <c r="B1499" s="2" t="s">
        <v>3541</v>
      </c>
      <c r="C1499" s="2" t="s">
        <v>379</v>
      </c>
      <c r="D1499" s="2" t="s">
        <v>442</v>
      </c>
      <c r="E1499" s="4">
        <v>255.55</v>
      </c>
      <c r="F1499" s="14"/>
      <c r="G1499" s="3">
        <v>0</v>
      </c>
      <c r="H1499" s="6">
        <v>0</v>
      </c>
      <c r="I1499" s="3">
        <v>0</v>
      </c>
      <c r="J1499" s="13" t="str">
        <f>HYPERLINK("https://amazon.com/dp/B0DJRS77PP","Amazon - B0DJRS77PP")</f>
        <v>Amazon - B0DJRS77PP</v>
      </c>
      <c r="K1499" s="14" t="s">
        <v>443</v>
      </c>
      <c r="L1499" s="14" t="s">
        <v>303</v>
      </c>
      <c r="M1499" s="14" t="s">
        <v>303</v>
      </c>
      <c r="N1499" s="14" t="s">
        <v>446</v>
      </c>
      <c r="O1499" s="14" t="s">
        <v>3542</v>
      </c>
    </row>
    <row r="1500" spans="1:15" ht="45" x14ac:dyDescent="0.2">
      <c r="A1500" s="2" t="s">
        <v>3543</v>
      </c>
      <c r="B1500" s="2" t="s">
        <v>3544</v>
      </c>
      <c r="C1500" s="2" t="s">
        <v>407</v>
      </c>
      <c r="D1500" s="2" t="s">
        <v>472</v>
      </c>
      <c r="E1500" s="4">
        <v>691.99</v>
      </c>
      <c r="F1500" s="14"/>
      <c r="G1500" s="3">
        <v>0</v>
      </c>
      <c r="H1500" s="6">
        <v>0</v>
      </c>
      <c r="I1500" s="3">
        <v>0</v>
      </c>
      <c r="J1500" s="13" t="str">
        <f>HYPERLINK("https://amazon.com/dp/B0BPCG1T59","Amazon - B0BPCG1T59")</f>
        <v>Amazon - B0BPCG1T59</v>
      </c>
      <c r="K1500" s="14" t="s">
        <v>443</v>
      </c>
      <c r="L1500" s="14" t="s">
        <v>502</v>
      </c>
      <c r="M1500" s="14" t="s">
        <v>303</v>
      </c>
      <c r="N1500" s="14" t="s">
        <v>446</v>
      </c>
      <c r="O1500" s="14" t="s">
        <v>725</v>
      </c>
    </row>
    <row r="1501" spans="1:15" ht="30" x14ac:dyDescent="0.2">
      <c r="A1501" s="2" t="s">
        <v>3545</v>
      </c>
      <c r="B1501" s="2" t="s">
        <v>3546</v>
      </c>
      <c r="C1501" s="2" t="s">
        <v>248</v>
      </c>
      <c r="D1501" s="2" t="s">
        <v>450</v>
      </c>
      <c r="E1501" s="4">
        <v>25.69</v>
      </c>
      <c r="F1501" s="14"/>
      <c r="G1501" s="3">
        <v>0</v>
      </c>
      <c r="H1501" s="6">
        <v>0</v>
      </c>
      <c r="I1501" s="3">
        <v>0</v>
      </c>
      <c r="J1501" s="13" t="str">
        <f>HYPERLINK("https://amazon.com/dp/B08HW7PWJZ","Amazon - B08HW7PWJZ")</f>
        <v>Amazon - B08HW7PWJZ</v>
      </c>
      <c r="K1501" s="14" t="s">
        <v>443</v>
      </c>
      <c r="L1501" s="14" t="s">
        <v>303</v>
      </c>
      <c r="M1501" s="14" t="s">
        <v>303</v>
      </c>
      <c r="N1501" s="14" t="s">
        <v>446</v>
      </c>
      <c r="O1501" s="14" t="s">
        <v>946</v>
      </c>
    </row>
    <row r="1502" spans="1:15" ht="30" x14ac:dyDescent="0.2">
      <c r="A1502" s="2" t="s">
        <v>3547</v>
      </c>
      <c r="B1502" s="2" t="s">
        <v>3548</v>
      </c>
      <c r="C1502" s="2" t="s">
        <v>211</v>
      </c>
      <c r="D1502" s="2" t="s">
        <v>450</v>
      </c>
      <c r="E1502" s="4">
        <v>12.5</v>
      </c>
      <c r="F1502" s="14"/>
      <c r="G1502" s="3">
        <v>0</v>
      </c>
      <c r="H1502" s="6">
        <v>0</v>
      </c>
      <c r="I1502" s="3">
        <v>0</v>
      </c>
      <c r="J1502" s="13" t="str">
        <f>HYPERLINK("https://amazon.com/dp/B0CJFHVXMN","Amazon - B0CJFHVXMN")</f>
        <v>Amazon - B0CJFHVXMN</v>
      </c>
      <c r="K1502" s="14" t="s">
        <v>443</v>
      </c>
      <c r="L1502" s="14" t="s">
        <v>1725</v>
      </c>
      <c r="M1502" s="14" t="s">
        <v>462</v>
      </c>
      <c r="N1502" s="14" t="s">
        <v>446</v>
      </c>
      <c r="O1502" s="14" t="s">
        <v>453</v>
      </c>
    </row>
    <row r="1503" spans="1:15" ht="30" x14ac:dyDescent="0.2">
      <c r="A1503" s="2" t="s">
        <v>3549</v>
      </c>
      <c r="B1503" s="2" t="s">
        <v>3550</v>
      </c>
      <c r="C1503" s="2" t="s">
        <v>211</v>
      </c>
      <c r="D1503" s="2" t="s">
        <v>450</v>
      </c>
      <c r="E1503" s="4">
        <v>11.71</v>
      </c>
      <c r="F1503" s="14"/>
      <c r="G1503" s="3">
        <v>0</v>
      </c>
      <c r="H1503" s="6">
        <v>0</v>
      </c>
      <c r="I1503" s="3">
        <v>0</v>
      </c>
      <c r="J1503" s="13" t="str">
        <f>HYPERLINK("https://amazon.com/dp/B0CJFKRBGZ","Amazon - B0CJFKRBGZ")</f>
        <v>Amazon - B0CJFKRBGZ</v>
      </c>
      <c r="K1503" s="14" t="s">
        <v>443</v>
      </c>
      <c r="L1503" s="14" t="s">
        <v>1725</v>
      </c>
      <c r="M1503" s="14" t="s">
        <v>462</v>
      </c>
      <c r="N1503" s="14" t="s">
        <v>446</v>
      </c>
      <c r="O1503" s="14" t="s">
        <v>543</v>
      </c>
    </row>
    <row r="1504" spans="1:15" ht="30" x14ac:dyDescent="0.2">
      <c r="A1504" s="2" t="s">
        <v>3551</v>
      </c>
      <c r="B1504" s="2" t="s">
        <v>3552</v>
      </c>
      <c r="C1504" s="2" t="s">
        <v>211</v>
      </c>
      <c r="D1504" s="2" t="s">
        <v>450</v>
      </c>
      <c r="E1504" s="4">
        <v>12.42</v>
      </c>
      <c r="F1504" s="14"/>
      <c r="G1504" s="3">
        <v>0</v>
      </c>
      <c r="H1504" s="6">
        <v>0</v>
      </c>
      <c r="I1504" s="3">
        <v>0</v>
      </c>
      <c r="J1504" s="13" t="str">
        <f>HYPERLINK("https://amazon.com/dp/B0CJFKZWVM","Amazon - B0CJFKZWVM")</f>
        <v>Amazon - B0CJFKZWVM</v>
      </c>
      <c r="K1504" s="14" t="s">
        <v>443</v>
      </c>
      <c r="L1504" s="14" t="s">
        <v>1725</v>
      </c>
      <c r="M1504" s="14" t="s">
        <v>462</v>
      </c>
      <c r="N1504" s="14" t="s">
        <v>446</v>
      </c>
      <c r="O1504" s="14" t="s">
        <v>745</v>
      </c>
    </row>
    <row r="1505" spans="1:15" ht="30" x14ac:dyDescent="0.2">
      <c r="A1505" s="2" t="s">
        <v>3553</v>
      </c>
      <c r="B1505" s="2" t="s">
        <v>3554</v>
      </c>
      <c r="C1505" s="2" t="s">
        <v>405</v>
      </c>
      <c r="D1505" s="2" t="s">
        <v>472</v>
      </c>
      <c r="E1505" s="4">
        <v>60</v>
      </c>
      <c r="F1505" s="14"/>
      <c r="G1505" s="3">
        <v>0</v>
      </c>
      <c r="H1505" s="6">
        <v>0</v>
      </c>
      <c r="I1505" s="3">
        <v>0</v>
      </c>
      <c r="J1505" s="13" t="str">
        <f>HYPERLINK("https://amazon.com/dp/B0CH3G1TD2","Amazon - B0CH3G1TD2")</f>
        <v>Amazon - B0CH3G1TD2</v>
      </c>
      <c r="K1505" s="14" t="s">
        <v>443</v>
      </c>
      <c r="L1505" s="14" t="s">
        <v>303</v>
      </c>
      <c r="M1505" s="14" t="s">
        <v>3555</v>
      </c>
      <c r="N1505" s="14" t="s">
        <v>446</v>
      </c>
      <c r="O1505" s="14" t="s">
        <v>578</v>
      </c>
    </row>
    <row r="1506" spans="1:15" ht="30" x14ac:dyDescent="0.2">
      <c r="A1506" s="2" t="s">
        <v>3556</v>
      </c>
      <c r="B1506" s="2" t="s">
        <v>3557</v>
      </c>
      <c r="C1506" s="2" t="s">
        <v>139</v>
      </c>
      <c r="D1506" s="2" t="s">
        <v>442</v>
      </c>
      <c r="E1506" s="4">
        <v>45.89</v>
      </c>
      <c r="F1506" s="14"/>
      <c r="G1506" s="3">
        <v>0</v>
      </c>
      <c r="H1506" s="6">
        <v>0</v>
      </c>
      <c r="I1506" s="3">
        <v>0</v>
      </c>
      <c r="J1506" s="13" t="str">
        <f>HYPERLINK("https://amazon.com/dp/B08NXK323G","Amazon - B08NXK323G")</f>
        <v>Amazon - B08NXK323G</v>
      </c>
      <c r="K1506" s="14" t="s">
        <v>443</v>
      </c>
      <c r="L1506" s="14" t="s">
        <v>456</v>
      </c>
      <c r="M1506" s="14" t="s">
        <v>445</v>
      </c>
      <c r="N1506" s="14" t="s">
        <v>446</v>
      </c>
      <c r="O1506" s="14" t="s">
        <v>303</v>
      </c>
    </row>
    <row r="1507" spans="1:15" ht="30" x14ac:dyDescent="0.2">
      <c r="A1507" s="2" t="s">
        <v>3558</v>
      </c>
      <c r="B1507" s="2" t="s">
        <v>3559</v>
      </c>
      <c r="C1507" s="2" t="s">
        <v>346</v>
      </c>
      <c r="D1507" s="2" t="s">
        <v>442</v>
      </c>
      <c r="E1507" s="4">
        <v>39.409999999999997</v>
      </c>
      <c r="F1507" s="14"/>
      <c r="G1507" s="3">
        <v>0</v>
      </c>
      <c r="H1507" s="6">
        <v>0</v>
      </c>
      <c r="I1507" s="3">
        <v>0</v>
      </c>
      <c r="J1507" s="13" t="str">
        <f>HYPERLINK("https://amazon.com/dp/B0FP44SMVW","Amazon - B0FP44SMVW")</f>
        <v>Amazon - B0FP44SMVW</v>
      </c>
      <c r="K1507" s="14" t="s">
        <v>443</v>
      </c>
      <c r="L1507" s="14" t="s">
        <v>303</v>
      </c>
      <c r="M1507" s="14" t="s">
        <v>445</v>
      </c>
      <c r="N1507" s="14" t="s">
        <v>446</v>
      </c>
      <c r="O1507" s="14" t="s">
        <v>453</v>
      </c>
    </row>
    <row r="1508" spans="1:15" ht="30" x14ac:dyDescent="0.2">
      <c r="A1508" s="2" t="s">
        <v>3560</v>
      </c>
      <c r="B1508" s="2" t="s">
        <v>3561</v>
      </c>
      <c r="C1508" s="2" t="s">
        <v>423</v>
      </c>
      <c r="D1508" s="2" t="s">
        <v>442</v>
      </c>
      <c r="E1508" s="4">
        <v>151.41999999999999</v>
      </c>
      <c r="F1508" s="14"/>
      <c r="G1508" s="3">
        <v>0</v>
      </c>
      <c r="H1508" s="6">
        <v>0</v>
      </c>
      <c r="I1508" s="3">
        <v>0</v>
      </c>
      <c r="J1508" s="13" t="str">
        <f>HYPERLINK("https://amazon.com/dp/B0CZNR8LWP","Amazon - B0CZNR8LWP")</f>
        <v>Amazon - B0CZNR8LWP</v>
      </c>
      <c r="K1508" s="14" t="s">
        <v>443</v>
      </c>
      <c r="L1508" s="14" t="s">
        <v>444</v>
      </c>
      <c r="M1508" s="14" t="s">
        <v>303</v>
      </c>
      <c r="N1508" s="14" t="s">
        <v>446</v>
      </c>
      <c r="O1508" s="14" t="s">
        <v>303</v>
      </c>
    </row>
    <row r="1509" spans="1:15" ht="30" x14ac:dyDescent="0.2">
      <c r="A1509" s="2" t="s">
        <v>3562</v>
      </c>
      <c r="B1509" s="2" t="s">
        <v>3563</v>
      </c>
      <c r="C1509" s="2" t="s">
        <v>51</v>
      </c>
      <c r="D1509" s="2" t="s">
        <v>442</v>
      </c>
      <c r="E1509" s="4">
        <v>399.98</v>
      </c>
      <c r="F1509" s="14"/>
      <c r="G1509" s="3">
        <v>0</v>
      </c>
      <c r="H1509" s="6">
        <v>4.2</v>
      </c>
      <c r="I1509" s="3">
        <v>4</v>
      </c>
      <c r="J1509" s="13" t="str">
        <f>HYPERLINK("https://amazon.com/dp/B077LBTCH1","Amazon - B077LBTCH1")</f>
        <v>Amazon - B077LBTCH1</v>
      </c>
      <c r="K1509" s="14" t="s">
        <v>443</v>
      </c>
      <c r="L1509" s="14" t="s">
        <v>303</v>
      </c>
      <c r="M1509" s="14" t="s">
        <v>511</v>
      </c>
      <c r="N1509" s="14" t="s">
        <v>446</v>
      </c>
      <c r="O1509" s="14" t="s">
        <v>303</v>
      </c>
    </row>
    <row r="1510" spans="1:15" ht="45" x14ac:dyDescent="0.2">
      <c r="A1510" s="2" t="s">
        <v>3564</v>
      </c>
      <c r="B1510" s="2" t="s">
        <v>3565</v>
      </c>
      <c r="C1510" s="2" t="s">
        <v>337</v>
      </c>
      <c r="D1510" s="2" t="s">
        <v>442</v>
      </c>
      <c r="E1510" s="4">
        <v>120.91</v>
      </c>
      <c r="F1510" s="14"/>
      <c r="G1510" s="3">
        <v>0</v>
      </c>
      <c r="H1510" s="6">
        <v>0</v>
      </c>
      <c r="I1510" s="3">
        <v>0</v>
      </c>
      <c r="J1510" s="13" t="str">
        <f>HYPERLINK("https://amazon.com/dp/B0CM2YRDJX","Amazon - B0CM2YRDJX")</f>
        <v>Amazon - B0CM2YRDJX</v>
      </c>
      <c r="K1510" s="14" t="s">
        <v>443</v>
      </c>
      <c r="L1510" s="14" t="s">
        <v>461</v>
      </c>
      <c r="M1510" s="14" t="s">
        <v>303</v>
      </c>
      <c r="N1510" s="14" t="s">
        <v>452</v>
      </c>
      <c r="O1510" s="14" t="s">
        <v>303</v>
      </c>
    </row>
    <row r="1511" spans="1:15" ht="45" x14ac:dyDescent="0.2">
      <c r="A1511" s="2" t="s">
        <v>3566</v>
      </c>
      <c r="B1511" s="2" t="s">
        <v>3567</v>
      </c>
      <c r="C1511" s="2" t="s">
        <v>331</v>
      </c>
      <c r="D1511" s="2" t="s">
        <v>450</v>
      </c>
      <c r="E1511" s="4">
        <v>11.19</v>
      </c>
      <c r="F1511" s="14"/>
      <c r="G1511" s="3">
        <v>0</v>
      </c>
      <c r="H1511" s="6">
        <v>0</v>
      </c>
      <c r="I1511" s="3">
        <v>0</v>
      </c>
      <c r="J1511" s="13" t="str">
        <f>HYPERLINK("https://amazon.com/dp/B0FLJDW8G6","Amazon - B0FLJDW8G6")</f>
        <v>Amazon - B0FLJDW8G6</v>
      </c>
      <c r="K1511" s="14" t="s">
        <v>443</v>
      </c>
      <c r="L1511" s="14" t="s">
        <v>1725</v>
      </c>
      <c r="M1511" s="14" t="s">
        <v>462</v>
      </c>
      <c r="N1511" s="14" t="s">
        <v>446</v>
      </c>
      <c r="O1511" s="14" t="s">
        <v>453</v>
      </c>
    </row>
    <row r="1512" spans="1:15" ht="30" x14ac:dyDescent="0.2">
      <c r="A1512" s="2" t="s">
        <v>3568</v>
      </c>
      <c r="B1512" s="2" t="s">
        <v>3569</v>
      </c>
      <c r="C1512" s="2" t="s">
        <v>368</v>
      </c>
      <c r="D1512" s="2" t="s">
        <v>442</v>
      </c>
      <c r="E1512" s="4">
        <v>177.59</v>
      </c>
      <c r="F1512" s="14"/>
      <c r="G1512" s="3">
        <v>0</v>
      </c>
      <c r="H1512" s="6">
        <v>0</v>
      </c>
      <c r="I1512" s="3">
        <v>0</v>
      </c>
      <c r="J1512" s="13" t="str">
        <f>HYPERLINK("https://amazon.com/dp/B0CQXWDFDT","Amazon - B0CQXWDFDT")</f>
        <v>Amazon - B0CQXWDFDT</v>
      </c>
      <c r="K1512" s="14" t="s">
        <v>482</v>
      </c>
      <c r="L1512" s="14" t="s">
        <v>1299</v>
      </c>
      <c r="M1512" s="14" t="s">
        <v>303</v>
      </c>
      <c r="N1512" s="14" t="s">
        <v>446</v>
      </c>
      <c r="O1512" s="14" t="s">
        <v>543</v>
      </c>
    </row>
    <row r="1513" spans="1:15" ht="30" x14ac:dyDescent="0.2">
      <c r="A1513" s="2" t="s">
        <v>3570</v>
      </c>
      <c r="B1513" s="2" t="s">
        <v>3571</v>
      </c>
      <c r="C1513" s="2" t="s">
        <v>424</v>
      </c>
      <c r="D1513" s="2" t="s">
        <v>442</v>
      </c>
      <c r="E1513" s="4">
        <v>169</v>
      </c>
      <c r="F1513" s="14"/>
      <c r="G1513" s="3">
        <v>0</v>
      </c>
      <c r="H1513" s="6">
        <v>4</v>
      </c>
      <c r="I1513" s="3">
        <v>1</v>
      </c>
      <c r="J1513" s="13" t="str">
        <f>HYPERLINK("https://amazon.com/dp/B07GB716JW","Amazon - B07GB716JW")</f>
        <v>Amazon - B07GB716JW</v>
      </c>
      <c r="K1513" s="14" t="s">
        <v>443</v>
      </c>
      <c r="L1513" s="14" t="s">
        <v>461</v>
      </c>
      <c r="M1513" s="14" t="s">
        <v>303</v>
      </c>
      <c r="N1513" s="14" t="s">
        <v>446</v>
      </c>
      <c r="O1513" s="14" t="s">
        <v>303</v>
      </c>
    </row>
    <row r="1514" spans="1:15" ht="30" x14ac:dyDescent="0.2">
      <c r="A1514" s="2" t="s">
        <v>3572</v>
      </c>
      <c r="B1514" s="2" t="s">
        <v>3573</v>
      </c>
      <c r="C1514" s="2" t="s">
        <v>51</v>
      </c>
      <c r="D1514" s="2" t="s">
        <v>442</v>
      </c>
      <c r="E1514" s="4">
        <v>889.98</v>
      </c>
      <c r="F1514" s="14"/>
      <c r="G1514" s="3">
        <v>0</v>
      </c>
      <c r="H1514" s="6">
        <v>0</v>
      </c>
      <c r="I1514" s="3">
        <v>0</v>
      </c>
      <c r="J1514" s="13" t="str">
        <f>HYPERLINK("https://amazon.com/dp/B0F8PJX87C","Amazon - B0F8PJX87C")</f>
        <v>Amazon - B0F8PJX87C</v>
      </c>
      <c r="K1514" s="14" t="s">
        <v>482</v>
      </c>
      <c r="L1514" s="14" t="s">
        <v>461</v>
      </c>
      <c r="M1514" s="14" t="s">
        <v>484</v>
      </c>
      <c r="N1514" s="14" t="s">
        <v>446</v>
      </c>
      <c r="O1514" s="14" t="s">
        <v>543</v>
      </c>
    </row>
    <row r="1515" spans="1:15" ht="30" x14ac:dyDescent="0.2">
      <c r="A1515" s="2" t="s">
        <v>3574</v>
      </c>
      <c r="B1515" s="2" t="s">
        <v>3575</v>
      </c>
      <c r="C1515" s="2" t="s">
        <v>368</v>
      </c>
      <c r="D1515" s="2" t="s">
        <v>442</v>
      </c>
      <c r="E1515" s="4">
        <v>229</v>
      </c>
      <c r="F1515" s="14"/>
      <c r="G1515" s="3">
        <v>0</v>
      </c>
      <c r="H1515" s="6">
        <v>0</v>
      </c>
      <c r="I1515" s="3">
        <v>0</v>
      </c>
      <c r="J1515" s="13" t="str">
        <f>HYPERLINK("https://amazon.com/dp/B0CQXVMRW5","Amazon - B0CQXVMRW5")</f>
        <v>Amazon - B0CQXVMRW5</v>
      </c>
      <c r="K1515" s="14" t="s">
        <v>482</v>
      </c>
      <c r="L1515" s="14" t="s">
        <v>1299</v>
      </c>
      <c r="M1515" s="14" t="s">
        <v>303</v>
      </c>
      <c r="N1515" s="14" t="s">
        <v>446</v>
      </c>
      <c r="O1515" s="14" t="s">
        <v>524</v>
      </c>
    </row>
    <row r="1516" spans="1:15" ht="45" x14ac:dyDescent="0.2">
      <c r="A1516" s="2" t="s">
        <v>3576</v>
      </c>
      <c r="B1516" s="2" t="s">
        <v>3577</v>
      </c>
      <c r="C1516" s="2" t="s">
        <v>51</v>
      </c>
      <c r="D1516" s="2" t="s">
        <v>472</v>
      </c>
      <c r="E1516" s="4">
        <v>549.98</v>
      </c>
      <c r="F1516" s="14"/>
      <c r="G1516" s="3">
        <v>0</v>
      </c>
      <c r="H1516" s="6">
        <v>0</v>
      </c>
      <c r="I1516" s="3">
        <v>0</v>
      </c>
      <c r="J1516" s="13" t="str">
        <f>HYPERLINK("https://amazon.com/dp/B0B2S7JKTY","Amazon - B0B2S7JKTY")</f>
        <v>Amazon - B0B2S7JKTY</v>
      </c>
      <c r="K1516" s="14" t="s">
        <v>443</v>
      </c>
      <c r="L1516" s="14" t="s">
        <v>303</v>
      </c>
      <c r="M1516" s="14" t="s">
        <v>303</v>
      </c>
      <c r="N1516" s="14" t="s">
        <v>446</v>
      </c>
      <c r="O1516" s="14" t="s">
        <v>303</v>
      </c>
    </row>
    <row r="1517" spans="1:15" ht="45" x14ac:dyDescent="0.2">
      <c r="A1517" s="2" t="s">
        <v>3578</v>
      </c>
      <c r="B1517" s="2" t="s">
        <v>3579</v>
      </c>
      <c r="C1517" s="2" t="s">
        <v>51</v>
      </c>
      <c r="D1517" s="2" t="s">
        <v>472</v>
      </c>
      <c r="E1517" s="4">
        <v>549.98</v>
      </c>
      <c r="F1517" s="14"/>
      <c r="G1517" s="3">
        <v>0</v>
      </c>
      <c r="H1517" s="6">
        <v>0</v>
      </c>
      <c r="I1517" s="3">
        <v>0</v>
      </c>
      <c r="J1517" s="13" t="str">
        <f>HYPERLINK("https://amazon.com/dp/B0B2SBLTLV","Amazon - B0B2SBLTLV")</f>
        <v>Amazon - B0B2SBLTLV</v>
      </c>
      <c r="K1517" s="14" t="s">
        <v>443</v>
      </c>
      <c r="L1517" s="14" t="s">
        <v>303</v>
      </c>
      <c r="M1517" s="14" t="s">
        <v>303</v>
      </c>
      <c r="N1517" s="14" t="s">
        <v>446</v>
      </c>
      <c r="O1517" s="14" t="s">
        <v>303</v>
      </c>
    </row>
    <row r="1518" spans="1:15" ht="45" x14ac:dyDescent="0.2">
      <c r="A1518" s="2" t="s">
        <v>3580</v>
      </c>
      <c r="B1518" s="2" t="s">
        <v>3581</v>
      </c>
      <c r="C1518" s="2" t="s">
        <v>51</v>
      </c>
      <c r="D1518" s="2" t="s">
        <v>442</v>
      </c>
      <c r="E1518" s="4">
        <v>219</v>
      </c>
      <c r="F1518" s="14"/>
      <c r="G1518" s="3">
        <v>0</v>
      </c>
      <c r="H1518" s="6">
        <v>3.9</v>
      </c>
      <c r="I1518" s="3">
        <v>26</v>
      </c>
      <c r="J1518" s="13" t="str">
        <f>HYPERLINK("https://amazon.com/dp/B08J5V581B","Amazon - B08J5V581B")</f>
        <v>Amazon - B08J5V581B</v>
      </c>
      <c r="K1518" s="14" t="s">
        <v>443</v>
      </c>
      <c r="L1518" s="14" t="s">
        <v>530</v>
      </c>
      <c r="M1518" s="14" t="s">
        <v>484</v>
      </c>
      <c r="N1518" s="14" t="s">
        <v>446</v>
      </c>
      <c r="O1518" s="14" t="s">
        <v>447</v>
      </c>
    </row>
    <row r="1519" spans="1:15" ht="30" x14ac:dyDescent="0.2">
      <c r="A1519" s="2" t="s">
        <v>3582</v>
      </c>
      <c r="B1519" s="2" t="s">
        <v>3583</v>
      </c>
      <c r="C1519" s="2" t="s">
        <v>392</v>
      </c>
      <c r="D1519" s="2" t="s">
        <v>442</v>
      </c>
      <c r="E1519" s="4">
        <v>125.99</v>
      </c>
      <c r="F1519" s="14"/>
      <c r="G1519" s="3">
        <v>0</v>
      </c>
      <c r="H1519" s="6">
        <v>0</v>
      </c>
      <c r="I1519" s="3">
        <v>0</v>
      </c>
      <c r="J1519" s="13" t="str">
        <f>HYPERLINK("https://amazon.com/dp/B0F3DJ43SQ","Amazon - B0F3DJ43SQ")</f>
        <v>Amazon - B0F3DJ43SQ</v>
      </c>
      <c r="K1519" s="14" t="s">
        <v>443</v>
      </c>
      <c r="L1519" s="14" t="s">
        <v>461</v>
      </c>
      <c r="M1519" s="14" t="s">
        <v>484</v>
      </c>
      <c r="N1519" s="14" t="s">
        <v>446</v>
      </c>
      <c r="O1519" s="14" t="s">
        <v>543</v>
      </c>
    </row>
    <row r="1520" spans="1:15" ht="45" x14ac:dyDescent="0.2">
      <c r="A1520" s="2" t="s">
        <v>3584</v>
      </c>
      <c r="B1520" s="2" t="s">
        <v>3585</v>
      </c>
      <c r="C1520" s="2" t="s">
        <v>392</v>
      </c>
      <c r="D1520" s="2" t="s">
        <v>442</v>
      </c>
      <c r="E1520" s="4">
        <v>119.99</v>
      </c>
      <c r="F1520" s="14"/>
      <c r="G1520" s="3">
        <v>0</v>
      </c>
      <c r="H1520" s="6">
        <v>0</v>
      </c>
      <c r="I1520" s="3">
        <v>0</v>
      </c>
      <c r="J1520" s="13" t="str">
        <f>HYPERLINK("https://amazon.com/dp/B0F3DK2Z4P","Amazon - B0F3DK2Z4P")</f>
        <v>Amazon - B0F3DK2Z4P</v>
      </c>
      <c r="K1520" s="14" t="s">
        <v>443</v>
      </c>
      <c r="L1520" s="14" t="s">
        <v>461</v>
      </c>
      <c r="M1520" s="14" t="s">
        <v>445</v>
      </c>
      <c r="N1520" s="14" t="s">
        <v>446</v>
      </c>
      <c r="O1520" s="14" t="s">
        <v>543</v>
      </c>
    </row>
    <row r="1521" spans="1:15" ht="30" x14ac:dyDescent="0.2">
      <c r="A1521" s="2" t="s">
        <v>3586</v>
      </c>
      <c r="B1521" s="2" t="s">
        <v>3587</v>
      </c>
      <c r="C1521" s="2" t="s">
        <v>392</v>
      </c>
      <c r="D1521" s="2" t="s">
        <v>442</v>
      </c>
      <c r="E1521" s="4">
        <v>115.99</v>
      </c>
      <c r="F1521" s="14"/>
      <c r="G1521" s="3">
        <v>0</v>
      </c>
      <c r="H1521" s="6">
        <v>0</v>
      </c>
      <c r="I1521" s="3">
        <v>0</v>
      </c>
      <c r="J1521" s="13" t="str">
        <f>HYPERLINK("https://amazon.com/dp/B0F3DJ5DNW","Amazon - B0F3DJ5DNW")</f>
        <v>Amazon - B0F3DJ5DNW</v>
      </c>
      <c r="K1521" s="14" t="s">
        <v>443</v>
      </c>
      <c r="L1521" s="14" t="s">
        <v>461</v>
      </c>
      <c r="M1521" s="14" t="s">
        <v>445</v>
      </c>
      <c r="N1521" s="14" t="s">
        <v>446</v>
      </c>
      <c r="O1521" s="14" t="s">
        <v>543</v>
      </c>
    </row>
    <row r="1522" spans="1:15" ht="45" x14ac:dyDescent="0.2">
      <c r="A1522" s="2" t="s">
        <v>3588</v>
      </c>
      <c r="B1522" s="2" t="s">
        <v>3589</v>
      </c>
      <c r="C1522" s="2" t="s">
        <v>392</v>
      </c>
      <c r="D1522" s="2" t="s">
        <v>442</v>
      </c>
      <c r="E1522" s="4">
        <v>109.99</v>
      </c>
      <c r="F1522" s="14"/>
      <c r="G1522" s="3">
        <v>0</v>
      </c>
      <c r="H1522" s="6">
        <v>0</v>
      </c>
      <c r="I1522" s="3">
        <v>0</v>
      </c>
      <c r="J1522" s="13" t="str">
        <f>HYPERLINK("https://amazon.com/dp/B0F3DJSRSV","Amazon - B0F3DJSRSV")</f>
        <v>Amazon - B0F3DJSRSV</v>
      </c>
      <c r="K1522" s="14" t="s">
        <v>443</v>
      </c>
      <c r="L1522" s="14" t="s">
        <v>461</v>
      </c>
      <c r="M1522" s="14" t="s">
        <v>445</v>
      </c>
      <c r="N1522" s="14" t="s">
        <v>446</v>
      </c>
      <c r="O1522" s="14" t="s">
        <v>543</v>
      </c>
    </row>
    <row r="1523" spans="1:15" ht="45" x14ac:dyDescent="0.2">
      <c r="A1523" s="2" t="s">
        <v>3590</v>
      </c>
      <c r="B1523" s="2" t="s">
        <v>3591</v>
      </c>
      <c r="C1523" s="2" t="s">
        <v>43</v>
      </c>
      <c r="D1523" s="2" t="s">
        <v>472</v>
      </c>
      <c r="E1523" s="4">
        <v>854.05</v>
      </c>
      <c r="F1523" s="14"/>
      <c r="G1523" s="3">
        <v>0</v>
      </c>
      <c r="H1523" s="6">
        <v>5</v>
      </c>
      <c r="I1523" s="3">
        <v>1</v>
      </c>
      <c r="J1523" s="13" t="str">
        <f>HYPERLINK("https://amazon.com/dp/B0F8QQLD4L","Amazon - B0F8QQLD4L")</f>
        <v>Amazon - B0F8QQLD4L</v>
      </c>
      <c r="K1523" s="14" t="s">
        <v>443</v>
      </c>
      <c r="L1523" s="14" t="s">
        <v>564</v>
      </c>
      <c r="M1523" s="14" t="s">
        <v>565</v>
      </c>
      <c r="N1523" s="14" t="s">
        <v>446</v>
      </c>
      <c r="O1523" s="14" t="s">
        <v>570</v>
      </c>
    </row>
    <row r="1524" spans="1:15" ht="45" x14ac:dyDescent="0.2">
      <c r="A1524" s="2" t="s">
        <v>3592</v>
      </c>
      <c r="B1524" s="2" t="s">
        <v>3593</v>
      </c>
      <c r="C1524" s="2" t="s">
        <v>43</v>
      </c>
      <c r="D1524" s="2" t="s">
        <v>472</v>
      </c>
      <c r="E1524" s="4">
        <v>901.59</v>
      </c>
      <c r="F1524" s="14"/>
      <c r="G1524" s="3">
        <v>0</v>
      </c>
      <c r="H1524" s="6">
        <v>5</v>
      </c>
      <c r="I1524" s="3">
        <v>2</v>
      </c>
      <c r="J1524" s="13" t="str">
        <f>HYPERLINK("https://amazon.com/dp/B0F8QRCNY7","Amazon - B0F8QRCNY7")</f>
        <v>Amazon - B0F8QRCNY7</v>
      </c>
      <c r="K1524" s="14" t="s">
        <v>443</v>
      </c>
      <c r="L1524" s="14" t="s">
        <v>564</v>
      </c>
      <c r="M1524" s="14" t="s">
        <v>565</v>
      </c>
      <c r="N1524" s="14" t="s">
        <v>446</v>
      </c>
      <c r="O1524" s="14" t="s">
        <v>863</v>
      </c>
    </row>
    <row r="1525" spans="1:15" ht="30" x14ac:dyDescent="0.2">
      <c r="A1525" s="2" t="s">
        <v>3594</v>
      </c>
      <c r="B1525" s="2" t="s">
        <v>3595</v>
      </c>
      <c r="C1525" s="2" t="s">
        <v>51</v>
      </c>
      <c r="D1525" s="2" t="s">
        <v>450</v>
      </c>
      <c r="E1525" s="4">
        <v>129.97</v>
      </c>
      <c r="F1525" s="14"/>
      <c r="G1525" s="3">
        <v>0</v>
      </c>
      <c r="H1525" s="6">
        <v>0</v>
      </c>
      <c r="I1525" s="3">
        <v>0</v>
      </c>
      <c r="J1525" s="13" t="str">
        <f>HYPERLINK("https://amazon.com/dp/B00J7PE7R6","Amazon - B00J7PE7R6")</f>
        <v>Amazon - B00J7PE7R6</v>
      </c>
      <c r="K1525" s="14" t="s">
        <v>443</v>
      </c>
      <c r="L1525" s="14" t="s">
        <v>451</v>
      </c>
      <c r="M1525" s="14" t="s">
        <v>303</v>
      </c>
      <c r="N1525" s="14" t="s">
        <v>446</v>
      </c>
      <c r="O1525" s="14" t="s">
        <v>303</v>
      </c>
    </row>
    <row r="1526" spans="1:15" ht="45" x14ac:dyDescent="0.2">
      <c r="A1526" s="2" t="s">
        <v>3596</v>
      </c>
      <c r="B1526" s="2" t="s">
        <v>3597</v>
      </c>
      <c r="C1526" s="2" t="s">
        <v>385</v>
      </c>
      <c r="D1526" s="2" t="s">
        <v>442</v>
      </c>
      <c r="E1526" s="4">
        <v>590.79999999999995</v>
      </c>
      <c r="F1526" s="14"/>
      <c r="G1526" s="3">
        <v>0</v>
      </c>
      <c r="H1526" s="6">
        <v>0</v>
      </c>
      <c r="I1526" s="3">
        <v>0</v>
      </c>
      <c r="J1526" s="13" t="str">
        <f>HYPERLINK("https://amazon.com/dp/B07CKZCJYK","Amazon - B07CKZCJYK")</f>
        <v>Amazon - B07CKZCJYK</v>
      </c>
      <c r="K1526" s="14" t="s">
        <v>443</v>
      </c>
      <c r="L1526" s="14" t="s">
        <v>1299</v>
      </c>
      <c r="M1526" s="14" t="s">
        <v>303</v>
      </c>
      <c r="N1526" s="14" t="s">
        <v>446</v>
      </c>
      <c r="O1526" s="14" t="s">
        <v>543</v>
      </c>
    </row>
    <row r="1527" spans="1:15" x14ac:dyDescent="0.2">
      <c r="A1527" s="2" t="s">
        <v>3598</v>
      </c>
      <c r="B1527" s="2" t="s">
        <v>3599</v>
      </c>
      <c r="C1527" s="2" t="s">
        <v>19</v>
      </c>
      <c r="D1527" s="2" t="s">
        <v>442</v>
      </c>
      <c r="E1527" s="4">
        <v>193.25</v>
      </c>
      <c r="F1527" s="14"/>
      <c r="G1527" s="3">
        <v>0</v>
      </c>
      <c r="H1527" s="6">
        <v>4.0999999999999996</v>
      </c>
      <c r="I1527" s="3">
        <v>17</v>
      </c>
      <c r="J1527" s="13" t="str">
        <f>HYPERLINK("https://amazon.com/dp/B008DYJWRC","Amazon - B008DYJWRC")</f>
        <v>Amazon - B008DYJWRC</v>
      </c>
      <c r="K1527" s="14" t="s">
        <v>443</v>
      </c>
      <c r="L1527" s="14" t="s">
        <v>303</v>
      </c>
      <c r="M1527" s="14" t="s">
        <v>303</v>
      </c>
      <c r="N1527" s="14" t="s">
        <v>446</v>
      </c>
      <c r="O1527" s="14" t="s">
        <v>303</v>
      </c>
    </row>
    <row r="1528" spans="1:15" ht="45" x14ac:dyDescent="0.2">
      <c r="A1528" s="2" t="s">
        <v>3600</v>
      </c>
      <c r="B1528" s="2" t="s">
        <v>3601</v>
      </c>
      <c r="C1528" s="2" t="s">
        <v>336</v>
      </c>
      <c r="D1528" s="2" t="s">
        <v>472</v>
      </c>
      <c r="E1528" s="4">
        <v>512.16</v>
      </c>
      <c r="F1528" s="14"/>
      <c r="G1528" s="3">
        <v>0</v>
      </c>
      <c r="H1528" s="6">
        <v>0</v>
      </c>
      <c r="I1528" s="3">
        <v>0</v>
      </c>
      <c r="J1528" s="13" t="str">
        <f>HYPERLINK("https://amazon.com/dp/B0BXSTW54F","Amazon - B0BXSTW54F")</f>
        <v>Amazon - B0BXSTW54F</v>
      </c>
      <c r="K1528" s="14" t="s">
        <v>443</v>
      </c>
      <c r="L1528" s="14" t="s">
        <v>502</v>
      </c>
      <c r="M1528" s="14" t="s">
        <v>303</v>
      </c>
      <c r="N1528" s="14" t="s">
        <v>446</v>
      </c>
      <c r="O1528" s="14" t="s">
        <v>725</v>
      </c>
    </row>
    <row r="1529" spans="1:15" ht="30" x14ac:dyDescent="0.2">
      <c r="A1529" s="2" t="s">
        <v>3602</v>
      </c>
      <c r="B1529" s="2" t="s">
        <v>3603</v>
      </c>
      <c r="C1529" s="2" t="s">
        <v>364</v>
      </c>
      <c r="D1529" s="2" t="s">
        <v>450</v>
      </c>
      <c r="E1529" s="4">
        <v>14.92</v>
      </c>
      <c r="F1529" s="14"/>
      <c r="G1529" s="3">
        <v>0</v>
      </c>
      <c r="H1529" s="6">
        <v>0</v>
      </c>
      <c r="I1529" s="3">
        <v>0</v>
      </c>
      <c r="J1529" s="13" t="str">
        <f>HYPERLINK("https://amazon.com/dp/B0CN46N7H9","Amazon - B0CN46N7H9")</f>
        <v>Amazon - B0CN46N7H9</v>
      </c>
      <c r="K1529" s="14" t="s">
        <v>443</v>
      </c>
      <c r="L1529" s="14" t="s">
        <v>451</v>
      </c>
      <c r="M1529" s="14" t="s">
        <v>565</v>
      </c>
      <c r="N1529" s="14" t="s">
        <v>446</v>
      </c>
      <c r="O1529" s="14" t="s">
        <v>543</v>
      </c>
    </row>
    <row r="1530" spans="1:15" ht="45" x14ac:dyDescent="0.2">
      <c r="A1530" s="2" t="s">
        <v>3604</v>
      </c>
      <c r="B1530" s="2" t="s">
        <v>3605</v>
      </c>
      <c r="C1530" s="2" t="s">
        <v>367</v>
      </c>
      <c r="D1530" s="2" t="s">
        <v>450</v>
      </c>
      <c r="E1530" s="4">
        <v>15.99</v>
      </c>
      <c r="F1530" s="14"/>
      <c r="G1530" s="3">
        <v>0</v>
      </c>
      <c r="H1530" s="6">
        <v>3.5</v>
      </c>
      <c r="I1530" s="3">
        <v>29</v>
      </c>
      <c r="J1530" s="13" t="str">
        <f>HYPERLINK("https://amazon.com/dp/B071NF8FZC","Amazon - B071NF8FZC")</f>
        <v>Amazon - B071NF8FZC</v>
      </c>
      <c r="K1530" s="14" t="s">
        <v>443</v>
      </c>
      <c r="L1530" s="14" t="s">
        <v>451</v>
      </c>
      <c r="M1530" s="14" t="s">
        <v>462</v>
      </c>
      <c r="N1530" s="14" t="s">
        <v>446</v>
      </c>
      <c r="O1530" s="14" t="s">
        <v>1204</v>
      </c>
    </row>
    <row r="1531" spans="1:15" ht="30" x14ac:dyDescent="0.2">
      <c r="A1531" s="2" t="s">
        <v>3606</v>
      </c>
      <c r="B1531" s="2" t="s">
        <v>3607</v>
      </c>
      <c r="C1531" s="2" t="s">
        <v>51</v>
      </c>
      <c r="D1531" s="2" t="s">
        <v>823</v>
      </c>
      <c r="E1531" s="4">
        <v>999.98</v>
      </c>
      <c r="F1531" s="14"/>
      <c r="G1531" s="3">
        <v>0</v>
      </c>
      <c r="H1531" s="6">
        <v>0</v>
      </c>
      <c r="I1531" s="3">
        <v>0</v>
      </c>
      <c r="J1531" s="13" t="str">
        <f>HYPERLINK("https://amazon.com/dp/B0C7RZ837B","Amazon - B0C7RZ837B")</f>
        <v>Amazon - B0C7RZ837B</v>
      </c>
      <c r="K1531" s="14" t="s">
        <v>482</v>
      </c>
      <c r="L1531" s="14" t="s">
        <v>451</v>
      </c>
      <c r="M1531" s="14" t="s">
        <v>484</v>
      </c>
      <c r="N1531" s="14" t="s">
        <v>446</v>
      </c>
      <c r="O1531" s="14" t="s">
        <v>543</v>
      </c>
    </row>
    <row r="1532" spans="1:15" ht="30" x14ac:dyDescent="0.2">
      <c r="A1532" s="2" t="s">
        <v>3608</v>
      </c>
      <c r="B1532" s="2" t="s">
        <v>3609</v>
      </c>
      <c r="C1532" s="2" t="s">
        <v>317</v>
      </c>
      <c r="D1532" s="2" t="s">
        <v>450</v>
      </c>
      <c r="E1532" s="4">
        <v>33.97</v>
      </c>
      <c r="F1532" s="14"/>
      <c r="G1532" s="3">
        <v>0</v>
      </c>
      <c r="H1532" s="6">
        <v>0</v>
      </c>
      <c r="I1532" s="3">
        <v>0</v>
      </c>
      <c r="J1532" s="13" t="str">
        <f>HYPERLINK("https://amazon.com/dp/B0CQV75QMJ","Amazon - B0CQV75QMJ")</f>
        <v>Amazon - B0CQV75QMJ</v>
      </c>
      <c r="K1532" s="14" t="s">
        <v>443</v>
      </c>
      <c r="L1532" s="14" t="s">
        <v>451</v>
      </c>
      <c r="M1532" s="14" t="s">
        <v>445</v>
      </c>
      <c r="N1532" s="14" t="s">
        <v>446</v>
      </c>
      <c r="O1532" s="14" t="s">
        <v>453</v>
      </c>
    </row>
    <row r="1533" spans="1:15" ht="30" x14ac:dyDescent="0.2">
      <c r="A1533" s="2" t="s">
        <v>3610</v>
      </c>
      <c r="B1533" s="2" t="s">
        <v>3611</v>
      </c>
      <c r="C1533" s="2" t="s">
        <v>371</v>
      </c>
      <c r="D1533" s="2" t="s">
        <v>472</v>
      </c>
      <c r="E1533" s="4">
        <v>69.989999999999995</v>
      </c>
      <c r="F1533" s="14"/>
      <c r="G1533" s="3">
        <v>0</v>
      </c>
      <c r="H1533" s="6">
        <v>0</v>
      </c>
      <c r="I1533" s="3">
        <v>0</v>
      </c>
      <c r="J1533" s="13" t="str">
        <f>HYPERLINK("https://amazon.com/dp/B0D869D25D","Amazon - B0D869D25D")</f>
        <v>Amazon - B0D869D25D</v>
      </c>
      <c r="K1533" s="14" t="s">
        <v>443</v>
      </c>
      <c r="L1533" s="14" t="s">
        <v>461</v>
      </c>
      <c r="M1533" s="14" t="s">
        <v>445</v>
      </c>
      <c r="N1533" s="14" t="s">
        <v>446</v>
      </c>
      <c r="O1533" s="14" t="s">
        <v>608</v>
      </c>
    </row>
    <row r="1534" spans="1:15" ht="30" x14ac:dyDescent="0.2">
      <c r="A1534" s="2" t="s">
        <v>3612</v>
      </c>
      <c r="B1534" s="2" t="s">
        <v>3613</v>
      </c>
      <c r="C1534" s="2" t="s">
        <v>235</v>
      </c>
      <c r="D1534" s="2" t="s">
        <v>450</v>
      </c>
      <c r="E1534" s="4">
        <v>12.89</v>
      </c>
      <c r="F1534" s="14"/>
      <c r="G1534" s="3">
        <v>0</v>
      </c>
      <c r="H1534" s="6">
        <v>5</v>
      </c>
      <c r="I1534" s="3">
        <v>1</v>
      </c>
      <c r="J1534" s="13" t="str">
        <f>HYPERLINK("https://amazon.com/dp/B082SLRHSQ","Amazon - B082SLRHSQ")</f>
        <v>Amazon - B082SLRHSQ</v>
      </c>
      <c r="K1534" s="14" t="s">
        <v>443</v>
      </c>
      <c r="L1534" s="14" t="s">
        <v>303</v>
      </c>
      <c r="M1534" s="14" t="s">
        <v>303</v>
      </c>
      <c r="N1534" s="14" t="s">
        <v>446</v>
      </c>
      <c r="O1534" s="14" t="s">
        <v>303</v>
      </c>
    </row>
    <row r="1535" spans="1:15" x14ac:dyDescent="0.2">
      <c r="A1535" s="2" t="s">
        <v>3614</v>
      </c>
      <c r="B1535" s="2" t="s">
        <v>3615</v>
      </c>
      <c r="C1535" s="2" t="s">
        <v>303</v>
      </c>
      <c r="D1535" s="2" t="s">
        <v>823</v>
      </c>
      <c r="E1535" s="4">
        <v>139.99</v>
      </c>
      <c r="F1535" s="14"/>
      <c r="G1535" s="3">
        <v>0</v>
      </c>
      <c r="H1535" s="6">
        <v>0</v>
      </c>
      <c r="I1535" s="3">
        <v>0</v>
      </c>
      <c r="J1535" s="13" t="str">
        <f>HYPERLINK("https://amazon.com/dp/B083J16ZMZ","Amazon - B083J16ZMZ")</f>
        <v>Amazon - B083J16ZMZ</v>
      </c>
      <c r="K1535" s="14" t="s">
        <v>443</v>
      </c>
      <c r="L1535" s="14" t="s">
        <v>451</v>
      </c>
      <c r="M1535" s="14" t="s">
        <v>303</v>
      </c>
      <c r="N1535" s="14" t="s">
        <v>446</v>
      </c>
      <c r="O1535" s="14" t="s">
        <v>303</v>
      </c>
    </row>
    <row r="1536" spans="1:15" ht="30" x14ac:dyDescent="0.2">
      <c r="A1536" s="2" t="s">
        <v>3616</v>
      </c>
      <c r="B1536" s="2" t="s">
        <v>3617</v>
      </c>
      <c r="C1536" s="2" t="s">
        <v>318</v>
      </c>
      <c r="D1536" s="2" t="s">
        <v>472</v>
      </c>
      <c r="E1536" s="4">
        <v>141.30000000000001</v>
      </c>
      <c r="F1536" s="14"/>
      <c r="G1536" s="3">
        <v>0</v>
      </c>
      <c r="H1536" s="6">
        <v>5</v>
      </c>
      <c r="I1536" s="3">
        <v>1</v>
      </c>
      <c r="J1536" s="13" t="str">
        <f>HYPERLINK("https://amazon.com/dp/B0DQKFQ26Q","Amazon - B0DQKFQ26Q")</f>
        <v>Amazon - B0DQKFQ26Q</v>
      </c>
      <c r="K1536" s="14" t="s">
        <v>443</v>
      </c>
      <c r="L1536" s="14" t="s">
        <v>303</v>
      </c>
      <c r="M1536" s="14" t="s">
        <v>303</v>
      </c>
      <c r="N1536" s="14" t="s">
        <v>446</v>
      </c>
      <c r="O1536" s="14" t="s">
        <v>303</v>
      </c>
    </row>
    <row r="1537" spans="1:15" ht="30" x14ac:dyDescent="0.2">
      <c r="A1537" s="2" t="s">
        <v>3618</v>
      </c>
      <c r="B1537" s="2" t="s">
        <v>3619</v>
      </c>
      <c r="C1537" s="2" t="s">
        <v>311</v>
      </c>
      <c r="D1537" s="2" t="s">
        <v>442</v>
      </c>
      <c r="E1537" s="4">
        <v>21.38</v>
      </c>
      <c r="F1537" s="14"/>
      <c r="G1537" s="3">
        <v>0</v>
      </c>
      <c r="H1537" s="6">
        <v>0</v>
      </c>
      <c r="I1537" s="3">
        <v>0</v>
      </c>
      <c r="J1537" s="13" t="str">
        <f>HYPERLINK("https://amazon.com/dp/B0DNFC37SG","Amazon - B0DNFC37SG")</f>
        <v>Amazon - B0DNFC37SG</v>
      </c>
      <c r="K1537" s="14" t="s">
        <v>443</v>
      </c>
      <c r="L1537" s="14" t="s">
        <v>461</v>
      </c>
      <c r="M1537" s="14" t="s">
        <v>303</v>
      </c>
      <c r="N1537" s="14" t="s">
        <v>446</v>
      </c>
      <c r="O1537" s="14" t="s">
        <v>303</v>
      </c>
    </row>
    <row r="1538" spans="1:15" ht="30" x14ac:dyDescent="0.2">
      <c r="A1538" s="2" t="s">
        <v>3620</v>
      </c>
      <c r="B1538" s="2" t="s">
        <v>3621</v>
      </c>
      <c r="C1538" s="2" t="s">
        <v>298</v>
      </c>
      <c r="D1538" s="2" t="s">
        <v>450</v>
      </c>
      <c r="E1538" s="4">
        <v>53.54</v>
      </c>
      <c r="F1538" s="14"/>
      <c r="G1538" s="3">
        <v>0</v>
      </c>
      <c r="H1538" s="6">
        <v>3.7</v>
      </c>
      <c r="I1538" s="3">
        <v>12</v>
      </c>
      <c r="J1538" s="13" t="str">
        <f>HYPERLINK("https://amazon.com/dp/B07NS1N7TF","Amazon - B07NS1N7TF")</f>
        <v>Amazon - B07NS1N7TF</v>
      </c>
      <c r="K1538" s="14" t="s">
        <v>443</v>
      </c>
      <c r="L1538" s="14" t="s">
        <v>1725</v>
      </c>
      <c r="M1538" s="14" t="s">
        <v>462</v>
      </c>
      <c r="N1538" s="14" t="s">
        <v>446</v>
      </c>
      <c r="O1538" s="14" t="s">
        <v>303</v>
      </c>
    </row>
    <row r="1539" spans="1:15" ht="30" x14ac:dyDescent="0.2">
      <c r="A1539" s="2" t="s">
        <v>3622</v>
      </c>
      <c r="B1539" s="2" t="s">
        <v>3623</v>
      </c>
      <c r="C1539" s="2" t="s">
        <v>389</v>
      </c>
      <c r="D1539" s="2" t="s">
        <v>472</v>
      </c>
      <c r="E1539" s="4">
        <v>102.56</v>
      </c>
      <c r="F1539" s="14"/>
      <c r="G1539" s="3">
        <v>0</v>
      </c>
      <c r="H1539" s="6">
        <v>0</v>
      </c>
      <c r="I1539" s="3">
        <v>0</v>
      </c>
      <c r="J1539" s="13" t="str">
        <f>HYPERLINK("https://amazon.com/dp/B0D2HSC46K","Amazon - B0D2HSC46K")</f>
        <v>Amazon - B0D2HSC46K</v>
      </c>
      <c r="K1539" s="14" t="s">
        <v>443</v>
      </c>
      <c r="L1539" s="14" t="s">
        <v>303</v>
      </c>
      <c r="M1539" s="14" t="s">
        <v>303</v>
      </c>
      <c r="N1539" s="14" t="s">
        <v>446</v>
      </c>
      <c r="O1539" s="14" t="s">
        <v>543</v>
      </c>
    </row>
    <row r="1540" spans="1:15" x14ac:dyDescent="0.2">
      <c r="A1540" s="2" t="s">
        <v>3624</v>
      </c>
      <c r="B1540" s="2" t="s">
        <v>3625</v>
      </c>
      <c r="C1540" s="2" t="s">
        <v>304</v>
      </c>
      <c r="D1540" s="2" t="s">
        <v>442</v>
      </c>
      <c r="E1540" s="4">
        <v>75.900000000000006</v>
      </c>
      <c r="F1540" s="14"/>
      <c r="G1540" s="3">
        <v>0</v>
      </c>
      <c r="H1540" s="6">
        <v>0</v>
      </c>
      <c r="I1540" s="3">
        <v>0</v>
      </c>
      <c r="J1540" s="13" t="str">
        <f>HYPERLINK("https://amazon.com/dp/B0CCVV1S1F","Amazon - B0CCVV1S1F")</f>
        <v>Amazon - B0CCVV1S1F</v>
      </c>
      <c r="K1540" s="14" t="s">
        <v>443</v>
      </c>
      <c r="L1540" s="14" t="s">
        <v>303</v>
      </c>
      <c r="M1540" s="14" t="s">
        <v>303</v>
      </c>
      <c r="N1540" s="14" t="s">
        <v>446</v>
      </c>
      <c r="O1540" s="14" t="s">
        <v>303</v>
      </c>
    </row>
    <row r="1541" spans="1:15" ht="45" x14ac:dyDescent="0.2">
      <c r="A1541" s="2" t="s">
        <v>3626</v>
      </c>
      <c r="B1541" s="2" t="s">
        <v>3627</v>
      </c>
      <c r="C1541" s="2" t="s">
        <v>13</v>
      </c>
      <c r="D1541" s="2" t="s">
        <v>472</v>
      </c>
      <c r="E1541" s="4">
        <v>559.99</v>
      </c>
      <c r="F1541" s="14"/>
      <c r="G1541" s="3">
        <v>0</v>
      </c>
      <c r="H1541" s="6">
        <v>3.9</v>
      </c>
      <c r="I1541" s="3">
        <v>52</v>
      </c>
      <c r="J1541" s="13" t="str">
        <f>HYPERLINK("https://amazon.com/dp/B07RJNLX96","Amazon - B07RJNLX96")</f>
        <v>Amazon - B07RJNLX96</v>
      </c>
      <c r="K1541" s="14" t="s">
        <v>443</v>
      </c>
      <c r="L1541" s="14" t="s">
        <v>667</v>
      </c>
      <c r="M1541" s="14" t="s">
        <v>303</v>
      </c>
      <c r="N1541" s="14" t="s">
        <v>446</v>
      </c>
      <c r="O1541" s="14" t="s">
        <v>570</v>
      </c>
    </row>
    <row r="1542" spans="1:15" ht="30" x14ac:dyDescent="0.2">
      <c r="A1542" s="2" t="s">
        <v>3628</v>
      </c>
      <c r="B1542" s="2" t="s">
        <v>3629</v>
      </c>
      <c r="C1542" s="2" t="s">
        <v>374</v>
      </c>
      <c r="D1542" s="2" t="s">
        <v>472</v>
      </c>
      <c r="E1542" s="4">
        <v>38.24</v>
      </c>
      <c r="F1542" s="14"/>
      <c r="G1542" s="3">
        <v>0</v>
      </c>
      <c r="H1542" s="6">
        <v>5</v>
      </c>
      <c r="I1542" s="3">
        <v>1</v>
      </c>
      <c r="J1542" s="13" t="str">
        <f>HYPERLINK("https://amazon.com/dp/B0CGQ8CNG9","Amazon - B0CGQ8CNG9")</f>
        <v>Amazon - B0CGQ8CNG9</v>
      </c>
      <c r="K1542" s="14" t="s">
        <v>443</v>
      </c>
      <c r="L1542" s="14" t="s">
        <v>303</v>
      </c>
      <c r="M1542" s="14" t="s">
        <v>303</v>
      </c>
      <c r="N1542" s="14" t="s">
        <v>446</v>
      </c>
      <c r="O1542" s="14" t="s">
        <v>917</v>
      </c>
    </row>
    <row r="1543" spans="1:15" ht="30" x14ac:dyDescent="0.2">
      <c r="A1543" s="2" t="s">
        <v>3630</v>
      </c>
      <c r="B1543" s="2" t="s">
        <v>3631</v>
      </c>
      <c r="C1543" s="2" t="s">
        <v>216</v>
      </c>
      <c r="D1543" s="2" t="s">
        <v>442</v>
      </c>
      <c r="E1543" s="4">
        <v>8.36</v>
      </c>
      <c r="F1543" s="14"/>
      <c r="G1543" s="3">
        <v>0</v>
      </c>
      <c r="H1543" s="6">
        <v>0</v>
      </c>
      <c r="I1543" s="3">
        <v>0</v>
      </c>
      <c r="J1543" s="13" t="str">
        <f>HYPERLINK("https://amazon.com/dp/B0D9JZYBZC","Amazon - B0D9JZYBZC")</f>
        <v>Amazon - B0D9JZYBZC</v>
      </c>
      <c r="K1543" s="14" t="s">
        <v>443</v>
      </c>
      <c r="L1543" s="14" t="s">
        <v>303</v>
      </c>
      <c r="M1543" s="14" t="s">
        <v>303</v>
      </c>
      <c r="N1543" s="14" t="s">
        <v>446</v>
      </c>
      <c r="O1543" s="14" t="s">
        <v>303</v>
      </c>
    </row>
    <row r="1544" spans="1:15" ht="45" x14ac:dyDescent="0.2">
      <c r="A1544" s="2" t="s">
        <v>3632</v>
      </c>
      <c r="B1544" s="2" t="s">
        <v>3633</v>
      </c>
      <c r="C1544" s="2" t="s">
        <v>240</v>
      </c>
      <c r="D1544" s="2" t="s">
        <v>442</v>
      </c>
      <c r="E1544" s="4">
        <v>199.99</v>
      </c>
      <c r="F1544" s="14"/>
      <c r="G1544" s="3">
        <v>0</v>
      </c>
      <c r="H1544" s="6">
        <v>0</v>
      </c>
      <c r="I1544" s="3">
        <v>0</v>
      </c>
      <c r="J1544" s="13" t="str">
        <f>HYPERLINK("https://amazon.com/dp/B0F3JS4FBH","Amazon - B0F3JS4FBH")</f>
        <v>Amazon - B0F3JS4FBH</v>
      </c>
      <c r="K1544" s="14" t="s">
        <v>443</v>
      </c>
      <c r="L1544" s="14" t="s">
        <v>461</v>
      </c>
      <c r="M1544" s="14" t="s">
        <v>445</v>
      </c>
      <c r="N1544" s="14" t="s">
        <v>446</v>
      </c>
      <c r="O1544" s="14" t="s">
        <v>303</v>
      </c>
    </row>
    <row r="1545" spans="1:15" ht="45" x14ac:dyDescent="0.2">
      <c r="A1545" s="2" t="s">
        <v>3634</v>
      </c>
      <c r="B1545" s="2" t="s">
        <v>3635</v>
      </c>
      <c r="C1545" s="2" t="s">
        <v>347</v>
      </c>
      <c r="D1545" s="2" t="s">
        <v>472</v>
      </c>
      <c r="E1545" s="4">
        <v>405.99</v>
      </c>
      <c r="F1545" s="14"/>
      <c r="G1545" s="3">
        <v>0</v>
      </c>
      <c r="H1545" s="6">
        <v>0</v>
      </c>
      <c r="I1545" s="3">
        <v>0</v>
      </c>
      <c r="J1545" s="13" t="str">
        <f>HYPERLINK("https://amazon.com/dp/B0DQXMM4S4","Amazon - B0DQXMM4S4")</f>
        <v>Amazon - B0DQXMM4S4</v>
      </c>
      <c r="K1545" s="14" t="s">
        <v>443</v>
      </c>
      <c r="L1545" s="14" t="s">
        <v>456</v>
      </c>
      <c r="M1545" s="14" t="s">
        <v>303</v>
      </c>
      <c r="N1545" s="14" t="s">
        <v>446</v>
      </c>
      <c r="O1545" s="14" t="s">
        <v>778</v>
      </c>
    </row>
    <row r="1546" spans="1:15" ht="30" x14ac:dyDescent="0.2">
      <c r="A1546" s="2" t="s">
        <v>3636</v>
      </c>
      <c r="B1546" s="2" t="s">
        <v>3637</v>
      </c>
      <c r="C1546" s="2" t="s">
        <v>211</v>
      </c>
      <c r="D1546" s="2" t="s">
        <v>472</v>
      </c>
      <c r="E1546" s="4">
        <v>208.41</v>
      </c>
      <c r="F1546" s="14"/>
      <c r="G1546" s="3">
        <v>0</v>
      </c>
      <c r="H1546" s="6">
        <v>5</v>
      </c>
      <c r="I1546" s="3">
        <v>1</v>
      </c>
      <c r="J1546" s="13" t="str">
        <f>HYPERLINK("https://amazon.com/dp/B09VCKQXFL","Amazon - B09VCKQXFL")</f>
        <v>Amazon - B09VCKQXFL</v>
      </c>
      <c r="K1546" s="14" t="s">
        <v>443</v>
      </c>
      <c r="L1546" s="14" t="s">
        <v>303</v>
      </c>
      <c r="M1546" s="14" t="s">
        <v>303</v>
      </c>
      <c r="N1546" s="14" t="s">
        <v>446</v>
      </c>
      <c r="O1546" s="14" t="s">
        <v>453</v>
      </c>
    </row>
    <row r="1547" spans="1:15" ht="30" x14ac:dyDescent="0.2">
      <c r="A1547" s="2" t="s">
        <v>3638</v>
      </c>
      <c r="B1547" s="2" t="s">
        <v>3639</v>
      </c>
      <c r="C1547" s="2" t="s">
        <v>316</v>
      </c>
      <c r="D1547" s="2" t="s">
        <v>450</v>
      </c>
      <c r="E1547" s="4">
        <v>66.069999999999993</v>
      </c>
      <c r="F1547" s="14"/>
      <c r="G1547" s="3">
        <v>0</v>
      </c>
      <c r="H1547" s="6">
        <v>0</v>
      </c>
      <c r="I1547" s="3">
        <v>0</v>
      </c>
      <c r="J1547" s="13" t="str">
        <f>HYPERLINK("https://amazon.com/dp/B0DTV353JX","Amazon - B0DTV353JX")</f>
        <v>Amazon - B0DTV353JX</v>
      </c>
      <c r="K1547" s="14" t="s">
        <v>443</v>
      </c>
      <c r="L1547" s="14" t="s">
        <v>444</v>
      </c>
      <c r="M1547" s="14" t="s">
        <v>445</v>
      </c>
      <c r="N1547" s="14" t="s">
        <v>452</v>
      </c>
      <c r="O1547" s="14" t="s">
        <v>453</v>
      </c>
    </row>
    <row r="1548" spans="1:15" ht="30" x14ac:dyDescent="0.2">
      <c r="A1548" s="2" t="s">
        <v>3640</v>
      </c>
      <c r="B1548" s="2" t="s">
        <v>3641</v>
      </c>
      <c r="C1548" s="2" t="s">
        <v>137</v>
      </c>
      <c r="D1548" s="2" t="s">
        <v>442</v>
      </c>
      <c r="E1548" s="4">
        <v>43.55</v>
      </c>
      <c r="F1548" s="14"/>
      <c r="G1548" s="3">
        <v>0</v>
      </c>
      <c r="H1548" s="6">
        <v>1</v>
      </c>
      <c r="I1548" s="3">
        <v>3</v>
      </c>
      <c r="J1548" s="13" t="str">
        <f>HYPERLINK("https://amazon.com/dp/B005AMZ6K2","Amazon - B005AMZ6K2")</f>
        <v>Amazon - B005AMZ6K2</v>
      </c>
      <c r="K1548" s="14" t="s">
        <v>443</v>
      </c>
      <c r="L1548" s="14" t="s">
        <v>303</v>
      </c>
      <c r="M1548" s="14" t="s">
        <v>462</v>
      </c>
      <c r="N1548" s="14" t="s">
        <v>446</v>
      </c>
      <c r="O1548" s="14" t="s">
        <v>1302</v>
      </c>
    </row>
    <row r="1549" spans="1:15" ht="45" x14ac:dyDescent="0.2">
      <c r="A1549" s="2" t="s">
        <v>3642</v>
      </c>
      <c r="B1549" s="2" t="s">
        <v>3643</v>
      </c>
      <c r="C1549" s="2" t="s">
        <v>390</v>
      </c>
      <c r="D1549" s="2" t="s">
        <v>442</v>
      </c>
      <c r="E1549" s="4">
        <v>137</v>
      </c>
      <c r="F1549" s="14"/>
      <c r="G1549" s="3">
        <v>0</v>
      </c>
      <c r="H1549" s="6">
        <v>0</v>
      </c>
      <c r="I1549" s="3">
        <v>0</v>
      </c>
      <c r="J1549" s="13" t="str">
        <f>HYPERLINK("https://amazon.com/dp/B0BTD2SFYV","Amazon - B0BTD2SFYV")</f>
        <v>Amazon - B0BTD2SFYV</v>
      </c>
      <c r="K1549" s="14" t="s">
        <v>443</v>
      </c>
      <c r="L1549" s="14" t="s">
        <v>461</v>
      </c>
      <c r="M1549" s="14" t="s">
        <v>303</v>
      </c>
      <c r="N1549" s="14" t="s">
        <v>446</v>
      </c>
      <c r="O1549" s="14" t="s">
        <v>447</v>
      </c>
    </row>
    <row r="1550" spans="1:15" ht="30" x14ac:dyDescent="0.2">
      <c r="A1550" s="2" t="s">
        <v>3644</v>
      </c>
      <c r="B1550" s="2" t="s">
        <v>3645</v>
      </c>
      <c r="C1550" s="2" t="s">
        <v>341</v>
      </c>
      <c r="D1550" s="2" t="s">
        <v>442</v>
      </c>
      <c r="E1550" s="4">
        <v>87</v>
      </c>
      <c r="F1550" s="14"/>
      <c r="G1550" s="3">
        <v>0</v>
      </c>
      <c r="H1550" s="6">
        <v>0</v>
      </c>
      <c r="I1550" s="3">
        <v>0</v>
      </c>
      <c r="J1550" s="13" t="str">
        <f>HYPERLINK("https://amazon.com/dp/B08T8J8H8C","Amazon - B08T8J8H8C")</f>
        <v>Amazon - B08T8J8H8C</v>
      </c>
      <c r="K1550" s="14" t="s">
        <v>443</v>
      </c>
      <c r="L1550" s="14" t="s">
        <v>456</v>
      </c>
      <c r="M1550" s="14" t="s">
        <v>303</v>
      </c>
      <c r="N1550" s="14" t="s">
        <v>446</v>
      </c>
      <c r="O1550" s="14" t="s">
        <v>543</v>
      </c>
    </row>
    <row r="1551" spans="1:15" ht="30" x14ac:dyDescent="0.2">
      <c r="A1551" s="2" t="s">
        <v>3646</v>
      </c>
      <c r="B1551" s="2" t="s">
        <v>3647</v>
      </c>
      <c r="C1551" s="2" t="s">
        <v>314</v>
      </c>
      <c r="D1551" s="2" t="s">
        <v>472</v>
      </c>
      <c r="E1551" s="4">
        <v>21.29</v>
      </c>
      <c r="F1551" s="14"/>
      <c r="G1551" s="3">
        <v>0</v>
      </c>
      <c r="H1551" s="6">
        <v>0</v>
      </c>
      <c r="I1551" s="3">
        <v>0</v>
      </c>
      <c r="J1551" s="13" t="str">
        <f>HYPERLINK("https://amazon.com/dp/B0CL4FCXDW","Amazon - B0CL4FCXDW")</f>
        <v>Amazon - B0CL4FCXDW</v>
      </c>
      <c r="K1551" s="14" t="s">
        <v>443</v>
      </c>
      <c r="L1551" s="14" t="s">
        <v>303</v>
      </c>
      <c r="M1551" s="14" t="s">
        <v>503</v>
      </c>
      <c r="N1551" s="14" t="s">
        <v>446</v>
      </c>
      <c r="O1551" s="14" t="s">
        <v>303</v>
      </c>
    </row>
    <row r="1552" spans="1:15" ht="45" x14ac:dyDescent="0.2">
      <c r="A1552" s="2" t="s">
        <v>3648</v>
      </c>
      <c r="B1552" s="2" t="s">
        <v>3649</v>
      </c>
      <c r="C1552" s="2" t="s">
        <v>198</v>
      </c>
      <c r="D1552" s="2" t="s">
        <v>472</v>
      </c>
      <c r="E1552" s="4">
        <v>98</v>
      </c>
      <c r="F1552" s="14"/>
      <c r="G1552" s="3">
        <v>0</v>
      </c>
      <c r="H1552" s="6">
        <v>0</v>
      </c>
      <c r="I1552" s="3">
        <v>0</v>
      </c>
      <c r="J1552" s="13" t="str">
        <f>HYPERLINK("https://amazon.com/dp/B09814QKSF","Amazon - B09814QKSF")</f>
        <v>Amazon - B09814QKSF</v>
      </c>
      <c r="K1552" s="14" t="s">
        <v>443</v>
      </c>
      <c r="L1552" s="14" t="s">
        <v>456</v>
      </c>
      <c r="M1552" s="14" t="s">
        <v>445</v>
      </c>
      <c r="N1552" s="14" t="s">
        <v>452</v>
      </c>
      <c r="O1552" s="14" t="s">
        <v>543</v>
      </c>
    </row>
    <row r="1553" spans="1:15" ht="30" x14ac:dyDescent="0.2">
      <c r="A1553" s="2" t="s">
        <v>3650</v>
      </c>
      <c r="B1553" s="2" t="s">
        <v>2884</v>
      </c>
      <c r="C1553" s="2" t="s">
        <v>334</v>
      </c>
      <c r="D1553" s="2" t="s">
        <v>442</v>
      </c>
      <c r="E1553" s="4">
        <v>10.49</v>
      </c>
      <c r="F1553" s="14"/>
      <c r="G1553" s="3">
        <v>0</v>
      </c>
      <c r="H1553" s="6">
        <v>0</v>
      </c>
      <c r="I1553" s="3">
        <v>0</v>
      </c>
      <c r="J1553" s="13" t="str">
        <f>HYPERLINK("https://amazon.com/dp/B0DSL962KG","Amazon - B0DSL962KG")</f>
        <v>Amazon - B0DSL962KG</v>
      </c>
      <c r="K1553" s="14" t="s">
        <v>443</v>
      </c>
      <c r="L1553" s="14" t="s">
        <v>303</v>
      </c>
      <c r="M1553" s="14" t="s">
        <v>303</v>
      </c>
      <c r="N1553" s="14" t="s">
        <v>446</v>
      </c>
      <c r="O1553" s="14" t="s">
        <v>303</v>
      </c>
    </row>
    <row r="1554" spans="1:15" ht="30" x14ac:dyDescent="0.2">
      <c r="A1554" s="2" t="s">
        <v>3651</v>
      </c>
      <c r="B1554" s="2" t="s">
        <v>3652</v>
      </c>
      <c r="C1554" s="2" t="s">
        <v>51</v>
      </c>
      <c r="D1554" s="2" t="s">
        <v>442</v>
      </c>
      <c r="E1554" s="4">
        <v>159.97999999999999</v>
      </c>
      <c r="F1554" s="14"/>
      <c r="G1554" s="3">
        <v>0</v>
      </c>
      <c r="H1554" s="6">
        <v>4</v>
      </c>
      <c r="I1554" s="3">
        <v>4</v>
      </c>
      <c r="J1554" s="13" t="str">
        <f>HYPERLINK("https://amazon.com/dp/B073ZHFCFL","Amazon - B073ZHFCFL")</f>
        <v>Amazon - B073ZHFCFL</v>
      </c>
      <c r="K1554" s="14" t="s">
        <v>443</v>
      </c>
      <c r="L1554" s="14" t="s">
        <v>530</v>
      </c>
      <c r="M1554" s="14" t="s">
        <v>511</v>
      </c>
      <c r="N1554" s="14" t="s">
        <v>446</v>
      </c>
      <c r="O1554" s="14" t="s">
        <v>303</v>
      </c>
    </row>
    <row r="1555" spans="1:15" ht="45" x14ac:dyDescent="0.2">
      <c r="A1555" s="2" t="s">
        <v>3653</v>
      </c>
      <c r="B1555" s="2" t="s">
        <v>3654</v>
      </c>
      <c r="C1555" s="2" t="s">
        <v>198</v>
      </c>
      <c r="D1555" s="2" t="s">
        <v>472</v>
      </c>
      <c r="E1555" s="4">
        <v>106</v>
      </c>
      <c r="F1555" s="14"/>
      <c r="G1555" s="3">
        <v>0</v>
      </c>
      <c r="H1555" s="6">
        <v>0</v>
      </c>
      <c r="I1555" s="3">
        <v>0</v>
      </c>
      <c r="J1555" s="13" t="str">
        <f>HYPERLINK("https://amazon.com/dp/B09814ZGZY","Amazon - B09814ZGZY")</f>
        <v>Amazon - B09814ZGZY</v>
      </c>
      <c r="K1555" s="14" t="s">
        <v>443</v>
      </c>
      <c r="L1555" s="14" t="s">
        <v>456</v>
      </c>
      <c r="M1555" s="14" t="s">
        <v>445</v>
      </c>
      <c r="N1555" s="14" t="s">
        <v>452</v>
      </c>
      <c r="O1555" s="14" t="s">
        <v>608</v>
      </c>
    </row>
    <row r="1556" spans="1:15" ht="45" x14ac:dyDescent="0.2">
      <c r="A1556" s="2" t="s">
        <v>3655</v>
      </c>
      <c r="B1556" s="2" t="s">
        <v>3656</v>
      </c>
      <c r="C1556" s="2" t="s">
        <v>198</v>
      </c>
      <c r="D1556" s="2" t="s">
        <v>472</v>
      </c>
      <c r="E1556" s="4">
        <v>99</v>
      </c>
      <c r="F1556" s="14"/>
      <c r="G1556" s="3">
        <v>0</v>
      </c>
      <c r="H1556" s="6">
        <v>0</v>
      </c>
      <c r="I1556" s="3">
        <v>0</v>
      </c>
      <c r="J1556" s="13" t="str">
        <f>HYPERLINK("https://amazon.com/dp/B09813JSW5","Amazon - B09813JSW5")</f>
        <v>Amazon - B09813JSW5</v>
      </c>
      <c r="K1556" s="14" t="s">
        <v>443</v>
      </c>
      <c r="L1556" s="14" t="s">
        <v>456</v>
      </c>
      <c r="M1556" s="14" t="s">
        <v>445</v>
      </c>
      <c r="N1556" s="14" t="s">
        <v>452</v>
      </c>
      <c r="O1556" s="14" t="s">
        <v>453</v>
      </c>
    </row>
    <row r="1557" spans="1:15" ht="30" x14ac:dyDescent="0.2">
      <c r="A1557" s="2" t="s">
        <v>3657</v>
      </c>
      <c r="B1557" s="2" t="s">
        <v>3658</v>
      </c>
      <c r="C1557" s="2" t="s">
        <v>359</v>
      </c>
      <c r="D1557" s="2" t="s">
        <v>442</v>
      </c>
      <c r="E1557" s="4">
        <v>10.57</v>
      </c>
      <c r="F1557" s="14"/>
      <c r="G1557" s="3">
        <v>0</v>
      </c>
      <c r="H1557" s="6">
        <v>2.4</v>
      </c>
      <c r="I1557" s="3">
        <v>2</v>
      </c>
      <c r="J1557" s="13" t="str">
        <f>HYPERLINK("https://amazon.com/dp/B07W73MJYP","Amazon - B07W73MJYP")</f>
        <v>Amazon - B07W73MJYP</v>
      </c>
      <c r="K1557" s="14" t="s">
        <v>443</v>
      </c>
      <c r="L1557" s="14" t="s">
        <v>303</v>
      </c>
      <c r="M1557" s="14" t="s">
        <v>462</v>
      </c>
      <c r="N1557" s="14" t="s">
        <v>446</v>
      </c>
      <c r="O1557" s="14" t="s">
        <v>453</v>
      </c>
    </row>
    <row r="1558" spans="1:15" ht="45" x14ac:dyDescent="0.2">
      <c r="A1558" s="2" t="s">
        <v>3659</v>
      </c>
      <c r="B1558" s="2" t="s">
        <v>3660</v>
      </c>
      <c r="C1558" s="2" t="s">
        <v>198</v>
      </c>
      <c r="D1558" s="2" t="s">
        <v>442</v>
      </c>
      <c r="E1558" s="4">
        <v>181.45</v>
      </c>
      <c r="F1558" s="14"/>
      <c r="G1558" s="3">
        <v>0</v>
      </c>
      <c r="H1558" s="6">
        <v>0</v>
      </c>
      <c r="I1558" s="3">
        <v>0</v>
      </c>
      <c r="J1558" s="13" t="str">
        <f>HYPERLINK("https://amazon.com/dp/B097PXCJJL","Amazon - B097PXCJJL")</f>
        <v>Amazon - B097PXCJJL</v>
      </c>
      <c r="K1558" s="14" t="s">
        <v>443</v>
      </c>
      <c r="L1558" s="14" t="s">
        <v>461</v>
      </c>
      <c r="M1558" s="14" t="s">
        <v>715</v>
      </c>
      <c r="N1558" s="14" t="s">
        <v>452</v>
      </c>
      <c r="O1558" s="14" t="s">
        <v>453</v>
      </c>
    </row>
    <row r="1559" spans="1:15" ht="30" x14ac:dyDescent="0.2">
      <c r="A1559" s="2" t="s">
        <v>3661</v>
      </c>
      <c r="B1559" s="2" t="s">
        <v>3662</v>
      </c>
      <c r="C1559" s="2" t="s">
        <v>13</v>
      </c>
      <c r="D1559" s="2" t="s">
        <v>472</v>
      </c>
      <c r="E1559" s="4">
        <v>699.99</v>
      </c>
      <c r="F1559" s="14"/>
      <c r="G1559" s="3">
        <v>0</v>
      </c>
      <c r="H1559" s="6">
        <v>5</v>
      </c>
      <c r="I1559" s="3">
        <v>1</v>
      </c>
      <c r="J1559" s="13" t="str">
        <f>HYPERLINK("https://amazon.com/dp/B0BP7RP3F2","Amazon - B0BP7RP3F2")</f>
        <v>Amazon - B0BP7RP3F2</v>
      </c>
      <c r="K1559" s="14" t="s">
        <v>443</v>
      </c>
      <c r="L1559" s="14" t="s">
        <v>303</v>
      </c>
      <c r="M1559" s="14" t="s">
        <v>303</v>
      </c>
      <c r="N1559" s="14" t="s">
        <v>446</v>
      </c>
      <c r="O1559" s="14" t="s">
        <v>303</v>
      </c>
    </row>
    <row r="1560" spans="1:15" ht="30" x14ac:dyDescent="0.2">
      <c r="A1560" s="2" t="s">
        <v>3663</v>
      </c>
      <c r="B1560" s="2" t="s">
        <v>3664</v>
      </c>
      <c r="C1560" s="2" t="s">
        <v>51</v>
      </c>
      <c r="D1560" s="2" t="s">
        <v>442</v>
      </c>
      <c r="E1560" s="4">
        <v>219</v>
      </c>
      <c r="F1560" s="14"/>
      <c r="G1560" s="3">
        <v>0</v>
      </c>
      <c r="H1560" s="6">
        <v>3</v>
      </c>
      <c r="I1560" s="3">
        <v>1</v>
      </c>
      <c r="J1560" s="13" t="str">
        <f>HYPERLINK("https://amazon.com/dp/B08PDVT5N5","Amazon - B08PDVT5N5")</f>
        <v>Amazon - B08PDVT5N5</v>
      </c>
      <c r="K1560" s="14" t="s">
        <v>443</v>
      </c>
      <c r="L1560" s="14" t="s">
        <v>530</v>
      </c>
      <c r="M1560" s="14" t="s">
        <v>484</v>
      </c>
      <c r="N1560" s="14" t="s">
        <v>446</v>
      </c>
      <c r="O1560" s="14" t="s">
        <v>447</v>
      </c>
    </row>
    <row r="1561" spans="1:15" ht="30" x14ac:dyDescent="0.2">
      <c r="A1561" s="2" t="s">
        <v>3665</v>
      </c>
      <c r="B1561" s="2" t="s">
        <v>3666</v>
      </c>
      <c r="C1561" s="2" t="s">
        <v>55</v>
      </c>
      <c r="D1561" s="2" t="s">
        <v>442</v>
      </c>
      <c r="E1561" s="4">
        <v>70</v>
      </c>
      <c r="F1561" s="14"/>
      <c r="G1561" s="3">
        <v>0</v>
      </c>
      <c r="H1561" s="6">
        <v>0</v>
      </c>
      <c r="I1561" s="3">
        <v>0</v>
      </c>
      <c r="J1561" s="13" t="str">
        <f>HYPERLINK("https://amazon.com/dp/B07P2JGTNZ","Amazon - B07P2JGTNZ")</f>
        <v>Amazon - B07P2JGTNZ</v>
      </c>
      <c r="K1561" s="14" t="s">
        <v>443</v>
      </c>
      <c r="L1561" s="14" t="s">
        <v>303</v>
      </c>
      <c r="M1561" s="14" t="s">
        <v>303</v>
      </c>
      <c r="N1561" s="14" t="s">
        <v>446</v>
      </c>
      <c r="O1561" s="14" t="s">
        <v>303</v>
      </c>
    </row>
    <row r="1562" spans="1:15" ht="45" x14ac:dyDescent="0.2">
      <c r="A1562" s="2" t="s">
        <v>3667</v>
      </c>
      <c r="B1562" s="2" t="s">
        <v>3668</v>
      </c>
      <c r="C1562" s="2" t="s">
        <v>406</v>
      </c>
      <c r="D1562" s="2" t="s">
        <v>442</v>
      </c>
      <c r="E1562" s="4">
        <v>217.85</v>
      </c>
      <c r="F1562" s="14"/>
      <c r="G1562" s="3">
        <v>0</v>
      </c>
      <c r="H1562" s="6">
        <v>0</v>
      </c>
      <c r="I1562" s="3">
        <v>0</v>
      </c>
      <c r="J1562" s="13" t="str">
        <f>HYPERLINK("https://amazon.com/dp/B0CKHS2W4V","Amazon - B0CKHS2W4V")</f>
        <v>Amazon - B0CKHS2W4V</v>
      </c>
      <c r="K1562" s="14" t="s">
        <v>443</v>
      </c>
      <c r="L1562" s="14" t="s">
        <v>461</v>
      </c>
      <c r="M1562" s="14" t="s">
        <v>303</v>
      </c>
      <c r="N1562" s="14" t="s">
        <v>452</v>
      </c>
      <c r="O1562" s="14" t="s">
        <v>447</v>
      </c>
    </row>
    <row r="1563" spans="1:15" ht="30" x14ac:dyDescent="0.2">
      <c r="A1563" s="2" t="s">
        <v>3669</v>
      </c>
      <c r="B1563" s="2" t="s">
        <v>3670</v>
      </c>
      <c r="C1563" s="2" t="s">
        <v>375</v>
      </c>
      <c r="D1563" s="2" t="s">
        <v>442</v>
      </c>
      <c r="E1563" s="4">
        <v>14.97</v>
      </c>
      <c r="F1563" s="14"/>
      <c r="G1563" s="3">
        <v>0</v>
      </c>
      <c r="H1563" s="6">
        <v>0</v>
      </c>
      <c r="I1563" s="3">
        <v>0</v>
      </c>
      <c r="J1563" s="13" t="str">
        <f>HYPERLINK("https://amazon.com/dp/B0DF2KHRCR","Amazon - B0DF2KHRCR")</f>
        <v>Amazon - B0DF2KHRCR</v>
      </c>
      <c r="K1563" s="14" t="s">
        <v>443</v>
      </c>
      <c r="L1563" s="14" t="s">
        <v>303</v>
      </c>
      <c r="M1563" s="14" t="s">
        <v>303</v>
      </c>
      <c r="N1563" s="14" t="s">
        <v>446</v>
      </c>
      <c r="O1563" s="14" t="s">
        <v>303</v>
      </c>
    </row>
    <row r="1564" spans="1:15" ht="45" x14ac:dyDescent="0.2">
      <c r="A1564" s="2" t="s">
        <v>3671</v>
      </c>
      <c r="B1564" s="2" t="s">
        <v>3672</v>
      </c>
      <c r="C1564" s="2" t="s">
        <v>362</v>
      </c>
      <c r="D1564" s="2" t="s">
        <v>442</v>
      </c>
      <c r="E1564" s="4">
        <v>61.32</v>
      </c>
      <c r="F1564" s="14"/>
      <c r="G1564" s="3">
        <v>0</v>
      </c>
      <c r="H1564" s="6">
        <v>5</v>
      </c>
      <c r="I1564" s="3">
        <v>1</v>
      </c>
      <c r="J1564" s="13" t="str">
        <f>HYPERLINK("https://amazon.com/dp/B0CLRWJW6K","Amazon - B0CLRWJW6K")</f>
        <v>Amazon - B0CLRWJW6K</v>
      </c>
      <c r="K1564" s="14" t="s">
        <v>443</v>
      </c>
      <c r="L1564" s="14" t="s">
        <v>461</v>
      </c>
      <c r="M1564" s="14" t="s">
        <v>303</v>
      </c>
      <c r="N1564" s="14" t="s">
        <v>446</v>
      </c>
      <c r="O1564" s="14" t="s">
        <v>303</v>
      </c>
    </row>
    <row r="1565" spans="1:15" ht="30" x14ac:dyDescent="0.2">
      <c r="A1565" s="2" t="s">
        <v>3673</v>
      </c>
      <c r="B1565" s="2" t="s">
        <v>3674</v>
      </c>
      <c r="C1565" s="2" t="s">
        <v>178</v>
      </c>
      <c r="D1565" s="2" t="s">
        <v>442</v>
      </c>
      <c r="E1565" s="4">
        <v>448.99</v>
      </c>
      <c r="F1565" s="14"/>
      <c r="G1565" s="3">
        <v>0</v>
      </c>
      <c r="H1565" s="6">
        <v>1</v>
      </c>
      <c r="I1565" s="3">
        <v>3</v>
      </c>
      <c r="J1565" s="13" t="str">
        <f>HYPERLINK("https://amazon.com/dp/B00Z0Q5VDA","Amazon - B00Z0Q5VDA")</f>
        <v>Amazon - B00Z0Q5VDA</v>
      </c>
      <c r="K1565" s="14" t="s">
        <v>443</v>
      </c>
      <c r="L1565" s="14" t="s">
        <v>303</v>
      </c>
      <c r="M1565" s="14" t="s">
        <v>303</v>
      </c>
      <c r="N1565" s="14" t="s">
        <v>446</v>
      </c>
      <c r="O1565" s="14" t="s">
        <v>543</v>
      </c>
    </row>
    <row r="1566" spans="1:15" ht="30" x14ac:dyDescent="0.2">
      <c r="A1566" s="2" t="s">
        <v>3675</v>
      </c>
      <c r="B1566" s="2" t="s">
        <v>3676</v>
      </c>
      <c r="C1566" s="2" t="s">
        <v>355</v>
      </c>
      <c r="D1566" s="2" t="s">
        <v>442</v>
      </c>
      <c r="E1566" s="4">
        <v>11.99</v>
      </c>
      <c r="F1566" s="14"/>
      <c r="G1566" s="3">
        <v>0</v>
      </c>
      <c r="H1566" s="6">
        <v>0</v>
      </c>
      <c r="I1566" s="3">
        <v>0</v>
      </c>
      <c r="J1566" s="13" t="str">
        <f>HYPERLINK("https://amazon.com/dp/B0BDSDCK2X","Amazon - B0BDSDCK2X")</f>
        <v>Amazon - B0BDSDCK2X</v>
      </c>
      <c r="K1566" s="14" t="s">
        <v>443</v>
      </c>
      <c r="L1566" s="14" t="s">
        <v>303</v>
      </c>
      <c r="M1566" s="14" t="s">
        <v>303</v>
      </c>
      <c r="N1566" s="14" t="s">
        <v>446</v>
      </c>
      <c r="O1566" s="14" t="s">
        <v>303</v>
      </c>
    </row>
    <row r="1567" spans="1:15" x14ac:dyDescent="0.2">
      <c r="A1567" s="2" t="s">
        <v>3677</v>
      </c>
      <c r="B1567" s="2" t="s">
        <v>3678</v>
      </c>
      <c r="C1567" s="2" t="s">
        <v>85</v>
      </c>
      <c r="D1567" s="2" t="s">
        <v>450</v>
      </c>
      <c r="E1567" s="4">
        <v>69.33</v>
      </c>
      <c r="F1567" s="14"/>
      <c r="G1567" s="3">
        <v>0</v>
      </c>
      <c r="H1567" s="6">
        <v>5</v>
      </c>
      <c r="I1567" s="3">
        <v>1</v>
      </c>
      <c r="J1567" s="13" t="str">
        <f>HYPERLINK("https://amazon.com/dp/B08DV9R6T4","Amazon - B08DV9R6T4")</f>
        <v>Amazon - B08DV9R6T4</v>
      </c>
      <c r="K1567" s="14" t="s">
        <v>443</v>
      </c>
      <c r="L1567" s="14" t="s">
        <v>303</v>
      </c>
      <c r="M1567" s="14" t="s">
        <v>565</v>
      </c>
      <c r="N1567" s="14" t="s">
        <v>446</v>
      </c>
      <c r="O1567" s="14" t="s">
        <v>303</v>
      </c>
    </row>
    <row r="1568" spans="1:15" ht="45" x14ac:dyDescent="0.2">
      <c r="A1568" s="2" t="s">
        <v>3679</v>
      </c>
      <c r="B1568" s="2" t="s">
        <v>3680</v>
      </c>
      <c r="C1568" s="2" t="s">
        <v>240</v>
      </c>
      <c r="D1568" s="2" t="s">
        <v>472</v>
      </c>
      <c r="E1568" s="4">
        <v>98.99</v>
      </c>
      <c r="F1568" s="14"/>
      <c r="G1568" s="3">
        <v>0</v>
      </c>
      <c r="H1568" s="6">
        <v>1</v>
      </c>
      <c r="I1568" s="3">
        <v>1</v>
      </c>
      <c r="J1568" s="13" t="str">
        <f>HYPERLINK("https://amazon.com/dp/B09CG416YW","Amazon - B09CG416YW")</f>
        <v>Amazon - B09CG416YW</v>
      </c>
      <c r="K1568" s="14" t="s">
        <v>443</v>
      </c>
      <c r="L1568" s="14" t="s">
        <v>530</v>
      </c>
      <c r="M1568" s="14" t="s">
        <v>303</v>
      </c>
      <c r="N1568" s="14" t="s">
        <v>446</v>
      </c>
      <c r="O1568" s="14" t="s">
        <v>543</v>
      </c>
    </row>
    <row r="1569" spans="1:15" ht="45" x14ac:dyDescent="0.2">
      <c r="A1569" s="2" t="s">
        <v>3681</v>
      </c>
      <c r="B1569" s="2" t="s">
        <v>3682</v>
      </c>
      <c r="C1569" s="2" t="s">
        <v>350</v>
      </c>
      <c r="D1569" s="2" t="s">
        <v>450</v>
      </c>
      <c r="E1569" s="4">
        <v>238.99</v>
      </c>
      <c r="F1569" s="14"/>
      <c r="G1569" s="3">
        <v>0</v>
      </c>
      <c r="H1569" s="6">
        <v>0</v>
      </c>
      <c r="I1569" s="3">
        <v>0</v>
      </c>
      <c r="J1569" s="13" t="str">
        <f>HYPERLINK("https://amazon.com/dp/B0CNSJ8BZP","Amazon - B0CNSJ8BZP")</f>
        <v>Amazon - B0CNSJ8BZP</v>
      </c>
      <c r="K1569" s="14" t="s">
        <v>443</v>
      </c>
      <c r="L1569" s="14" t="s">
        <v>303</v>
      </c>
      <c r="M1569" s="14" t="s">
        <v>303</v>
      </c>
      <c r="N1569" s="14" t="s">
        <v>446</v>
      </c>
      <c r="O1569" s="14" t="s">
        <v>303</v>
      </c>
    </row>
    <row r="1570" spans="1:15" ht="30" x14ac:dyDescent="0.2">
      <c r="A1570" s="2" t="s">
        <v>3683</v>
      </c>
      <c r="B1570" s="2" t="s">
        <v>3684</v>
      </c>
      <c r="C1570" s="2" t="s">
        <v>369</v>
      </c>
      <c r="D1570" s="2" t="s">
        <v>450</v>
      </c>
      <c r="E1570" s="4">
        <v>10.64</v>
      </c>
      <c r="F1570" s="14"/>
      <c r="G1570" s="3">
        <v>0</v>
      </c>
      <c r="H1570" s="6">
        <v>0</v>
      </c>
      <c r="I1570" s="3">
        <v>0</v>
      </c>
      <c r="J1570" s="13" t="str">
        <f>HYPERLINK("https://amazon.com/dp/B0C4LVB24Z","Amazon - B0C4LVB24Z")</f>
        <v>Amazon - B0C4LVB24Z</v>
      </c>
      <c r="K1570" s="14" t="s">
        <v>443</v>
      </c>
      <c r="L1570" s="14" t="s">
        <v>303</v>
      </c>
      <c r="M1570" s="14" t="s">
        <v>565</v>
      </c>
      <c r="N1570" s="14" t="s">
        <v>446</v>
      </c>
      <c r="O1570" s="14" t="s">
        <v>303</v>
      </c>
    </row>
    <row r="1571" spans="1:15" ht="30" x14ac:dyDescent="0.2">
      <c r="A1571" s="2" t="s">
        <v>3685</v>
      </c>
      <c r="B1571" s="2" t="s">
        <v>3686</v>
      </c>
      <c r="C1571" s="2" t="s">
        <v>122</v>
      </c>
      <c r="D1571" s="2" t="s">
        <v>472</v>
      </c>
      <c r="E1571" s="4">
        <v>13.96</v>
      </c>
      <c r="F1571" s="14"/>
      <c r="G1571" s="3">
        <v>0</v>
      </c>
      <c r="H1571" s="6">
        <v>0</v>
      </c>
      <c r="I1571" s="3">
        <v>0</v>
      </c>
      <c r="J1571" s="13" t="str">
        <f>HYPERLINK("https://amazon.com/dp/B0CVG1PG9K","Amazon - B0CVG1PG9K")</f>
        <v>Amazon - B0CVG1PG9K</v>
      </c>
      <c r="K1571" s="14" t="s">
        <v>443</v>
      </c>
      <c r="L1571" s="14" t="s">
        <v>303</v>
      </c>
      <c r="M1571" s="14" t="s">
        <v>462</v>
      </c>
      <c r="N1571" s="14" t="s">
        <v>446</v>
      </c>
      <c r="O1571" s="14" t="s">
        <v>303</v>
      </c>
    </row>
    <row r="1572" spans="1:15" ht="30" x14ac:dyDescent="0.2">
      <c r="A1572" s="2" t="s">
        <v>3687</v>
      </c>
      <c r="B1572" s="2" t="s">
        <v>3688</v>
      </c>
      <c r="C1572" s="2" t="s">
        <v>299</v>
      </c>
      <c r="D1572" s="2" t="s">
        <v>442</v>
      </c>
      <c r="E1572" s="4">
        <v>17.36</v>
      </c>
      <c r="F1572" s="14"/>
      <c r="G1572" s="3">
        <v>0</v>
      </c>
      <c r="H1572" s="6">
        <v>5</v>
      </c>
      <c r="I1572" s="3">
        <v>1</v>
      </c>
      <c r="J1572" s="13" t="str">
        <f>HYPERLINK("https://amazon.com/dp/B0DFB9RLLX","Amazon - B0DFB9RLLX")</f>
        <v>Amazon - B0DFB9RLLX</v>
      </c>
      <c r="K1572" s="14" t="s">
        <v>443</v>
      </c>
      <c r="L1572" s="14" t="s">
        <v>303</v>
      </c>
      <c r="M1572" s="14" t="s">
        <v>303</v>
      </c>
      <c r="N1572" s="14" t="s">
        <v>446</v>
      </c>
      <c r="O1572" s="14" t="s">
        <v>303</v>
      </c>
    </row>
    <row r="1573" spans="1:15" ht="30" x14ac:dyDescent="0.2">
      <c r="A1573" s="2" t="s">
        <v>3689</v>
      </c>
      <c r="B1573" s="2" t="s">
        <v>3238</v>
      </c>
      <c r="C1573" s="2" t="s">
        <v>299</v>
      </c>
      <c r="D1573" s="2" t="s">
        <v>442</v>
      </c>
      <c r="E1573" s="4">
        <v>13.33</v>
      </c>
      <c r="F1573" s="14"/>
      <c r="G1573" s="3">
        <v>0</v>
      </c>
      <c r="H1573" s="6">
        <v>0</v>
      </c>
      <c r="I1573" s="3">
        <v>0</v>
      </c>
      <c r="J1573" s="13" t="str">
        <f>HYPERLINK("https://amazon.com/dp/B0DFC338TD","Amazon - B0DFC338TD")</f>
        <v>Amazon - B0DFC338TD</v>
      </c>
      <c r="K1573" s="14" t="s">
        <v>443</v>
      </c>
      <c r="L1573" s="14" t="s">
        <v>303</v>
      </c>
      <c r="M1573" s="14" t="s">
        <v>303</v>
      </c>
      <c r="N1573" s="14" t="s">
        <v>446</v>
      </c>
      <c r="O1573" s="14" t="s">
        <v>303</v>
      </c>
    </row>
    <row r="1574" spans="1:15" ht="45" x14ac:dyDescent="0.2">
      <c r="A1574" s="2" t="s">
        <v>3690</v>
      </c>
      <c r="B1574" s="2" t="s">
        <v>3691</v>
      </c>
      <c r="C1574" s="2" t="s">
        <v>89</v>
      </c>
      <c r="D1574" s="2" t="s">
        <v>450</v>
      </c>
      <c r="E1574" s="4">
        <v>20.99</v>
      </c>
      <c r="F1574" s="14"/>
      <c r="G1574" s="3">
        <v>0</v>
      </c>
      <c r="H1574" s="6">
        <v>4.3</v>
      </c>
      <c r="I1574" s="3">
        <v>238</v>
      </c>
      <c r="J1574" s="13" t="str">
        <f>HYPERLINK("https://amazon.com/dp/B0CNK1P7T7","Amazon - B0CNK1P7T7")</f>
        <v>Amazon - B0CNK1P7T7</v>
      </c>
      <c r="K1574" s="14" t="s">
        <v>443</v>
      </c>
      <c r="L1574" s="14" t="s">
        <v>451</v>
      </c>
      <c r="M1574" s="14" t="s">
        <v>303</v>
      </c>
      <c r="N1574" s="14" t="s">
        <v>446</v>
      </c>
      <c r="O1574" s="14" t="s">
        <v>453</v>
      </c>
    </row>
    <row r="1575" spans="1:15" ht="30" x14ac:dyDescent="0.2">
      <c r="A1575" s="2" t="s">
        <v>3692</v>
      </c>
      <c r="B1575" s="2" t="s">
        <v>3693</v>
      </c>
      <c r="C1575" s="2" t="s">
        <v>398</v>
      </c>
      <c r="D1575" s="2" t="s">
        <v>442</v>
      </c>
      <c r="E1575" s="4">
        <v>249.99</v>
      </c>
      <c r="F1575" s="14"/>
      <c r="G1575" s="3">
        <v>0</v>
      </c>
      <c r="H1575" s="6">
        <v>5</v>
      </c>
      <c r="I1575" s="3">
        <v>1</v>
      </c>
      <c r="J1575" s="13" t="str">
        <f>HYPERLINK("https://amazon.com/dp/B06XXBTJBS","Amazon - B06XXBTJBS")</f>
        <v>Amazon - B06XXBTJBS</v>
      </c>
      <c r="K1575" s="14" t="s">
        <v>443</v>
      </c>
      <c r="L1575" s="14" t="s">
        <v>1299</v>
      </c>
      <c r="M1575" s="14" t="s">
        <v>511</v>
      </c>
      <c r="N1575" s="14" t="s">
        <v>446</v>
      </c>
      <c r="O1575" s="14" t="s">
        <v>543</v>
      </c>
    </row>
    <row r="1576" spans="1:15" x14ac:dyDescent="0.2">
      <c r="A1576" s="2" t="s">
        <v>3694</v>
      </c>
      <c r="B1576" s="2" t="s">
        <v>3695</v>
      </c>
      <c r="C1576" s="2" t="s">
        <v>378</v>
      </c>
      <c r="D1576" s="2" t="s">
        <v>442</v>
      </c>
      <c r="E1576" s="4">
        <v>201.67</v>
      </c>
      <c r="F1576" s="14"/>
      <c r="G1576" s="3">
        <v>0</v>
      </c>
      <c r="H1576" s="6">
        <v>0</v>
      </c>
      <c r="I1576" s="3">
        <v>0</v>
      </c>
      <c r="J1576" s="13" t="str">
        <f>HYPERLINK("https://amazon.com/dp/B0CWS7NN8R","Amazon - B0CWS7NN8R")</f>
        <v>Amazon - B0CWS7NN8R</v>
      </c>
      <c r="K1576" s="14" t="s">
        <v>443</v>
      </c>
      <c r="L1576" s="14" t="s">
        <v>303</v>
      </c>
      <c r="M1576" s="14" t="s">
        <v>462</v>
      </c>
      <c r="N1576" s="14" t="s">
        <v>446</v>
      </c>
      <c r="O1576" s="14" t="s">
        <v>303</v>
      </c>
    </row>
    <row r="1577" spans="1:15" ht="30" x14ac:dyDescent="0.2">
      <c r="A1577" s="2" t="s">
        <v>3696</v>
      </c>
      <c r="B1577" s="2" t="s">
        <v>3697</v>
      </c>
      <c r="C1577" s="2" t="s">
        <v>417</v>
      </c>
      <c r="D1577" s="2" t="s">
        <v>450</v>
      </c>
      <c r="E1577" s="4">
        <v>8.4</v>
      </c>
      <c r="F1577" s="14"/>
      <c r="G1577" s="3">
        <v>0</v>
      </c>
      <c r="H1577" s="6">
        <v>0</v>
      </c>
      <c r="I1577" s="3">
        <v>0</v>
      </c>
      <c r="J1577" s="13" t="str">
        <f>HYPERLINK("https://amazon.com/dp/B0CQJLW549","Amazon - B0CQJLW549")</f>
        <v>Amazon - B0CQJLW549</v>
      </c>
      <c r="K1577" s="14" t="s">
        <v>443</v>
      </c>
      <c r="L1577" s="14" t="s">
        <v>451</v>
      </c>
      <c r="M1577" s="14" t="s">
        <v>565</v>
      </c>
      <c r="N1577" s="14" t="s">
        <v>446</v>
      </c>
      <c r="O1577" s="14" t="s">
        <v>543</v>
      </c>
    </row>
    <row r="1578" spans="1:15" ht="45" x14ac:dyDescent="0.2">
      <c r="A1578" s="2" t="s">
        <v>3698</v>
      </c>
      <c r="B1578" s="2" t="s">
        <v>3699</v>
      </c>
      <c r="C1578" s="2" t="s">
        <v>274</v>
      </c>
      <c r="D1578" s="2" t="s">
        <v>442</v>
      </c>
      <c r="E1578" s="4">
        <v>20.95</v>
      </c>
      <c r="F1578" s="14"/>
      <c r="G1578" s="3">
        <v>0</v>
      </c>
      <c r="H1578" s="6">
        <v>0</v>
      </c>
      <c r="I1578" s="3">
        <v>0</v>
      </c>
      <c r="J1578" s="13" t="str">
        <f>HYPERLINK("https://amazon.com/dp/B0D6X55RWS","Amazon - B0D6X55RWS")</f>
        <v>Amazon - B0D6X55RWS</v>
      </c>
      <c r="K1578" s="14" t="s">
        <v>443</v>
      </c>
      <c r="L1578" s="14" t="s">
        <v>461</v>
      </c>
      <c r="M1578" s="14" t="s">
        <v>303</v>
      </c>
      <c r="N1578" s="14" t="s">
        <v>473</v>
      </c>
      <c r="O1578" s="14" t="s">
        <v>303</v>
      </c>
    </row>
    <row r="1579" spans="1:15" ht="30" x14ac:dyDescent="0.2">
      <c r="A1579" s="2" t="s">
        <v>3700</v>
      </c>
      <c r="B1579" s="2" t="s">
        <v>3701</v>
      </c>
      <c r="C1579" s="2" t="s">
        <v>416</v>
      </c>
      <c r="D1579" s="2" t="s">
        <v>442</v>
      </c>
      <c r="E1579" s="4">
        <v>49.95</v>
      </c>
      <c r="F1579" s="14"/>
      <c r="G1579" s="3">
        <v>0</v>
      </c>
      <c r="H1579" s="6">
        <v>3.8</v>
      </c>
      <c r="I1579" s="3">
        <v>7</v>
      </c>
      <c r="J1579" s="13" t="str">
        <f>HYPERLINK("https://amazon.com/dp/B07198K75P","Amazon - B07198K75P")</f>
        <v>Amazon - B07198K75P</v>
      </c>
      <c r="K1579" s="14" t="s">
        <v>443</v>
      </c>
      <c r="L1579" s="14" t="s">
        <v>461</v>
      </c>
      <c r="M1579" s="14" t="s">
        <v>1562</v>
      </c>
      <c r="N1579" s="14" t="s">
        <v>446</v>
      </c>
      <c r="O1579" s="14" t="s">
        <v>303</v>
      </c>
    </row>
    <row r="1580" spans="1:15" ht="30" x14ac:dyDescent="0.2">
      <c r="A1580" s="2" t="s">
        <v>3702</v>
      </c>
      <c r="B1580" s="2" t="s">
        <v>3703</v>
      </c>
      <c r="C1580" s="2" t="s">
        <v>308</v>
      </c>
      <c r="D1580" s="2" t="s">
        <v>472</v>
      </c>
      <c r="E1580" s="4">
        <v>31</v>
      </c>
      <c r="F1580" s="14"/>
      <c r="G1580" s="3">
        <v>0</v>
      </c>
      <c r="H1580" s="6">
        <v>0</v>
      </c>
      <c r="I1580" s="3">
        <v>0</v>
      </c>
      <c r="J1580" s="13" t="str">
        <f>HYPERLINK("https://amazon.com/dp/B07YD55YZY","Amazon - B07YD55YZY")</f>
        <v>Amazon - B07YD55YZY</v>
      </c>
      <c r="K1580" s="14" t="s">
        <v>443</v>
      </c>
      <c r="L1580" s="14" t="s">
        <v>451</v>
      </c>
      <c r="M1580" s="14" t="s">
        <v>462</v>
      </c>
      <c r="N1580" s="14" t="s">
        <v>446</v>
      </c>
      <c r="O1580" s="14" t="s">
        <v>578</v>
      </c>
    </row>
    <row r="1581" spans="1:15" ht="45" x14ac:dyDescent="0.2">
      <c r="A1581" s="2" t="s">
        <v>3704</v>
      </c>
      <c r="B1581" s="2" t="s">
        <v>3705</v>
      </c>
      <c r="C1581" s="2" t="s">
        <v>390</v>
      </c>
      <c r="D1581" s="2" t="s">
        <v>442</v>
      </c>
      <c r="E1581" s="4">
        <v>259</v>
      </c>
      <c r="F1581" s="14"/>
      <c r="G1581" s="3">
        <v>0</v>
      </c>
      <c r="H1581" s="6">
        <v>0</v>
      </c>
      <c r="I1581" s="3">
        <v>0</v>
      </c>
      <c r="J1581" s="13" t="str">
        <f>HYPERLINK("https://amazon.com/dp/B0D7CN6WVY","Amazon - B0D7CN6WVY")</f>
        <v>Amazon - B0D7CN6WVY</v>
      </c>
      <c r="K1581" s="14" t="s">
        <v>482</v>
      </c>
      <c r="L1581" s="14" t="s">
        <v>461</v>
      </c>
      <c r="M1581" s="14" t="s">
        <v>303</v>
      </c>
      <c r="N1581" s="14" t="s">
        <v>446</v>
      </c>
      <c r="O1581" s="14" t="s">
        <v>447</v>
      </c>
    </row>
    <row r="1582" spans="1:15" ht="30" x14ac:dyDescent="0.2">
      <c r="A1582" s="2" t="s">
        <v>3706</v>
      </c>
      <c r="B1582" s="2" t="s">
        <v>3707</v>
      </c>
      <c r="C1582" s="2" t="s">
        <v>383</v>
      </c>
      <c r="D1582" s="2" t="s">
        <v>472</v>
      </c>
      <c r="E1582" s="4">
        <v>46.79</v>
      </c>
      <c r="F1582" s="14"/>
      <c r="G1582" s="3">
        <v>0</v>
      </c>
      <c r="H1582" s="6">
        <v>0</v>
      </c>
      <c r="I1582" s="3">
        <v>0</v>
      </c>
      <c r="J1582" s="13" t="str">
        <f>HYPERLINK("https://amazon.com/dp/B0D2TYJ3XM","Amazon - B0D2TYJ3XM")</f>
        <v>Amazon - B0D2TYJ3XM</v>
      </c>
      <c r="K1582" s="14" t="s">
        <v>443</v>
      </c>
      <c r="L1582" s="14" t="s">
        <v>303</v>
      </c>
      <c r="M1582" s="14" t="s">
        <v>303</v>
      </c>
      <c r="N1582" s="14" t="s">
        <v>446</v>
      </c>
      <c r="O1582" s="14" t="s">
        <v>479</v>
      </c>
    </row>
    <row r="1583" spans="1:15" ht="30" x14ac:dyDescent="0.2">
      <c r="A1583" s="2" t="s">
        <v>3708</v>
      </c>
      <c r="B1583" s="2" t="s">
        <v>3709</v>
      </c>
      <c r="C1583" s="2" t="s">
        <v>405</v>
      </c>
      <c r="D1583" s="2" t="s">
        <v>442</v>
      </c>
      <c r="E1583" s="4">
        <v>78.27</v>
      </c>
      <c r="F1583" s="14"/>
      <c r="G1583" s="3">
        <v>0</v>
      </c>
      <c r="H1583" s="6">
        <v>0</v>
      </c>
      <c r="I1583" s="3">
        <v>0</v>
      </c>
      <c r="J1583" s="13" t="str">
        <f>HYPERLINK("https://amazon.com/dp/B0CGJD9PL6","Amazon - B0CGJD9PL6")</f>
        <v>Amazon - B0CGJD9PL6</v>
      </c>
      <c r="K1583" s="14" t="s">
        <v>443</v>
      </c>
      <c r="L1583" s="14" t="s">
        <v>461</v>
      </c>
      <c r="M1583" s="14" t="s">
        <v>303</v>
      </c>
      <c r="N1583" s="14" t="s">
        <v>446</v>
      </c>
      <c r="O1583" s="14" t="s">
        <v>303</v>
      </c>
    </row>
    <row r="1584" spans="1:15" ht="45" x14ac:dyDescent="0.2">
      <c r="A1584" s="2" t="s">
        <v>3710</v>
      </c>
      <c r="B1584" s="2" t="s">
        <v>3711</v>
      </c>
      <c r="C1584" s="2" t="s">
        <v>278</v>
      </c>
      <c r="D1584" s="2" t="s">
        <v>450</v>
      </c>
      <c r="E1584" s="4">
        <v>17.989999999999998</v>
      </c>
      <c r="F1584" s="14"/>
      <c r="G1584" s="3">
        <v>0</v>
      </c>
      <c r="H1584" s="6">
        <v>4.0999999999999996</v>
      </c>
      <c r="I1584" s="3">
        <v>6</v>
      </c>
      <c r="J1584" s="13" t="str">
        <f>HYPERLINK("https://amazon.com/dp/B09BKW9T8R","Amazon - B09BKW9T8R")</f>
        <v>Amazon - B09BKW9T8R</v>
      </c>
      <c r="K1584" s="14" t="s">
        <v>443</v>
      </c>
      <c r="L1584" s="14" t="s">
        <v>451</v>
      </c>
      <c r="M1584" s="14" t="s">
        <v>565</v>
      </c>
      <c r="N1584" s="14" t="s">
        <v>446</v>
      </c>
      <c r="O1584" s="14" t="s">
        <v>745</v>
      </c>
    </row>
    <row r="1585" spans="1:15" ht="30" x14ac:dyDescent="0.2">
      <c r="A1585" s="2" t="s">
        <v>3712</v>
      </c>
      <c r="B1585" s="2" t="s">
        <v>3713</v>
      </c>
      <c r="C1585" s="2" t="s">
        <v>327</v>
      </c>
      <c r="D1585" s="2" t="s">
        <v>450</v>
      </c>
      <c r="E1585" s="4">
        <v>80.989999999999995</v>
      </c>
      <c r="F1585" s="14"/>
      <c r="G1585" s="3">
        <v>0</v>
      </c>
      <c r="H1585" s="6">
        <v>0</v>
      </c>
      <c r="I1585" s="3">
        <v>0</v>
      </c>
      <c r="J1585" s="13" t="str">
        <f>HYPERLINK("https://amazon.com/dp/B0B59FWPYP","Amazon - B0B59FWPYP")</f>
        <v>Amazon - B0B59FWPYP</v>
      </c>
      <c r="K1585" s="14" t="s">
        <v>443</v>
      </c>
      <c r="L1585" s="14" t="s">
        <v>461</v>
      </c>
      <c r="M1585" s="14" t="s">
        <v>303</v>
      </c>
      <c r="N1585" s="14" t="s">
        <v>452</v>
      </c>
      <c r="O1585" s="14" t="s">
        <v>453</v>
      </c>
    </row>
    <row r="1586" spans="1:15" ht="30" x14ac:dyDescent="0.2">
      <c r="A1586" s="2" t="s">
        <v>3714</v>
      </c>
      <c r="B1586" s="2" t="s">
        <v>3715</v>
      </c>
      <c r="C1586" s="2" t="s">
        <v>322</v>
      </c>
      <c r="D1586" s="2" t="s">
        <v>472</v>
      </c>
      <c r="E1586" s="4">
        <v>75.510000000000005</v>
      </c>
      <c r="F1586" s="14"/>
      <c r="G1586" s="3">
        <v>0</v>
      </c>
      <c r="H1586" s="6">
        <v>0</v>
      </c>
      <c r="I1586" s="3">
        <v>0</v>
      </c>
      <c r="J1586" s="13" t="str">
        <f>HYPERLINK("https://amazon.com/dp/B0B8YZRQWM","Amazon - B0B8YZRQWM")</f>
        <v>Amazon - B0B8YZRQWM</v>
      </c>
      <c r="K1586" s="14" t="s">
        <v>443</v>
      </c>
      <c r="L1586" s="14" t="s">
        <v>303</v>
      </c>
      <c r="M1586" s="14" t="s">
        <v>303</v>
      </c>
      <c r="N1586" s="14" t="s">
        <v>452</v>
      </c>
      <c r="O1586" s="14" t="s">
        <v>303</v>
      </c>
    </row>
    <row r="1587" spans="1:15" ht="30" x14ac:dyDescent="0.2">
      <c r="A1587" s="2" t="s">
        <v>3716</v>
      </c>
      <c r="B1587" s="2" t="s">
        <v>3717</v>
      </c>
      <c r="C1587" s="2" t="s">
        <v>369</v>
      </c>
      <c r="D1587" s="2" t="s">
        <v>472</v>
      </c>
      <c r="E1587" s="4">
        <v>303.14</v>
      </c>
      <c r="F1587" s="14"/>
      <c r="G1587" s="3">
        <v>0</v>
      </c>
      <c r="H1587" s="6">
        <v>0</v>
      </c>
      <c r="I1587" s="3">
        <v>0</v>
      </c>
      <c r="J1587" s="13" t="str">
        <f>HYPERLINK("https://amazon.com/dp/B0B2RKS5VZ","Amazon - B0B2RKS5VZ")</f>
        <v>Amazon - B0B2RKS5VZ</v>
      </c>
      <c r="K1587" s="14" t="s">
        <v>443</v>
      </c>
      <c r="L1587" s="14" t="s">
        <v>461</v>
      </c>
      <c r="M1587" s="14" t="s">
        <v>303</v>
      </c>
      <c r="N1587" s="14" t="s">
        <v>446</v>
      </c>
      <c r="O1587" s="14" t="s">
        <v>303</v>
      </c>
    </row>
    <row r="1588" spans="1:15" ht="45" x14ac:dyDescent="0.2">
      <c r="A1588" s="2" t="s">
        <v>3718</v>
      </c>
      <c r="B1588" s="2" t="s">
        <v>3719</v>
      </c>
      <c r="C1588" s="2" t="s">
        <v>13</v>
      </c>
      <c r="D1588" s="2" t="s">
        <v>472</v>
      </c>
      <c r="E1588" s="4">
        <v>569.99</v>
      </c>
      <c r="F1588" s="14"/>
      <c r="G1588" s="3">
        <v>0</v>
      </c>
      <c r="H1588" s="6">
        <v>5</v>
      </c>
      <c r="I1588" s="3">
        <v>1</v>
      </c>
      <c r="J1588" s="13" t="str">
        <f>HYPERLINK("https://amazon.com/dp/B0BJKX93TM","Amazon - B0BJKX93TM")</f>
        <v>Amazon - B0BJKX93TM</v>
      </c>
      <c r="K1588" s="14" t="s">
        <v>443</v>
      </c>
      <c r="L1588" s="14" t="s">
        <v>502</v>
      </c>
      <c r="M1588" s="14" t="s">
        <v>565</v>
      </c>
      <c r="N1588" s="14" t="s">
        <v>446</v>
      </c>
      <c r="O1588" s="14" t="s">
        <v>725</v>
      </c>
    </row>
    <row r="1589" spans="1:15" ht="30" x14ac:dyDescent="0.2">
      <c r="A1589" s="2" t="s">
        <v>3720</v>
      </c>
      <c r="B1589" s="2" t="s">
        <v>3721</v>
      </c>
      <c r="C1589" s="2" t="s">
        <v>270</v>
      </c>
      <c r="D1589" s="2" t="s">
        <v>442</v>
      </c>
      <c r="E1589" s="4">
        <v>46.99</v>
      </c>
      <c r="F1589" s="14"/>
      <c r="G1589" s="3">
        <v>0</v>
      </c>
      <c r="H1589" s="6">
        <v>0</v>
      </c>
      <c r="I1589" s="3">
        <v>0</v>
      </c>
      <c r="J1589" s="13" t="str">
        <f>HYPERLINK("https://amazon.com/dp/B0C1L65F94","Amazon - B0C1L65F94")</f>
        <v>Amazon - B0C1L65F94</v>
      </c>
      <c r="K1589" s="14" t="s">
        <v>443</v>
      </c>
      <c r="L1589" s="14" t="s">
        <v>444</v>
      </c>
      <c r="M1589" s="14" t="s">
        <v>303</v>
      </c>
      <c r="N1589" s="14" t="s">
        <v>446</v>
      </c>
      <c r="O1589" s="14" t="s">
        <v>303</v>
      </c>
    </row>
    <row r="1590" spans="1:15" ht="45" x14ac:dyDescent="0.2">
      <c r="A1590" s="2" t="s">
        <v>3722</v>
      </c>
      <c r="B1590" s="2" t="s">
        <v>3723</v>
      </c>
      <c r="C1590" s="2" t="s">
        <v>51</v>
      </c>
      <c r="D1590" s="2" t="s">
        <v>450</v>
      </c>
      <c r="E1590" s="4">
        <v>399.98</v>
      </c>
      <c r="F1590" s="14"/>
      <c r="G1590" s="3">
        <v>0</v>
      </c>
      <c r="H1590" s="6">
        <v>0</v>
      </c>
      <c r="I1590" s="3">
        <v>0</v>
      </c>
      <c r="J1590" s="13" t="str">
        <f>HYPERLINK("https://amazon.com/dp/B08TB7XCMN","Amazon - B08TB7XCMN")</f>
        <v>Amazon - B08TB7XCMN</v>
      </c>
      <c r="K1590" s="14" t="s">
        <v>443</v>
      </c>
      <c r="L1590" s="14" t="s">
        <v>451</v>
      </c>
      <c r="M1590" s="14" t="s">
        <v>457</v>
      </c>
      <c r="N1590" s="14" t="s">
        <v>446</v>
      </c>
      <c r="O1590" s="14" t="s">
        <v>447</v>
      </c>
    </row>
    <row r="1591" spans="1:15" ht="45" x14ac:dyDescent="0.2">
      <c r="A1591" s="2" t="s">
        <v>3724</v>
      </c>
      <c r="B1591" s="2" t="s">
        <v>3725</v>
      </c>
      <c r="C1591" s="2" t="s">
        <v>34</v>
      </c>
      <c r="D1591" s="2" t="s">
        <v>450</v>
      </c>
      <c r="E1591" s="4">
        <v>23.99</v>
      </c>
      <c r="F1591" s="14"/>
      <c r="G1591" s="3">
        <v>0</v>
      </c>
      <c r="H1591" s="6">
        <v>4.3</v>
      </c>
      <c r="I1591" s="3">
        <v>639</v>
      </c>
      <c r="J1591" s="13" t="str">
        <f>HYPERLINK("https://amazon.com/dp/B0FZGZ5X3Z","Amazon - B0FZGZ5X3Z")</f>
        <v>Amazon - B0FZGZ5X3Z</v>
      </c>
      <c r="K1591" s="14" t="s">
        <v>443</v>
      </c>
      <c r="L1591" s="14" t="s">
        <v>451</v>
      </c>
      <c r="M1591" s="14" t="s">
        <v>303</v>
      </c>
      <c r="N1591" s="14" t="s">
        <v>452</v>
      </c>
      <c r="O1591" s="14" t="s">
        <v>453</v>
      </c>
    </row>
    <row r="1592" spans="1:15" ht="30" x14ac:dyDescent="0.2">
      <c r="A1592" s="2" t="s">
        <v>3726</v>
      </c>
      <c r="B1592" s="2" t="s">
        <v>3727</v>
      </c>
      <c r="C1592" s="2" t="s">
        <v>34</v>
      </c>
      <c r="D1592" s="2" t="s">
        <v>450</v>
      </c>
      <c r="E1592" s="4">
        <v>24.99</v>
      </c>
      <c r="F1592" s="14"/>
      <c r="G1592" s="3">
        <v>0</v>
      </c>
      <c r="H1592" s="6">
        <v>4.2</v>
      </c>
      <c r="I1592" s="3">
        <v>611</v>
      </c>
      <c r="J1592" s="13" t="str">
        <f>HYPERLINK("https://amazon.com/dp/B0FY1KCGZK","Amazon - B0FY1KCGZK")</f>
        <v>Amazon - B0FY1KCGZK</v>
      </c>
      <c r="K1592" s="14" t="s">
        <v>443</v>
      </c>
      <c r="L1592" s="14" t="s">
        <v>451</v>
      </c>
      <c r="M1592" s="14" t="s">
        <v>303</v>
      </c>
      <c r="N1592" s="14" t="s">
        <v>452</v>
      </c>
      <c r="O1592" s="14" t="s">
        <v>524</v>
      </c>
    </row>
    <row r="1593" spans="1:15" x14ac:dyDescent="0.2">
      <c r="A1593" s="2" t="s">
        <v>3728</v>
      </c>
      <c r="B1593" s="2" t="s">
        <v>3729</v>
      </c>
      <c r="C1593" s="2" t="s">
        <v>9</v>
      </c>
      <c r="D1593" s="2" t="s">
        <v>442</v>
      </c>
      <c r="E1593" s="4">
        <v>52.99</v>
      </c>
      <c r="F1593" s="14"/>
      <c r="G1593" s="3">
        <v>0</v>
      </c>
      <c r="H1593" s="6">
        <v>4.5</v>
      </c>
      <c r="I1593" s="3">
        <v>7036</v>
      </c>
      <c r="J1593" s="13" t="str">
        <f>HYPERLINK("https://amazon.com/dp/B0CGT1N3VR","Amazon - B0CGT1N3VR")</f>
        <v>Amazon - B0CGT1N3VR</v>
      </c>
      <c r="K1593" s="14" t="s">
        <v>443</v>
      </c>
      <c r="L1593" s="14" t="s">
        <v>303</v>
      </c>
      <c r="M1593" s="14" t="s">
        <v>303</v>
      </c>
      <c r="N1593" s="14" t="s">
        <v>452</v>
      </c>
      <c r="O1593" s="14" t="s">
        <v>303</v>
      </c>
    </row>
    <row r="1594" spans="1:15" ht="30" x14ac:dyDescent="0.2">
      <c r="A1594" s="2" t="s">
        <v>3730</v>
      </c>
      <c r="B1594" s="2" t="s">
        <v>3731</v>
      </c>
      <c r="C1594" s="2" t="s">
        <v>37</v>
      </c>
      <c r="D1594" s="2" t="s">
        <v>472</v>
      </c>
      <c r="E1594" s="4">
        <v>26.99</v>
      </c>
      <c r="F1594" s="14"/>
      <c r="G1594" s="3">
        <v>0</v>
      </c>
      <c r="H1594" s="6">
        <v>4.4000000000000004</v>
      </c>
      <c r="I1594" s="3">
        <v>2773</v>
      </c>
      <c r="J1594" s="13" t="str">
        <f>HYPERLINK("https://amazon.com/dp/B0G2GS28RT","Amazon - B0G2GS28RT")</f>
        <v>Amazon - B0G2GS28RT</v>
      </c>
      <c r="K1594" s="14" t="s">
        <v>443</v>
      </c>
      <c r="L1594" s="14" t="s">
        <v>461</v>
      </c>
      <c r="M1594" s="14" t="s">
        <v>303</v>
      </c>
      <c r="N1594" s="14" t="s">
        <v>446</v>
      </c>
      <c r="O1594" s="14" t="s">
        <v>303</v>
      </c>
    </row>
    <row r="1595" spans="1:15" ht="30" x14ac:dyDescent="0.2">
      <c r="A1595" s="2" t="s">
        <v>3732</v>
      </c>
      <c r="B1595" s="2" t="s">
        <v>3733</v>
      </c>
      <c r="C1595" s="2" t="s">
        <v>15</v>
      </c>
      <c r="D1595" s="2" t="s">
        <v>442</v>
      </c>
      <c r="E1595" s="4">
        <v>239.99</v>
      </c>
      <c r="F1595" s="14"/>
      <c r="G1595" s="3">
        <v>0</v>
      </c>
      <c r="H1595" s="6">
        <v>4.2</v>
      </c>
      <c r="I1595" s="3">
        <v>210</v>
      </c>
      <c r="J1595" s="13" t="str">
        <f>HYPERLINK("https://amazon.com/dp/B0GR4Y131Y","Amazon - B0GR4Y131Y")</f>
        <v>Amazon - B0GR4Y131Y</v>
      </c>
      <c r="K1595" s="14" t="s">
        <v>482</v>
      </c>
      <c r="L1595" s="14" t="s">
        <v>303</v>
      </c>
      <c r="M1595" s="14" t="s">
        <v>577</v>
      </c>
      <c r="N1595" s="14" t="s">
        <v>446</v>
      </c>
      <c r="O1595" s="14" t="s">
        <v>303</v>
      </c>
    </row>
  </sheetData>
  <autoFilter ref="A2:O1595" xr:uid="{00000000-0009-0000-0000-000005000000}"/>
  <mergeCells count="1">
    <mergeCell ref="A1:O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Summary</vt:lpstr>
      <vt:lpstr>Top 50 Revenue</vt:lpstr>
      <vt:lpstr>Top 50 Units</vt:lpstr>
      <vt:lpstr>Top 50 Summary</vt:lpstr>
      <vt:lpstr>Price Tiers</vt:lpstr>
      <vt:lpstr>All ASINs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Ginny Chen</cp:lastModifiedBy>
  <dcterms:created xsi:type="dcterms:W3CDTF">2026-04-17T20:21:25Z</dcterms:created>
  <dcterms:modified xsi:type="dcterms:W3CDTF">2026-04-17T22:18:32Z</dcterms:modified>
</cp:coreProperties>
</file>